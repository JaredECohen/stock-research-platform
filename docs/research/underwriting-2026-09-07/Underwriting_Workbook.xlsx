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18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f881c8140f42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c57e9ca08324d0a"/>
    <x:sheet xmlns:r="http://schemas.openxmlformats.org/officeDocument/2006/relationships" name="Inputs" sheetId="2" r:id="R74dd19a29eab46e5"/>
    <x:sheet xmlns:r="http://schemas.openxmlformats.org/officeDocument/2006/relationships" name="Assumptions" sheetId="3" r:id="R3b16f41b48b24e06"/>
    <x:sheet xmlns:r="http://schemas.openxmlformats.org/officeDocument/2006/relationships" name="Controls" sheetId="4" r:id="Ra53f6c6615db44c2"/>
    <x:sheet xmlns:r="http://schemas.openxmlformats.org/officeDocument/2006/relationships" name="LMAT Model" sheetId="5" r:id="R400c099872734474"/>
    <x:sheet xmlns:r="http://schemas.openxmlformats.org/officeDocument/2006/relationships" name="WINA Model" sheetId="6" r:id="Rf37f3ef6f7ce41ee"/>
    <x:sheet xmlns:r="http://schemas.openxmlformats.org/officeDocument/2006/relationships" name="NSSC Model" sheetId="7" r:id="R8ec0ae68bbc947d3"/>
    <x:sheet xmlns:r="http://schemas.openxmlformats.org/officeDocument/2006/relationships" name="APPF Model" sheetId="8" r:id="R4fc33529b580461c"/>
    <x:sheet xmlns:r="http://schemas.openxmlformats.org/officeDocument/2006/relationships" name="MOD Model" sheetId="9" r:id="Re300936def134451"/>
    <x:sheet xmlns:r="http://schemas.openxmlformats.org/officeDocument/2006/relationships" name="POWL Model" sheetId="10" r:id="R3a486d0242824887"/>
    <x:sheet xmlns:r="http://schemas.openxmlformats.org/officeDocument/2006/relationships" name="Sources" sheetId="11" r:id="R04b36dec14ac4583"/>
    <x:sheet xmlns:r="http://schemas.openxmlformats.org/officeDocument/2006/relationships" name="Expectations" sheetId="12" r:id="R333e459c5607419a"/>
    <x:sheet xmlns:r="http://schemas.openxmlformats.org/officeDocument/2006/relationships" name="Reverse Engine" sheetId="13" r:id="Rd6b12144314e4ae1"/>
    <x:sheet xmlns:r="http://schemas.openxmlformats.org/officeDocument/2006/relationships" name="Market Hurdles" sheetId="14" r:id="R113676c3083b48f6"/>
    <x:sheet xmlns:r="http://schemas.openxmlformats.org/officeDocument/2006/relationships" name="Two-Year Exit Test" sheetId="15" r:id="Reda15e4043114b16"/>
    <x:sheet xmlns:r="http://schemas.openxmlformats.org/officeDocument/2006/relationships" name="Normalization" sheetId="16" r:id="R1531d31131204b3e"/>
    <x:sheet xmlns:r="http://schemas.openxmlformats.org/officeDocument/2006/relationships" name="WINA Franchisee" sheetId="17" r:id="Rff26e76fb59c4d84"/>
    <x:sheet xmlns:r="http://schemas.openxmlformats.org/officeDocument/2006/relationships" name="MOD Transaction" sheetId="18" r:id="R8531d7b59be8424c"/>
    <x:sheet xmlns:r="http://schemas.openxmlformats.org/officeDocument/2006/relationships" name="DCF Sensitivity" sheetId="19" r:id="Ra4c0016a837f4e0c"/>
    <x:sheet xmlns:r="http://schemas.openxmlformats.org/officeDocument/2006/relationships" name="Decision Log" sheetId="20" r:id="Rfa3965b65aac41b4"/>
  </x:sheets>
</x:workbook>
</file>

<file path=xl/comments1.xml><?xml version="1.0" encoding="utf-8"?>
<x:comments xmlns:x="http://schemas.openxmlformats.org/spreadsheetml/2006/main">
  <x:authors>
    <x:author>tc={5BB08CC8-B065-66A5-5933-37D9C0E8E694}</x:author>
    <x:author>tc={B2DAF16C-C094-F81B-F75A-EC470A96F84B}</x:author>
    <x:author>tc={371F2488-F5C9-B56E-1B63-30693E40144C}</x:author>
    <x:author>tc={0B20CE13-79D8-F045-CB5B-02475C998CFD}</x:author>
    <x:author>tc={255542FB-93FB-4A60-6E11-3A543A640DB4}</x:author>
    <x:author>tc={78FE6BDF-C66F-BE9D-C8EF-772D400A836D}</x:author>
    <x:author>tc={BB6743F8-1CCA-6283-BBFE-A68B69B8D0E7}</x:author>
    <x:author>tc={DA57658A-5CF3-E778-AA25-4DC0379DD71E}</x:author>
    <x:author>tc={EE49F32C-0B65-CC59-1437-35212DDB79F3}</x:author>
    <x:author>tc={A87537D1-938B-F59F-1EDC-815C0BEF68D6}</x:author>
    <x:author>tc={F673A1E5-60C3-44CC-CBA6-DC3CF3055795}</x:author>
    <x:author>tc={D0413363-1231-8169-6335-4278F230B333}</x:author>
    <x:author>tc={CFFF98BC-FE22-72E7-2714-ED85FF19E375}</x:author>
    <x:author>tc={262305FD-8B96-1A19-A596-123F0C57CC61}</x:author>
    <x:author>tc={B1E2134C-6186-411F-E505-0224365E1AF4}</x:author>
    <x:author>tc={489128A1-25F5-AE15-AA5F-78DB1CE8F1AF}</x:author>
    <x:author>tc={AF7C9602-1607-63AF-095A-257443E37CE1}</x:author>
    <x:author>tc={F799A6EF-F8AA-D915-1BE6-BEDD156B58F6}</x:author>
    <x:author>tc={1CBB23EF-E103-6A71-B84C-0A94C34B8389}</x:author>
    <x:author>tc={D67DCBC0-8C60-6AC6-5506-604B803E8E28}</x:author>
    <x:author>tc={BED1AC54-EF39-550C-324D-F1D752C3C9AE}</x:author>
    <x:author>tc={28F8B9D2-C2AC-3FED-5B63-2E7E248138C5}</x:author>
    <x:author>tc={FC2D6A8F-30AE-5CF4-CA67-6ED117D7071A}</x:author>
    <x:author>tc={B1C9752B-A092-37F1-0AFB-BDDF5320A395}</x:author>
    <x:author>tc={D424598A-B5A1-FFFB-D6BF-53ED75814E9F}</x:author>
    <x:author>tc={293C9675-0D8D-EF16-22EA-9FCAF2C9D631}</x:author>
    <x:author>tc={0F4E266C-A1A7-327D-BB0B-97EAD1287CEC}</x:author>
    <x:author>tc={F8D6F87F-9321-48BF-2A12-3C4E6BFF3E8B}</x:author>
    <x:author>tc={EACB429B-57AE-22E0-4ED4-6337BACF5D33}</x:author>
    <x:author>tc={304A9407-A246-E160-0436-4A1E35C01930}</x:author>
    <x:author>tc={36040075-A8E8-9B15-D857-371FA092264A}</x:author>
    <x:author>tc={58941D1E-1114-2826-156F-DBA6DCE44A75}</x:author>
    <x:author>tc={A66E8017-FF54-F057-671D-B73E0E0B9AD7}</x:author>
    <x:author>tc={888C49FF-D1E4-019D-2379-E69EFEA324D0}</x:author>
    <x:author>tc={7A562780-94FC-4BA7-7412-ADAC94F8102C}</x:author>
    <x:author>tc={783A9D67-DDAE-4266-30CE-AA86DC040441}</x:author>
    <x:author>tc={9E1B9B12-DBCB-5816-87FD-3C0741C32D9F}</x:author>
    <x:author>tc={B455BF80-37DA-BC77-FA4D-0C0C47E150E4}</x:author>
    <x:author>tc={76C8A603-DC1D-4813-0459-37B9E2E231B2}</x:author>
    <x:author>tc={02953261-36D7-4ADA-6717-F3F46ABF1C67}</x:author>
    <x:author>tc={1A0E303C-9047-A5DC-CDF5-AFC0B052F193}</x:author>
    <x:author>tc={3C996080-A012-EF28-252A-6F03B595A750}</x:author>
    <x:author>tc={E4EB8E47-9302-68F0-3B0C-709BF2949A77}</x:author>
    <x:author>tc={68000059-5352-8EE4-E5D7-13CE937B49AF}</x:author>
    <x:author>tc={59A032FA-5D03-6929-1002-B308C7D1D5BB}</x:author>
    <x:author>tc={1427CA2A-CBFC-81D9-F2D9-9E5A1C76F7CB}</x:author>
    <x:author>tc={BBBA0FE2-CDF2-A010-022A-A9C5A8E24E40}</x:author>
    <x:author>tc={BFDA3BEB-D3F1-B266-5440-2733BD19A25F}</x:author>
    <x:author>tc={028AC146-FC00-A493-35DC-4114D16BFC43}</x:author>
    <x:author>tc={69AE908E-16A1-4ADF-DE1D-E9F259371F0C}</x:author>
    <x:author>tc={5AFC22AF-528B-3329-B384-CAE80C75260C}</x:author>
    <x:author>tc={4F322239-37CF-0CB2-C80B-C23FCB16BB5E}</x:author>
    <x:author>tc={823CCB67-57DC-358D-20EF-4DD164515CAD}</x:author>
    <x:author>tc={9624BA91-FF5F-55F5-018D-C8D48D4361F5}</x:author>
    <x:author>tc={25833667-63E2-B3D2-8DD8-43D27284E2CB}</x:author>
    <x:author>tc={44C3E1A7-C419-D702-1C51-FFA7896B6F88}</x:author>
    <x:author>tc={625CD110-0AF4-F080-5F7A-933CCB7BD3AE}</x:author>
    <x:author>tc={689E7375-F844-259D-3133-EB3F1E399534}</x:author>
    <x:author>tc={729AD5E5-5663-E817-F7EA-C59CFD9BED17}</x:author>
    <x:author>tc={C25C2D53-686A-243C-7900-16659D84E036}</x:author>
    <x:author>tc={4B3FFC6F-D458-ACA3-BF12-F814883BC2F0}</x:author>
    <x:author>tc={5B8633A4-E4A3-248A-1BA1-BC64289B6813}</x:author>
    <x:author>tc={142384A6-B535-C180-5FA5-21A52AA56990}</x:author>
    <x:author>tc={46211DD0-A40C-7722-7CA7-555C3CB66213}</x:author>
    <x:author>tc={F2D53180-B5AB-C36C-971F-82092FE5B732}</x:author>
    <x:author>tc={087A9F62-FD9C-9591-BE92-CEC633A1A78D}</x:author>
    <x:author>tc={38D4FD43-84FB-C854-564F-89E7EECED5BE}</x:author>
    <x:author>tc={213D928B-C515-B2CA-2673-75F77BC68364}</x:author>
    <x:author>tc={A9D8E544-F47C-A5D4-3DAA-3E063F775D64}</x:author>
    <x:author>tc={91643ED6-048B-710C-3AB4-775D45D30238}</x:author>
    <x:author>tc={1D0F0FBF-8486-E6CC-9655-A836CC4F5855}</x:author>
    <x:author>tc={5140036A-4504-26A4-E9BC-E5A2DCE39741}</x:author>
    <x:author>tc={553B3F62-30D3-0E80-5C2E-04D63E4E41C8}</x:author>
    <x:author>tc={C3976F93-1AAC-E16C-5C45-6AB8B127B20E}</x:author>
    <x:author>tc={6948F626-C3B6-BB0F-295A-C0B6B56131CC}</x:author>
    <x:author>tc={BA9A809E-74C2-E5B4-5365-2B57A998AE4A}</x:author>
    <x:author>tc={9F0110EA-7335-4661-A7ED-847FB4E72C88}</x:author>
    <x:author>tc={4A975F19-8FDF-D70F-8CFE-53D995E5D8CF}</x:author>
    <x:author>tc={61FF7164-0F34-D5BA-BB6D-7ED17C9796D7}</x:author>
    <x:author>tc={2B18D8CB-B418-4941-B6E9-E6D4B3100D5C}</x:author>
    <x:author>tc={D4E0CB8F-D6CB-BDF5-6E1F-0C6D60DCF6CD}</x:author>
    <x:author>tc={E76B3F55-E2CE-33DE-2DBB-5B55F5915061}</x:author>
    <x:author>tc={C5BC898D-2F22-DB94-D6B1-39AA9108F0CE}</x:author>
    <x:author>tc={CD482F8D-9A6A-F730-ADF7-E7482AA6D197}</x:author>
    <x:author>tc={4357E710-1E0F-2CDB-231E-DDE5A28FBF09}</x:author>
    <x:author>tc={7FB443AC-055C-27C4-F642-5768E1874C1C}</x:author>
    <x:author>tc={EF809886-C0B1-9361-EFD7-6D328056ACC0}</x:author>
    <x:author>tc={FCD97BB7-8A88-120B-F048-1AA9BFA2BE55}</x:author>
    <x:author>tc={2F95C401-7128-1508-BB32-78183C5B6C90}</x:author>
    <x:author>tc={6A376D99-32E3-DAFD-597E-BA041EE3F68D}</x:author>
    <x:author>tc={1CCE5506-0B5D-51C4-C6DF-A4859D422D75}</x:author>
    <x:author>tc={8536C6D3-DF5F-C9AF-78A6-17288D048F8A}</x:author>
    <x:author>tc={A6D3FC2A-BA37-ADC9-9097-3D70B99EA16B}</x:author>
    <x:author>tc={7E6EF671-15D6-190A-3202-F30FF7D953C5}</x:author>
    <x:author>tc={57F38A00-7375-78CD-A876-AC91BBE752A0}</x:author>
    <x:author>tc={0F444329-D72B-C841-08E0-A4972F2D2013}</x:author>
    <x:author>tc={4D08B5D8-D3D9-2405-151B-1A4B5867BBEC}</x:author>
    <x:author>tc={D2B32E4F-7630-B64E-2D9A-7ED88DE421A4}</x:author>
    <x:author>tc={B37B3D3D-7125-CDCE-8D3C-75E9953009C2}</x:author>
    <x:author>tc={093A0CD5-764F-F91B-35E1-1CC19C0A87D0}</x:author>
    <x:author>tc={4459A2CF-B9AC-BDE4-4FAC-F6337734AAD6}</x:author>
    <x:author>tc={45C4DFC2-DDB9-09A6-8EC9-26B1749C21AB}</x:author>
    <x:author>tc={8E8542AE-B905-BE8F-3C1E-6F65B42EC73B}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LMAT price. Financial statement date 2026-06-30. Dedicated finance quote tool; retrieved 7 Sep 2026, latest trade 4 Sep ET. Not a certified official closing-price record.</x:t>
        </x:r>
      </x:text>
    </x:comment>
    <x:comment ref="B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LMAT cash. Financial statement date 2026-06-30. https://www.sec.gov/Archives/edgar/data/1158895/000119312526333762/ck0001158895-20260630.htm</x:t>
        </x:r>
      </x:text>
    </x:comment>
    <x:comment ref="B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LMAT debt. Financial statement date 2026-06-30. https://www.sec.gov/Archives/edgar/data/1158895/000119312526333762/ck0001158895-20260630.htm</x:t>
        </x:r>
      </x:text>
    </x:comment>
    <x:comment ref="B8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LMAT shares. Financial statement date 2026-06-30. https://www.sec.gov/Archives/edgar/data/1158895/000119312526333762/ck0001158895-20260630.htm | Diluted-share proxy, not a contemporaneous September legal capitalization table. LMAT removes if-converted shares while debt is deducted.</x:t>
        </x:r>
      </x:text>
    </x:comment>
    <x:comment ref="B9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LMAT mincash. Financial statement date 2026-06-30. Research assumption; not a reported fact.</x:t>
        </x:r>
      </x:text>
    </x:comment>
    <x:comment ref="B10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LMAT other_claims. Financial statement date 2026-06-30. https://www.sec.gov/Archives/edgar/data/1158895/000119312526333762/ck0001158895-20260630.htm</x:t>
        </x:r>
      </x:text>
    </x:comment>
    <x:comment ref="B1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LMAT known_distribution. Financial statement date 2026-06-30. https://www.sec.gov/Archives/edgar/data/1158895/000119312526333762/ck0001158895-20260630.htm | Known or approximate post-quarter distributions; NSSC June payable paid July 3. No October dividend deducted.</x:t>
        </x:r>
      </x:text>
    </x:comment>
    <x:comment ref="B12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LMAT private_assets. Financial statement date 2026-06-30. https://www.sec.gov/Archives/edgar/data/1158895/000119312526333762/ck0001158895-20260630.htm</x:t>
        </x:r>
      </x:text>
    </x:comment>
    <x:comment ref="B13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LMAT private_haircut. Financial statement date 2026-06-30. Research assumption; not a reported fact.</x:t>
        </x:r>
      </x:text>
    </x:comment>
    <x:comment ref="B14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LMAT revenue_anchor. Financial statement date 2026-06-30. https://www.sec.gov/Archives/edgar/data/1158895/000119312526333762/ck0001158895-20260630.htm | Annual starting anchor; WINA/POWL are research estimates, MOD is quarter annualized, APPF/LMAT annual guidance. Not a fiscal-stub forecast.</x:t>
        </x:r>
      </x:text>
    </x:comment>
    <x:comment ref="B15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LMAT cfo. Financial statement date 2026-06-30. https://www.sec.gov/Archives/edgar/data/1158895/000119312526333762/ck0001158895-20260630.htm</x:t>
        </x:r>
      </x:text>
    </x:comment>
    <x:comment ref="B16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LMAT capex. Financial statement date 2026-06-30. https://www.sec.gov/Archives/edgar/data/1158895/000119312526333762/ck0001158895-20260630.htm</x:t>
        </x:r>
      </x:text>
    </x:comment>
    <x:comment ref="B17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LMAT software_capex. Financial statement date 2026-06-30. https://www.sec.gov/Archives/edgar/data/1158895/000119312526333762/ck0001158895-20260630.htm</x:t>
        </x:r>
      </x:text>
    </x:comment>
    <x:comment ref="B18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LMAT sbc. Financial statement date 2026-06-30. https://www.sec.gov/Archives/edgar/data/1158895/000119312526333762/ck0001158895-20260630.htm</x:t>
        </x:r>
      </x:text>
    </x:comment>
    <x:comment ref="B19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LMAT convshares. Financial statement date 2026-06-30. https://www.sec.gov/Archives/edgar/data/1158895/000119312526333762/ck0001158895-20260630.htm</x:t>
        </x:r>
      </x:text>
    </x:comment>
    <x:comment ref="B20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LMAT convprice. Financial statement date 2026-06-30. https://www.sec.gov/Archives/edgar/data/1158895/000119312526333762/ck0001158895-20260630.htm</x:t>
        </x:r>
      </x:text>
    </x:comment>
    <x:comment ref="C5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WINA price. Financial statement date 2026-06-27. Dedicated finance quote tool; retrieved 7 Sep 2026, latest trade 4 Sep ET. Not a certified official closing-price record.</x:t>
        </x:r>
      </x:text>
    </x:comment>
    <x:comment ref="C6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WINA cash. Financial statement date 2026-06-27. https://www.sec.gov/Archives/edgar/data/908315/000090831526000028/wina-20260627x10q.htm</x:t>
        </x:r>
      </x:text>
    </x:comment>
    <x:comment ref="C7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WINA debt. Financial statement date 2026-06-27. https://www.sec.gov/Archives/edgar/data/908315/000090831526000028/wina-20260627x10q.htm</x:t>
        </x:r>
      </x:text>
    </x:comment>
    <x:comment ref="C8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WINA shares. Financial statement date 2026-06-27. https://www.sec.gov/Archives/edgar/data/908315/000090831526000028/wina-20260627x10q.htm | Diluted-share proxy, not a contemporaneous September legal capitalization table. LMAT removes if-converted shares while debt is deducted.</x:t>
        </x:r>
      </x:text>
    </x:comment>
    <x:comment ref="C9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WINA mincash. Financial statement date 2026-06-27. Research assumption; not a reported fact.</x:t>
        </x:r>
      </x:text>
    </x:comment>
    <x:comment ref="C10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WINA other_claims. Financial statement date 2026-06-27. https://www.sec.gov/Archives/edgar/data/908315/000090831526000028/wina-20260627x10q.htm</x:t>
        </x:r>
      </x:text>
    </x:comment>
    <x:comment ref="C11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WINA known_distribution. Financial statement date 2026-06-27. https://www.sec.gov/Archives/edgar/data/908315/000090831526000028/wina-20260627x10q.htm | Known or approximate post-quarter distributions; NSSC June payable paid July 3. No October dividend deducted.</x:t>
        </x:r>
      </x:text>
    </x:comment>
    <x:comment ref="C12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WINA private_assets. Financial statement date 2026-06-27. https://www.sec.gov/Archives/edgar/data/908315/000090831526000028/wina-20260627x10q.htm</x:t>
        </x:r>
      </x:text>
    </x:comment>
    <x:comment ref="C13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WINA private_haircut. Financial statement date 2026-06-27. Research assumption; not a reported fact.</x:t>
        </x:r>
      </x:text>
    </x:comment>
    <x:comment ref="C14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WINA revenue_anchor. Financial statement date 2026-06-27. https://www.sec.gov/Archives/edgar/data/908315/000090831526000028/wina-20260627x10q.htm | Annual starting anchor; WINA/POWL are research estimates, MOD is quarter annualized, APPF/LMAT annual guidance. Not a fiscal-stub forecast.</x:t>
        </x:r>
      </x:text>
    </x:comment>
    <x:comment ref="C15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WINA cfo. Financial statement date 2026-06-27. https://www.sec.gov/Archives/edgar/data/908315/000090831526000028/wina-20260627x10q.htm</x:t>
        </x:r>
      </x:text>
    </x:comment>
    <x:comment ref="C16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WINA capex. Financial statement date 2026-06-27. https://www.sec.gov/Archives/edgar/data/908315/000090831526000028/wina-20260627x10q.htm</x:t>
        </x:r>
      </x:text>
    </x:comment>
    <x:comment ref="C17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WINA software_capex. Financial statement date 2026-06-27. https://www.sec.gov/Archives/edgar/data/908315/000090831526000028/wina-20260627x10q.htm</x:t>
        </x:r>
      </x:text>
    </x:comment>
    <x:comment ref="C18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WINA sbc. Financial statement date 2026-06-27. https://www.sec.gov/Archives/edgar/data/908315/000090831526000028/wina-20260627x10q.htm</x:t>
        </x:r>
      </x:text>
    </x:comment>
    <x:comment ref="C33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WINA fee_annual. Financial statement date 2026-06-27. https://www.sec.gov/Archives/edgar/data/908315/000090831526000012/wina-20260316x8k.htm | Corresponding expenses expected.</x:t>
        </x:r>
      </x:text>
    </x:comment>
    <x:comment ref="C34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WINA adfund_annual. Financial statement date 2026-06-27. https://www.sec.gov/Archives/edgar/data/908315/000090831526000012/wina-20260316x8k.htm | Corresponding expenses expected.</x:t>
        </x:r>
      </x:text>
    </x:comment>
    <x:comment ref="D5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NSSC price. Financial statement date 2026-06-30. Dedicated finance quote tool; retrieved 7 Sep 2026, latest trade 4 Sep ET. Not a certified official closing-price record.</x:t>
        </x:r>
      </x:text>
    </x:comment>
    <x:comment ref="D6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NSSC cash. Financial statement date 2026-06-30. https://www.sec.gov/Archives/edgar/data/69633/000110465926100081/nssc-20260630x10k.htm</x:t>
        </x:r>
      </x:text>
    </x:comment>
    <x:comment ref="D7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NSSC debt. Financial statement date 2026-06-30. https://www.sec.gov/Archives/edgar/data/69633/000110465926100081/nssc-20260630x10k.htm</x:t>
        </x:r>
      </x:text>
    </x:comment>
    <x:comment ref="D8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NSSC shares. Financial statement date 2026-06-30. https://www.sec.gov/Archives/edgar/data/69633/000110465926100081/nssc-20260630x10k.htm | Diluted-share proxy, not a contemporaneous September legal capitalization table. LMAT removes if-converted shares while debt is deducted.</x:t>
        </x:r>
      </x:text>
    </x:comment>
    <x:comment ref="D9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NSSC mincash. Financial statement date 2026-06-30. Research assumption; not a reported fact.</x:t>
        </x:r>
      </x:text>
    </x:comment>
    <x:comment ref="D10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NSSC other_claims. Financial statement date 2026-06-30. https://www.sec.gov/Archives/edgar/data/69633/000110465926100081/nssc-20260630x10k.htm</x:t>
        </x:r>
      </x:text>
    </x:comment>
    <x:comment ref="D11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NSSC known_distribution. Financial statement date 2026-06-30. https://www.sec.gov/Archives/edgar/data/69633/000110465926100081/nssc-20260630x10k.htm | Known or approximate post-quarter distributions; NSSC June payable paid July 3. No October dividend deducted.</x:t>
        </x:r>
      </x:text>
    </x:comment>
    <x:comment ref="D12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NSSC private_assets. Financial statement date 2026-06-30. https://www.sec.gov/Archives/edgar/data/69633/000110465926100081/nssc-20260630x10k.htm</x:t>
        </x:r>
      </x:text>
    </x:comment>
    <x:comment ref="D13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NSSC private_haircut. Financial statement date 2026-06-30. Research assumption; not a reported fact.</x:t>
        </x:r>
      </x:text>
    </x:comment>
    <x:comment ref="D14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NSSC revenue_anchor. Financial statement date 2026-06-30. https://www.sec.gov/Archives/edgar/data/69633/000110465926100081/nssc-20260630x10k.htm | Annual starting anchor; WINA/POWL are research estimates, MOD is quarter annualized, APPF/LMAT annual guidance. Not a fiscal-stub forecast.</x:t>
        </x:r>
      </x:text>
    </x:comment>
    <x:comment ref="D15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NSSC cfo. Financial statement date 2026-06-30. https://www.sec.gov/Archives/edgar/data/69633/000110465926100081/nssc-20260630x10k.htm</x:t>
        </x:r>
      </x:text>
    </x:comment>
    <x:comment ref="D16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NSSC capex. Financial statement date 2026-06-30. https://www.sec.gov/Archives/edgar/data/69633/000110465926100081/nssc-20260630x10k.htm</x:t>
        </x:r>
      </x:text>
    </x:comment>
    <x:comment ref="D17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NSSC software_capex. Financial statement date 2026-06-30. https://www.sec.gov/Archives/edgar/data/69633/000110465926100081/nssc-20260630x10k.htm</x:t>
        </x:r>
      </x:text>
    </x:comment>
    <x:comment ref="D18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NSSC sbc. Financial statement date 2026-06-30. https://www.sec.gov/Archives/edgar/data/69633/000110465926100081/nssc-20260630x10k.htm</x:t>
        </x:r>
      </x:text>
    </x:comment>
    <x:comment ref="D21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NSSC service_revenue. Financial statement date 2026-06-30. https://www.sec.gov/Archives/edgar/data/69633/000110465926100081/nssc-20260630x10k.htm</x:t>
        </x:r>
      </x:text>
    </x:comment>
    <x:comment ref="D22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NSSC hardware_revenue. Financial statement date 2026-06-30. https://www.sec.gov/Archives/edgar/data/69633/000110465926100081/nssc-20260630x10k.htm</x:t>
        </x:r>
      </x:text>
    </x:comment>
    <x:comment ref="D23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NSSC opex. Financial statement date 2026-06-30. https://www.sec.gov/Archives/edgar/data/69633/000110465926100081/nssc-20260630x10k.htm</x:t>
        </x:r>
      </x:text>
    </x:comment>
    <x:comment ref="D35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NSSC reported_ebit. Financial statement date 2026-06-30. https://www.sec.gov/Archives/edgar/data/69633/000110465926100081/nssc-20260630x10k.htm</x:t>
        </x:r>
      </x:text>
    </x:comment>
    <x:comment ref="D36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NSSC litigation. Financial statement date 2026-06-30. https://www.sec.gov/Archives/edgar/data/69633/000110465926100081/nssc-20260630x10k.htm</x:t>
        </x:r>
      </x:text>
    </x:comment>
    <x:comment ref="D37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NSSC refund_bps. Financial statement date 2026-06-30. https://www.sec.gov/Archives/edgar/data/69633/000110465926100081/nssc-20260630x10k.htm</x:t>
        </x:r>
      </x:text>
    </x:comment>
    <x:comment ref="E5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APPF price. Financial statement date 2026-06-30. Dedicated finance quote tool; retrieved 7 Sep 2026, latest trade 4 Sep ET. Not a certified official closing-price record.</x:t>
        </x:r>
      </x:text>
    </x:comment>
    <x:comment ref="E6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APPF cash. Financial statement date 2026-06-30. https://www.sec.gov/Archives/edgar/data/1433195/000143319526000058/appf-20260630.htm</x:t>
        </x:r>
      </x:text>
    </x:comment>
    <x:comment ref="E7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APPF debt. Financial statement date 2026-06-30. https://www.sec.gov/Archives/edgar/data/1433195/000143319526000058/appf-20260630.htm</x:t>
        </x:r>
      </x:text>
    </x:comment>
    <x:comment ref="E8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APPF shares. Financial statement date 2026-06-30. https://www.sec.gov/Archives/edgar/data/1433195/000143319526000058/appf-20260630.htm | Diluted-share proxy, not a contemporaneous September legal capitalization table. LMAT removes if-converted shares while debt is deducted.</x:t>
        </x:r>
      </x:text>
    </x:comment>
    <x:comment ref="E9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APPF mincash. Financial statement date 2026-06-30. Research assumption; not a reported fact.</x:t>
        </x:r>
      </x:text>
    </x:comment>
    <x:comment ref="E10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APPF other_claims. Financial statement date 2026-06-30. https://www.sec.gov/Archives/edgar/data/1433195/000143319526000058/appf-20260630.htm</x:t>
        </x:r>
      </x:text>
    </x:comment>
    <x:comment ref="E11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APPF known_distribution. Financial statement date 2026-06-30. https://www.sec.gov/Archives/edgar/data/1433195/000143319526000058/appf-20260630.htm | Known or approximate post-quarter distributions; NSSC June payable paid July 3. No October dividend deducted.</x:t>
        </x:r>
      </x:text>
    </x:comment>
    <x:comment ref="E12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APPF private_assets. Financial statement date 2026-06-30. https://www.sec.gov/Archives/edgar/data/1433195/000143319526000058/appf-20260630.htm</x:t>
        </x:r>
      </x:text>
    </x:comment>
    <x:comment ref="E13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APPF private_haircut. Financial statement date 2026-06-30. Research assumption; not a reported fact.</x:t>
        </x:r>
      </x:text>
    </x:comment>
    <x:comment ref="E14" authorId="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APPF revenue_anchor. Financial statement date 2026-06-30. https://www.sec.gov/Archives/edgar/data/1433195/000143319526000058/appf-20260630.htm | Annual starting anchor; WINA/POWL are research estimates, MOD is quarter annualized, APPF/LMAT annual guidance. Not a fiscal-stub forecast.</x:t>
        </x:r>
      </x:text>
    </x:comment>
    <x:comment ref="E15" authorId="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APPF cfo. Financial statement date 2026-06-30. https://www.sec.gov/Archives/edgar/data/1433195/000143319526000058/appf-20260630.htm</x:t>
        </x:r>
      </x:text>
    </x:comment>
    <x:comment ref="E16" authorId="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APPF capex. Financial statement date 2026-06-30. https://www.sec.gov/Archives/edgar/data/1433195/000143319526000058/appf-20260630.htm</x:t>
        </x:r>
      </x:text>
    </x:comment>
    <x:comment ref="E17" authorId="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APPF software_capex. Financial statement date 2026-06-30. https://www.sec.gov/Archives/edgar/data/1433195/000143319526000058/appf-20260630.htm</x:t>
        </x:r>
      </x:text>
    </x:comment>
    <x:comment ref="E18" authorId="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APPF sbc. Financial statement date 2026-06-30. https://www.sec.gov/Archives/edgar/data/1433195/000143319526000058/appf-20260630.htm</x:t>
        </x:r>
      </x:text>
    </x:comment>
    <x:comment ref="F5" authorId="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MOD price. Financial statement date 2026-06-30. Dedicated finance quote tool; retrieved 7 Sep 2026, latest trade 4 Sep ET. Not a certified official closing-price record.</x:t>
        </x:r>
      </x:text>
    </x:comment>
    <x:comment ref="F6" authorId="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MOD cash. Financial statement date 2026-06-30. https://www.sec.gov/Archives/edgar/data/67347/000110465926088569/mod-20260630x10q.htm</x:t>
        </x:r>
      </x:text>
    </x:comment>
    <x:comment ref="F7" authorId="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MOD debt. Financial statement date 2026-06-30. https://www.sec.gov/Archives/edgar/data/67347/000110465926088569/mod-20260630x10q.htm</x:t>
        </x:r>
      </x:text>
    </x:comment>
    <x:comment ref="F8" authorId="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MOD shares. Financial statement date 2026-06-30. https://www.sec.gov/Archives/edgar/data/67347/000110465926088569/mod-20260630x10q.htm | Diluted-share proxy, not a contemporaneous September legal capitalization table. LMAT removes if-converted shares while debt is deducted.</x:t>
        </x:r>
      </x:text>
    </x:comment>
    <x:comment ref="F9" authorId="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MOD mincash. Financial statement date 2026-06-30. Research assumption; not a reported fact.</x:t>
        </x:r>
      </x:text>
    </x:comment>
    <x:comment ref="F10" authorId="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MOD other_claims. Financial statement date 2026-06-30. https://www.sec.gov/Archives/edgar/data/67347/000110465926088569/mod-20260630x10q.htm</x:t>
        </x:r>
      </x:text>
    </x:comment>
    <x:comment ref="F11" authorId="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MOD known_distribution. Financial statement date 2026-06-30. https://www.sec.gov/Archives/edgar/data/67347/000110465926088569/mod-20260630x10q.htm | Known or approximate post-quarter distributions; NSSC June payable paid July 3. No October dividend deducted.</x:t>
        </x:r>
      </x:text>
    </x:comment>
    <x:comment ref="F12" authorId="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MOD private_assets. Financial statement date 2026-06-30. https://www.sec.gov/Archives/edgar/data/67347/000110465926088569/mod-20260630x10q.htm</x:t>
        </x:r>
      </x:text>
    </x:comment>
    <x:comment ref="F13" authorId="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MOD private_haircut. Financial statement date 2026-06-30. Research assumption; not a reported fact.</x:t>
        </x:r>
      </x:text>
    </x:comment>
    <x:comment ref="F14" authorId="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MOD revenue_anchor. Financial statement date 2026-06-30. https://www.sec.gov/Archives/edgar/data/67347/000110465926088569/mod-20260630x10q.htm | Annual starting anchor; WINA/POWL are research estimates, MOD is quarter annualized, APPF/LMAT annual guidance. Not a fiscal-stub forecast.</x:t>
        </x:r>
      </x:text>
    </x:comment>
    <x:comment ref="F15" authorId="7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MOD cfo. Financial statement date 2026-06-30. https://www.sec.gov/Archives/edgar/data/67347/000110465926088569/mod-20260630x10q.htm</x:t>
        </x:r>
      </x:text>
    </x:comment>
    <x:comment ref="F16" authorId="7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MOD capex. Financial statement date 2026-06-30. https://www.sec.gov/Archives/edgar/data/67347/000110465926088569/mod-20260630x10q.htm</x:t>
        </x:r>
      </x:text>
    </x:comment>
    <x:comment ref="F17" authorId="7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MOD software_capex. Financial statement date 2026-06-30. https://www.sec.gov/Archives/edgar/data/67347/000110465926088569/mod-20260630x10q.htm</x:t>
        </x:r>
      </x:text>
    </x:comment>
    <x:comment ref="F18" authorId="7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MOD sbc. Financial statement date 2026-06-30. https://www.sec.gov/Archives/edgar/data/67347/000110465926088569/mod-20260630x10q.htm</x:t>
        </x:r>
      </x:text>
    </x:comment>
    <x:comment ref="F24" authorId="8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MOD dc_anchor. Financial statement date 2026-06-30. https://www.sec.gov/Archives/edgar/data/67347/000110465926088569/mod-20260630x10q.htm</x:t>
        </x:r>
      </x:text>
    </x:comment>
    <x:comment ref="F25" authorId="8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MOD hvac_anchor. Financial statement date 2026-06-30. https://www.sec.gov/Archives/edgar/data/67347/000110465926088569/mod-20260630x10q.htm</x:t>
        </x:r>
      </x:text>
    </x:comment>
    <x:comment ref="F26" authorId="8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MOD corp_anchor. Financial statement date 2026-06-30. Research assumption; not a reported fact.</x:t>
        </x:r>
      </x:text>
    </x:comment>
    <x:comment ref="F27" authorId="8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MOD deal_cash. Financial statement date 2026-06-30. https://ir.gentherm.com/news-releases/news-release-details/gentherm-and-modines-performance-technologies-business-combine | Conditional transaction; no probability assigned.</x:t>
        </x:r>
      </x:text>
    </x:comment>
    <x:comment ref="F28" authorId="8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MOD thrm_shares. Financial statement date 2026-06-30. https://ir.gentherm.com/news-releases/news-release-details/gentherm-and-modines-performance-technologies-business-combine | Conditional transaction; no probability assigned.</x:t>
        </x:r>
      </x:text>
    </x:comment>
    <x:comment ref="F29" authorId="8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MOD thrm_price. Financial statement date 2026-06-30. https://www.sec.gov/Archives/edgar/data/67347/000110465926088569/mod-20260630x10q.htm</x:t>
        </x:r>
      </x:text>
    </x:comment>
    <x:comment ref="F30" authorId="8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MOD deal_cost. Financial statement date 2026-06-30. Research assumption; not a reported fact.</x:t>
        </x:r>
      </x:text>
    </x:comment>
    <x:comment ref="G5" authorId="8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POWL price. Financial statement date 2026-06-30. Dedicated finance quote tool; retrieved 7 Sep 2026, latest trade 4 Sep ET. Not a certified official closing-price record.</x:t>
        </x:r>
      </x:text>
    </x:comment>
    <x:comment ref="G6" authorId="8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POWL cash. Financial statement date 2026-06-30. https://www.sec.gov/Archives/edgar/data/80420/000008042026000107/powl-20260630.htm</x:t>
        </x:r>
      </x:text>
    </x:comment>
    <x:comment ref="G7" authorId="8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POWL debt. Financial statement date 2026-06-30. https://www.sec.gov/Archives/edgar/data/80420/000008042026000107/powl-20260630.htm</x:t>
        </x:r>
      </x:text>
    </x:comment>
    <x:comment ref="G8" authorId="9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POWL shares. Financial statement date 2026-06-30. https://www.sec.gov/Archives/edgar/data/80420/000008042026000107/powl-20260630.htm | Diluted-share proxy, not a contemporaneous September legal capitalization table. LMAT removes if-converted shares while debt is deducted.</x:t>
        </x:r>
      </x:text>
    </x:comment>
    <x:comment ref="G9" authorId="9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POWL mincash. Financial statement date 2026-06-30. Research assumption; not a reported fact.</x:t>
        </x:r>
      </x:text>
    </x:comment>
    <x:comment ref="G10" authorId="9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POWL other_claims. Financial statement date 2026-06-30. https://www.sec.gov/Archives/edgar/data/80420/000008042026000107/powl-20260630.htm</x:t>
        </x:r>
      </x:text>
    </x:comment>
    <x:comment ref="G11" authorId="9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POWL known_distribution. Financial statement date 2026-06-30. https://www.sec.gov/Archives/edgar/data/80420/000008042026000107/powl-20260630.htm | Known or approximate post-quarter distributions; NSSC June payable paid July 3. No October dividend deducted.</x:t>
        </x:r>
      </x:text>
    </x:comment>
    <x:comment ref="G12" authorId="9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POWL private_assets. Financial statement date 2026-06-30. https://www.sec.gov/Archives/edgar/data/80420/000008042026000107/powl-20260630.htm</x:t>
        </x:r>
      </x:text>
    </x:comment>
    <x:comment ref="G13" authorId="9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POWL private_haircut. Financial statement date 2026-06-30. Research assumption; not a reported fact.</x:t>
        </x:r>
      </x:text>
    </x:comment>
    <x:comment ref="G14" authorId="9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POWL revenue_anchor. Financial statement date 2026-06-30. https://www.sec.gov/Archives/edgar/data/80420/000008042026000107/powl-20260630.htm | Annual starting anchor; WINA/POWL are research estimates, MOD is quarter annualized, APPF/LMAT annual guidance. Not a fiscal-stub forecast.</x:t>
        </x:r>
      </x:text>
    </x:comment>
    <x:comment ref="G15" authorId="9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POWL cfo. Financial statement date 2026-06-30. https://www.sec.gov/Archives/edgar/data/80420/000008042026000107/powl-20260630.htm</x:t>
        </x:r>
      </x:text>
    </x:comment>
    <x:comment ref="G16" authorId="9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POWL capex. Financial statement date 2026-06-30. https://www.sec.gov/Archives/edgar/data/80420/000008042026000107/powl-20260630.htm</x:t>
        </x:r>
      </x:text>
    </x:comment>
    <x:comment ref="G17" authorId="9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POWL software_capex. Financial statement date 2026-06-30. https://www.sec.gov/Archives/edgar/data/80420/000008042026000107/powl-20260630.htm</x:t>
        </x:r>
      </x:text>
    </x:comment>
    <x:comment ref="G18" authorId="10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POWL sbc. Financial statement date 2026-06-30. https://www.sec.gov/Archives/edgar/data/80420/000008042026000107/powl-20260630.htm</x:t>
        </x:r>
      </x:text>
    </x:comment>
    <x:comment ref="G31" authorId="10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POWL net_contract_liability. Financial statement date 2026-06-30. https://www.sec.gov/Archives/edgar/data/80420/000008042026000107/powl-20260630.htm</x:t>
        </x:r>
      </x:text>
    </x:comment>
    <x:comment ref="G32" authorId="10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POWL backlog_12m. Financial statement date 2026-06-30. https://www.sec.gov/Archives/edgar/data/80420/000008042026000107/powl-20260630.htm</x:t>
        </x:r>
      </x:text>
    </x:comment>
  </x:commentList>
</x:comments>
</file>

<file path=xl/comments2.xml><?xml version="1.0" encoding="utf-8"?>
<x:comments xmlns:x="http://schemas.openxmlformats.org/spreadsheetml/2006/main">
  <x:authors>
    <x:author>tc={56060EFB-0E61-5EFA-FFB0-C12A893B0B37}</x:author>
    <x:author>tc={DAE0B58E-B43E-66BB-51F4-80413A78959F}</x:author>
    <x:author>tc={70EA24A2-35F5-4502-83AD-1E654C3CB55C}</x:author>
    <x:author>tc={EC9684E0-965F-8232-FC40-73BBDD485313}</x:author>
    <x:author>tc={7477FB02-0465-BAFB-692C-414806B5EFCE}</x:author>
    <x:author>tc={DB7D4183-03EB-636E-B473-E755392E91AC}</x:author>
  </x:authors>
  <x:commentList>
    <x:comment ref="C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https://www.marketwatch.com/investing/stock/lmat/analystestimates | Public page retrieved 7 Sep 2026. EPS basis not uniformly standardized.</x:t>
        </x:r>
      </x:text>
    </x:comment>
    <x:comment ref="C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https://www.marketwatch.com/investing/stock/wina/analystestimates | Public page retrieved 7 Sep 2026. EPS basis not uniformly standardized.</x:t>
        </x:r>
      </x:text>
    </x:comment>
    <x:comment ref="C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https://www.marketwatch.com/investing/stock/nssc/analystestimates | Public page retrieved 7 Sep 2026. EPS basis not uniformly standardized.</x:t>
        </x:r>
      </x:text>
    </x:comment>
    <x:comment ref="C7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https://www.marketwatch.com/investing/stock/appf/analystestimates | Public page retrieved 7 Sep 2026. EPS basis not uniformly standardized.</x:t>
        </x:r>
      </x:text>
    </x:comment>
    <x:comment ref="C8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https://www.marketwatch.com/investing/stock/mod/analystestimates | Public page retrieved 7 Sep 2026. EPS basis not uniformly standardized.</x:t>
        </x:r>
      </x:text>
    </x:comment>
    <x:comment ref="C9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https://www.marketwatch.com/investing/stock/powl/analystestimates | Public page retrieved 7 Sep 2026. EPS basis not uniformly standardized.</x:t>
        </x:r>
      </x:text>
    </x:comment>
  </x:commentList>
</x:comments>
</file>

<file path=xl/comments3.xml><?xml version="1.0" encoding="utf-8"?>
<x:comments xmlns:x="http://schemas.openxmlformats.org/spreadsheetml/2006/main">
  <x:authors>
    <x:author>tc={1B13D45E-C295-C9EC-83A5-5F15800D6F40}</x:author>
    <x:author>tc={32F056B4-DD1B-D590-4968-5177AA3EBB21}</x:author>
    <x:author>tc={FEA9DA04-6D90-5BE7-5516-A4958BAB0E15}</x:author>
    <x:author>tc={CBF4F518-C162-DBA2-E258-EF86231348D9}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https://www.winmarkfranchises.com/platos-closet/the-investment/how-much-can-i-make-/</x:t>
        </x:r>
      </x:text>
    </x:comment>
    <x:comment ref="B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https://www.winmarkfranchises.com/platos-closet/the-investment/how-much-can-i-make-/</x:t>
        </x:r>
      </x:text>
    </x:comment>
    <x:comment ref="B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https://www.sec.gov/Archives/edgar/data/908315/000090831526000012/wina-20260316x8k.htm</x:t>
        </x:r>
      </x:text>
    </x:comment>
    <x:comment ref="B1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https://www.sec.gov/Archives/edgar/data/908315/000090831526000012/wina-20260316x8k.htm</x:t>
        </x:r>
      </x:text>
    </x:comment>
  </x:commentList>
</x:comments>
</file>

<file path=xl/comments4.xml><?xml version="1.0" encoding="utf-8"?>
<x:comments xmlns:x="http://schemas.openxmlformats.org/spreadsheetml/2006/main">
  <x:authors>
    <x:author>tc={FA15206C-4FA3-B117-91D3-F64A3BF0321F}</x:author>
    <x:author>tc={ADE348DC-A038-559D-4EDF-9F26633C4696}</x:author>
  </x:authors>
  <x:commentList>
    <x:comment ref="B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https://ir.gentherm.com/news-releases/news-release-details/gentherm-and-modines-performance-technologies-business-combine</x:t>
        </x:r>
      </x:text>
    </x:comment>
    <x:comment ref="B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https://ir.gentherm.com/news-releases/news-release-details/gentherm-and-modines-performance-technologies-business-combine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;[Red](#,##0.0);&quot;-&quot;"/>
    <x:numFmt numFmtId="201" formatCode="$0.00;[Red]($0.00);&quot;-&quot;"/>
    <x:numFmt numFmtId="202" formatCode="0.000000"/>
    <x:numFmt numFmtId="203" formatCode="0.0%;[Red](0.0%);&quot;-&quot;"/>
    <x:numFmt numFmtId="204" formatCode="0.0&quot;x&quot;"/>
  </x:numFmts>
  <x:fonts count="8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  <x:font>
      <x:sz val="11"/>
      <x:color rgb="FF0000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008000"/>
      <x:name val="Carlito"/>
    </x:font>
    <x:font>
      <x:sz val="10"/>
      <x:color rgb="FF55555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203" fontId="3" fillId="0" borderId="0" xfId="0" applyNumberFormat="1" applyFont="1" applyFill="1" applyBorder="1"/>
    <x:xf numFmtId="203" fontId="3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0" fillId="2" borderId="1" xfId="0" applyNumberFormat="1" applyFont="1" applyFill="1" applyBorder="1"/>
    <x:xf numFmtId="0" fontId="4" fillId="2" borderId="1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3" fontId="6" fillId="0" borderId="0" xfId="0" applyNumberFormat="1" applyFont="1" applyFill="1" applyBorder="1"/>
    <x:xf numFmtId="203" fontId="6" fillId="0" borderId="1" xfId="0" applyNumberFormat="1" applyFont="1" applyFill="1" applyBorder="1"/>
    <x:xf numFmtId="200" fontId="0" fillId="3" borderId="0" xfId="0" applyNumberFormat="1" applyFont="1" applyFill="1" applyBorder="1"/>
    <x:xf numFmtId="200" fontId="0" fillId="3" borderId="1" xfId="0" applyNumberFormat="1" applyFont="1" applyFill="1" applyBorder="1"/>
    <x:xf numFmtId="200" fontId="5" fillId="3" borderId="0" xfId="0" applyNumberFormat="1" applyFont="1" applyFill="1" applyBorder="1"/>
    <x:xf numFmtId="200" fontId="5" fillId="3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0" fillId="4" borderId="1" xfId="0" applyNumberFormat="1" applyFont="1" applyFill="1" applyBorder="1"/>
    <x:xf numFmtId="201" fontId="0" fillId="4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200" fontId="0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203" fontId="6" fillId="0" borderId="0" xfId="0" applyNumberFormat="1" applyFont="1" applyFill="1" applyBorder="1" applyAlignment="1">
      <x:alignment wrapText="1"/>
    </x:xf>
    <x:xf numFmtId="201" fontId="6" fillId="0" borderId="1" xfId="0" applyNumberFormat="1" applyFont="1" applyFill="1" applyBorder="1" applyAlignment="1">
      <x:alignment wrapText="1"/>
    </x:xf>
    <x:xf numFmtId="203" fontId="6" fillId="0" borderId="1" xfId="0" applyNumberFormat="1" applyFont="1" applyFill="1" applyBorder="1" applyAlignment="1">
      <x:alignment wrapText="1"/>
    </x:xf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0" fontId="5" fillId="4" borderId="0" xfId="0" applyNumberFormat="1" applyFont="1" applyFill="1" applyBorder="1"/>
    <x:xf numFmtId="201" fontId="5" fillId="4" borderId="0" xfId="0" applyNumberFormat="1" applyFont="1" applyFill="1" applyBorder="1"/>
    <x:xf numFmtId="0" fontId="5" fillId="4" borderId="1" xfId="0" applyNumberFormat="1" applyFont="1" applyFill="1" applyBorder="1"/>
    <x:xf numFmtId="201" fontId="5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815d8caade46ec" /><Relationship Type="http://schemas.openxmlformats.org/officeDocument/2006/relationships/theme" Target="/xl/theme/theme1.xml" Id="Rb2e53ccadc744a31" /><Relationship Type="http://schemas.openxmlformats.org/officeDocument/2006/relationships/sharedStrings" Target="/xl/sharedStrings.xml" Id="R4404ca4d54d04448" /><Relationship Type="http://schemas.openxmlformats.org/officeDocument/2006/relationships/worksheet" Target="/xl/worksheets/sheet1.xml" Id="R6c57e9ca08324d0a" /><Relationship Type="http://schemas.openxmlformats.org/officeDocument/2006/relationships/worksheet" Target="/xl/worksheets/sheet2.xml" Id="R74dd19a29eab46e5" /><Relationship Type="http://schemas.openxmlformats.org/officeDocument/2006/relationships/worksheet" Target="/xl/worksheets/sheet3.xml" Id="R3b16f41b48b24e06" /><Relationship Type="http://schemas.openxmlformats.org/officeDocument/2006/relationships/worksheet" Target="/xl/worksheets/sheet4.xml" Id="Ra53f6c6615db44c2" /><Relationship Type="http://schemas.openxmlformats.org/officeDocument/2006/relationships/worksheet" Target="/xl/worksheets/sheet5.xml" Id="R400c099872734474" /><Relationship Type="http://schemas.openxmlformats.org/officeDocument/2006/relationships/worksheet" Target="/xl/worksheets/sheet6.xml" Id="Rf37f3ef6f7ce41ee" /><Relationship Type="http://schemas.openxmlformats.org/officeDocument/2006/relationships/worksheet" Target="/xl/worksheets/sheet7.xml" Id="R8ec0ae68bbc947d3" /><Relationship Type="http://schemas.openxmlformats.org/officeDocument/2006/relationships/worksheet" Target="/xl/worksheets/sheet8.xml" Id="R4fc33529b580461c" /><Relationship Type="http://schemas.openxmlformats.org/officeDocument/2006/relationships/worksheet" Target="/xl/worksheets/sheet9.xml" Id="Re300936def134451" /><Relationship Type="http://schemas.openxmlformats.org/officeDocument/2006/relationships/worksheet" Target="/xl/worksheets/sheet10.xml" Id="R3a486d0242824887" /><Relationship Type="http://schemas.openxmlformats.org/officeDocument/2006/relationships/worksheet" Target="/xl/worksheets/sheet11.xml" Id="R04b36dec14ac4583" /><Relationship Type="http://schemas.openxmlformats.org/officeDocument/2006/relationships/worksheet" Target="/xl/worksheets/sheet12.xml" Id="R333e459c5607419a" /><Relationship Type="http://schemas.openxmlformats.org/officeDocument/2006/relationships/worksheet" Target="/xl/worksheets/sheet13.xml" Id="Rd6b12144314e4ae1" /><Relationship Type="http://schemas.openxmlformats.org/officeDocument/2006/relationships/worksheet" Target="/xl/worksheets/sheet14.xml" Id="R113676c3083b48f6" /><Relationship Type="http://schemas.openxmlformats.org/officeDocument/2006/relationships/worksheet" Target="/xl/worksheets/sheet15.xml" Id="Reda15e4043114b16" /><Relationship Type="http://schemas.openxmlformats.org/officeDocument/2006/relationships/worksheet" Target="/xl/worksheets/sheet16.xml" Id="R1531d31131204b3e" /><Relationship Type="http://schemas.openxmlformats.org/officeDocument/2006/relationships/worksheet" Target="/xl/worksheets/sheet17.xml" Id="Rff26e76fb59c4d84" /><Relationship Type="http://schemas.openxmlformats.org/officeDocument/2006/relationships/worksheet" Target="/xl/worksheets/sheet18.xml" Id="R8531d7b59be8424c" /><Relationship Type="http://schemas.openxmlformats.org/officeDocument/2006/relationships/worksheet" Target="/xl/worksheets/sheet19.xml" Id="Ra4c0016a837f4e0c" /><Relationship Type="http://schemas.openxmlformats.org/officeDocument/2006/relationships/worksheet" Target="/xl/worksheets/sheet20.xml" Id="Rfa3965b65aac41b4" /><Relationship Type="http://schemas.microsoft.com/office/2017/10/relationships/person" Target="/xl/persons/person.xml" Id="Raf383c12962f4c79" /></Relationships>
</file>

<file path=xl/persons/person.xml><?xml version="1.0" encoding="utf-8"?>
<xltc:personList xmlns:xltc="http://schemas.microsoft.com/office/spreadsheetml/2018/threadedcomments">
  <xltc:person displayName="Investment Research" id="{6B266608-609F-471E-8495-2B6BA42078A9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5" dT="2026-09-07T19:00:59.638" personId="{6B266608-609F-471E-8495-2B6BA42078A9}" id="{5BB08CC8-B065-66A5-5933-37D9C0E8E694}">
    <xltc:text>LMAT price. Financial statement date 2026-06-30. Dedicated finance quote tool; retrieved 7 Sep 2026, latest trade 4 Sep ET. Not a certified official closing-price record.</xltc:text>
  </xltc:threadedComment>
  <xltc:threadedComment ref="B6" dT="2026-09-07T19:00:59.647" personId="{6B266608-609F-471E-8495-2B6BA42078A9}" id="{B2DAF16C-C094-F81B-F75A-EC470A96F84B}">
    <xltc:text>LMAT cash. Financial statement date 2026-06-30. https://www.sec.gov/Archives/edgar/data/1158895/000119312526333762/ck0001158895-20260630.htm</xltc:text>
  </xltc:threadedComment>
  <xltc:threadedComment ref="B7" dT="2026-09-07T19:00:59.651" personId="{6B266608-609F-471E-8495-2B6BA42078A9}" id="{371F2488-F5C9-B56E-1B63-30693E40144C}">
    <xltc:text>LMAT debt. Financial statement date 2026-06-30. https://www.sec.gov/Archives/edgar/data/1158895/000119312526333762/ck0001158895-20260630.htm</xltc:text>
  </xltc:threadedComment>
  <xltc:threadedComment ref="B8" dT="2026-09-07T19:00:59.654" personId="{6B266608-609F-471E-8495-2B6BA42078A9}" id="{0B20CE13-79D8-F045-CB5B-02475C998CFD}">
    <xltc:text>LMAT shares. Financial statement date 2026-06-30. https://www.sec.gov/Archives/edgar/data/1158895/000119312526333762/ck0001158895-20260630.htm | Diluted-share proxy, not a contemporaneous September legal capitalization table. LMAT removes if-converted shares while debt is deducted.</xltc:text>
  </xltc:threadedComment>
  <xltc:threadedComment ref="B9" dT="2026-09-07T19:00:59.661" personId="{6B266608-609F-471E-8495-2B6BA42078A9}" id="{255542FB-93FB-4A60-6E11-3A543A640DB4}">
    <xltc:text>LMAT mincash. Financial statement date 2026-06-30. Research assumption; not a reported fact.</xltc:text>
  </xltc:threadedComment>
  <xltc:threadedComment ref="B10" dT="2026-09-07T19:00:59.667" personId="{6B266608-609F-471E-8495-2B6BA42078A9}" id="{78FE6BDF-C66F-BE9D-C8EF-772D400A836D}">
    <xltc:text>LMAT other_claims. Financial statement date 2026-06-30. https://www.sec.gov/Archives/edgar/data/1158895/000119312526333762/ck0001158895-20260630.htm</xltc:text>
  </xltc:threadedComment>
  <xltc:threadedComment ref="B11" dT="2026-09-07T19:00:59.67" personId="{6B266608-609F-471E-8495-2B6BA42078A9}" id="{BB6743F8-1CCA-6283-BBFE-A68B69B8D0E7}">
    <xltc:text>LMAT known_distribution. Financial statement date 2026-06-30. https://www.sec.gov/Archives/edgar/data/1158895/000119312526333762/ck0001158895-20260630.htm | Known or approximate post-quarter distributions; NSSC June payable paid July 3. No October dividend deducted.</xltc:text>
  </xltc:threadedComment>
  <xltc:threadedComment ref="B12" dT="2026-09-07T19:00:59.675" personId="{6B266608-609F-471E-8495-2B6BA42078A9}" id="{DA57658A-5CF3-E778-AA25-4DC0379DD71E}">
    <xltc:text>LMAT private_assets. Financial statement date 2026-06-30. https://www.sec.gov/Archives/edgar/data/1158895/000119312526333762/ck0001158895-20260630.htm</xltc:text>
  </xltc:threadedComment>
  <xltc:threadedComment ref="B13" dT="2026-09-07T19:00:59.679" personId="{6B266608-609F-471E-8495-2B6BA42078A9}" id="{EE49F32C-0B65-CC59-1437-35212DDB79F3}">
    <xltc:text>LMAT private_haircut. Financial statement date 2026-06-30. Research assumption; not a reported fact.</xltc:text>
  </xltc:threadedComment>
  <xltc:threadedComment ref="B14" dT="2026-09-07T19:00:59.682" personId="{6B266608-609F-471E-8495-2B6BA42078A9}" id="{A87537D1-938B-F59F-1EDC-815C0BEF68D6}">
    <xltc:text>LMAT revenue_anchor. Financial statement date 2026-06-30. https://www.sec.gov/Archives/edgar/data/1158895/000119312526333762/ck0001158895-20260630.htm | Annual starting anchor; WINA/POWL are research estimates, MOD is quarter annualized, APPF/LMAT annual guidance. Not a fiscal-stub forecast.</xltc:text>
  </xltc:threadedComment>
  <xltc:threadedComment ref="B15" dT="2026-09-07T19:00:59.686" personId="{6B266608-609F-471E-8495-2B6BA42078A9}" id="{F673A1E5-60C3-44CC-CBA6-DC3CF3055795}">
    <xltc:text>LMAT cfo. Financial statement date 2026-06-30. https://www.sec.gov/Archives/edgar/data/1158895/000119312526333762/ck0001158895-20260630.htm</xltc:text>
  </xltc:threadedComment>
  <xltc:threadedComment ref="B16" dT="2026-09-07T19:00:59.69" personId="{6B266608-609F-471E-8495-2B6BA42078A9}" id="{D0413363-1231-8169-6335-4278F230B333}">
    <xltc:text>LMAT capex. Financial statement date 2026-06-30. https://www.sec.gov/Archives/edgar/data/1158895/000119312526333762/ck0001158895-20260630.htm</xltc:text>
  </xltc:threadedComment>
  <xltc:threadedComment ref="B17" dT="2026-09-07T19:00:59.694" personId="{6B266608-609F-471E-8495-2B6BA42078A9}" id="{CFFF98BC-FE22-72E7-2714-ED85FF19E375}">
    <xltc:text>LMAT software_capex. Financial statement date 2026-06-30. https://www.sec.gov/Archives/edgar/data/1158895/000119312526333762/ck0001158895-20260630.htm</xltc:text>
  </xltc:threadedComment>
  <xltc:threadedComment ref="B18" dT="2026-09-07T19:00:59.698" personId="{6B266608-609F-471E-8495-2B6BA42078A9}" id="{262305FD-8B96-1A19-A596-123F0C57CC61}">
    <xltc:text>LMAT sbc. Financial statement date 2026-06-30. https://www.sec.gov/Archives/edgar/data/1158895/000119312526333762/ck0001158895-20260630.htm</xltc:text>
  </xltc:threadedComment>
  <xltc:threadedComment ref="B19" dT="2026-09-07T19:00:59.706" personId="{6B266608-609F-471E-8495-2B6BA42078A9}" id="{B1E2134C-6186-411F-E505-0224365E1AF4}">
    <xltc:text>LMAT convshares. Financial statement date 2026-06-30. https://www.sec.gov/Archives/edgar/data/1158895/000119312526333762/ck0001158895-20260630.htm</xltc:text>
  </xltc:threadedComment>
  <xltc:threadedComment ref="B20" dT="2026-09-07T19:00:59.709" personId="{6B266608-609F-471E-8495-2B6BA42078A9}" id="{489128A1-25F5-AE15-AA5F-78DB1CE8F1AF}">
    <xltc:text>LMAT convprice. Financial statement date 2026-06-30. https://www.sec.gov/Archives/edgar/data/1158895/000119312526333762/ck0001158895-20260630.htm</xltc:text>
  </xltc:threadedComment>
  <xltc:threadedComment ref="C5" dT="2026-09-07T19:00:59.712" personId="{6B266608-609F-471E-8495-2B6BA42078A9}" id="{AF7C9602-1607-63AF-095A-257443E37CE1}">
    <xltc:text>WINA price. Financial statement date 2026-06-27. Dedicated finance quote tool; retrieved 7 Sep 2026, latest trade 4 Sep ET. Not a certified official closing-price record.</xltc:text>
  </xltc:threadedComment>
  <xltc:threadedComment ref="C6" dT="2026-09-07T19:00:59.715" personId="{6B266608-609F-471E-8495-2B6BA42078A9}" id="{F799A6EF-F8AA-D915-1BE6-BEDD156B58F6}">
    <xltc:text>WINA cash. Financial statement date 2026-06-27. https://www.sec.gov/Archives/edgar/data/908315/000090831526000028/wina-20260627x10q.htm</xltc:text>
  </xltc:threadedComment>
  <xltc:threadedComment ref="C7" dT="2026-09-07T19:00:59.718" personId="{6B266608-609F-471E-8495-2B6BA42078A9}" id="{1CBB23EF-E103-6A71-B84C-0A94C34B8389}">
    <xltc:text>WINA debt. Financial statement date 2026-06-27. https://www.sec.gov/Archives/edgar/data/908315/000090831526000028/wina-20260627x10q.htm</xltc:text>
  </xltc:threadedComment>
  <xltc:threadedComment ref="C8" dT="2026-09-07T19:00:59.722" personId="{6B266608-609F-471E-8495-2B6BA42078A9}" id="{D67DCBC0-8C60-6AC6-5506-604B803E8E28}">
    <xltc:text>WINA shares. Financial statement date 2026-06-27. https://www.sec.gov/Archives/edgar/data/908315/000090831526000028/wina-20260627x10q.htm | Diluted-share proxy, not a contemporaneous September legal capitalization table. LMAT removes if-converted shares while debt is deducted.</xltc:text>
  </xltc:threadedComment>
  <xltc:threadedComment ref="C9" dT="2026-09-07T19:00:59.726" personId="{6B266608-609F-471E-8495-2B6BA42078A9}" id="{BED1AC54-EF39-550C-324D-F1D752C3C9AE}">
    <xltc:text>WINA mincash. Financial statement date 2026-06-27. Research assumption; not a reported fact.</xltc:text>
  </xltc:threadedComment>
  <xltc:threadedComment ref="C10" dT="2026-09-07T19:00:59.729" personId="{6B266608-609F-471E-8495-2B6BA42078A9}" id="{28F8B9D2-C2AC-3FED-5B63-2E7E248138C5}">
    <xltc:text>WINA other_claims. Financial statement date 2026-06-27. https://www.sec.gov/Archives/edgar/data/908315/000090831526000028/wina-20260627x10q.htm</xltc:text>
  </xltc:threadedComment>
  <xltc:threadedComment ref="C11" dT="2026-09-07T19:00:59.733" personId="{6B266608-609F-471E-8495-2B6BA42078A9}" id="{FC2D6A8F-30AE-5CF4-CA67-6ED117D7071A}">
    <xltc:text>WINA known_distribution. Financial statement date 2026-06-27. https://www.sec.gov/Archives/edgar/data/908315/000090831526000028/wina-20260627x10q.htm | Known or approximate post-quarter distributions; NSSC June payable paid July 3. No October dividend deducted.</xltc:text>
  </xltc:threadedComment>
  <xltc:threadedComment ref="C12" dT="2026-09-07T19:00:59.738" personId="{6B266608-609F-471E-8495-2B6BA42078A9}" id="{B1C9752B-A092-37F1-0AFB-BDDF5320A395}">
    <xltc:text>WINA private_assets. Financial statement date 2026-06-27. https://www.sec.gov/Archives/edgar/data/908315/000090831526000028/wina-20260627x10q.htm</xltc:text>
  </xltc:threadedComment>
  <xltc:threadedComment ref="C13" dT="2026-09-07T19:00:59.742" personId="{6B266608-609F-471E-8495-2B6BA42078A9}" id="{D424598A-B5A1-FFFB-D6BF-53ED75814E9F}">
    <xltc:text>WINA private_haircut. Financial statement date 2026-06-27. Research assumption; not a reported fact.</xltc:text>
  </xltc:threadedComment>
  <xltc:threadedComment ref="C14" dT="2026-09-07T19:00:59.745" personId="{6B266608-609F-471E-8495-2B6BA42078A9}" id="{293C9675-0D8D-EF16-22EA-9FCAF2C9D631}">
    <xltc:text>WINA revenue_anchor. Financial statement date 2026-06-27. https://www.sec.gov/Archives/edgar/data/908315/000090831526000028/wina-20260627x10q.htm | Annual starting anchor; WINA/POWL are research estimates, MOD is quarter annualized, APPF/LMAT annual guidance. Not a fiscal-stub forecast.</xltc:text>
  </xltc:threadedComment>
  <xltc:threadedComment ref="C15" dT="2026-09-07T19:00:59.749" personId="{6B266608-609F-471E-8495-2B6BA42078A9}" id="{0F4E266C-A1A7-327D-BB0B-97EAD1287CEC}">
    <xltc:text>WINA cfo. Financial statement date 2026-06-27. https://www.sec.gov/Archives/edgar/data/908315/000090831526000028/wina-20260627x10q.htm</xltc:text>
  </xltc:threadedComment>
  <xltc:threadedComment ref="C16" dT="2026-09-07T19:00:59.752" personId="{6B266608-609F-471E-8495-2B6BA42078A9}" id="{F8D6F87F-9321-48BF-2A12-3C4E6BFF3E8B}">
    <xltc:text>WINA capex. Financial statement date 2026-06-27. https://www.sec.gov/Archives/edgar/data/908315/000090831526000028/wina-20260627x10q.htm</xltc:text>
  </xltc:threadedComment>
  <xltc:threadedComment ref="C17" dT="2026-09-07T19:00:59.756" personId="{6B266608-609F-471E-8495-2B6BA42078A9}" id="{EACB429B-57AE-22E0-4ED4-6337BACF5D33}">
    <xltc:text>WINA software_capex. Financial statement date 2026-06-27. https://www.sec.gov/Archives/edgar/data/908315/000090831526000028/wina-20260627x10q.htm</xltc:text>
  </xltc:threadedComment>
  <xltc:threadedComment ref="C18" dT="2026-09-07T19:00:59.759" personId="{6B266608-609F-471E-8495-2B6BA42078A9}" id="{304A9407-A246-E160-0436-4A1E35C01930}">
    <xltc:text>WINA sbc. Financial statement date 2026-06-27. https://www.sec.gov/Archives/edgar/data/908315/000090831526000028/wina-20260627x10q.htm</xltc:text>
  </xltc:threadedComment>
  <xltc:threadedComment ref="C33" dT="2026-09-07T19:00:59.762" personId="{6B266608-609F-471E-8495-2B6BA42078A9}" id="{36040075-A8E8-9B15-D857-371FA092264A}">
    <xltc:text>WINA fee_annual. Financial statement date 2026-06-27. https://www.sec.gov/Archives/edgar/data/908315/000090831526000012/wina-20260316x8k.htm | Corresponding expenses expected.</xltc:text>
  </xltc:threadedComment>
  <xltc:threadedComment ref="C34" dT="2026-09-07T19:00:59.765" personId="{6B266608-609F-471E-8495-2B6BA42078A9}" id="{58941D1E-1114-2826-156F-DBA6DCE44A75}">
    <xltc:text>WINA adfund_annual. Financial statement date 2026-06-27. https://www.sec.gov/Archives/edgar/data/908315/000090831526000012/wina-20260316x8k.htm | Corresponding expenses expected.</xltc:text>
  </xltc:threadedComment>
  <xltc:threadedComment ref="D5" dT="2026-09-07T19:00:59.77" personId="{6B266608-609F-471E-8495-2B6BA42078A9}" id="{A66E8017-FF54-F057-671D-B73E0E0B9AD7}">
    <xltc:text>NSSC price. Financial statement date 2026-06-30. Dedicated finance quote tool; retrieved 7 Sep 2026, latest trade 4 Sep ET. Not a certified official closing-price record.</xltc:text>
  </xltc:threadedComment>
  <xltc:threadedComment ref="D6" dT="2026-09-07T19:00:59.773" personId="{6B266608-609F-471E-8495-2B6BA42078A9}" id="{888C49FF-D1E4-019D-2379-E69EFEA324D0}">
    <xltc:text>NSSC cash. Financial statement date 2026-06-30. https://www.sec.gov/Archives/edgar/data/69633/000110465926100081/nssc-20260630x10k.htm</xltc:text>
  </xltc:threadedComment>
  <xltc:threadedComment ref="D7" dT="2026-09-07T19:00:59.776" personId="{6B266608-609F-471E-8495-2B6BA42078A9}" id="{7A562780-94FC-4BA7-7412-ADAC94F8102C}">
    <xltc:text>NSSC debt. Financial statement date 2026-06-30. https://www.sec.gov/Archives/edgar/data/69633/000110465926100081/nssc-20260630x10k.htm</xltc:text>
  </xltc:threadedComment>
  <xltc:threadedComment ref="D8" dT="2026-09-07T19:00:59.779" personId="{6B266608-609F-471E-8495-2B6BA42078A9}" id="{783A9D67-DDAE-4266-30CE-AA86DC040441}">
    <xltc:text>NSSC shares. Financial statement date 2026-06-30. https://www.sec.gov/Archives/edgar/data/69633/000110465926100081/nssc-20260630x10k.htm | Diluted-share proxy, not a contemporaneous September legal capitalization table. LMAT removes if-converted shares while debt is deducted.</xltc:text>
  </xltc:threadedComment>
  <xltc:threadedComment ref="D9" dT="2026-09-07T19:00:59.783" personId="{6B266608-609F-471E-8495-2B6BA42078A9}" id="{9E1B9B12-DBCB-5816-87FD-3C0741C32D9F}">
    <xltc:text>NSSC mincash. Financial statement date 2026-06-30. Research assumption; not a reported fact.</xltc:text>
  </xltc:threadedComment>
  <xltc:threadedComment ref="D10" dT="2026-09-07T19:00:59.79" personId="{6B266608-609F-471E-8495-2B6BA42078A9}" id="{B455BF80-37DA-BC77-FA4D-0C0C47E150E4}">
    <xltc:text>NSSC other_claims. Financial statement date 2026-06-30. https://www.sec.gov/Archives/edgar/data/69633/000110465926100081/nssc-20260630x10k.htm</xltc:text>
  </xltc:threadedComment>
  <xltc:threadedComment ref="D11" dT="2026-09-07T19:00:59.792" personId="{6B266608-609F-471E-8495-2B6BA42078A9}" id="{76C8A603-DC1D-4813-0459-37B9E2E231B2}">
    <xltc:text>NSSC known_distribution. Financial statement date 2026-06-30. https://www.sec.gov/Archives/edgar/data/69633/000110465926100081/nssc-20260630x10k.htm | Known or approximate post-quarter distributions; NSSC June payable paid July 3. No October dividend deducted.</xltc:text>
  </xltc:threadedComment>
  <xltc:threadedComment ref="D12" dT="2026-09-07T19:00:59.796" personId="{6B266608-609F-471E-8495-2B6BA42078A9}" id="{02953261-36D7-4ADA-6717-F3F46ABF1C67}">
    <xltc:text>NSSC private_assets. Financial statement date 2026-06-30. https://www.sec.gov/Archives/edgar/data/69633/000110465926100081/nssc-20260630x10k.htm</xltc:text>
  </xltc:threadedComment>
  <xltc:threadedComment ref="D13" dT="2026-09-07T19:00:59.798" personId="{6B266608-609F-471E-8495-2B6BA42078A9}" id="{1A0E303C-9047-A5DC-CDF5-AFC0B052F193}">
    <xltc:text>NSSC private_haircut. Financial statement date 2026-06-30. Research assumption; not a reported fact.</xltc:text>
  </xltc:threadedComment>
  <xltc:threadedComment ref="D14" dT="2026-09-07T19:00:59.803" personId="{6B266608-609F-471E-8495-2B6BA42078A9}" id="{3C996080-A012-EF28-252A-6F03B595A750}">
    <xltc:text>NSSC revenue_anchor. Financial statement date 2026-06-30. https://www.sec.gov/Archives/edgar/data/69633/000110465926100081/nssc-20260630x10k.htm | Annual starting anchor; WINA/POWL are research estimates, MOD is quarter annualized, APPF/LMAT annual guidance. Not a fiscal-stub forecast.</xltc:text>
  </xltc:threadedComment>
  <xltc:threadedComment ref="D15" dT="2026-09-07T19:00:59.805" personId="{6B266608-609F-471E-8495-2B6BA42078A9}" id="{E4EB8E47-9302-68F0-3B0C-709BF2949A77}">
    <xltc:text>NSSC cfo. Financial statement date 2026-06-30. https://www.sec.gov/Archives/edgar/data/69633/000110465926100081/nssc-20260630x10k.htm</xltc:text>
  </xltc:threadedComment>
  <xltc:threadedComment ref="D16" dT="2026-09-07T19:00:59.808" personId="{6B266608-609F-471E-8495-2B6BA42078A9}" id="{68000059-5352-8EE4-E5D7-13CE937B49AF}">
    <xltc:text>NSSC capex. Financial statement date 2026-06-30. https://www.sec.gov/Archives/edgar/data/69633/000110465926100081/nssc-20260630x10k.htm</xltc:text>
  </xltc:threadedComment>
  <xltc:threadedComment ref="D17" dT="2026-09-07T19:00:59.811" personId="{6B266608-609F-471E-8495-2B6BA42078A9}" id="{59A032FA-5D03-6929-1002-B308C7D1D5BB}">
    <xltc:text>NSSC software_capex. Financial statement date 2026-06-30. https://www.sec.gov/Archives/edgar/data/69633/000110465926100081/nssc-20260630x10k.htm</xltc:text>
  </xltc:threadedComment>
  <xltc:threadedComment ref="D18" dT="2026-09-07T19:00:59.815" personId="{6B266608-609F-471E-8495-2B6BA42078A9}" id="{1427CA2A-CBFC-81D9-F2D9-9E5A1C76F7CB}">
    <xltc:text>NSSC sbc. Financial statement date 2026-06-30. https://www.sec.gov/Archives/edgar/data/69633/000110465926100081/nssc-20260630x10k.htm</xltc:text>
  </xltc:threadedComment>
  <xltc:threadedComment ref="D21" dT="2026-09-07T19:00:59.82" personId="{6B266608-609F-471E-8495-2B6BA42078A9}" id="{BBBA0FE2-CDF2-A010-022A-A9C5A8E24E40}">
    <xltc:text>NSSC service_revenue. Financial statement date 2026-06-30. https://www.sec.gov/Archives/edgar/data/69633/000110465926100081/nssc-20260630x10k.htm</xltc:text>
  </xltc:threadedComment>
  <xltc:threadedComment ref="D22" dT="2026-09-07T19:00:59.823" personId="{6B266608-609F-471E-8495-2B6BA42078A9}" id="{BFDA3BEB-D3F1-B266-5440-2733BD19A25F}">
    <xltc:text>NSSC hardware_revenue. Financial statement date 2026-06-30. https://www.sec.gov/Archives/edgar/data/69633/000110465926100081/nssc-20260630x10k.htm</xltc:text>
  </xltc:threadedComment>
  <xltc:threadedComment ref="D23" dT="2026-09-07T19:00:59.826" personId="{6B266608-609F-471E-8495-2B6BA42078A9}" id="{028AC146-FC00-A493-35DC-4114D16BFC43}">
    <xltc:text>NSSC opex. Financial statement date 2026-06-30. https://www.sec.gov/Archives/edgar/data/69633/000110465926100081/nssc-20260630x10k.htm</xltc:text>
  </xltc:threadedComment>
  <xltc:threadedComment ref="D35" dT="2026-09-07T19:00:59.829" personId="{6B266608-609F-471E-8495-2B6BA42078A9}" id="{69AE908E-16A1-4ADF-DE1D-E9F259371F0C}">
    <xltc:text>NSSC reported_ebit. Financial statement date 2026-06-30. https://www.sec.gov/Archives/edgar/data/69633/000110465926100081/nssc-20260630x10k.htm</xltc:text>
  </xltc:threadedComment>
  <xltc:threadedComment ref="D36" dT="2026-09-07T19:00:59.832" personId="{6B266608-609F-471E-8495-2B6BA42078A9}" id="{5AFC22AF-528B-3329-B384-CAE80C75260C}">
    <xltc:text>NSSC litigation. Financial statement date 2026-06-30. https://www.sec.gov/Archives/edgar/data/69633/000110465926100081/nssc-20260630x10k.htm</xltc:text>
  </xltc:threadedComment>
  <xltc:threadedComment ref="D37" dT="2026-09-07T19:00:59.836" personId="{6B266608-609F-471E-8495-2B6BA42078A9}" id="{4F322239-37CF-0CB2-C80B-C23FCB16BB5E}">
    <xltc:text>NSSC refund_bps. Financial statement date 2026-06-30. https://www.sec.gov/Archives/edgar/data/69633/000110465926100081/nssc-20260630x10k.htm</xltc:text>
  </xltc:threadedComment>
  <xltc:threadedComment ref="E5" dT="2026-09-07T19:00:59.84" personId="{6B266608-609F-471E-8495-2B6BA42078A9}" id="{823CCB67-57DC-358D-20EF-4DD164515CAD}">
    <xltc:text>APPF price. Financial statement date 2026-06-30. Dedicated finance quote tool; retrieved 7 Sep 2026, latest trade 4 Sep ET. Not a certified official closing-price record.</xltc:text>
  </xltc:threadedComment>
  <xltc:threadedComment ref="E6" dT="2026-09-07T19:00:59.843" personId="{6B266608-609F-471E-8495-2B6BA42078A9}" id="{9624BA91-FF5F-55F5-018D-C8D48D4361F5}">
    <xltc:text>APPF cash. Financial statement date 2026-06-30. https://www.sec.gov/Archives/edgar/data/1433195/000143319526000058/appf-20260630.htm</xltc:text>
  </xltc:threadedComment>
  <xltc:threadedComment ref="E7" dT="2026-09-07T19:00:59.846" personId="{6B266608-609F-471E-8495-2B6BA42078A9}" id="{25833667-63E2-B3D2-8DD8-43D27284E2CB}">
    <xltc:text>APPF debt. Financial statement date 2026-06-30. https://www.sec.gov/Archives/edgar/data/1433195/000143319526000058/appf-20260630.htm</xltc:text>
  </xltc:threadedComment>
  <xltc:threadedComment ref="E8" dT="2026-09-07T19:00:59.851" personId="{6B266608-609F-471E-8495-2B6BA42078A9}" id="{44C3E1A7-C419-D702-1C51-FFA7896B6F88}">
    <xltc:text>APPF shares. Financial statement date 2026-06-30. https://www.sec.gov/Archives/edgar/data/1433195/000143319526000058/appf-20260630.htm | Diluted-share proxy, not a contemporaneous September legal capitalization table. LMAT removes if-converted shares while debt is deducted.</xltc:text>
  </xltc:threadedComment>
  <xltc:threadedComment ref="E9" dT="2026-09-07T19:00:59.855" personId="{6B266608-609F-471E-8495-2B6BA42078A9}" id="{625CD110-0AF4-F080-5F7A-933CCB7BD3AE}">
    <xltc:text>APPF mincash. Financial statement date 2026-06-30. Research assumption; not a reported fact.</xltc:text>
  </xltc:threadedComment>
  <xltc:threadedComment ref="E10" dT="2026-09-07T19:00:59.858" personId="{6B266608-609F-471E-8495-2B6BA42078A9}" id="{689E7375-F844-259D-3133-EB3F1E399534}">
    <xltc:text>APPF other_claims. Financial statement date 2026-06-30. https://www.sec.gov/Archives/edgar/data/1433195/000143319526000058/appf-20260630.htm</xltc:text>
  </xltc:threadedComment>
  <xltc:threadedComment ref="E11" dT="2026-09-07T19:00:59.861" personId="{6B266608-609F-471E-8495-2B6BA42078A9}" id="{729AD5E5-5663-E817-F7EA-C59CFD9BED17}">
    <xltc:text>APPF known_distribution. Financial statement date 2026-06-30. https://www.sec.gov/Archives/edgar/data/1433195/000143319526000058/appf-20260630.htm | Known or approximate post-quarter distributions; NSSC June payable paid July 3. No October dividend deducted.</xltc:text>
  </xltc:threadedComment>
  <xltc:threadedComment ref="E12" dT="2026-09-07T19:00:59.864" personId="{6B266608-609F-471E-8495-2B6BA42078A9}" id="{C25C2D53-686A-243C-7900-16659D84E036}">
    <xltc:text>APPF private_assets. Financial statement date 2026-06-30. https://www.sec.gov/Archives/edgar/data/1433195/000143319526000058/appf-20260630.htm</xltc:text>
  </xltc:threadedComment>
  <xltc:threadedComment ref="E13" dT="2026-09-07T19:00:59.868" personId="{6B266608-609F-471E-8495-2B6BA42078A9}" id="{4B3FFC6F-D458-ACA3-BF12-F814883BC2F0}">
    <xltc:text>APPF private_haircut. Financial statement date 2026-06-30. Research assumption; not a reported fact.</xltc:text>
  </xltc:threadedComment>
  <xltc:threadedComment ref="E14" dT="2026-09-07T19:00:59.872" personId="{6B266608-609F-471E-8495-2B6BA42078A9}" id="{5B8633A4-E4A3-248A-1BA1-BC64289B6813}">
    <xltc:text>APPF revenue_anchor. Financial statement date 2026-06-30. https://www.sec.gov/Archives/edgar/data/1433195/000143319526000058/appf-20260630.htm | Annual starting anchor; WINA/POWL are research estimates, MOD is quarter annualized, APPF/LMAT annual guidance. Not a fiscal-stub forecast.</xltc:text>
  </xltc:threadedComment>
  <xltc:threadedComment ref="E15" dT="2026-09-07T19:00:59.875" personId="{6B266608-609F-471E-8495-2B6BA42078A9}" id="{142384A6-B535-C180-5FA5-21A52AA56990}">
    <xltc:text>APPF cfo. Financial statement date 2026-06-30. https://www.sec.gov/Archives/edgar/data/1433195/000143319526000058/appf-20260630.htm</xltc:text>
  </xltc:threadedComment>
  <xltc:threadedComment ref="E16" dT="2026-09-07T19:00:59.878" personId="{6B266608-609F-471E-8495-2B6BA42078A9}" id="{46211DD0-A40C-7722-7CA7-555C3CB66213}">
    <xltc:text>APPF capex. Financial statement date 2026-06-30. https://www.sec.gov/Archives/edgar/data/1433195/000143319526000058/appf-20260630.htm</xltc:text>
  </xltc:threadedComment>
  <xltc:threadedComment ref="E17" dT="2026-09-07T19:00:59.881" personId="{6B266608-609F-471E-8495-2B6BA42078A9}" id="{F2D53180-B5AB-C36C-971F-82092FE5B732}">
    <xltc:text>APPF software_capex. Financial statement date 2026-06-30. https://www.sec.gov/Archives/edgar/data/1433195/000143319526000058/appf-20260630.htm</xltc:text>
  </xltc:threadedComment>
  <xltc:threadedComment ref="E18" dT="2026-09-07T19:00:59.885" personId="{6B266608-609F-471E-8495-2B6BA42078A9}" id="{087A9F62-FD9C-9591-BE92-CEC633A1A78D}">
    <xltc:text>APPF sbc. Financial statement date 2026-06-30. https://www.sec.gov/Archives/edgar/data/1433195/000143319526000058/appf-20260630.htm</xltc:text>
  </xltc:threadedComment>
  <xltc:threadedComment ref="F5" dT="2026-09-07T19:00:59.888" personId="{6B266608-609F-471E-8495-2B6BA42078A9}" id="{38D4FD43-84FB-C854-564F-89E7EECED5BE}">
    <xltc:text>MOD price. Financial statement date 2026-06-30. Dedicated finance quote tool; retrieved 7 Sep 2026, latest trade 4 Sep ET. Not a certified official closing-price record.</xltc:text>
  </xltc:threadedComment>
  <xltc:threadedComment ref="F6" dT="2026-09-07T19:00:59.892" personId="{6B266608-609F-471E-8495-2B6BA42078A9}" id="{213D928B-C515-B2CA-2673-75F77BC68364}">
    <xltc:text>MOD cash. Financial statement date 2026-06-30. https://www.sec.gov/Archives/edgar/data/67347/000110465926088569/mod-20260630x10q.htm</xltc:text>
  </xltc:threadedComment>
  <xltc:threadedComment ref="F7" dT="2026-09-07T19:00:59.895" personId="{6B266608-609F-471E-8495-2B6BA42078A9}" id="{A9D8E544-F47C-A5D4-3DAA-3E063F775D64}">
    <xltc:text>MOD debt. Financial statement date 2026-06-30. https://www.sec.gov/Archives/edgar/data/67347/000110465926088569/mod-20260630x10q.htm</xltc:text>
  </xltc:threadedComment>
  <xltc:threadedComment ref="F8" dT="2026-09-07T19:00:59.9" personId="{6B266608-609F-471E-8495-2B6BA42078A9}" id="{91643ED6-048B-710C-3AB4-775D45D30238}">
    <xltc:text>MOD shares. Financial statement date 2026-06-30. https://www.sec.gov/Archives/edgar/data/67347/000110465926088569/mod-20260630x10q.htm | Diluted-share proxy, not a contemporaneous September legal capitalization table. LMAT removes if-converted shares while debt is deducted.</xltc:text>
  </xltc:threadedComment>
  <xltc:threadedComment ref="F9" dT="2026-09-07T19:00:59.904" personId="{6B266608-609F-471E-8495-2B6BA42078A9}" id="{1D0F0FBF-8486-E6CC-9655-A836CC4F5855}">
    <xltc:text>MOD mincash. Financial statement date 2026-06-30. Research assumption; not a reported fact.</xltc:text>
  </xltc:threadedComment>
  <xltc:threadedComment ref="F10" dT="2026-09-07T19:00:59.907" personId="{6B266608-609F-471E-8495-2B6BA42078A9}" id="{5140036A-4504-26A4-E9BC-E5A2DCE39741}">
    <xltc:text>MOD other_claims. Financial statement date 2026-06-30. https://www.sec.gov/Archives/edgar/data/67347/000110465926088569/mod-20260630x10q.htm</xltc:text>
  </xltc:threadedComment>
  <xltc:threadedComment ref="F11" dT="2026-09-07T19:00:59.911" personId="{6B266608-609F-471E-8495-2B6BA42078A9}" id="{553B3F62-30D3-0E80-5C2E-04D63E4E41C8}">
    <xltc:text>MOD known_distribution. Financial statement date 2026-06-30. https://www.sec.gov/Archives/edgar/data/67347/000110465926088569/mod-20260630x10q.htm | Known or approximate post-quarter distributions; NSSC June payable paid July 3. No October dividend deducted.</xltc:text>
  </xltc:threadedComment>
  <xltc:threadedComment ref="F12" dT="2026-09-07T19:00:59.917" personId="{6B266608-609F-471E-8495-2B6BA42078A9}" id="{C3976F93-1AAC-E16C-5C45-6AB8B127B20E}">
    <xltc:text>MOD private_assets. Financial statement date 2026-06-30. https://www.sec.gov/Archives/edgar/data/67347/000110465926088569/mod-20260630x10q.htm</xltc:text>
  </xltc:threadedComment>
  <xltc:threadedComment ref="F13" dT="2026-09-07T19:00:59.921" personId="{6B266608-609F-471E-8495-2B6BA42078A9}" id="{6948F626-C3B6-BB0F-295A-C0B6B56131CC}">
    <xltc:text>MOD private_haircut. Financial statement date 2026-06-30. Research assumption; not a reported fact.</xltc:text>
  </xltc:threadedComment>
  <xltc:threadedComment ref="F14" dT="2026-09-07T19:00:59.924" personId="{6B266608-609F-471E-8495-2B6BA42078A9}" id="{BA9A809E-74C2-E5B4-5365-2B57A998AE4A}">
    <xltc:text>MOD revenue_anchor. Financial statement date 2026-06-30. https://www.sec.gov/Archives/edgar/data/67347/000110465926088569/mod-20260630x10q.htm | Annual starting anchor; WINA/POWL are research estimates, MOD is quarter annualized, APPF/LMAT annual guidance. Not a fiscal-stub forecast.</xltc:text>
  </xltc:threadedComment>
  <xltc:threadedComment ref="F15" dT="2026-09-07T19:00:59.928" personId="{6B266608-609F-471E-8495-2B6BA42078A9}" id="{9F0110EA-7335-4661-A7ED-847FB4E72C88}">
    <xltc:text>MOD cfo. Financial statement date 2026-06-30. https://www.sec.gov/Archives/edgar/data/67347/000110465926088569/mod-20260630x10q.htm</xltc:text>
  </xltc:threadedComment>
  <xltc:threadedComment ref="F16" dT="2026-09-07T19:00:59.932" personId="{6B266608-609F-471E-8495-2B6BA42078A9}" id="{4A975F19-8FDF-D70F-8CFE-53D995E5D8CF}">
    <xltc:text>MOD capex. Financial statement date 2026-06-30. https://www.sec.gov/Archives/edgar/data/67347/000110465926088569/mod-20260630x10q.htm</xltc:text>
  </xltc:threadedComment>
  <xltc:threadedComment ref="F17" dT="2026-09-07T19:00:59.936" personId="{6B266608-609F-471E-8495-2B6BA42078A9}" id="{61FF7164-0F34-D5BA-BB6D-7ED17C9796D7}">
    <xltc:text>MOD software_capex. Financial statement date 2026-06-30. https://www.sec.gov/Archives/edgar/data/67347/000110465926088569/mod-20260630x10q.htm</xltc:text>
  </xltc:threadedComment>
  <xltc:threadedComment ref="F18" dT="2026-09-07T19:00:59.94" personId="{6B266608-609F-471E-8495-2B6BA42078A9}" id="{2B18D8CB-B418-4941-B6E9-E6D4B3100D5C}">
    <xltc:text>MOD sbc. Financial statement date 2026-06-30. https://www.sec.gov/Archives/edgar/data/67347/000110465926088569/mod-20260630x10q.htm</xltc:text>
  </xltc:threadedComment>
  <xltc:threadedComment ref="F24" dT="2026-09-07T19:00:59.943" personId="{6B266608-609F-471E-8495-2B6BA42078A9}" id="{D4E0CB8F-D6CB-BDF5-6E1F-0C6D60DCF6CD}">
    <xltc:text>MOD dc_anchor. Financial statement date 2026-06-30. https://www.sec.gov/Archives/edgar/data/67347/000110465926088569/mod-20260630x10q.htm</xltc:text>
  </xltc:threadedComment>
  <xltc:threadedComment ref="F25" dT="2026-09-07T19:00:59.948" personId="{6B266608-609F-471E-8495-2B6BA42078A9}" id="{E76B3F55-E2CE-33DE-2DBB-5B55F5915061}">
    <xltc:text>MOD hvac_anchor. Financial statement date 2026-06-30. https://www.sec.gov/Archives/edgar/data/67347/000110465926088569/mod-20260630x10q.htm</xltc:text>
  </xltc:threadedComment>
  <xltc:threadedComment ref="F26" dT="2026-09-07T19:00:59.951" personId="{6B266608-609F-471E-8495-2B6BA42078A9}" id="{C5BC898D-2F22-DB94-D6B1-39AA9108F0CE}">
    <xltc:text>MOD corp_anchor. Financial statement date 2026-06-30. Research assumption; not a reported fact.</xltc:text>
  </xltc:threadedComment>
  <xltc:threadedComment ref="F27" dT="2026-09-07T19:00:59.954" personId="{6B266608-609F-471E-8495-2B6BA42078A9}" id="{CD482F8D-9A6A-F730-ADF7-E7482AA6D197}">
    <xltc:text>MOD deal_cash. Financial statement date 2026-06-30. https://ir.gentherm.com/news-releases/news-release-details/gentherm-and-modines-performance-technologies-business-combine | Conditional transaction; no probability assigned.</xltc:text>
  </xltc:threadedComment>
  <xltc:threadedComment ref="F28" dT="2026-09-07T19:00:59.96" personId="{6B266608-609F-471E-8495-2B6BA42078A9}" id="{4357E710-1E0F-2CDB-231E-DDE5A28FBF09}">
    <xltc:text>MOD thrm_shares. Financial statement date 2026-06-30. https://ir.gentherm.com/news-releases/news-release-details/gentherm-and-modines-performance-technologies-business-combine | Conditional transaction; no probability assigned.</xltc:text>
  </xltc:threadedComment>
  <xltc:threadedComment ref="F29" dT="2026-09-07T19:00:59.964" personId="{6B266608-609F-471E-8495-2B6BA42078A9}" id="{7FB443AC-055C-27C4-F642-5768E1874C1C}">
    <xltc:text>MOD thrm_price. Financial statement date 2026-06-30. https://www.sec.gov/Archives/edgar/data/67347/000110465926088569/mod-20260630x10q.htm</xltc:text>
  </xltc:threadedComment>
  <xltc:threadedComment ref="F30" dT="2026-09-07T19:00:59.967" personId="{6B266608-609F-471E-8495-2B6BA42078A9}" id="{EF809886-C0B1-9361-EFD7-6D328056ACC0}">
    <xltc:text>MOD deal_cost. Financial statement date 2026-06-30. Research assumption; not a reported fact.</xltc:text>
  </xltc:threadedComment>
  <xltc:threadedComment ref="G5" dT="2026-09-07T19:00:59.97" personId="{6B266608-609F-471E-8495-2B6BA42078A9}" id="{FCD97BB7-8A88-120B-F048-1AA9BFA2BE55}">
    <xltc:text>POWL price. Financial statement date 2026-06-30. Dedicated finance quote tool; retrieved 7 Sep 2026, latest trade 4 Sep ET. Not a certified official closing-price record.</xltc:text>
  </xltc:threadedComment>
  <xltc:threadedComment ref="G6" dT="2026-09-07T19:00:59.973" personId="{6B266608-609F-471E-8495-2B6BA42078A9}" id="{2F95C401-7128-1508-BB32-78183C5B6C90}">
    <xltc:text>POWL cash. Financial statement date 2026-06-30. https://www.sec.gov/Archives/edgar/data/80420/000008042026000107/powl-20260630.htm</xltc:text>
  </xltc:threadedComment>
  <xltc:threadedComment ref="G7" dT="2026-09-07T19:00:59.977" personId="{6B266608-609F-471E-8495-2B6BA42078A9}" id="{6A376D99-32E3-DAFD-597E-BA041EE3F68D}">
    <xltc:text>POWL debt. Financial statement date 2026-06-30. https://www.sec.gov/Archives/edgar/data/80420/000008042026000107/powl-20260630.htm</xltc:text>
  </xltc:threadedComment>
  <xltc:threadedComment ref="G8" dT="2026-09-07T19:00:59.981" personId="{6B266608-609F-471E-8495-2B6BA42078A9}" id="{1CCE5506-0B5D-51C4-C6DF-A4859D422D75}">
    <xltc:text>POWL shares. Financial statement date 2026-06-30. https://www.sec.gov/Archives/edgar/data/80420/000008042026000107/powl-20260630.htm | Diluted-share proxy, not a contemporaneous September legal capitalization table. LMAT removes if-converted shares while debt is deducted.</xltc:text>
  </xltc:threadedComment>
  <xltc:threadedComment ref="G9" dT="2026-09-07T19:00:59.985" personId="{6B266608-609F-471E-8495-2B6BA42078A9}" id="{8536C6D3-DF5F-C9AF-78A6-17288D048F8A}">
    <xltc:text>POWL mincash. Financial statement date 2026-06-30. Research assumption; not a reported fact.</xltc:text>
  </xltc:threadedComment>
  <xltc:threadedComment ref="G10" dT="2026-09-07T19:00:59.988" personId="{6B266608-609F-471E-8495-2B6BA42078A9}" id="{A6D3FC2A-BA37-ADC9-9097-3D70B99EA16B}">
    <xltc:text>POWL other_claims. Financial statement date 2026-06-30. https://www.sec.gov/Archives/edgar/data/80420/000008042026000107/powl-20260630.htm</xltc:text>
  </xltc:threadedComment>
  <xltc:threadedComment ref="G11" dT="2026-09-07T19:00:59.993" personId="{6B266608-609F-471E-8495-2B6BA42078A9}" id="{7E6EF671-15D6-190A-3202-F30FF7D953C5}">
    <xltc:text>POWL known_distribution. Financial statement date 2026-06-30. https://www.sec.gov/Archives/edgar/data/80420/000008042026000107/powl-20260630.htm | Known or approximate post-quarter distributions; NSSC June payable paid July 3. No October dividend deducted.</xltc:text>
  </xltc:threadedComment>
  <xltc:threadedComment ref="G12" dT="2026-09-07T19:01:00.001" personId="{6B266608-609F-471E-8495-2B6BA42078A9}" id="{57F38A00-7375-78CD-A876-AC91BBE752A0}">
    <xltc:text>POWL private_assets. Financial statement date 2026-06-30. https://www.sec.gov/Archives/edgar/data/80420/000008042026000107/powl-20260630.htm</xltc:text>
  </xltc:threadedComment>
  <xltc:threadedComment ref="G13" dT="2026-09-07T19:01:00.006" personId="{6B266608-609F-471E-8495-2B6BA42078A9}" id="{0F444329-D72B-C841-08E0-A4972F2D2013}">
    <xltc:text>POWL private_haircut. Financial statement date 2026-06-30. Research assumption; not a reported fact.</xltc:text>
  </xltc:threadedComment>
  <xltc:threadedComment ref="G14" dT="2026-09-07T19:01:00.01" personId="{6B266608-609F-471E-8495-2B6BA42078A9}" id="{4D08B5D8-D3D9-2405-151B-1A4B5867BBEC}">
    <xltc:text>POWL revenue_anchor. Financial statement date 2026-06-30. https://www.sec.gov/Archives/edgar/data/80420/000008042026000107/powl-20260630.htm | Annual starting anchor; WINA/POWL are research estimates, MOD is quarter annualized, APPF/LMAT annual guidance. Not a fiscal-stub forecast.</xltc:text>
  </xltc:threadedComment>
  <xltc:threadedComment ref="G15" dT="2026-09-07T19:01:00.016" personId="{6B266608-609F-471E-8495-2B6BA42078A9}" id="{D2B32E4F-7630-B64E-2D9A-7ED88DE421A4}">
    <xltc:text>POWL cfo. Financial statement date 2026-06-30. https://www.sec.gov/Archives/edgar/data/80420/000008042026000107/powl-20260630.htm</xltc:text>
  </xltc:threadedComment>
  <xltc:threadedComment ref="G16" dT="2026-09-07T19:01:00.024" personId="{6B266608-609F-471E-8495-2B6BA42078A9}" id="{B37B3D3D-7125-CDCE-8D3C-75E9953009C2}">
    <xltc:text>POWL capex. Financial statement date 2026-06-30. https://www.sec.gov/Archives/edgar/data/80420/000008042026000107/powl-20260630.htm</xltc:text>
  </xltc:threadedComment>
  <xltc:threadedComment ref="G17" dT="2026-09-07T19:01:00.03" personId="{6B266608-609F-471E-8495-2B6BA42078A9}" id="{093A0CD5-764F-F91B-35E1-1CC19C0A87D0}">
    <xltc:text>POWL software_capex. Financial statement date 2026-06-30. https://www.sec.gov/Archives/edgar/data/80420/000008042026000107/powl-20260630.htm</xltc:text>
  </xltc:threadedComment>
  <xltc:threadedComment ref="G18" dT="2026-09-07T19:01:00.035" personId="{6B266608-609F-471E-8495-2B6BA42078A9}" id="{4459A2CF-B9AC-BDE4-4FAC-F6337734AAD6}">
    <xltc:text>POWL sbc. Financial statement date 2026-06-30. https://www.sec.gov/Archives/edgar/data/80420/000008042026000107/powl-20260630.htm</xltc:text>
  </xltc:threadedComment>
  <xltc:threadedComment ref="G31" dT="2026-09-07T19:01:00.04" personId="{6B266608-609F-471E-8495-2B6BA42078A9}" id="{45C4DFC2-DDB9-09A6-8EC9-26B1749C21AB}">
    <xltc:text>POWL net_contract_liability. Financial statement date 2026-06-30. https://www.sec.gov/Archives/edgar/data/80420/000008042026000107/powl-20260630.htm</xltc:text>
  </xltc:threadedComment>
  <xltc:threadedComment ref="G32" dT="2026-09-07T19:01:00.043" personId="{6B266608-609F-471E-8495-2B6BA42078A9}" id="{8E8542AE-B905-BE8F-3C1E-6F65B42EC73B}">
    <xltc:text>POWL backlog_12m. Financial statement date 2026-06-30. https://www.sec.gov/Archives/edgar/data/80420/000008042026000107/powl-20260630.htm</xltc:text>
  </xltc:threadedComment>
  <xltc:threadedComment ref="G10" dT="2026-09-07T19:03:07.967" personId="{6B266608-609F-471E-8495-2B6BA42078A9}" id="{A15693C9-66CF-D4F8-6D62-242FF32A5190}">
    <xltc:text>https://www.sec.gov/Archives/edgar/data/80420/000008042026000107/powl-20260630.htm | June 2026 fair value of Remsdaq contingent payments is $2.428m; prior-year $2.344m rejected.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C4" dT="2026-09-07T19:03:08.092" personId="{6B266608-609F-471E-8495-2B6BA42078A9}" id="{56060EFB-0E61-5EFA-FFB0-C12A893B0B37}">
    <xltc:text>https://www.marketwatch.com/investing/stock/lmat/analystestimates | Public page retrieved 7 Sep 2026. EPS basis not uniformly standardized.</xltc:text>
  </xltc:threadedComment>
  <xltc:threadedComment ref="C5" dT="2026-09-07T19:03:08.114" personId="{6B266608-609F-471E-8495-2B6BA42078A9}" id="{DAE0B58E-B43E-66BB-51F4-80413A78959F}">
    <xltc:text>https://www.marketwatch.com/investing/stock/wina/analystestimates | Public page retrieved 7 Sep 2026. EPS basis not uniformly standardized.</xltc:text>
  </xltc:threadedComment>
  <xltc:threadedComment ref="C6" dT="2026-09-07T19:03:08.135" personId="{6B266608-609F-471E-8495-2B6BA42078A9}" id="{70EA24A2-35F5-4502-83AD-1E654C3CB55C}">
    <xltc:text>https://www.marketwatch.com/investing/stock/nssc/analystestimates | Public page retrieved 7 Sep 2026. EPS basis not uniformly standardized.</xltc:text>
  </xltc:threadedComment>
  <xltc:threadedComment ref="C7" dT="2026-09-07T19:03:08.151" personId="{6B266608-609F-471E-8495-2B6BA42078A9}" id="{EC9684E0-965F-8232-FC40-73BBDD485313}">
    <xltc:text>https://www.marketwatch.com/investing/stock/appf/analystestimates | Public page retrieved 7 Sep 2026. EPS basis not uniformly standardized.</xltc:text>
  </xltc:threadedComment>
  <xltc:threadedComment ref="C8" dT="2026-09-07T19:03:08.168" personId="{6B266608-609F-471E-8495-2B6BA42078A9}" id="{7477FB02-0465-BAFB-692C-414806B5EFCE}">
    <xltc:text>https://www.marketwatch.com/investing/stock/mod/analystestimates | Public page retrieved 7 Sep 2026. EPS basis not uniformly standardized.</xltc:text>
  </xltc:threadedComment>
  <xltc:threadedComment ref="C9" dT="2026-09-07T19:03:08.185" personId="{6B266608-609F-471E-8495-2B6BA42078A9}" id="{DB7D4183-03EB-636E-B473-E755392E91AC}">
    <xltc:text>https://www.marketwatch.com/investing/stock/powl/analystestimates | Public page retrieved 7 Sep 2026. EPS basis not uniformly standardized.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B4" dT="2026-09-07T19:05:19.133" personId="{6B266608-609F-471E-8495-2B6BA42078A9}" id="{1B13D45E-C295-C9EC-83A5-5F15800D6F40}">
    <xltc:text>https://www.winmarkfranchises.com/platos-closet/the-investment/how-much-can-i-make-/</xltc:text>
  </xltc:threadedComment>
  <xltc:threadedComment ref="B5" dT="2026-09-07T19:05:19.14" personId="{6B266608-609F-471E-8495-2B6BA42078A9}" id="{32F056B4-DD1B-D590-4968-5177AA3EBB21}">
    <xltc:text>https://www.winmarkfranchises.com/platos-closet/the-investment/how-much-can-i-make-/</xltc:text>
  </xltc:threadedComment>
  <xltc:threadedComment ref="B7" dT="2026-09-07T19:05:19.144" personId="{6B266608-609F-471E-8495-2B6BA42078A9}" id="{FEA9DA04-6D90-5BE7-5516-A4958BAB0E15}">
    <xltc:text>https://www.sec.gov/Archives/edgar/data/908315/000090831526000012/wina-20260316x8k.htm</xltc:text>
  </xltc:threadedComment>
  <xltc:threadedComment ref="B11" dT="2026-09-07T19:05:19.148" personId="{6B266608-609F-471E-8495-2B6BA42078A9}" id="{CBF4F518-C162-DBA2-E258-EF86231348D9}">
    <xltc:text>https://www.sec.gov/Archives/edgar/data/908315/000090831526000012/wina-20260316x8k.htm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B7" dT="2026-09-07T19:05:19.255" personId="{6B266608-609F-471E-8495-2B6BA42078A9}" id="{FA15206C-4FA3-B117-91D3-F64A3BF0321F}">
    <xltc:text>https://ir.gentherm.com/news-releases/news-release-details/gentherm-and-modines-performance-technologies-business-combine</xltc:text>
  </xltc:threadedComment>
  <xltc:threadedComment ref="B8" dT="2026-09-07T19:05:19.258" personId="{6B266608-609F-471E-8495-2B6BA42078A9}" id="{ADE348DC-A038-559D-4EDF-9F26633C4696}">
    <xltc:text>https://ir.gentherm.com/news-releases/news-release-details/gentherm-and-modines-performance-technologies-business-combine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4aec3491f640425f" /><Relationship Type="http://schemas.openxmlformats.org/officeDocument/2006/relationships/vmlDrawing" Target="/xl/drawings/vmldrawing.vml" Id="R1eecc3b3a30b413b" /><Relationship Type="http://schemas.microsoft.com/office/2017/10/relationships/threadedComment" Target="/xl/threadedcomments/threadedcomment.xml" Id="R8377993e3176484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comments" Target="/xl/comments2.xml" Id="R8dd01d8b0ce8463e" /><Relationship Type="http://schemas.openxmlformats.org/officeDocument/2006/relationships/vmlDrawing" Target="/xl/drawings/vmldrawing2.vml" Id="Rb336e28f6dcf4282" /><Relationship Type="http://schemas.microsoft.com/office/2017/10/relationships/threadedComment" Target="/xl/threadedcomments/threadedcomment2.xml" Id="Re686e77f43314a4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comments" Target="/xl/comments3.xml" Id="Re8413a5d94b84cd2" /><Relationship Type="http://schemas.openxmlformats.org/officeDocument/2006/relationships/vmlDrawing" Target="/xl/drawings/vmldrawing3.vml" Id="R546acae124f64aa2" /><Relationship Type="http://schemas.microsoft.com/office/2017/10/relationships/threadedComment" Target="/xl/threadedcomments/threadedcomment3.xml" Id="R4f14226a69c04a3b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comments" Target="/xl/comments4.xml" Id="R50dd998b08ad4876" /><Relationship Type="http://schemas.openxmlformats.org/officeDocument/2006/relationships/vmlDrawing" Target="/xl/drawings/vmldrawing4.vml" Id="Rf9d99f543f064267" /><Relationship Type="http://schemas.microsoft.com/office/2017/10/relationships/threadedComment" Target="/xl/threadedcomments/threadedcomment4.xml" Id="R6d6a550f97934d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9" customHeight="1">
      <x:c r="A1" s="7" t="str">
        <x:v>INVESTMENT RESEARCH | Six-company underwriting | 7 September 2026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3" ht="27" customHeight="1">
      <x:c r="A3" s="67" t="str">
        <x:v>NO BUY GATE CLEARED. Conditional research valuations—not probabilities, broker targets or guaranteed returns. Quote snapshots are from 4 Sep; capital structures are reported quarter-ends plus explicit claims/reserves.</x:v>
      </x:c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</x:row>
    <x:row r="4" ht="27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</x:row>
    <x:row r="6" ht="30" customHeight="1">
      <x:c r="A6" s="70" t="str">
        <x:v>Ticker</x:v>
      </x:c>
      <x:c r="B6" s="70" t="str">
        <x:v>Quote</x:v>
      </x:c>
      <x:c r="C6" s="70" t="str">
        <x:v>Bear DCF</x:v>
      </x:c>
      <x:c r="D6" s="70" t="str">
        <x:v>Base DCF</x:v>
      </x:c>
      <x:c r="E6" s="70" t="str">
        <x:v>Bull DCF</x:v>
      </x:c>
      <x:c r="F6" s="70" t="str">
        <x:v>Base / quote</x:v>
      </x:c>
      <x:c r="G6" s="70" t="str">
        <x:v>Base @ 12%</x:v>
      </x:c>
      <x:c r="H6" s="70" t="str">
        <x:v>2Y @ 18×</x:v>
      </x:c>
      <x:c r="I6" s="70" t="str">
        <x:v>Decision</x:v>
      </x:c>
      <x:c r="J6" s="70" t="str"/>
      <x:c r="K6" s="70" t="str"/>
      <x:c r="L6" s="70" t="str"/>
    </x:row>
    <x:row r="7" ht="33" customHeight="1">
      <x:c r="A7" s="24" t="str">
        <x:v>NSSC</x:v>
      </x:c>
      <x:c r="B7" s="72" t="n">
        <x:f>'Inputs'!$D$5</x:f>
        <x:v>37.01</x:v>
      </x:c>
      <x:c r="C7" s="72" t="n">
        <x:f>'NSSC Model'!B47</x:f>
        <x:v>18.101999141246505</x:v>
      </x:c>
      <x:c r="D7" s="72" t="n">
        <x:f>'NSSC Model'!B98</x:f>
        <x:v>32.24145516361192</x:v>
      </x:c>
      <x:c r="E7" s="72" t="n">
        <x:f>'NSSC Model'!B149</x:f>
        <x:v>44.826124379124174</x:v>
      </x:c>
      <x:c r="F7" s="73" t="n">
        <x:f>D7/B7-1</x:f>
        <x:v>-0.12884476726257987</x:v>
      </x:c>
      <x:c r="G7" s="72" t="n">
        <x:f>'NSSC Model'!B101</x:f>
        <x:v>25.512995995955492</x:v>
      </x:c>
      <x:c r="H7" s="73" t="n">
        <x:f>'Two-Year Exit Test'!J6</x:f>
        <x:v>0.17625921079885076</x:v>
      </x:c>
      <x:c r="I7" s="24" t="str">
        <x:v>Conditional watch: closest to base value</x:v>
      </x:c>
      <x:c r="J7" s="24"/>
      <x:c r="K7" s="24"/>
      <x:c r="L7" s="24"/>
    </x:row>
    <x:row r="8" ht="33" customHeight="1">
      <x:c r="A8" s="24" t="str">
        <x:v>MOD</x:v>
      </x:c>
      <x:c r="B8" s="72" t="n">
        <x:f>'Inputs'!$F$5</x:f>
        <x:v>194.66</x:v>
      </x:c>
      <x:c r="C8" s="72" t="n">
        <x:f>'MOD Model'!B47</x:f>
        <x:v>47.399543847404416</x:v>
      </x:c>
      <x:c r="D8" s="72" t="n">
        <x:f>'MOD Model'!B98</x:f>
        <x:v>152.32970810176235</x:v>
      </x:c>
      <x:c r="E8" s="72" t="n">
        <x:f>'MOD Model'!B149</x:f>
        <x:v>256.0187728384658</x:v>
      </x:c>
      <x:c r="F8" s="73" t="n">
        <x:f>D8/B8-1</x:f>
        <x:v>-0.2174575767915219</x:v>
      </x:c>
      <x:c r="G8" s="72" t="n">
        <x:f>'MOD Model'!B101</x:f>
        <x:v>124.52024263348886</x:v>
      </x:c>
      <x:c r="H8" s="73" t="n">
        <x:f>'Two-Year Exit Test'!J8</x:f>
        <x:v>0.17714448434113028</x:v>
      </x:c>
      <x:c r="I8" s="24" t="str">
        <x:v>Conditional inflection: execution / deal gates</x:v>
      </x:c>
      <x:c r="J8" s="24"/>
      <x:c r="K8" s="24"/>
      <x:c r="L8" s="24"/>
    </x:row>
    <x:row r="9" ht="33" customHeight="1">
      <x:c r="A9" s="24" t="str">
        <x:v>POWL</x:v>
      </x:c>
      <x:c r="B9" s="72" t="n">
        <x:f>'Inputs'!$G$5</x:f>
        <x:v>181.17</x:v>
      </x:c>
      <x:c r="C9" s="72" t="n">
        <x:f>'POWL Model'!B47</x:f>
        <x:v>59.99397376410106</x:v>
      </x:c>
      <x:c r="D9" s="72" t="n">
        <x:f>'POWL Model'!B98</x:f>
        <x:v>113.27075768364311</x:v>
      </x:c>
      <x:c r="E9" s="72" t="n">
        <x:f>'POWL Model'!B149</x:f>
        <x:v>179.8068787382816</x:v>
      </x:c>
      <x:c r="F9" s="73" t="n">
        <x:f>D9/B9-1</x:f>
        <x:v>-0.37478193032155915</x:v>
      </x:c>
      <x:c r="G9" s="72" t="n">
        <x:f>'POWL Model'!B101</x:f>
        <x:v>94.35500993528812</x:v>
      </x:c>
      <x:c r="H9" s="73" t="n">
        <x:f>'Two-Year Exit Test'!J9</x:f>
        <x:v>0.12037366278097839</x:v>
      </x:c>
      <x:c r="I9" s="24" t="str">
        <x:v>Quality watch: growth already expected</x:v>
      </x:c>
      <x:c r="J9" s="24"/>
      <x:c r="K9" s="24"/>
      <x:c r="L9" s="24"/>
    </x:row>
    <x:row r="10" ht="33" customHeight="1">
      <x:c r="A10" s="24" t="str">
        <x:v>LMAT</x:v>
      </x:c>
      <x:c r="B10" s="72" t="n">
        <x:f>'Inputs'!$B$5</x:f>
        <x:v>80.67</x:v>
      </x:c>
      <x:c r="C10" s="72" t="n">
        <x:f>'LMAT Model'!B47</x:f>
        <x:v>37.584588391309495</x:v>
      </x:c>
      <x:c r="D10" s="72" t="n">
        <x:f>'LMAT Model'!B98</x:f>
        <x:v>57.23603220540669</x:v>
      </x:c>
      <x:c r="E10" s="72" t="n">
        <x:f>'LMAT Model'!B149</x:f>
        <x:v>73.39957580953447</x:v>
      </x:c>
      <x:c r="F10" s="73" t="n">
        <x:f>D10/B10-1</x:f>
        <x:v>-0.29049172920036337</x:v>
      </x:c>
      <x:c r="G10" s="72" t="n">
        <x:f>'LMAT Model'!B101</x:f>
        <x:v>45.7493042616829</x:v>
      </x:c>
      <x:c r="H10" s="73" t="n">
        <x:f>'Two-Year Exit Test'!J4</x:f>
        <x:v>0.10234767612800799</x:v>
      </x:c>
      <x:c r="I10" s="24" t="str">
        <x:v>Downgraded: regulatory gate and valuation</x:v>
      </x:c>
      <x:c r="J10" s="24"/>
      <x:c r="K10" s="24"/>
      <x:c r="L10" s="24"/>
    </x:row>
    <x:row r="11" ht="33" customHeight="1">
      <x:c r="A11" s="24" t="str">
        <x:v>APPF</x:v>
      </x:c>
      <x:c r="B11" s="72" t="n">
        <x:f>'Inputs'!$E$5</x:f>
        <x:v>214.28</x:v>
      </x:c>
      <x:c r="C11" s="72" t="n">
        <x:f>'APPF Model'!B47</x:f>
        <x:v>80.55873285699073</x:v>
      </x:c>
      <x:c r="D11" s="72" t="n">
        <x:f>'APPF Model'!B98</x:f>
        <x:v>136.8019887368216</x:v>
      </x:c>
      <x:c r="E11" s="72" t="n">
        <x:f>'APPF Model'!B149</x:f>
        <x:v>206.98909397845978</x:v>
      </x:c>
      <x:c r="F11" s="73" t="n">
        <x:f>D11/B11-1</x:f>
        <x:v>-0.36157369452668653</x:v>
      </x:c>
      <x:c r="G11" s="72" t="n">
        <x:f>'APPF Model'!B101</x:f>
        <x:v>105.46753860752783</x:v>
      </x:c>
      <x:c r="H11" s="73" t="n">
        <x:f>'Two-Year Exit Test'!J7</x:f>
        <x:v>-0.003593073186744733</x:v>
      </x:c>
      <x:c r="I11" s="24" t="str">
        <x:v>Price watch: after-SBC / service mix</x:v>
      </x:c>
      <x:c r="J11" s="24"/>
      <x:c r="K11" s="24"/>
      <x:c r="L11" s="24"/>
    </x:row>
    <x:row r="12" ht="33" customHeight="1">
      <x:c r="A12" s="24" t="str">
        <x:v>WINA</x:v>
      </x:c>
      <x:c r="B12" s="72" t="n">
        <x:f>'Inputs'!$C$5</x:f>
        <x:v>318.17</x:v>
      </x:c>
      <x:c r="C12" s="72" t="n">
        <x:f>'WINA Model'!B47</x:f>
        <x:v>122.00298975403777</x:v>
      </x:c>
      <x:c r="D12" s="72" t="n">
        <x:f>'WINA Model'!B98</x:f>
        <x:v>166.98044443773034</x:v>
      </x:c>
      <x:c r="E12" s="72" t="n">
        <x:f>'WINA Model'!B149</x:f>
        <x:v>206.64477516536695</x:v>
      </x:c>
      <x:c r="F12" s="73" t="n">
        <x:f>D12/B12-1</x:f>
        <x:v>-0.47518482434632325</x:v>
      </x:c>
      <x:c r="G12" s="72" t="n">
        <x:f>'WINA Model'!B101</x:f>
        <x:v>128.47880669564876</x:v>
      </x:c>
      <x:c r="H12" s="73" t="n">
        <x:f>'Two-Year Exit Test'!J5</x:f>
        <x:v>0.02049186438373085</x:v>
      </x:c>
      <x:c r="I12" s="24" t="str">
        <x:v>Price watch: franchise ROIC and duration</x:v>
      </x:c>
      <x:c r="J12" s="24"/>
      <x:c r="K12" s="24"/>
      <x:c r="L12" s="24"/>
    </x:row>
    <x:row r="15" ht="29" customHeight="1">
      <x:c r="A15" s="27" t="str">
        <x:v>BASE CASH FLOW | USD m; annual economic periods are not exact fiscal years</x:v>
      </x:c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</x:row>
    <x:row r="17" ht="34" customHeight="1">
      <x:c r="A17" s="52" t="str">
        <x:v>Ticker</x:v>
      </x:c>
      <x:c r="B17" s="52" t="str">
        <x:v>Y1 revenue</x:v>
      </x:c>
      <x:c r="C17" s="52" t="str">
        <x:v>Y1 EBIT</x:v>
      </x:c>
      <x:c r="D17" s="52" t="str">
        <x:v>Y1 FCFF</x:v>
      </x:c>
      <x:c r="E17" s="52" t="str">
        <x:v>Y5 FCFF</x:v>
      </x:c>
      <x:c r="F17" s="52" t="str">
        <x:v>Cash/claim bridge</x:v>
      </x:c>
      <x:c r="G17" s="52" t="str">
        <x:v>Terminal EV share</x:v>
      </x:c>
      <x:c r="H17" s="52" t="str">
        <x:v>Growth hurdle</x:v>
      </x:c>
    </x:row>
    <x:row r="18">
      <x:c r="A18" t="str">
        <x:v>NSSC</x:v>
      </x:c>
      <x:c r="B18" s="76" t="n">
        <x:f>'NSSC Model'!B69</x:f>
        <x:v>217.0904</x:v>
      </x:c>
      <x:c r="C18" s="76" t="n">
        <x:f>'NSSC Model'!B75</x:f>
        <x:v>69.37523883999998</x:v>
      </x:c>
      <x:c r="D18" s="76" t="n">
        <x:f>'NSSC Model'!B82</x:f>
        <x:v>54.541894248799984</x:v>
      </x:c>
      <x:c r="E18" s="76" t="n">
        <x:f>'NSSC Model'!F82</x:f>
        <x:v>86.06348626481422</x:v>
      </x:c>
      <x:c r="F18" s="76" t="n">
        <x:f>'NSSC Model'!B94</x:f>
        <x:v>101.2</x:v>
      </x:c>
      <x:c r="G18" s="36" t="n">
        <x:f>'NSSC Model'!B100</x:f>
        <x:v>0.5318131823467908</x:v>
      </x:c>
      <x:c r="H18" s="36" t="n">
        <x:f>'Market Hurdles'!C6</x:f>
        <x:v>0.132285349573647</x:v>
      </x:c>
    </x:row>
    <x:row r="19">
      <x:c r="A19" t="str">
        <x:v>MOD</x:v>
      </x:c>
      <x:c r="B19" s="76" t="n">
        <x:f>'MOD Model'!B69</x:f>
        <x:v>3145.032</x:v>
      </x:c>
      <x:c r="C19" s="76" t="n">
        <x:f>'MOD Model'!B75</x:f>
        <x:v>423.46416</x:v>
      </x:c>
      <x:c r="D19" s="76" t="n">
        <x:f>'MOD Model'!B82</x:f>
        <x:v>101.88719999999996</x:v>
      </x:c>
      <x:c r="E19" s="76" t="n">
        <x:f>'MOD Model'!F82</x:f>
        <x:v>595.9284703154999</x:v>
      </x:c>
      <x:c r="F19" s="76" t="n">
        <x:f>'MOD Model'!B94</x:f>
        <x:v>553.5</x:v>
      </x:c>
      <x:c r="G19" s="36" t="n">
        <x:f>'MOD Model'!B100</x:f>
        <x:v>0.6053865744296095</x:v>
      </x:c>
      <x:c r="H19" s="36" t="n">
        <x:f>'Market Hurdles'!C8</x:f>
        <x:v>0.28964501886822697</x:v>
      </x:c>
    </x:row>
    <x:row r="20">
      <x:c r="A20" t="str">
        <x:v>POWL</x:v>
      </x:c>
      <x:c r="B20" s="76" t="n">
        <x:f>'POWL Model'!B69</x:f>
        <x:v>1500</x:v>
      </x:c>
      <x:c r="C20" s="76" t="n">
        <x:f>'POWL Model'!B75</x:f>
        <x:v>315</x:v>
      </x:c>
      <x:c r="D20" s="76" t="n">
        <x:f>'POWL Model'!B82</x:f>
        <x:v>183.9</x:v>
      </x:c>
      <x:c r="E20" s="76" t="n">
        <x:f>'POWL Model'!F82</x:f>
        <x:v>321.7722816000001</x:v>
      </x:c>
      <x:c r="F20" s="76" t="n">
        <x:f>'POWL Model'!B94</x:f>
        <x:v>230.812</x:v>
      </x:c>
      <x:c r="G20" s="36" t="n">
        <x:f>'POWL Model'!B100</x:f>
        <x:v>0.5314606669748894</x:v>
      </x:c>
      <x:c r="H20" s="36" t="n">
        <x:f>'Market Hurdles'!C9</x:f>
        <x:v>0.21743505897847162</x:v>
      </x:c>
    </x:row>
    <x:row r="21">
      <x:c r="A21" t="str">
        <x:v>LMAT</x:v>
      </x:c>
      <x:c r="B21" s="76" t="n">
        <x:f>'LMAT Model'!B69</x:f>
        <x:v>303.93000000000006</x:v>
      </x:c>
      <x:c r="C21" s="76" t="n">
        <x:f>'LMAT Model'!B75</x:f>
        <x:v>85.10040000000002</x:v>
      </x:c>
      <x:c r="D21" s="76" t="n">
        <x:f>'LMAT Model'!B82</x:f>
        <x:v>53.801754</x:v>
      </x:c>
      <x:c r="E21" s="76" t="n">
        <x:f>'LMAT Model'!F82</x:f>
        <x:v>90.77262694085522</x:v>
      </x:c>
      <x:c r="F21" s="76" t="n">
        <x:f>'LMAT Model'!B94</x:f>
        <x:v>178</x:v>
      </x:c>
      <x:c r="G21" s="36" t="n">
        <x:f>'LMAT Model'!B100</x:f>
        <x:v>0.5422242014761284</x:v>
      </x:c>
      <x:c r="H21" s="36" t="n">
        <x:f>'Market Hurdles'!C4</x:f>
        <x:v>0.15845412391804453</x:v>
      </x:c>
    </x:row>
    <x:row r="22">
      <x:c r="A22" t="str">
        <x:v>APPF</x:v>
      </x:c>
      <x:c r="B22" s="76" t="n">
        <x:f>'APPF Model'!B69</x:f>
        <x:v>1301.52</x:v>
      </x:c>
      <x:c r="C22" s="76" t="n">
        <x:f>'APPF Model'!B75</x:f>
        <x:v>266.8116</x:v>
      </x:c>
      <x:c r="D22" s="76" t="n">
        <x:f>'APPF Model'!B82</x:f>
        <x:v>189.02334000000002</x:v>
      </x:c>
      <x:c r="E22" s="76" t="n">
        <x:f>'APPF Model'!F82</x:f>
        <x:v>372.31989667488</x:v>
      </x:c>
      <x:c r="F22" s="76" t="n">
        <x:f>'APPF Model'!B94</x:f>
        <x:v>171.685</x:v>
      </x:c>
      <x:c r="G22" s="36" t="n">
        <x:f>'APPF Model'!B100</x:f>
        <x:v>0.5582760519579556</x:v>
      </x:c>
      <x:c r="H22" s="36" t="n">
        <x:f>'Market Hurdles'!C7</x:f>
        <x:v>0.21305254267389012</x:v>
      </x:c>
    </x:row>
    <x:row r="23">
      <x:c r="A23" t="str">
        <x:v>WINA</x:v>
      </x:c>
      <x:c r="B23" s="76" t="n">
        <x:f>'WINA Model'!B69</x:f>
        <x:v>94.2525</x:v>
      </x:c>
      <x:c r="C23" s="76" t="n">
        <x:f>'WINA Model'!B75</x:f>
        <x:v>57.494025</x:v>
      </x:c>
      <x:c r="D23" s="76" t="n">
        <x:f>'WINA Model'!B82</x:f>
        <x:v>41.0355915</x:v>
      </x:c>
      <x:c r="E23" s="76" t="n">
        <x:f>'WINA Model'!F82</x:f>
        <x:v>55.41998319677081</x:v>
      </x:c>
      <x:c r="F23" s="76" t="n">
        <x:f>'WINA Model'!B94</x:f>
        <x:v>-42.825500000000005</x:v>
      </x:c>
      <x:c r="G23" s="36" t="n">
        <x:f>'WINA Model'!B100</x:f>
        <x:v>0.5057001539256373</x:v>
      </x:c>
      <x:c r="H23" s="36" t="n">
        <x:f>'Market Hurdles'!C5</x:f>
        <x:v>0.17352103076636052</x:v>
      </x:c>
    </x:row>
    <x:row r="26" ht="29" customHeight="1">
      <x:c r="A26" s="27" t="str">
        <x:v>INTERPRETATION AND LIMITS</x:v>
      </x:c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</x:row>
    <x:row r="28" ht="34" customHeight="1">
      <x:c r="A28" s="79" t="str">
        <x:v>DCF: 10 economic years, 10% discount (compounders) / 10.5% (MOD/POWL); terminal g 2.5% WINA / 3% others. Terminal growth requires reinvestment.</x:v>
      </x:c>
      <x:c r="B28" s="79"/>
      <x:c r="C28" s="79"/>
      <x:c r="D28" s="79"/>
      <x:c r="E28" s="79"/>
      <x:c r="F28" s="79"/>
      <x:c r="G28" s="79"/>
      <x:c r="H28" s="79"/>
      <x:c r="I28" s="79"/>
      <x:c r="J28" s="79"/>
      <x:c r="K28" s="79"/>
      <x:c r="L28" s="79"/>
    </x:row>
    <x:row r="29" ht="34" customHeight="1">
      <x:c r="A29" s="79" t="str">
        <x:v>The 12% column is an enterprise discount sensitivity, not guaranteed shareholder IRR or a mechanical purchase price.</x:v>
      </x:c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</x:row>
    <x:row r="30" ht="34" customHeight="1">
      <x:c r="A30" s="79" t="str">
        <x:v>The 2Y column assumes the base path, owner-cash distributions and sale at 18× Year 3 EBIT. That buyer valuation is unverified. Downside/multiple stress tests are separate.</x:v>
      </x:c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</x:row>
    <x:row r="31" ht="34" customHeight="1">
      <x:c r="A31" s="79" t="str">
        <x:v>Growth hurdle varies one driver: NSSC recurring service, MOD data centers, POWL growth in Years 2–5, other names total/core revenue. It is not a unique market belief.</x:v>
      </x:c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</x:row>
    <x:row r="32" ht="34" customHeight="1">
      <x:c r="A32" s="79" t="str">
        <x:v>Latest reported diluted share proxies and June cash/debt are not a fully current September capital table. MOD combines retained value with conditional THRM and cash proceeds.</x:v>
      </x:c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</x:row>
    <x:row r="33" ht="34" customHeight="1">
      <x:c r="A33" s="79" t="str">
        <x:v>No churn, store-level net returns, final transaction terms or fiscal-matched EPS edge has been fabricated. See Decision Log for unresolved gates.</x:v>
      </x:c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</x:row>
  </x:sheetData>
  <x:mergeCells>
    <x:mergeCell ref="A1:L1"/>
    <x:mergeCell ref="A3:L4"/>
    <x:mergeCell ref="I7:L7"/>
    <x:mergeCell ref="I8:L8"/>
    <x:mergeCell ref="I9:L9"/>
    <x:mergeCell ref="I10:L10"/>
    <x:mergeCell ref="I11:L11"/>
    <x:mergeCell ref="I12:L12"/>
    <x:mergeCell ref="A15:L15"/>
    <x:mergeCell ref="A26:L26"/>
    <x:mergeCell ref="A28:L28"/>
    <x:mergeCell ref="A29:L29"/>
    <x:mergeCell ref="A30:L30"/>
    <x:mergeCell ref="A31:L31"/>
    <x:mergeCell ref="A32:L32"/>
    <x:mergeCell ref="A33:L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9" customHeight="1">
      <x:c r="A1" s="7" t="str">
        <x:v>REPORTED FACTS AND EXPLICIT ASSUMPTIONS | USD m unless per-share</x:v>
      </x:c>
      <x:c r="B1" s="7"/>
      <x:c r="C1" s="7"/>
      <x:c r="D1" s="7"/>
      <x:c r="E1" s="7"/>
      <x:c r="F1" s="7"/>
      <x:c r="G1" s="7"/>
    </x:row>
    <x:row r="3">
      <x:c r="A3" t="str">
        <x:v>Parameter</x:v>
      </x:c>
      <x:c r="B3" t="str">
        <x:v>LMAT</x:v>
      </x:c>
      <x:c r="C3" t="str">
        <x:v>WINA</x:v>
      </x:c>
      <x:c r="D3" t="str">
        <x:v>NSSC</x:v>
      </x:c>
      <x:c r="E3" t="str">
        <x:v>APPF</x:v>
      </x:c>
      <x:c r="F3" t="str">
        <x:v>MOD</x:v>
      </x:c>
      <x:c r="G3" t="str">
        <x:v>POWL</x:v>
      </x:c>
    </x:row>
    <x:row r="5" ht="24" customHeight="1">
      <x:c r="A5" t="str">
        <x:v>Latest verified quote / share</x:v>
      </x:c>
      <x:c r="B5" s="14" t="n">
        <x:v>80.67</x:v>
      </x:c>
      <x:c r="C5" s="14" t="n">
        <x:v>318.17</x:v>
      </x:c>
      <x:c r="D5" s="14" t="n">
        <x:v>37.01</x:v>
      </x:c>
      <x:c r="E5" s="14" t="n">
        <x:v>214.28</x:v>
      </x:c>
      <x:c r="F5" s="14" t="n">
        <x:v>194.66</x:v>
      </x:c>
      <x:c r="G5" s="14" t="n">
        <x:v>181.17</x:v>
      </x:c>
    </x:row>
    <x:row r="6" ht="24" customHeight="1">
      <x:c r="A6" t="str">
        <x:v>Cash + liquid investments</x:v>
      </x:c>
      <x:c r="B6" s="11" t="n">
        <x:v>376.2</x:v>
      </x:c>
      <x:c r="C6" s="11" t="n">
        <x:v>25.8345</x:v>
      </x:c>
      <x:c r="D6" s="11" t="n">
        <x:v>137.565</x:v>
      </x:c>
      <x:c r="E6" s="11" t="n">
        <x:v>221.685</x:v>
      </x:c>
      <x:c r="F6" s="11" t="n">
        <x:v>95.3</x:v>
      </x:c>
      <x:c r="G6" s="11" t="n">
        <x:v>633.6</x:v>
      </x:c>
    </x:row>
    <x:row r="7" ht="24" customHeight="1">
      <x:c r="A7" t="str">
        <x:v>Funded debt / convertible face</x:v>
      </x:c>
      <x:c r="B7" s="11" t="n">
        <x:v>172.5</x:v>
      </x:c>
      <x:c r="C7" s="11" t="n">
        <x:v>60</x:v>
      </x:c>
      <x:c r="D7" s="11" t="n">
        <x:v>0</x:v>
      </x:c>
      <x:c r="E7" s="11" t="n">
        <x:v>0</x:v>
      </x:c>
      <x:c r="F7" s="11" t="n">
        <x:v>528.2</x:v>
      </x:c>
      <x:c r="G7" s="11" t="n">
        <x:v>0</x:v>
      </x:c>
    </x:row>
    <x:row r="8" ht="24" customHeight="1">
      <x:c r="A8" t="str">
        <x:v>Diluted claim proxy (millions)</x:v>
      </x:c>
      <x:c r="B8" s="16" t="n">
        <x:v>23.088</x:v>
      </x:c>
      <x:c r="C8" s="16" t="n">
        <x:v>3.701516</x:v>
      </x:c>
      <x:c r="D8" s="16" t="n">
        <x:v>35.891</x:v>
      </x:c>
      <x:c r="E8" s="16" t="n">
        <x:v>36</x:v>
      </x:c>
      <x:c r="F8" s="16" t="n">
        <x:v>54</x:v>
      </x:c>
      <x:c r="G8" s="16" t="n">
        <x:v>36.604</x:v>
      </x:c>
    </x:row>
    <x:row r="9" ht="24" customHeight="1">
      <x:c r="A9" t="str">
        <x:v>Operating cash reserve [assumption]</x:v>
      </x:c>
      <x:c r="B9" s="11" t="n">
        <x:v>20</x:v>
      </x:c>
      <x:c r="C9" s="11" t="n">
        <x:v>5</x:v>
      </x:c>
      <x:c r="D9" s="11" t="n">
        <x:v>15</x:v>
      </x:c>
      <x:c r="E9" s="11" t="n">
        <x:v>50</x:v>
      </x:c>
      <x:c r="F9" s="11" t="n">
        <x:v>50</x:v>
      </x:c>
      <x:c r="G9" s="11" t="n">
        <x:v>50</x:v>
      </x:c>
    </x:row>
    <x:row r="10" ht="24" customHeight="1">
      <x:c r="A10" t="str">
        <x:v>Other claims / NCI / contingent amount</x:v>
      </x:c>
      <x:c r="B10" s="11" t="n">
        <x:v>0</x:v>
      </x:c>
      <x:c r="C10" s="11" t="n">
        <x:v>0</x:v>
      </x:c>
      <x:c r="D10" s="11" t="n">
        <x:v>16</x:v>
      </x:c>
      <x:c r="E10" s="11" t="n">
        <x:v>0</x:v>
      </x:c>
      <x:c r="F10" s="11" t="n">
        <x:v>8.3</x:v>
      </x:c>
      <x:c r="G10" s="11" t="n">
        <x:v>2.428</x:v>
      </x:c>
    </x:row>
    <x:row r="11" ht="24" customHeight="1">
      <x:c r="A11" t="str">
        <x:v>Known / approximate distribution reserve</x:v>
      </x:c>
      <x:c r="B11" s="11" t="n">
        <x:v>5.7</x:v>
      </x:c>
      <x:c r="C11" s="11" t="n">
        <x:v>3.66</x:v>
      </x:c>
      <x:c r="D11" s="11" t="n">
        <x:v>5.365</x:v>
      </x:c>
      <x:c r="E11" s="11" t="n">
        <x:v>0</x:v>
      </x:c>
      <x:c r="F11" s="11" t="n">
        <x:v>0</x:v>
      </x:c>
      <x:c r="G11" s="11" t="n">
        <x:v>0</x:v>
      </x:c>
    </x:row>
    <x:row r="12" ht="24" customHeight="1">
      <x:c r="A12" t="str">
        <x:v>Private assets</x:v>
      </x:c>
      <x:c r="B12" s="11" t="n">
        <x:v>0</x:v>
      </x:c>
      <x:c r="C12" s="11" t="n">
        <x:v>0</x:v>
      </x:c>
      <x:c r="D12" s="11" t="n">
        <x:v>0</x:v>
      </x:c>
      <x:c r="E12" s="11" t="n">
        <x:v>87.668</x:v>
      </x:c>
      <x:c r="F12" s="11" t="n">
        <x:v>0</x:v>
      </x:c>
      <x:c r="G12" s="11" t="n">
        <x:v>0</x:v>
      </x:c>
    </x:row>
    <x:row r="13" ht="24" customHeight="1">
      <x:c r="A13" t="str">
        <x:v>Value credited to illiquid investments</x:v>
      </x:c>
      <x:c r="B13" s="11" t="n">
        <x:v>0</x:v>
      </x:c>
      <x:c r="C13" s="11" t="n">
        <x:v>0</x:v>
      </x:c>
      <x:c r="D13" s="11" t="n">
        <x:v>0</x:v>
      </x:c>
      <x:c r="E13" s="11" t="n">
        <x:v>0</x:v>
      </x:c>
      <x:c r="F13" s="11" t="n">
        <x:v>0</x:v>
      </x:c>
      <x:c r="G13" s="11" t="n">
        <x:v>0</x:v>
      </x:c>
    </x:row>
    <x:row r="14" ht="24" customHeight="1">
      <x:c r="A14" t="str">
        <x:v>Starting annual revenue anchor</x:v>
      </x:c>
      <x:c r="B14" s="11" t="n">
        <x:v>276.3</x:v>
      </x:c>
      <x:c r="C14" s="11" t="n">
        <x:v>88.5</x:v>
      </x:c>
      <x:c r="D14" s="11" t="n">
        <x:v>202.316</x:v>
      </x:c>
      <x:c r="E14" s="11" t="n">
        <x:v>1122</x:v>
      </x:c>
      <x:c r="F14" s="11" t="n">
        <x:v>2440.8</x:v>
      </x:c>
      <x:c r="G14" s="11" t="n">
        <x:v>1200</x:v>
      </x:c>
    </x:row>
    <x:row r="15" ht="24" customHeight="1">
      <x:c r="A15" t="str">
        <x:v>Reported operating cash flow</x:v>
      </x:c>
      <x:c r="B15" s="11" t="n">
        <x:v>31.058</x:v>
      </x:c>
      <x:c r="C15" s="11" t="n">
        <x:v>22.6071</x:v>
      </x:c>
      <x:c r="D15" s="11" t="n">
        <x:v>61.145</x:v>
      </x:c>
      <x:c r="E15" s="11" t="n">
        <x:v>121.902</x:v>
      </x:c>
      <x:c r="F15" s="11" t="n">
        <x:v>41.4</x:v>
      </x:c>
      <x:c r="G15" s="11" t="n">
        <x:v>195.038</x:v>
      </x:c>
    </x:row>
    <x:row r="16" ht="24" customHeight="1">
      <x:c r="A16" t="str">
        <x:v>Reported physical investment</x:v>
      </x:c>
      <x:c r="B16" s="11" t="n">
        <x:v>5.096</x:v>
      </x:c>
      <x:c r="C16" s="11" t="n">
        <x:v>0.0549</x:v>
      </x:c>
      <x:c r="D16" s="11" t="n">
        <x:v>1.917</x:v>
      </x:c>
      <x:c r="E16" s="11" t="n">
        <x:v>0.228</x:v>
      </x:c>
      <x:c r="F16" s="11" t="n">
        <x:v>46.4</x:v>
      </x:c>
      <x:c r="G16" s="11" t="n">
        <x:v>10.386</x:v>
      </x:c>
    </x:row>
    <x:row r="17" ht="24" customHeight="1">
      <x:c r="A17" t="str">
        <x:v>Reported software investment</x:v>
      </x:c>
      <x:c r="B17" s="11" t="n">
        <x:v>0</x:v>
      </x:c>
      <x:c r="C17" s="11" t="n">
        <x:v>2.2103</x:v>
      </x:c>
      <x:c r="D17" s="11" t="n">
        <x:v>0</x:v>
      </x:c>
      <x:c r="E17" s="11" t="n">
        <x:v>2.554</x:v>
      </x:c>
      <x:c r="F17" s="11" t="n">
        <x:v>0</x:v>
      </x:c>
      <x:c r="G17" s="11" t="n">
        <x:v>0</x:v>
      </x:c>
    </x:row>
    <x:row r="18" ht="24" customHeight="1">
      <x:c r="A18" t="str">
        <x:v>Reported stock compensation</x:v>
      </x:c>
      <x:c r="B18" s="11" t="n">
        <x:v>4.027</x:v>
      </x:c>
      <x:c r="C18" s="11" t="n">
        <x:v>1.2283</x:v>
      </x:c>
      <x:c r="D18" s="11" t="n">
        <x:v>0.989</x:v>
      </x:c>
      <x:c r="E18" s="11" t="n">
        <x:v>38.46</x:v>
      </x:c>
      <x:c r="F18" s="11" t="n">
        <x:v>8</x:v>
      </x:c>
      <x:c r="G18" s="11" t="n">
        <x:v>4.28</x:v>
      </x:c>
    </x:row>
    <x:row r="19" ht="24" customHeight="1">
      <x:c r="A19" t="str">
        <x:v>Convertible incremental shares (millions)</x:v>
      </x:c>
      <x:c r="B19" s="11" t="n">
        <x:v>1.443</x:v>
      </x:c>
      <x:c r="C19" s="11" t="n">
        <x:v>0</x:v>
      </x:c>
      <x:c r="D19" s="11" t="n">
        <x:v>0</x:v>
      </x:c>
      <x:c r="E19" s="11" t="n">
        <x:v>0</x:v>
      </x:c>
      <x:c r="F19" s="11" t="n">
        <x:v>0</x:v>
      </x:c>
      <x:c r="G19" s="11" t="n">
        <x:v>0</x:v>
      </x:c>
    </x:row>
    <x:row r="20" ht="24" customHeight="1">
      <x:c r="A20" t="str">
        <x:v>Convprice</x:v>
      </x:c>
      <x:c r="B20" s="11" t="n">
        <x:v>119.3</x:v>
      </x:c>
      <x:c r="C20" s="11" t="n">
        <x:v>0</x:v>
      </x:c>
      <x:c r="D20" s="11" t="n">
        <x:v>0</x:v>
      </x:c>
      <x:c r="E20" s="11" t="n">
        <x:v>0</x:v>
      </x:c>
      <x:c r="F20" s="11" t="n">
        <x:v>0</x:v>
      </x:c>
      <x:c r="G20" s="11" t="n">
        <x:v>0</x:v>
      </x:c>
    </x:row>
    <x:row r="21" ht="24" customHeight="1">
      <x:c r="A21" t="str">
        <x:v>Service revenue</x:v>
      </x:c>
      <x:c r="B21" s="11" t="n">
        <x:v>0</x:v>
      </x:c>
      <x:c r="C21" s="11" t="n">
        <x:v>0</x:v>
      </x:c>
      <x:c r="D21" s="11" t="n">
        <x:v>97.528</x:v>
      </x:c>
      <x:c r="E21" s="11" t="n">
        <x:v>0</x:v>
      </x:c>
      <x:c r="F21" s="11" t="n">
        <x:v>0</x:v>
      </x:c>
      <x:c r="G21" s="11" t="n">
        <x:v>0</x:v>
      </x:c>
    </x:row>
    <x:row r="22" ht="24" customHeight="1">
      <x:c r="A22" t="str">
        <x:v>Hardware revenue</x:v>
      </x:c>
      <x:c r="B22" s="11" t="n">
        <x:v>0</x:v>
      </x:c>
      <x:c r="C22" s="11" t="n">
        <x:v>0</x:v>
      </x:c>
      <x:c r="D22" s="11" t="n">
        <x:v>104.788</x:v>
      </x:c>
      <x:c r="E22" s="11" t="n">
        <x:v>0</x:v>
      </x:c>
      <x:c r="F22" s="11" t="n">
        <x:v>0</x:v>
      </x:c>
      <x:c r="G22" s="11" t="n">
        <x:v>0</x:v>
      </x:c>
    </x:row>
    <x:row r="23" ht="24" customHeight="1">
      <x:c r="A23" t="str">
        <x:v>Opex</x:v>
      </x:c>
      <x:c r="B23" s="11" t="n">
        <x:v>0</x:v>
      </x:c>
      <x:c r="C23" s="11" t="n">
        <x:v>0</x:v>
      </x:c>
      <x:c r="D23" s="11" t="n">
        <x:v>58.153</x:v>
      </x:c>
      <x:c r="E23" s="11" t="n">
        <x:v>0</x:v>
      </x:c>
      <x:c r="F23" s="11" t="n">
        <x:v>0</x:v>
      </x:c>
      <x:c r="G23" s="11" t="n">
        <x:v>0</x:v>
      </x:c>
    </x:row>
    <x:row r="24" ht="24" customHeight="1">
      <x:c r="A24" t="str">
        <x:v>Dc anchor</x:v>
      </x:c>
      <x:c r="B24" s="11" t="n">
        <x:v>0</x:v>
      </x:c>
      <x:c r="C24" s="11" t="n">
        <x:v>0</x:v>
      </x:c>
      <x:c r="D24" s="11" t="n">
        <x:v>0</x:v>
      </x:c>
      <x:c r="E24" s="11" t="n">
        <x:v>0</x:v>
      </x:c>
      <x:c r="F24" s="11" t="n">
        <x:v>1394.4</x:v>
      </x:c>
      <x:c r="G24" s="11" t="n">
        <x:v>0</x:v>
      </x:c>
    </x:row>
    <x:row r="25" ht="24" customHeight="1">
      <x:c r="A25" t="str">
        <x:v>Hvac anchor</x:v>
      </x:c>
      <x:c r="B25" s="11" t="n">
        <x:v>0</x:v>
      </x:c>
      <x:c r="C25" s="11" t="n">
        <x:v>0</x:v>
      </x:c>
      <x:c r="D25" s="11" t="n">
        <x:v>0</x:v>
      </x:c>
      <x:c r="E25" s="11" t="n">
        <x:v>0</x:v>
      </x:c>
      <x:c r="F25" s="11" t="n">
        <x:v>1046.4</x:v>
      </x:c>
      <x:c r="G25" s="11" t="n">
        <x:v>0</x:v>
      </x:c>
    </x:row>
    <x:row r="26" ht="24" customHeight="1">
      <x:c r="A26" t="str">
        <x:v>MOD corporate cost annual anchor [assumption]</x:v>
      </x:c>
      <x:c r="B26" s="11" t="n">
        <x:v>0</x:v>
      </x:c>
      <x:c r="C26" s="11" t="n">
        <x:v>0</x:v>
      </x:c>
      <x:c r="D26" s="11" t="n">
        <x:v>0</x:v>
      </x:c>
      <x:c r="E26" s="11" t="n">
        <x:v>0</x:v>
      </x:c>
      <x:c r="F26" s="11" t="n">
        <x:v>92</x:v>
      </x:c>
      <x:c r="G26" s="11" t="n">
        <x:v>0</x:v>
      </x:c>
    </x:row>
    <x:row r="27" ht="24" customHeight="1">
      <x:c r="A27" t="str">
        <x:v>Deal cash</x:v>
      </x:c>
      <x:c r="B27" s="11" t="n">
        <x:v>0</x:v>
      </x:c>
      <x:c r="C27" s="11" t="n">
        <x:v>0</x:v>
      </x:c>
      <x:c r="D27" s="11" t="n">
        <x:v>0</x:v>
      </x:c>
      <x:c r="E27" s="11" t="n">
        <x:v>0</x:v>
      </x:c>
      <x:c r="F27" s="11" t="n">
        <x:v>210</x:v>
      </x:c>
      <x:c r="G27" s="11" t="n">
        <x:v>0</x:v>
      </x:c>
    </x:row>
    <x:row r="28" ht="24" customHeight="1">
      <x:c r="A28" t="str">
        <x:v>Thrm shares</x:v>
      </x:c>
      <x:c r="B28" s="11" t="n">
        <x:v>0</x:v>
      </x:c>
      <x:c r="C28" s="11" t="n">
        <x:v>0</x:v>
      </x:c>
      <x:c r="D28" s="11" t="n">
        <x:v>0</x:v>
      </x:c>
      <x:c r="E28" s="11" t="n">
        <x:v>0</x:v>
      </x:c>
      <x:c r="F28" s="11" t="n">
        <x:v>21</x:v>
      </x:c>
      <x:c r="G28" s="11" t="n">
        <x:v>0</x:v>
      </x:c>
    </x:row>
    <x:row r="29" ht="24" customHeight="1">
      <x:c r="A29" t="str">
        <x:v>Thrm price</x:v>
      </x:c>
      <x:c r="B29" s="11" t="n">
        <x:v>0</x:v>
      </x:c>
      <x:c r="C29" s="11" t="n">
        <x:v>0</x:v>
      </x:c>
      <x:c r="D29" s="11" t="n">
        <x:v>0</x:v>
      </x:c>
      <x:c r="E29" s="11" t="n">
        <x:v>0</x:v>
      </x:c>
      <x:c r="F29" s="11" t="n">
        <x:v>40.7</x:v>
      </x:c>
      <x:c r="G29" s="11" t="n">
        <x:v>0</x:v>
      </x:c>
    </x:row>
    <x:row r="30" ht="24" customHeight="1">
      <x:c r="A30" t="str">
        <x:v>Deal cost</x:v>
      </x:c>
      <x:c r="B30" s="11" t="n">
        <x:v>0</x:v>
      </x:c>
      <x:c r="C30" s="11" t="n">
        <x:v>0</x:v>
      </x:c>
      <x:c r="D30" s="11" t="n">
        <x:v>0</x:v>
      </x:c>
      <x:c r="E30" s="11" t="n">
        <x:v>0</x:v>
      </x:c>
      <x:c r="F30" s="11" t="n">
        <x:v>20</x:v>
      </x:c>
      <x:c r="G30" s="11" t="n">
        <x:v>0</x:v>
      </x:c>
    </x:row>
    <x:row r="31" ht="24" customHeight="1">
      <x:c r="A31" t="str">
        <x:v>Net contract liability</x:v>
      </x:c>
      <x:c r="B31" s="11" t="n">
        <x:v>0</x:v>
      </x:c>
      <x:c r="C31" s="11" t="n">
        <x:v>0</x:v>
      </x:c>
      <x:c r="D31" s="11" t="n">
        <x:v>0</x:v>
      </x:c>
      <x:c r="E31" s="11" t="n">
        <x:v>0</x:v>
      </x:c>
      <x:c r="F31" s="11" t="n">
        <x:v>0</x:v>
      </x:c>
      <x:c r="G31" s="11" t="n">
        <x:v>350.36</x:v>
      </x:c>
    </x:row>
    <x:row r="32" ht="24" customHeight="1">
      <x:c r="A32" t="str">
        <x:v>Backlog 12m</x:v>
      </x:c>
      <x:c r="B32" s="11" t="n">
        <x:v>0</x:v>
      </x:c>
      <x:c r="C32" s="11" t="n">
        <x:v>0</x:v>
      </x:c>
      <x:c r="D32" s="11" t="n">
        <x:v>0</x:v>
      </x:c>
      <x:c r="E32" s="11" t="n">
        <x:v>0</x:v>
      </x:c>
      <x:c r="F32" s="11" t="n">
        <x:v>0</x:v>
      </x:c>
      <x:c r="G32" s="11" t="n">
        <x:v>1300</x:v>
      </x:c>
    </x:row>
    <x:row r="33" ht="24" customHeight="1">
      <x:c r="A33" t="str">
        <x:v>Fee annual</x:v>
      </x:c>
      <x:c r="B33" s="11" t="n">
        <x:v>0</x:v>
      </x:c>
      <x:c r="C33" s="11" t="n">
        <x:v>4.8</x:v>
      </x:c>
      <x:c r="D33" s="11" t="n">
        <x:v>0</x:v>
      </x:c>
      <x:c r="E33" s="11" t="n">
        <x:v>0</x:v>
      </x:c>
      <x:c r="F33" s="11" t="n">
        <x:v>0</x:v>
      </x:c>
      <x:c r="G33" s="11" t="n">
        <x:v>0</x:v>
      </x:c>
    </x:row>
    <x:row r="34" ht="24" customHeight="1">
      <x:c r="A34" t="str">
        <x:v>Adfund annual</x:v>
      </x:c>
      <x:c r="B34" s="11" t="n">
        <x:v>0</x:v>
      </x:c>
      <x:c r="C34" s="11" t="n">
        <x:v>13.5</x:v>
      </x:c>
      <x:c r="D34" s="11" t="n">
        <x:v>0</x:v>
      </x:c>
      <x:c r="E34" s="11" t="n">
        <x:v>0</x:v>
      </x:c>
      <x:c r="F34" s="11" t="n">
        <x:v>0</x:v>
      </x:c>
      <x:c r="G34" s="11" t="n">
        <x:v>0</x:v>
      </x:c>
    </x:row>
    <x:row r="35" ht="24" customHeight="1">
      <x:c r="A35" t="str">
        <x:v>Reported ebit</x:v>
      </x:c>
      <x:c r="B35" s="11" t="n">
        <x:v>0</x:v>
      </x:c>
      <x:c r="C35" s="11" t="n">
        <x:v>0</x:v>
      </x:c>
      <x:c r="D35" s="11" t="n">
        <x:v>45.638</x:v>
      </x:c>
      <x:c r="E35" s="11" t="n">
        <x:v>0</x:v>
      </x:c>
      <x:c r="F35" s="11" t="n">
        <x:v>0</x:v>
      </x:c>
      <x:c r="G35" s="11" t="n">
        <x:v>0</x:v>
      </x:c>
    </x:row>
    <x:row r="36" ht="24" customHeight="1">
      <x:c r="A36" t="str">
        <x:v>Litigation</x:v>
      </x:c>
      <x:c r="B36" s="11" t="n">
        <x:v>0</x:v>
      </x:c>
      <x:c r="C36" s="11" t="n">
        <x:v>0</x:v>
      </x:c>
      <x:c r="D36" s="11" t="n">
        <x:v>16</x:v>
      </x:c>
      <x:c r="E36" s="11" t="n">
        <x:v>0</x:v>
      </x:c>
      <x:c r="F36" s="11" t="n">
        <x:v>0</x:v>
      </x:c>
      <x:c r="G36" s="11" t="n">
        <x:v>0</x:v>
      </x:c>
    </x:row>
    <x:row r="37" ht="24" customHeight="1">
      <x:c r="A37" t="str">
        <x:v>Refund bps</x:v>
      </x:c>
      <x:c r="B37" s="11" t="n">
        <x:v>0</x:v>
      </x:c>
      <x:c r="C37" s="11" t="n">
        <x:v>0</x:v>
      </x:c>
      <x:c r="D37" s="11" t="n">
        <x:v>0.005</x:v>
      </x:c>
      <x:c r="E37" s="11" t="n">
        <x:v>0</x:v>
      </x:c>
      <x:c r="F37" s="11" t="n">
        <x:v>0</x:v>
      </x:c>
      <x:c r="G37" s="11" t="n">
        <x:v>0</x:v>
      </x:c>
    </x:row>
  </x:sheetData>
  <x:mergeCells>
    <x:mergeCell ref="A1:G1"/>
  </x:mergeCells>
  <x:pageMargins left="0.7" right="0.7" top="0.75" bottom="0.75" header="0.3" footer="0.3"/>
  <x:legacyDrawing xmlns:r="http://schemas.openxmlformats.org/officeDocument/2006/relationships" r:id="R1eecc3b3a30b413b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</x:cols>
  <x:sheetData>
    <x:row r="1" ht="48" customHeight="1">
      <x:c r="A1" s="18" t="str">
        <x:v>Ticker</x:v>
      </x:c>
      <x:c r="B1" s="18" t="str">
        <x:v>Case</x:v>
      </x:c>
      <x:c r="C1" s="18" t="str">
        <x:v>Discount rate</x:v>
      </x:c>
      <x:c r="D1" s="18" t="str">
        <x:v>Terminal growth</x:v>
      </x:c>
      <x:c r="E1" s="18" t="str">
        <x:v>Terminal ROIC</x:v>
      </x:c>
      <x:c r="F1" s="18" t="str">
        <x:v>Tax</x:v>
      </x:c>
      <x:c r="G1" s="18" t="str">
        <x:v>D&amp;A/revenue</x:v>
      </x:c>
      <x:c r="H1" s="18" t="str">
        <x:v>Incremental NWC</x:v>
      </x:c>
      <x:c r="I1" s="18" t="str">
        <x:v>Y1 cash shock</x:v>
      </x:c>
      <x:c r="J1" s="18" t="str">
        <x:v>WINA fee margin</x:v>
      </x:c>
      <x:c r="K1" s="18" t="str">
        <x:v>THRM value factor</x:v>
      </x:c>
      <x:c r="L1" s="18" t="str">
        <x:v>POWL cash reserve</x:v>
      </x:c>
      <x:c r="M1" s="18" t="str">
        <x:v>POWL Y1 backlog</x:v>
      </x:c>
      <x:c r="N1" s="18" t="str">
        <x:v>POWL Y1 other</x:v>
      </x:c>
      <x:c r="O1" s="18" t="str">
        <x:v>Primary growth Y1</x:v>
      </x:c>
      <x:c r="P1" s="18" t="str">
        <x:v>Primary growth Y2</x:v>
      </x:c>
      <x:c r="Q1" s="18" t="str">
        <x:v>Primary growth Y3</x:v>
      </x:c>
      <x:c r="R1" s="18" t="str">
        <x:v>Primary growth Y4</x:v>
      </x:c>
      <x:c r="S1" s="18" t="str">
        <x:v>Primary growth Y5</x:v>
      </x:c>
      <x:c r="T1" s="18" t="str">
        <x:v>Secondary growth Y1</x:v>
      </x:c>
      <x:c r="U1" s="18" t="str">
        <x:v>Secondary growth Y2</x:v>
      </x:c>
      <x:c r="V1" s="18" t="str">
        <x:v>Secondary growth Y3</x:v>
      </x:c>
      <x:c r="W1" s="18" t="str">
        <x:v>Secondary growth Y4</x:v>
      </x:c>
      <x:c r="X1" s="18" t="str">
        <x:v>Secondary growth Y5</x:v>
      </x:c>
      <x:c r="Y1" s="18" t="str">
        <x:v>Primary margin Y1</x:v>
      </x:c>
      <x:c r="Z1" s="18" t="str">
        <x:v>Primary margin Y2</x:v>
      </x:c>
      <x:c r="AA1" s="18" t="str">
        <x:v>Primary margin Y3</x:v>
      </x:c>
      <x:c r="AB1" s="18" t="str">
        <x:v>Primary margin Y4</x:v>
      </x:c>
      <x:c r="AC1" s="18" t="str">
        <x:v>Primary margin Y5</x:v>
      </x:c>
      <x:c r="AD1" s="18" t="str">
        <x:v>Secondary margin Y1</x:v>
      </x:c>
      <x:c r="AE1" s="18" t="str">
        <x:v>Secondary margin Y2</x:v>
      </x:c>
      <x:c r="AF1" s="18" t="str">
        <x:v>Secondary margin Y3</x:v>
      </x:c>
      <x:c r="AG1" s="18" t="str">
        <x:v>Secondary margin Y4</x:v>
      </x:c>
      <x:c r="AH1" s="18" t="str">
        <x:v>Secondary margin Y5</x:v>
      </x:c>
      <x:c r="AI1" s="18" t="str">
        <x:v>Overhead growth Y1</x:v>
      </x:c>
      <x:c r="AJ1" s="18" t="str">
        <x:v>Overhead growth Y2</x:v>
      </x:c>
      <x:c r="AK1" s="18" t="str">
        <x:v>Overhead growth Y3</x:v>
      </x:c>
      <x:c r="AL1" s="18" t="str">
        <x:v>Overhead growth Y4</x:v>
      </x:c>
      <x:c r="AM1" s="18" t="str">
        <x:v>Overhead growth Y5</x:v>
      </x:c>
      <x:c r="AN1" s="18" t="str">
        <x:v>Capex/revenue Y1</x:v>
      </x:c>
      <x:c r="AO1" s="18" t="str">
        <x:v>Capex/revenue Y2</x:v>
      </x:c>
      <x:c r="AP1" s="18" t="str">
        <x:v>Capex/revenue Y3</x:v>
      </x:c>
      <x:c r="AQ1" s="18" t="str">
        <x:v>Capex/revenue Y4</x:v>
      </x:c>
      <x:c r="AR1" s="18" t="str">
        <x:v>Capex/revenue Y5</x:v>
      </x:c>
    </x:row>
    <x:row r="2">
      <x:c r="A2" t="str">
        <x:v>LMAT</x:v>
      </x:c>
      <x:c r="B2" t="str">
        <x:v>Bear</x:v>
      </x:c>
      <x:c r="C2" s="20" t="n">
        <x:v>0.1</x:v>
      </x:c>
      <x:c r="D2" s="20" t="n">
        <x:v>0.03</x:v>
      </x:c>
      <x:c r="E2" s="20" t="n">
        <x:v>0.2</x:v>
      </x:c>
      <x:c r="F2" s="20" t="n">
        <x:v>0.25</x:v>
      </x:c>
      <x:c r="G2" s="20" t="n">
        <x:v>0.035</x:v>
      </x:c>
      <x:c r="H2" s="20" t="n">
        <x:v>0.25</x:v>
      </x:c>
      <x:c r="I2" s="10" t="n">
        <x:v>10</x:v>
      </x:c>
      <x:c r="J2" s="10" t="n">
        <x:v>0</x:v>
      </x:c>
      <x:c r="K2" s="10" t="n">
        <x:v>0</x:v>
      </x:c>
      <x:c r="L2" s="10" t="n">
        <x:v>0</x:v>
      </x:c>
      <x:c r="M2" s="10" t="n">
        <x:v>0</x:v>
      </x:c>
      <x:c r="N2" s="10" t="n">
        <x:v>0</x:v>
      </x:c>
      <x:c r="O2" s="20" t="n">
        <x:v>-0.05</x:v>
      </x:c>
      <x:c r="P2" s="20" t="n">
        <x:v>0.04</x:v>
      </x:c>
      <x:c r="Q2" s="20" t="n">
        <x:v>0.06</x:v>
      </x:c>
      <x:c r="R2" s="20" t="n">
        <x:v>0.06</x:v>
      </x:c>
      <x:c r="S2" s="20" t="n">
        <x:v>0.05</x:v>
      </x:c>
      <x:c r="T2" s="20" t="n">
        <x:v>0</x:v>
      </x:c>
      <x:c r="U2" s="20" t="n">
        <x:v>0</x:v>
      </x:c>
      <x:c r="V2" s="20" t="n">
        <x:v>0</x:v>
      </x:c>
      <x:c r="W2" s="20" t="n">
        <x:v>0</x:v>
      </x:c>
      <x:c r="X2" s="20" t="n">
        <x:v>0</x:v>
      </x:c>
      <x:c r="Y2" s="20" t="n">
        <x:v>0.22</x:v>
      </x:c>
      <x:c r="Z2" s="20" t="n">
        <x:v>0.24</x:v>
      </x:c>
      <x:c r="AA2" s="20" t="n">
        <x:v>0.255</x:v>
      </x:c>
      <x:c r="AB2" s="20" t="n">
        <x:v>0.26</x:v>
      </x:c>
      <x:c r="AC2" s="20" t="n">
        <x:v>0.26</x:v>
      </x:c>
      <x:c r="AD2" s="20" t="n">
        <x:v>0</x:v>
      </x:c>
      <x:c r="AE2" s="20" t="n">
        <x:v>0</x:v>
      </x:c>
      <x:c r="AF2" s="20" t="n">
        <x:v>0</x:v>
      </x:c>
      <x:c r="AG2" s="20" t="n">
        <x:v>0</x:v>
      </x:c>
      <x:c r="AH2" s="20" t="n">
        <x:v>0</x:v>
      </x:c>
      <x:c r="AI2" s="20" t="n">
        <x:v>0</x:v>
      </x:c>
      <x:c r="AJ2" s="20" t="n">
        <x:v>0</x:v>
      </x:c>
      <x:c r="AK2" s="20" t="n">
        <x:v>0</x:v>
      </x:c>
      <x:c r="AL2" s="20" t="n">
        <x:v>0</x:v>
      </x:c>
      <x:c r="AM2" s="20" t="n">
        <x:v>0</x:v>
      </x:c>
      <x:c r="AN2" s="20" t="n">
        <x:v>0.06</x:v>
      </x:c>
      <x:c r="AO2" s="20" t="n">
        <x:v>0.05</x:v>
      </x:c>
      <x:c r="AP2" s="20" t="n">
        <x:v>0.045</x:v>
      </x:c>
      <x:c r="AQ2" s="20" t="n">
        <x:v>0.04</x:v>
      </x:c>
      <x:c r="AR2" s="20" t="n">
        <x:v>0.04</x:v>
      </x:c>
    </x:row>
    <x:row r="3">
      <x:c r="A3" t="str">
        <x:v>LMAT</x:v>
      </x:c>
      <x:c r="B3" t="str">
        <x:v>Base</x:v>
      </x:c>
      <x:c r="C3" s="20" t="n">
        <x:v>0.1</x:v>
      </x:c>
      <x:c r="D3" s="20" t="n">
        <x:v>0.03</x:v>
      </x:c>
      <x:c r="E3" s="20" t="n">
        <x:v>0.25</x:v>
      </x:c>
      <x:c r="F3" s="20" t="n">
        <x:v>0.24</x:v>
      </x:c>
      <x:c r="G3" s="20" t="n">
        <x:v>0.035</x:v>
      </x:c>
      <x:c r="H3" s="20" t="n">
        <x:v>0.23</x:v>
      </x:c>
      <x:c r="I3" s="10" t="n">
        <x:v>3</x:v>
      </x:c>
      <x:c r="J3" s="10" t="n">
        <x:v>0</x:v>
      </x:c>
      <x:c r="K3" s="10" t="n">
        <x:v>0</x:v>
      </x:c>
      <x:c r="L3" s="10" t="n">
        <x:v>0</x:v>
      </x:c>
      <x:c r="M3" s="10" t="n">
        <x:v>0</x:v>
      </x:c>
      <x:c r="N3" s="10" t="n">
        <x:v>0</x:v>
      </x:c>
      <x:c r="O3" s="20" t="n">
        <x:v>0.1</x:v>
      </x:c>
      <x:c r="P3" s="20" t="n">
        <x:v>0.1</x:v>
      </x:c>
      <x:c r="Q3" s="20" t="n">
        <x:v>0.09</x:v>
      </x:c>
      <x:c r="R3" s="20" t="n">
        <x:v>0.08</x:v>
      </x:c>
      <x:c r="S3" s="20" t="n">
        <x:v>0.07</x:v>
      </x:c>
      <x:c r="T3" s="20" t="n">
        <x:v>0</x:v>
      </x:c>
      <x:c r="U3" s="20" t="n">
        <x:v>0</x:v>
      </x:c>
      <x:c r="V3" s="20" t="n">
        <x:v>0</x:v>
      </x:c>
      <x:c r="W3" s="20" t="n">
        <x:v>0</x:v>
      </x:c>
      <x:c r="X3" s="20" t="n">
        <x:v>0</x:v>
      </x:c>
      <x:c r="Y3" s="20" t="n">
        <x:v>0.28</x:v>
      </x:c>
      <x:c r="Z3" s="20" t="n">
        <x:v>0.29</x:v>
      </x:c>
      <x:c r="AA3" s="20" t="n">
        <x:v>0.3</x:v>
      </x:c>
      <x:c r="AB3" s="20" t="n">
        <x:v>0.305</x:v>
      </x:c>
      <x:c r="AC3" s="20" t="n">
        <x:v>0.31</x:v>
      </x:c>
      <x:c r="AD3" s="20" t="n">
        <x:v>0</x:v>
      </x:c>
      <x:c r="AE3" s="20" t="n">
        <x:v>0</x:v>
      </x:c>
      <x:c r="AF3" s="20" t="n">
        <x:v>0</x:v>
      </x:c>
      <x:c r="AG3" s="20" t="n">
        <x:v>0</x:v>
      </x:c>
      <x:c r="AH3" s="20" t="n">
        <x:v>0</x:v>
      </x:c>
      <x:c r="AI3" s="20" t="n">
        <x:v>0</x:v>
      </x:c>
      <x:c r="AJ3" s="20" t="n">
        <x:v>0</x:v>
      </x:c>
      <x:c r="AK3" s="20" t="n">
        <x:v>0</x:v>
      </x:c>
      <x:c r="AL3" s="20" t="n">
        <x:v>0</x:v>
      </x:c>
      <x:c r="AM3" s="20" t="n">
        <x:v>0</x:v>
      </x:c>
      <x:c r="AN3" s="20" t="n">
        <x:v>0.04</x:v>
      </x:c>
      <x:c r="AO3" s="20" t="n">
        <x:v>0.04</x:v>
      </x:c>
      <x:c r="AP3" s="20" t="n">
        <x:v>0.04</x:v>
      </x:c>
      <x:c r="AQ3" s="20" t="n">
        <x:v>0.04</x:v>
      </x:c>
      <x:c r="AR3" s="20" t="n">
        <x:v>0.04</x:v>
      </x:c>
    </x:row>
    <x:row r="4">
      <x:c r="A4" t="str">
        <x:v>LMAT</x:v>
      </x:c>
      <x:c r="B4" t="str">
        <x:v>Bull</x:v>
      </x:c>
      <x:c r="C4" s="20" t="n">
        <x:v>0.1</x:v>
      </x:c>
      <x:c r="D4" s="20" t="n">
        <x:v>0.03</x:v>
      </x:c>
      <x:c r="E4" s="20" t="n">
        <x:v>0.3</x:v>
      </x:c>
      <x:c r="F4" s="20" t="n">
        <x:v>0.23</x:v>
      </x:c>
      <x:c r="G4" s="20" t="n">
        <x:v>0.035</x:v>
      </x:c>
      <x:c r="H4" s="20" t="n">
        <x:v>0.2</x:v>
      </x:c>
      <x:c r="I4" s="10" t="n">
        <x:v>0</x:v>
      </x:c>
      <x:c r="J4" s="10" t="n">
        <x:v>0</x:v>
      </x:c>
      <x:c r="K4" s="10" t="n">
        <x:v>0</x:v>
      </x:c>
      <x:c r="L4" s="10" t="n">
        <x:v>0</x:v>
      </x:c>
      <x:c r="M4" s="10" t="n">
        <x:v>0</x:v>
      </x:c>
      <x:c r="N4" s="10" t="n">
        <x:v>0</x:v>
      </x:c>
      <x:c r="O4" s="20" t="n">
        <x:v>0.13</x:v>
      </x:c>
      <x:c r="P4" s="20" t="n">
        <x:v>0.13</x:v>
      </x:c>
      <x:c r="Q4" s="20" t="n">
        <x:v>0.12</x:v>
      </x:c>
      <x:c r="R4" s="20" t="n">
        <x:v>0.11</x:v>
      </x:c>
      <x:c r="S4" s="20" t="n">
        <x:v>0.1</x:v>
      </x:c>
      <x:c r="T4" s="20" t="n">
        <x:v>0</x:v>
      </x:c>
      <x:c r="U4" s="20" t="n">
        <x:v>0</x:v>
      </x:c>
      <x:c r="V4" s="20" t="n">
        <x:v>0</x:v>
      </x:c>
      <x:c r="W4" s="20" t="n">
        <x:v>0</x:v>
      </x:c>
      <x:c r="X4" s="20" t="n">
        <x:v>0</x:v>
      </x:c>
      <x:c r="Y4" s="20" t="n">
        <x:v>0.295</x:v>
      </x:c>
      <x:c r="Z4" s="20" t="n">
        <x:v>0.31</x:v>
      </x:c>
      <x:c r="AA4" s="20" t="n">
        <x:v>0.325</x:v>
      </x:c>
      <x:c r="AB4" s="20" t="n">
        <x:v>0.335</x:v>
      </x:c>
      <x:c r="AC4" s="20" t="n">
        <x:v>0.34</x:v>
      </x:c>
      <x:c r="AD4" s="20" t="n">
        <x:v>0</x:v>
      </x:c>
      <x:c r="AE4" s="20" t="n">
        <x:v>0</x:v>
      </x:c>
      <x:c r="AF4" s="20" t="n">
        <x:v>0</x:v>
      </x:c>
      <x:c r="AG4" s="20" t="n">
        <x:v>0</x:v>
      </x:c>
      <x:c r="AH4" s="20" t="n">
        <x:v>0</x:v>
      </x:c>
      <x:c r="AI4" s="20" t="n">
        <x:v>0</x:v>
      </x:c>
      <x:c r="AJ4" s="20" t="n">
        <x:v>0</x:v>
      </x:c>
      <x:c r="AK4" s="20" t="n">
        <x:v>0</x:v>
      </x:c>
      <x:c r="AL4" s="20" t="n">
        <x:v>0</x:v>
      </x:c>
      <x:c r="AM4" s="20" t="n">
        <x:v>0</x:v>
      </x:c>
      <x:c r="AN4" s="20" t="n">
        <x:v>0.04</x:v>
      </x:c>
      <x:c r="AO4" s="20" t="n">
        <x:v>0.04</x:v>
      </x:c>
      <x:c r="AP4" s="20" t="n">
        <x:v>0.04</x:v>
      </x:c>
      <x:c r="AQ4" s="20" t="n">
        <x:v>0.04</x:v>
      </x:c>
      <x:c r="AR4" s="20" t="n">
        <x:v>0.04</x:v>
      </x:c>
    </x:row>
    <x:row r="5">
      <x:c r="A5" t="str">
        <x:v>WINA</x:v>
      </x:c>
      <x:c r="B5" t="str">
        <x:v>Bear</x:v>
      </x:c>
      <x:c r="C5" s="20" t="n">
        <x:v>0.1</x:v>
      </x:c>
      <x:c r="D5" s="20" t="n">
        <x:v>0.025</x:v>
      </x:c>
      <x:c r="E5" s="20" t="n">
        <x:v>0.25</x:v>
      </x:c>
      <x:c r="F5" s="20" t="n">
        <x:v>0.25</x:v>
      </x:c>
      <x:c r="G5" s="20" t="n">
        <x:v>0.008</x:v>
      </x:c>
      <x:c r="H5" s="20" t="n">
        <x:v>0.02</x:v>
      </x:c>
      <x:c r="I5" s="10" t="n">
        <x:v>0</x:v>
      </x:c>
      <x:c r="J5" s="10" t="n">
        <x:v>0</x:v>
      </x:c>
      <x:c r="K5" s="10" t="n">
        <x:v>0</x:v>
      </x:c>
      <x:c r="L5" s="10" t="n">
        <x:v>0</x:v>
      </x:c>
      <x:c r="M5" s="10" t="n">
        <x:v>0</x:v>
      </x:c>
      <x:c r="N5" s="10" t="n">
        <x:v>0</x:v>
      </x:c>
      <x:c r="O5" s="20" t="n">
        <x:v>0.02</x:v>
      </x:c>
      <x:c r="P5" s="20" t="n">
        <x:v>0.03</x:v>
      </x:c>
      <x:c r="Q5" s="20" t="n">
        <x:v>0.03</x:v>
      </x:c>
      <x:c r="R5" s="20" t="n">
        <x:v>0.03</x:v>
      </x:c>
      <x:c r="S5" s="20" t="n">
        <x:v>0.03</x:v>
      </x:c>
      <x:c r="T5" s="20" t="n">
        <x:v>0</x:v>
      </x:c>
      <x:c r="U5" s="20" t="n">
        <x:v>0</x:v>
      </x:c>
      <x:c r="V5" s="20" t="n">
        <x:v>0</x:v>
      </x:c>
      <x:c r="W5" s="20" t="n">
        <x:v>0</x:v>
      </x:c>
      <x:c r="X5" s="20" t="n">
        <x:v>0</x:v>
      </x:c>
      <x:c r="Y5" s="20" t="n">
        <x:v>0.575</x:v>
      </x:c>
      <x:c r="Z5" s="20" t="n">
        <x:v>0.575</x:v>
      </x:c>
      <x:c r="AA5" s="20" t="n">
        <x:v>0.58</x:v>
      </x:c>
      <x:c r="AB5" s="20" t="n">
        <x:v>0.58</x:v>
      </x:c>
      <x:c r="AC5" s="20" t="n">
        <x:v>0.58</x:v>
      </x:c>
      <x:c r="AD5" s="20" t="n">
        <x:v>0</x:v>
      </x:c>
      <x:c r="AE5" s="20" t="n">
        <x:v>0</x:v>
      </x:c>
      <x:c r="AF5" s="20" t="n">
        <x:v>0</x:v>
      </x:c>
      <x:c r="AG5" s="20" t="n">
        <x:v>0</x:v>
      </x:c>
      <x:c r="AH5" s="20" t="n">
        <x:v>0</x:v>
      </x:c>
      <x:c r="AI5" s="20" t="n">
        <x:v>0</x:v>
      </x:c>
      <x:c r="AJ5" s="20" t="n">
        <x:v>0</x:v>
      </x:c>
      <x:c r="AK5" s="20" t="n">
        <x:v>0</x:v>
      </x:c>
      <x:c r="AL5" s="20" t="n">
        <x:v>0</x:v>
      </x:c>
      <x:c r="AM5" s="20" t="n">
        <x:v>0</x:v>
      </x:c>
      <x:c r="AN5" s="20" t="n">
        <x:v>0.045</x:v>
      </x:c>
      <x:c r="AO5" s="20" t="n">
        <x:v>0.04</x:v>
      </x:c>
      <x:c r="AP5" s="20" t="n">
        <x:v>0.03</x:v>
      </x:c>
      <x:c r="AQ5" s="20" t="n">
        <x:v>0.025</x:v>
      </x:c>
      <x:c r="AR5" s="20" t="n">
        <x:v>0.025</x:v>
      </x:c>
    </x:row>
    <x:row r="6">
      <x:c r="A6" t="str">
        <x:v>WINA</x:v>
      </x:c>
      <x:c r="B6" t="str">
        <x:v>Base</x:v>
      </x:c>
      <x:c r="C6" s="20" t="n">
        <x:v>0.1</x:v>
      </x:c>
      <x:c r="D6" s="20" t="n">
        <x:v>0.025</x:v>
      </x:c>
      <x:c r="E6" s="20" t="n">
        <x:v>0.35</x:v>
      </x:c>
      <x:c r="F6" s="20" t="n">
        <x:v>0.24</x:v>
      </x:c>
      <x:c r="G6" s="20" t="n">
        <x:v>0.008</x:v>
      </x:c>
      <x:c r="H6" s="20" t="n">
        <x:v>0.02</x:v>
      </x:c>
      <x:c r="I6" s="10" t="n">
        <x:v>0</x:v>
      </x:c>
      <x:c r="J6" s="10" t="n">
        <x:v>0</x:v>
      </x:c>
      <x:c r="K6" s="10" t="n">
        <x:v>0</x:v>
      </x:c>
      <x:c r="L6" s="10" t="n">
        <x:v>0</x:v>
      </x:c>
      <x:c r="M6" s="10" t="n">
        <x:v>0</x:v>
      </x:c>
      <x:c r="N6" s="10" t="n">
        <x:v>0</x:v>
      </x:c>
      <x:c r="O6" s="20" t="n">
        <x:v>0.065</x:v>
      </x:c>
      <x:c r="P6" s="20" t="n">
        <x:v>0.065</x:v>
      </x:c>
      <x:c r="Q6" s="20" t="n">
        <x:v>0.06</x:v>
      </x:c>
      <x:c r="R6" s="20" t="n">
        <x:v>0.06</x:v>
      </x:c>
      <x:c r="S6" s="20" t="n">
        <x:v>0.055</x:v>
      </x:c>
      <x:c r="T6" s="20" t="n">
        <x:v>0</x:v>
      </x:c>
      <x:c r="U6" s="20" t="n">
        <x:v>0</x:v>
      </x:c>
      <x:c r="V6" s="20" t="n">
        <x:v>0</x:v>
      </x:c>
      <x:c r="W6" s="20" t="n">
        <x:v>0</x:v>
      </x:c>
      <x:c r="X6" s="20" t="n">
        <x:v>0</x:v>
      </x:c>
      <x:c r="Y6" s="20" t="n">
        <x:v>0.61</x:v>
      </x:c>
      <x:c r="Z6" s="20" t="n">
        <x:v>0.615</x:v>
      </x:c>
      <x:c r="AA6" s="20" t="n">
        <x:v>0.62</x:v>
      </x:c>
      <x:c r="AB6" s="20" t="n">
        <x:v>0.625</x:v>
      </x:c>
      <x:c r="AC6" s="20" t="n">
        <x:v>0.63</x:v>
      </x:c>
      <x:c r="AD6" s="20" t="n">
        <x:v>0</x:v>
      </x:c>
      <x:c r="AE6" s="20" t="n">
        <x:v>0</x:v>
      </x:c>
      <x:c r="AF6" s="20" t="n">
        <x:v>0</x:v>
      </x:c>
      <x:c r="AG6" s="20" t="n">
        <x:v>0</x:v>
      </x:c>
      <x:c r="AH6" s="20" t="n">
        <x:v>0</x:v>
      </x:c>
      <x:c r="AI6" s="20" t="n">
        <x:v>0</x:v>
      </x:c>
      <x:c r="AJ6" s="20" t="n">
        <x:v>0</x:v>
      </x:c>
      <x:c r="AK6" s="20" t="n">
        <x:v>0</x:v>
      </x:c>
      <x:c r="AL6" s="20" t="n">
        <x:v>0</x:v>
      </x:c>
      <x:c r="AM6" s="20" t="n">
        <x:v>0</x:v>
      </x:c>
      <x:c r="AN6" s="20" t="n">
        <x:v>0.035</x:v>
      </x:c>
      <x:c r="AO6" s="20" t="n">
        <x:v>0.03</x:v>
      </x:c>
      <x:c r="AP6" s="20" t="n">
        <x:v>0.025</x:v>
      </x:c>
      <x:c r="AQ6" s="20" t="n">
        <x:v>0.022</x:v>
      </x:c>
      <x:c r="AR6" s="20" t="n">
        <x:v>0.02</x:v>
      </x:c>
    </x:row>
    <x:row r="7">
      <x:c r="A7" t="str">
        <x:v>WINA</x:v>
      </x:c>
      <x:c r="B7" t="str">
        <x:v>Bull</x:v>
      </x:c>
      <x:c r="C7" s="20" t="n">
        <x:v>0.1</x:v>
      </x:c>
      <x:c r="D7" s="20" t="n">
        <x:v>0.025</x:v>
      </x:c>
      <x:c r="E7" s="20" t="n">
        <x:v>0.4</x:v>
      </x:c>
      <x:c r="F7" s="20" t="n">
        <x:v>0.23</x:v>
      </x:c>
      <x:c r="G7" s="20" t="n">
        <x:v>0.008</x:v>
      </x:c>
      <x:c r="H7" s="20" t="n">
        <x:v>0.01</x:v>
      </x:c>
      <x:c r="I7" s="10" t="n">
        <x:v>0</x:v>
      </x:c>
      <x:c r="J7" s="10" t="n">
        <x:v>0.2</x:v>
      </x:c>
      <x:c r="K7" s="10" t="n">
        <x:v>0</x:v>
      </x:c>
      <x:c r="L7" s="10" t="n">
        <x:v>0</x:v>
      </x:c>
      <x:c r="M7" s="10" t="n">
        <x:v>0</x:v>
      </x:c>
      <x:c r="N7" s="10" t="n">
        <x:v>0</x:v>
      </x:c>
      <x:c r="O7" s="20" t="n">
        <x:v>0.09</x:v>
      </x:c>
      <x:c r="P7" s="20" t="n">
        <x:v>0.09</x:v>
      </x:c>
      <x:c r="Q7" s="20" t="n">
        <x:v>0.085</x:v>
      </x:c>
      <x:c r="R7" s="20" t="n">
        <x:v>0.08</x:v>
      </x:c>
      <x:c r="S7" s="20" t="n">
        <x:v>0.075</x:v>
      </x:c>
      <x:c r="T7" s="20" t="n">
        <x:v>0</x:v>
      </x:c>
      <x:c r="U7" s="20" t="n">
        <x:v>0</x:v>
      </x:c>
      <x:c r="V7" s="20" t="n">
        <x:v>0</x:v>
      </x:c>
      <x:c r="W7" s="20" t="n">
        <x:v>0</x:v>
      </x:c>
      <x:c r="X7" s="20" t="n">
        <x:v>0</x:v>
      </x:c>
      <x:c r="Y7" s="20" t="n">
        <x:v>0.62</x:v>
      </x:c>
      <x:c r="Z7" s="20" t="n">
        <x:v>0.63</x:v>
      </x:c>
      <x:c r="AA7" s="20" t="n">
        <x:v>0.64</x:v>
      </x:c>
      <x:c r="AB7" s="20" t="n">
        <x:v>0.65</x:v>
      </x:c>
      <x:c r="AC7" s="20" t="n">
        <x:v>0.66</x:v>
      </x:c>
      <x:c r="AD7" s="20" t="n">
        <x:v>0</x:v>
      </x:c>
      <x:c r="AE7" s="20" t="n">
        <x:v>0</x:v>
      </x:c>
      <x:c r="AF7" s="20" t="n">
        <x:v>0</x:v>
      </x:c>
      <x:c r="AG7" s="20" t="n">
        <x:v>0</x:v>
      </x:c>
      <x:c r="AH7" s="20" t="n">
        <x:v>0</x:v>
      </x:c>
      <x:c r="AI7" s="20" t="n">
        <x:v>0</x:v>
      </x:c>
      <x:c r="AJ7" s="20" t="n">
        <x:v>0</x:v>
      </x:c>
      <x:c r="AK7" s="20" t="n">
        <x:v>0</x:v>
      </x:c>
      <x:c r="AL7" s="20" t="n">
        <x:v>0</x:v>
      </x:c>
      <x:c r="AM7" s="20" t="n">
        <x:v>0</x:v>
      </x:c>
      <x:c r="AN7" s="20" t="n">
        <x:v>0.025</x:v>
      </x:c>
      <x:c r="AO7" s="20" t="n">
        <x:v>0.02</x:v>
      </x:c>
      <x:c r="AP7" s="20" t="n">
        <x:v>0.018</x:v>
      </x:c>
      <x:c r="AQ7" s="20" t="n">
        <x:v>0.018</x:v>
      </x:c>
      <x:c r="AR7" s="20" t="n">
        <x:v>0.018</x:v>
      </x:c>
    </x:row>
    <x:row r="8">
      <x:c r="A8" t="str">
        <x:v>NSSC</x:v>
      </x:c>
      <x:c r="B8" t="str">
        <x:v>Bear</x:v>
      </x:c>
      <x:c r="C8" s="20" t="n">
        <x:v>0.1</x:v>
      </x:c>
      <x:c r="D8" s="20" t="n">
        <x:v>0.03</x:v>
      </x:c>
      <x:c r="E8" s="20" t="n">
        <x:v>0.2</x:v>
      </x:c>
      <x:c r="F8" s="20" t="n">
        <x:v>0.23</x:v>
      </x:c>
      <x:c r="G8" s="20" t="n">
        <x:v>0.011</x:v>
      </x:c>
      <x:c r="H8" s="20" t="n">
        <x:v>0.13</x:v>
      </x:c>
      <x:c r="I8" s="10" t="n">
        <x:v>0</x:v>
      </x:c>
      <x:c r="J8" s="10" t="n">
        <x:v>0</x:v>
      </x:c>
      <x:c r="K8" s="10" t="n">
        <x:v>0</x:v>
      </x:c>
      <x:c r="L8" s="10" t="n">
        <x:v>0</x:v>
      </x:c>
      <x:c r="M8" s="10" t="n">
        <x:v>0</x:v>
      </x:c>
      <x:c r="N8" s="10" t="n">
        <x:v>0</x:v>
      </x:c>
      <x:c r="O8" s="20" t="n">
        <x:v>0.07</x:v>
      </x:c>
      <x:c r="P8" s="20" t="n">
        <x:v>0.07</x:v>
      </x:c>
      <x:c r="Q8" s="20" t="n">
        <x:v>0.06</x:v>
      </x:c>
      <x:c r="R8" s="20" t="n">
        <x:v>0.05</x:v>
      </x:c>
      <x:c r="S8" s="20" t="n">
        <x:v>0.05</x:v>
      </x:c>
      <x:c r="T8" s="20" t="n">
        <x:v>-0.05</x:v>
      </x:c>
      <x:c r="U8" s="20" t="n">
        <x:v>0.01</x:v>
      </x:c>
      <x:c r="V8" s="20" t="n">
        <x:v>0.02</x:v>
      </x:c>
      <x:c r="W8" s="20" t="n">
        <x:v>0.02</x:v>
      </x:c>
      <x:c r="X8" s="20" t="n">
        <x:v>0.02</x:v>
      </x:c>
      <x:c r="Y8" s="20" t="n">
        <x:v>0.88</x:v>
      </x:c>
      <x:c r="Z8" s="20" t="n">
        <x:v>0.88</x:v>
      </x:c>
      <x:c r="AA8" s="20" t="n">
        <x:v>0.88</x:v>
      </x:c>
      <x:c r="AB8" s="20" t="n">
        <x:v>0.88</x:v>
      </x:c>
      <x:c r="AC8" s="20" t="n">
        <x:v>0.88</x:v>
      </x:c>
      <x:c r="AD8" s="20" t="n">
        <x:v>0.26</x:v>
      </x:c>
      <x:c r="AE8" s="20" t="n">
        <x:v>0.27</x:v>
      </x:c>
      <x:c r="AF8" s="20" t="n">
        <x:v>0.27</x:v>
      </x:c>
      <x:c r="AG8" s="20" t="n">
        <x:v>0.27</x:v>
      </x:c>
      <x:c r="AH8" s="20" t="n">
        <x:v>0.27</x:v>
      </x:c>
      <x:c r="AI8" s="20" t="n">
        <x:v>0.07</x:v>
      </x:c>
      <x:c r="AJ8" s="20" t="n">
        <x:v>0.07</x:v>
      </x:c>
      <x:c r="AK8" s="20" t="n">
        <x:v>0.07</x:v>
      </x:c>
      <x:c r="AL8" s="20" t="n">
        <x:v>0.07</x:v>
      </x:c>
      <x:c r="AM8" s="20" t="n">
        <x:v>0.07</x:v>
      </x:c>
      <x:c r="AN8" s="20" t="n">
        <x:v>0.02</x:v>
      </x:c>
      <x:c r="AO8" s="20" t="n">
        <x:v>0.02</x:v>
      </x:c>
      <x:c r="AP8" s="20" t="n">
        <x:v>0.02</x:v>
      </x:c>
      <x:c r="AQ8" s="20" t="n">
        <x:v>0.02</x:v>
      </x:c>
      <x:c r="AR8" s="20" t="n">
        <x:v>0.02</x:v>
      </x:c>
    </x:row>
    <x:row r="9">
      <x:c r="A9" t="str">
        <x:v>NSSC</x:v>
      </x:c>
      <x:c r="B9" t="str">
        <x:v>Base</x:v>
      </x:c>
      <x:c r="C9" s="20" t="n">
        <x:v>0.1</x:v>
      </x:c>
      <x:c r="D9" s="20" t="n">
        <x:v>0.03</x:v>
      </x:c>
      <x:c r="E9" s="20" t="n">
        <x:v>0.3</x:v>
      </x:c>
      <x:c r="F9" s="20" t="n">
        <x:v>0.18</x:v>
      </x:c>
      <x:c r="G9" s="20" t="n">
        <x:v>0.011</x:v>
      </x:c>
      <x:c r="H9" s="20" t="n">
        <x:v>0.1</x:v>
      </x:c>
      <x:c r="I9" s="10" t="n">
        <x:v>0</x:v>
      </x:c>
      <x:c r="J9" s="10" t="n">
        <x:v>0</x:v>
      </x:c>
      <x:c r="K9" s="10" t="n">
        <x:v>0</x:v>
      </x:c>
      <x:c r="L9" s="10" t="n">
        <x:v>0</x:v>
      </x:c>
      <x:c r="M9" s="10" t="n">
        <x:v>0</x:v>
      </x:c>
      <x:c r="N9" s="10" t="n">
        <x:v>0</x:v>
      </x:c>
      <x:c r="O9" s="20" t="n">
        <x:v>0.13</x:v>
      </x:c>
      <x:c r="P9" s="20" t="n">
        <x:v>0.12</x:v>
      </x:c>
      <x:c r="Q9" s="20" t="n">
        <x:v>0.11</x:v>
      </x:c>
      <x:c r="R9" s="20" t="n">
        <x:v>0.1</x:v>
      </x:c>
      <x:c r="S9" s="20" t="n">
        <x:v>0.09</x:v>
      </x:c>
      <x:c r="T9" s="20" t="n">
        <x:v>0.02</x:v>
      </x:c>
      <x:c r="U9" s="20" t="n">
        <x:v>0.03</x:v>
      </x:c>
      <x:c r="V9" s="20" t="n">
        <x:v>0.03</x:v>
      </x:c>
      <x:c r="W9" s="20" t="n">
        <x:v>0.03</x:v>
      </x:c>
      <x:c r="X9" s="20" t="n">
        <x:v>0.03</x:v>
      </x:c>
      <x:c r="Y9" s="20" t="n">
        <x:v>0.903</x:v>
      </x:c>
      <x:c r="Z9" s="20" t="n">
        <x:v>0.903</x:v>
      </x:c>
      <x:c r="AA9" s="20" t="n">
        <x:v>0.903</x:v>
      </x:c>
      <x:c r="AB9" s="20" t="n">
        <x:v>0.903</x:v>
      </x:c>
      <x:c r="AC9" s="20" t="n">
        <x:v>0.903</x:v>
      </x:c>
      <x:c r="AD9" s="20" t="n">
        <x:v>0.292</x:v>
      </x:c>
      <x:c r="AE9" s="20" t="n">
        <x:v>0.295</x:v>
      </x:c>
      <x:c r="AF9" s="20" t="n">
        <x:v>0.3</x:v>
      </x:c>
      <x:c r="AG9" s="20" t="n">
        <x:v>0.3</x:v>
      </x:c>
      <x:c r="AH9" s="20" t="n">
        <x:v>0.3</x:v>
      </x:c>
      <x:c r="AI9" s="20" t="n">
        <x:v>0.055</x:v>
      </x:c>
      <x:c r="AJ9" s="20" t="n">
        <x:v>0.055</x:v>
      </x:c>
      <x:c r="AK9" s="20" t="n">
        <x:v>0.055</x:v>
      </x:c>
      <x:c r="AL9" s="20" t="n">
        <x:v>0.055</x:v>
      </x:c>
      <x:c r="AM9" s="20" t="n">
        <x:v>0.055</x:v>
      </x:c>
      <x:c r="AN9" s="20" t="n">
        <x:v>0.015</x:v>
      </x:c>
      <x:c r="AO9" s="20" t="n">
        <x:v>0.015</x:v>
      </x:c>
      <x:c r="AP9" s="20" t="n">
        <x:v>0.015</x:v>
      </x:c>
      <x:c r="AQ9" s="20" t="n">
        <x:v>0.015</x:v>
      </x:c>
      <x:c r="AR9" s="20" t="n">
        <x:v>0.015</x:v>
      </x:c>
    </x:row>
    <x:row r="10">
      <x:c r="A10" t="str">
        <x:v>NSSC</x:v>
      </x:c>
      <x:c r="B10" t="str">
        <x:v>Bull</x:v>
      </x:c>
      <x:c r="C10" s="20" t="n">
        <x:v>0.1</x:v>
      </x:c>
      <x:c r="D10" s="20" t="n">
        <x:v>0.03</x:v>
      </x:c>
      <x:c r="E10" s="20" t="n">
        <x:v>0.35</x:v>
      </x:c>
      <x:c r="F10" s="20" t="n">
        <x:v>0.16</x:v>
      </x:c>
      <x:c r="G10" s="20" t="n">
        <x:v>0.011</x:v>
      </x:c>
      <x:c r="H10" s="20" t="n">
        <x:v>0.08</x:v>
      </x:c>
      <x:c r="I10" s="10" t="n">
        <x:v>0</x:v>
      </x:c>
      <x:c r="J10" s="10" t="n">
        <x:v>0</x:v>
      </x:c>
      <x:c r="K10" s="10" t="n">
        <x:v>0</x:v>
      </x:c>
      <x:c r="L10" s="10" t="n">
        <x:v>0</x:v>
      </x:c>
      <x:c r="M10" s="10" t="n">
        <x:v>0</x:v>
      </x:c>
      <x:c r="N10" s="10" t="n">
        <x:v>0</x:v>
      </x:c>
      <x:c r="O10" s="20" t="n">
        <x:v>0.16</x:v>
      </x:c>
      <x:c r="P10" s="20" t="n">
        <x:v>0.16</x:v>
      </x:c>
      <x:c r="Q10" s="20" t="n">
        <x:v>0.15</x:v>
      </x:c>
      <x:c r="R10" s="20" t="n">
        <x:v>0.14</x:v>
      </x:c>
      <x:c r="S10" s="20" t="n">
        <x:v>0.13</x:v>
      </x:c>
      <x:c r="T10" s="20" t="n">
        <x:v>0.06</x:v>
      </x:c>
      <x:c r="U10" s="20" t="n">
        <x:v>0.06</x:v>
      </x:c>
      <x:c r="V10" s="20" t="n">
        <x:v>0.06</x:v>
      </x:c>
      <x:c r="W10" s="20" t="n">
        <x:v>0.05</x:v>
      </x:c>
      <x:c r="X10" s="20" t="n">
        <x:v>0.05</x:v>
      </x:c>
      <x:c r="Y10" s="20" t="n">
        <x:v>0.91</x:v>
      </x:c>
      <x:c r="Z10" s="20" t="n">
        <x:v>0.91</x:v>
      </x:c>
      <x:c r="AA10" s="20" t="n">
        <x:v>0.91</x:v>
      </x:c>
      <x:c r="AB10" s="20" t="n">
        <x:v>0.91</x:v>
      </x:c>
      <x:c r="AC10" s="20" t="n">
        <x:v>0.91</x:v>
      </x:c>
      <x:c r="AD10" s="20" t="n">
        <x:v>0.31</x:v>
      </x:c>
      <x:c r="AE10" s="20" t="n">
        <x:v>0.32</x:v>
      </x:c>
      <x:c r="AF10" s="20" t="n">
        <x:v>0.33</x:v>
      </x:c>
      <x:c r="AG10" s="20" t="n">
        <x:v>0.33</x:v>
      </x:c>
      <x:c r="AH10" s="20" t="n">
        <x:v>0.33</x:v>
      </x:c>
      <x:c r="AI10" s="20" t="n">
        <x:v>0.055</x:v>
      </x:c>
      <x:c r="AJ10" s="20" t="n">
        <x:v>0.055</x:v>
      </x:c>
      <x:c r="AK10" s="20" t="n">
        <x:v>0.055</x:v>
      </x:c>
      <x:c r="AL10" s="20" t="n">
        <x:v>0.055</x:v>
      </x:c>
      <x:c r="AM10" s="20" t="n">
        <x:v>0.055</x:v>
      </x:c>
      <x:c r="AN10" s="20" t="n">
        <x:v>0.014</x:v>
      </x:c>
      <x:c r="AO10" s="20" t="n">
        <x:v>0.014</x:v>
      </x:c>
      <x:c r="AP10" s="20" t="n">
        <x:v>0.014</x:v>
      </x:c>
      <x:c r="AQ10" s="20" t="n">
        <x:v>0.014</x:v>
      </x:c>
      <x:c r="AR10" s="20" t="n">
        <x:v>0.014</x:v>
      </x:c>
    </x:row>
    <x:row r="11">
      <x:c r="A11" t="str">
        <x:v>APPF</x:v>
      </x:c>
      <x:c r="B11" t="str">
        <x:v>Bear</x:v>
      </x:c>
      <x:c r="C11" s="20" t="n">
        <x:v>0.1</x:v>
      </x:c>
      <x:c r="D11" s="20" t="n">
        <x:v>0.03</x:v>
      </x:c>
      <x:c r="E11" s="20" t="n">
        <x:v>0.25</x:v>
      </x:c>
      <x:c r="F11" s="20" t="n">
        <x:v>0.26</x:v>
      </x:c>
      <x:c r="G11" s="20" t="n">
        <x:v>0.012</x:v>
      </x:c>
      <x:c r="H11" s="20" t="n">
        <x:v>0.04</x:v>
      </x:c>
      <x:c r="I11" s="10" t="n">
        <x:v>0</x:v>
      </x:c>
      <x:c r="J11" s="10" t="n">
        <x:v>0</x:v>
      </x:c>
      <x:c r="K11" s="10" t="n">
        <x:v>0</x:v>
      </x:c>
      <x:c r="L11" s="10" t="n">
        <x:v>0</x:v>
      </x:c>
      <x:c r="M11" s="10" t="n">
        <x:v>0</x:v>
      </x:c>
      <x:c r="N11" s="10" t="n">
        <x:v>0</x:v>
      </x:c>
      <x:c r="O11" s="20" t="n">
        <x:v>0.1</x:v>
      </x:c>
      <x:c r="P11" s="20" t="n">
        <x:v>0.09</x:v>
      </x:c>
      <x:c r="Q11" s="20" t="n">
        <x:v>0.08</x:v>
      </x:c>
      <x:c r="R11" s="20" t="n">
        <x:v>0.07</x:v>
      </x:c>
      <x:c r="S11" s="20" t="n">
        <x:v>0.06</x:v>
      </x:c>
      <x:c r="T11" s="20" t="n">
        <x:v>0</x:v>
      </x:c>
      <x:c r="U11" s="20" t="n">
        <x:v>0</x:v>
      </x:c>
      <x:c r="V11" s="20" t="n">
        <x:v>0</x:v>
      </x:c>
      <x:c r="W11" s="20" t="n">
        <x:v>0</x:v>
      </x:c>
      <x:c r="X11" s="20" t="n">
        <x:v>0</x:v>
      </x:c>
      <x:c r="Y11" s="20" t="n">
        <x:v>0.18</x:v>
      </x:c>
      <x:c r="Z11" s="20" t="n">
        <x:v>0.18</x:v>
      </x:c>
      <x:c r="AA11" s="20" t="n">
        <x:v>0.185</x:v>
      </x:c>
      <x:c r="AB11" s="20" t="n">
        <x:v>0.19</x:v>
      </x:c>
      <x:c r="AC11" s="20" t="n">
        <x:v>0.19</x:v>
      </x:c>
      <x:c r="AD11" s="20" t="n">
        <x:v>0</x:v>
      </x:c>
      <x:c r="AE11" s="20" t="n">
        <x:v>0</x:v>
      </x:c>
      <x:c r="AF11" s="20" t="n">
        <x:v>0</x:v>
      </x:c>
      <x:c r="AG11" s="20" t="n">
        <x:v>0</x:v>
      </x:c>
      <x:c r="AH11" s="20" t="n">
        <x:v>0</x:v>
      </x:c>
      <x:c r="AI11" s="20" t="n">
        <x:v>0</x:v>
      </x:c>
      <x:c r="AJ11" s="20" t="n">
        <x:v>0</x:v>
      </x:c>
      <x:c r="AK11" s="20" t="n">
        <x:v>0</x:v>
      </x:c>
      <x:c r="AL11" s="20" t="n">
        <x:v>0</x:v>
      </x:c>
      <x:c r="AM11" s="20" t="n">
        <x:v>0</x:v>
      </x:c>
      <x:c r="AN11" s="20" t="n">
        <x:v>0.015</x:v>
      </x:c>
      <x:c r="AO11" s="20" t="n">
        <x:v>0.015</x:v>
      </x:c>
      <x:c r="AP11" s="20" t="n">
        <x:v>0.015</x:v>
      </x:c>
      <x:c r="AQ11" s="20" t="n">
        <x:v>0.015</x:v>
      </x:c>
      <x:c r="AR11" s="20" t="n">
        <x:v>0.015</x:v>
      </x:c>
    </x:row>
    <x:row r="12">
      <x:c r="A12" t="str">
        <x:v>APPF</x:v>
      </x:c>
      <x:c r="B12" t="str">
        <x:v>Base</x:v>
      </x:c>
      <x:c r="C12" s="20" t="n">
        <x:v>0.1</x:v>
      </x:c>
      <x:c r="D12" s="20" t="n">
        <x:v>0.03</x:v>
      </x:c>
      <x:c r="E12" s="20" t="n">
        <x:v>0.35</x:v>
      </x:c>
      <x:c r="F12" s="20" t="n">
        <x:v>0.25</x:v>
      </x:c>
      <x:c r="G12" s="20" t="n">
        <x:v>0.012</x:v>
      </x:c>
      <x:c r="H12" s="20" t="n">
        <x:v>0.04</x:v>
      </x:c>
      <x:c r="I12" s="10" t="n">
        <x:v>0</x:v>
      </x:c>
      <x:c r="J12" s="10" t="n">
        <x:v>0</x:v>
      </x:c>
      <x:c r="K12" s="10" t="n">
        <x:v>0</x:v>
      </x:c>
      <x:c r="L12" s="10" t="n">
        <x:v>0</x:v>
      </x:c>
      <x:c r="M12" s="10" t="n">
        <x:v>0</x:v>
      </x:c>
      <x:c r="N12" s="10" t="n">
        <x:v>0</x:v>
      </x:c>
      <x:c r="O12" s="20" t="n">
        <x:v>0.16</x:v>
      </x:c>
      <x:c r="P12" s="20" t="n">
        <x:v>0.15</x:v>
      </x:c>
      <x:c r="Q12" s="20" t="n">
        <x:v>0.14</x:v>
      </x:c>
      <x:c r="R12" s="20" t="n">
        <x:v>0.12</x:v>
      </x:c>
      <x:c r="S12" s="20" t="n">
        <x:v>0.1</x:v>
      </x:c>
      <x:c r="T12" s="20" t="n">
        <x:v>0</x:v>
      </x:c>
      <x:c r="U12" s="20" t="n">
        <x:v>0</x:v>
      </x:c>
      <x:c r="V12" s="20" t="n">
        <x:v>0</x:v>
      </x:c>
      <x:c r="W12" s="20" t="n">
        <x:v>0</x:v>
      </x:c>
      <x:c r="X12" s="20" t="n">
        <x:v>0</x:v>
      </x:c>
      <x:c r="Y12" s="20" t="n">
        <x:v>0.205</x:v>
      </x:c>
      <x:c r="Z12" s="20" t="n">
        <x:v>0.22</x:v>
      </x:c>
      <x:c r="AA12" s="20" t="n">
        <x:v>0.23</x:v>
      </x:c>
      <x:c r="AB12" s="20" t="n">
        <x:v>0.24</x:v>
      </x:c>
      <x:c r="AC12" s="20" t="n">
        <x:v>0.245</x:v>
      </x:c>
      <x:c r="AD12" s="20" t="n">
        <x:v>0</x:v>
      </x:c>
      <x:c r="AE12" s="20" t="n">
        <x:v>0</x:v>
      </x:c>
      <x:c r="AF12" s="20" t="n">
        <x:v>0</x:v>
      </x:c>
      <x:c r="AG12" s="20" t="n">
        <x:v>0</x:v>
      </x:c>
      <x:c r="AH12" s="20" t="n">
        <x:v>0</x:v>
      </x:c>
      <x:c r="AI12" s="20" t="n">
        <x:v>0</x:v>
      </x:c>
      <x:c r="AJ12" s="20" t="n">
        <x:v>0</x:v>
      </x:c>
      <x:c r="AK12" s="20" t="n">
        <x:v>0</x:v>
      </x:c>
      <x:c r="AL12" s="20" t="n">
        <x:v>0</x:v>
      </x:c>
      <x:c r="AM12" s="20" t="n">
        <x:v>0</x:v>
      </x:c>
      <x:c r="AN12" s="20" t="n">
        <x:v>0.015</x:v>
      </x:c>
      <x:c r="AO12" s="20" t="n">
        <x:v>0.015</x:v>
      </x:c>
      <x:c r="AP12" s="20" t="n">
        <x:v>0.015</x:v>
      </x:c>
      <x:c r="AQ12" s="20" t="n">
        <x:v>0.015</x:v>
      </x:c>
      <x:c r="AR12" s="20" t="n">
        <x:v>0.015</x:v>
      </x:c>
    </x:row>
    <x:row r="13">
      <x:c r="A13" t="str">
        <x:v>APPF</x:v>
      </x:c>
      <x:c r="B13" t="str">
        <x:v>Bull</x:v>
      </x:c>
      <x:c r="C13" s="20" t="n">
        <x:v>0.1</x:v>
      </x:c>
      <x:c r="D13" s="20" t="n">
        <x:v>0.03</x:v>
      </x:c>
      <x:c r="E13" s="20" t="n">
        <x:v>0.4</x:v>
      </x:c>
      <x:c r="F13" s="20" t="n">
        <x:v>0.24</x:v>
      </x:c>
      <x:c r="G13" s="20" t="n">
        <x:v>0.012</x:v>
      </x:c>
      <x:c r="H13" s="20" t="n">
        <x:v>0.035</x:v>
      </x:c>
      <x:c r="I13" s="10" t="n">
        <x:v>0</x:v>
      </x:c>
      <x:c r="J13" s="10" t="n">
        <x:v>0</x:v>
      </x:c>
      <x:c r="K13" s="10" t="n">
        <x:v>0</x:v>
      </x:c>
      <x:c r="L13" s="10" t="n">
        <x:v>0</x:v>
      </x:c>
      <x:c r="M13" s="10" t="n">
        <x:v>0</x:v>
      </x:c>
      <x:c r="N13" s="10" t="n">
        <x:v>0</x:v>
      </x:c>
      <x:c r="O13" s="20" t="n">
        <x:v>0.2</x:v>
      </x:c>
      <x:c r="P13" s="20" t="n">
        <x:v>0.19</x:v>
      </x:c>
      <x:c r="Q13" s="20" t="n">
        <x:v>0.18</x:v>
      </x:c>
      <x:c r="R13" s="20" t="n">
        <x:v>0.17</x:v>
      </x:c>
      <x:c r="S13" s="20" t="n">
        <x:v>0.15</x:v>
      </x:c>
      <x:c r="T13" s="20" t="n">
        <x:v>0</x:v>
      </x:c>
      <x:c r="U13" s="20" t="n">
        <x:v>0</x:v>
      </x:c>
      <x:c r="V13" s="20" t="n">
        <x:v>0</x:v>
      </x:c>
      <x:c r="W13" s="20" t="n">
        <x:v>0</x:v>
      </x:c>
      <x:c r="X13" s="20" t="n">
        <x:v>0</x:v>
      </x:c>
      <x:c r="Y13" s="20" t="n">
        <x:v>0.22</x:v>
      </x:c>
      <x:c r="Z13" s="20" t="n">
        <x:v>0.24</x:v>
      </x:c>
      <x:c r="AA13" s="20" t="n">
        <x:v>0.26</x:v>
      </x:c>
      <x:c r="AB13" s="20" t="n">
        <x:v>0.28</x:v>
      </x:c>
      <x:c r="AC13" s="20" t="n">
        <x:v>0.29</x:v>
      </x:c>
      <x:c r="AD13" s="20" t="n">
        <x:v>0</x:v>
      </x:c>
      <x:c r="AE13" s="20" t="n">
        <x:v>0</x:v>
      </x:c>
      <x:c r="AF13" s="20" t="n">
        <x:v>0</x:v>
      </x:c>
      <x:c r="AG13" s="20" t="n">
        <x:v>0</x:v>
      </x:c>
      <x:c r="AH13" s="20" t="n">
        <x:v>0</x:v>
      </x:c>
      <x:c r="AI13" s="20" t="n">
        <x:v>0</x:v>
      </x:c>
      <x:c r="AJ13" s="20" t="n">
        <x:v>0</x:v>
      </x:c>
      <x:c r="AK13" s="20" t="n">
        <x:v>0</x:v>
      </x:c>
      <x:c r="AL13" s="20" t="n">
        <x:v>0</x:v>
      </x:c>
      <x:c r="AM13" s="20" t="n">
        <x:v>0</x:v>
      </x:c>
      <x:c r="AN13" s="20" t="n">
        <x:v>0.015</x:v>
      </x:c>
      <x:c r="AO13" s="20" t="n">
        <x:v>0.015</x:v>
      </x:c>
      <x:c r="AP13" s="20" t="n">
        <x:v>0.015</x:v>
      </x:c>
      <x:c r="AQ13" s="20" t="n">
        <x:v>0.015</x:v>
      </x:c>
      <x:c r="AR13" s="20" t="n">
        <x:v>0.015</x:v>
      </x:c>
    </x:row>
    <x:row r="14">
      <x:c r="A14" t="str">
        <x:v>MOD</x:v>
      </x:c>
      <x:c r="B14" t="str">
        <x:v>Bear</x:v>
      </x:c>
      <x:c r="C14" s="20" t="n">
        <x:v>0.105</x:v>
      </x:c>
      <x:c r="D14" s="20" t="n">
        <x:v>0.03</x:v>
      </x:c>
      <x:c r="E14" s="20" t="n">
        <x:v>0.15</x:v>
      </x:c>
      <x:c r="F14" s="20" t="n">
        <x:v>0.26</x:v>
      </x:c>
      <x:c r="G14" s="20" t="n">
        <x:v>0.03</x:v>
      </x:c>
      <x:c r="H14" s="20" t="n">
        <x:v>0.18</x:v>
      </x:c>
      <x:c r="I14" s="10" t="n">
        <x:v>15</x:v>
      </x:c>
      <x:c r="J14" s="10" t="n">
        <x:v>0</x:v>
      </x:c>
      <x:c r="K14" s="10" t="n">
        <x:v>0.7</x:v>
      </x:c>
      <x:c r="L14" s="10" t="n">
        <x:v>0</x:v>
      </x:c>
      <x:c r="M14" s="10" t="n">
        <x:v>0</x:v>
      </x:c>
      <x:c r="N14" s="10" t="n">
        <x:v>0</x:v>
      </x:c>
      <x:c r="O14" s="20" t="n">
        <x:v>0.2</x:v>
      </x:c>
      <x:c r="P14" s="20" t="n">
        <x:v>0.15</x:v>
      </x:c>
      <x:c r="Q14" s="20" t="n">
        <x:v>0.1</x:v>
      </x:c>
      <x:c r="R14" s="20" t="n">
        <x:v>0.08</x:v>
      </x:c>
      <x:c r="S14" s="20" t="n">
        <x:v>0.06</x:v>
      </x:c>
      <x:c r="T14" s="20" t="n">
        <x:v>0.03</x:v>
      </x:c>
      <x:c r="U14" s="20" t="n">
        <x:v>0.03</x:v>
      </x:c>
      <x:c r="V14" s="20" t="n">
        <x:v>0.03</x:v>
      </x:c>
      <x:c r="W14" s="20" t="n">
        <x:v>0.03</x:v>
      </x:c>
      <x:c r="X14" s="20" t="n">
        <x:v>0.03</x:v>
      </x:c>
      <x:c r="Y14" s="20" t="n">
        <x:v>0.14</x:v>
      </x:c>
      <x:c r="Z14" s="20" t="n">
        <x:v>0.15</x:v>
      </x:c>
      <x:c r="AA14" s="20" t="n">
        <x:v>0.15</x:v>
      </x:c>
      <x:c r="AB14" s="20" t="n">
        <x:v>0.15</x:v>
      </x:c>
      <x:c r="AC14" s="20" t="n">
        <x:v>0.15</x:v>
      </x:c>
      <x:c r="AD14" s="20" t="n">
        <x:v>0.115</x:v>
      </x:c>
      <x:c r="AE14" s="20" t="n">
        <x:v>0.115</x:v>
      </x:c>
      <x:c r="AF14" s="20" t="n">
        <x:v>0.115</x:v>
      </x:c>
      <x:c r="AG14" s="20" t="n">
        <x:v>0.115</x:v>
      </x:c>
      <x:c r="AH14" s="20" t="n">
        <x:v>0.115</x:v>
      </x:c>
      <x:c r="AI14" s="20" t="n">
        <x:v>0.05</x:v>
      </x:c>
      <x:c r="AJ14" s="20" t="n">
        <x:v>0.05</x:v>
      </x:c>
      <x:c r="AK14" s="20" t="n">
        <x:v>0.05</x:v>
      </x:c>
      <x:c r="AL14" s="20" t="n">
        <x:v>0.05</x:v>
      </x:c>
      <x:c r="AM14" s="20" t="n">
        <x:v>0.05</x:v>
      </x:c>
      <x:c r="AN14" s="20" t="n">
        <x:v>0.07</x:v>
      </x:c>
      <x:c r="AO14" s="20" t="n">
        <x:v>0.065</x:v>
      </x:c>
      <x:c r="AP14" s="20" t="n">
        <x:v>0.055</x:v>
      </x:c>
      <x:c r="AQ14" s="20" t="n">
        <x:v>0.05</x:v>
      </x:c>
      <x:c r="AR14" s="20" t="n">
        <x:v>0.05</x:v>
      </x:c>
    </x:row>
    <x:row r="15">
      <x:c r="A15" t="str">
        <x:v>MOD</x:v>
      </x:c>
      <x:c r="B15" t="str">
        <x:v>Base</x:v>
      </x:c>
      <x:c r="C15" s="20" t="n">
        <x:v>0.105</x:v>
      </x:c>
      <x:c r="D15" s="20" t="n">
        <x:v>0.03</x:v>
      </x:c>
      <x:c r="E15" s="20" t="n">
        <x:v>0.22</x:v>
      </x:c>
      <x:c r="F15" s="20" t="n">
        <x:v>0.25</x:v>
      </x:c>
      <x:c r="G15" s="20" t="n">
        <x:v>0.03</x:v>
      </x:c>
      <x:c r="H15" s="20" t="n">
        <x:v>0.15</x:v>
      </x:c>
      <x:c r="I15" s="10" t="n">
        <x:v>0</x:v>
      </x:c>
      <x:c r="J15" s="10" t="n">
        <x:v>0</x:v>
      </x:c>
      <x:c r="K15" s="10" t="n">
        <x:v>1</x:v>
      </x:c>
      <x:c r="L15" s="10" t="n">
        <x:v>0</x:v>
      </x:c>
      <x:c r="M15" s="10" t="n">
        <x:v>0</x:v>
      </x:c>
      <x:c r="N15" s="10" t="n">
        <x:v>0</x:v>
      </x:c>
      <x:c r="O15" s="20" t="n">
        <x:v>0.43</x:v>
      </x:c>
      <x:c r="P15" s="20" t="n">
        <x:v>0.28</x:v>
      </x:c>
      <x:c r="Q15" s="20" t="n">
        <x:v>0.23</x:v>
      </x:c>
      <x:c r="R15" s="20" t="n">
        <x:v>0.18</x:v>
      </x:c>
      <x:c r="S15" s="20" t="n">
        <x:v>0.15</x:v>
      </x:c>
      <x:c r="T15" s="20" t="n">
        <x:v>0.1</x:v>
      </x:c>
      <x:c r="U15" s="20" t="n">
        <x:v>0.06</x:v>
      </x:c>
      <x:c r="V15" s="20" t="n">
        <x:v>0.05</x:v>
      </x:c>
      <x:c r="W15" s="20" t="n">
        <x:v>0.05</x:v>
      </x:c>
      <x:c r="X15" s="20" t="n">
        <x:v>0.04</x:v>
      </x:c>
      <x:c r="Y15" s="20" t="n">
        <x:v>0.18</x:v>
      </x:c>
      <x:c r="Z15" s="20" t="n">
        <x:v>0.2</x:v>
      </x:c>
      <x:c r="AA15" s="20" t="n">
        <x:v>0.215</x:v>
      </x:c>
      <x:c r="AB15" s="20" t="n">
        <x:v>0.22</x:v>
      </x:c>
      <x:c r="AC15" s="20" t="n">
        <x:v>0.22</x:v>
      </x:c>
      <x:c r="AD15" s="20" t="n">
        <x:v>0.14</x:v>
      </x:c>
      <x:c r="AE15" s="20" t="n">
        <x:v>0.145</x:v>
      </x:c>
      <x:c r="AF15" s="20" t="n">
        <x:v>0.15</x:v>
      </x:c>
      <x:c r="AG15" s="20" t="n">
        <x:v>0.15</x:v>
      </x:c>
      <x:c r="AH15" s="20" t="n">
        <x:v>0.15</x:v>
      </x:c>
      <x:c r="AI15" s="20" t="n">
        <x:v>0.05</x:v>
      </x:c>
      <x:c r="AJ15" s="20" t="n">
        <x:v>0.05</x:v>
      </x:c>
      <x:c r="AK15" s="20" t="n">
        <x:v>0.05</x:v>
      </x:c>
      <x:c r="AL15" s="20" t="n">
        <x:v>0.05</x:v>
      </x:c>
      <x:c r="AM15" s="20" t="n">
        <x:v>0.05</x:v>
      </x:c>
      <x:c r="AN15" s="20" t="n">
        <x:v>0.065</x:v>
      </x:c>
      <x:c r="AO15" s="20" t="n">
        <x:v>0.06</x:v>
      </x:c>
      <x:c r="AP15" s="20" t="n">
        <x:v>0.055</x:v>
      </x:c>
      <x:c r="AQ15" s="20" t="n">
        <x:v>0.05</x:v>
      </x:c>
      <x:c r="AR15" s="20" t="n">
        <x:v>0.045</x:v>
      </x:c>
    </x:row>
    <x:row r="16">
      <x:c r="A16" t="str">
        <x:v>MOD</x:v>
      </x:c>
      <x:c r="B16" t="str">
        <x:v>Bull</x:v>
      </x:c>
      <x:c r="C16" s="20" t="n">
        <x:v>0.105</x:v>
      </x:c>
      <x:c r="D16" s="20" t="n">
        <x:v>0.03</x:v>
      </x:c>
      <x:c r="E16" s="20" t="n">
        <x:v>0.27</x:v>
      </x:c>
      <x:c r="F16" s="20" t="n">
        <x:v>0.24</x:v>
      </x:c>
      <x:c r="G16" s="20" t="n">
        <x:v>0.03</x:v>
      </x:c>
      <x:c r="H16" s="20" t="n">
        <x:v>0.12</x:v>
      </x:c>
      <x:c r="I16" s="10" t="n">
        <x:v>0</x:v>
      </x:c>
      <x:c r="J16" s="10" t="n">
        <x:v>0</x:v>
      </x:c>
      <x:c r="K16" s="10" t="n">
        <x:v>1.1</x:v>
      </x:c>
      <x:c r="L16" s="10" t="n">
        <x:v>0</x:v>
      </x:c>
      <x:c r="M16" s="10" t="n">
        <x:v>0</x:v>
      </x:c>
      <x:c r="N16" s="10" t="n">
        <x:v>0</x:v>
      </x:c>
      <x:c r="O16" s="20" t="n">
        <x:v>0.6</x:v>
      </x:c>
      <x:c r="P16" s="20" t="n">
        <x:v>0.35</x:v>
      </x:c>
      <x:c r="Q16" s="20" t="n">
        <x:v>0.3</x:v>
      </x:c>
      <x:c r="R16" s="20" t="n">
        <x:v>0.25</x:v>
      </x:c>
      <x:c r="S16" s="20" t="n">
        <x:v>0.2</x:v>
      </x:c>
      <x:c r="T16" s="20" t="n">
        <x:v>0.12</x:v>
      </x:c>
      <x:c r="U16" s="20" t="n">
        <x:v>0.07</x:v>
      </x:c>
      <x:c r="V16" s="20" t="n">
        <x:v>0.06</x:v>
      </x:c>
      <x:c r="W16" s="20" t="n">
        <x:v>0.05</x:v>
      </x:c>
      <x:c r="X16" s="20" t="n">
        <x:v>0.05</x:v>
      </x:c>
      <x:c r="Y16" s="20" t="n">
        <x:v>0.21</x:v>
      </x:c>
      <x:c r="Z16" s="20" t="n">
        <x:v>0.23</x:v>
      </x:c>
      <x:c r="AA16" s="20" t="n">
        <x:v>0.245</x:v>
      </x:c>
      <x:c r="AB16" s="20" t="n">
        <x:v>0.25</x:v>
      </x:c>
      <x:c r="AC16" s="20" t="n">
        <x:v>0.25</x:v>
      </x:c>
      <x:c r="AD16" s="20" t="n">
        <x:v>0.15</x:v>
      </x:c>
      <x:c r="AE16" s="20" t="n">
        <x:v>0.155</x:v>
      </x:c>
      <x:c r="AF16" s="20" t="n">
        <x:v>0.16</x:v>
      </x:c>
      <x:c r="AG16" s="20" t="n">
        <x:v>0.16</x:v>
      </x:c>
      <x:c r="AH16" s="20" t="n">
        <x:v>0.16</x:v>
      </x:c>
      <x:c r="AI16" s="20" t="n">
        <x:v>0.05</x:v>
      </x:c>
      <x:c r="AJ16" s="20" t="n">
        <x:v>0.05</x:v>
      </x:c>
      <x:c r="AK16" s="20" t="n">
        <x:v>0.05</x:v>
      </x:c>
      <x:c r="AL16" s="20" t="n">
        <x:v>0.05</x:v>
      </x:c>
      <x:c r="AM16" s="20" t="n">
        <x:v>0.05</x:v>
      </x:c>
      <x:c r="AN16" s="20" t="n">
        <x:v>0.065</x:v>
      </x:c>
      <x:c r="AO16" s="20" t="n">
        <x:v>0.06</x:v>
      </x:c>
      <x:c r="AP16" s="20" t="n">
        <x:v>0.055</x:v>
      </x:c>
      <x:c r="AQ16" s="20" t="n">
        <x:v>0.05</x:v>
      </x:c>
      <x:c r="AR16" s="20" t="n">
        <x:v>0.045</x:v>
      </x:c>
    </x:row>
    <x:row r="17">
      <x:c r="A17" t="str">
        <x:v>POWL</x:v>
      </x:c>
      <x:c r="B17" t="str">
        <x:v>Bear</x:v>
      </x:c>
      <x:c r="C17" s="20" t="n">
        <x:v>0.105</x:v>
      </x:c>
      <x:c r="D17" s="20" t="n">
        <x:v>0.03</x:v>
      </x:c>
      <x:c r="E17" s="20" t="n">
        <x:v>0.18</x:v>
      </x:c>
      <x:c r="F17" s="20" t="n">
        <x:v>0.25</x:v>
      </x:c>
      <x:c r="G17" s="20" t="n">
        <x:v>0.008</x:v>
      </x:c>
      <x:c r="H17" s="20" t="n">
        <x:v>0.12</x:v>
      </x:c>
      <x:c r="I17" s="10" t="n">
        <x:v>0</x:v>
      </x:c>
      <x:c r="J17" s="10" t="n">
        <x:v>0</x:v>
      </x:c>
      <x:c r="K17" s="10" t="n">
        <x:v>0</x:v>
      </x:c>
      <x:c r="L17" s="10" t="n">
        <x:v>1</x:v>
      </x:c>
      <x:c r="M17" s="10" t="n">
        <x:v>1170</x:v>
      </x:c>
      <x:c r="N17" s="10" t="n">
        <x:v>130</x:v>
      </x:c>
      <x:c r="O17" s="20" t="n">
        <x:v>0</x:v>
      </x:c>
      <x:c r="P17" s="20" t="n">
        <x:v>0.03</x:v>
      </x:c>
      <x:c r="Q17" s="20" t="n">
        <x:v>0.03</x:v>
      </x:c>
      <x:c r="R17" s="20" t="n">
        <x:v>0.03</x:v>
      </x:c>
      <x:c r="S17" s="20" t="n">
        <x:v>0.03</x:v>
      </x:c>
      <x:c r="T17" s="20" t="n">
        <x:v>0</x:v>
      </x:c>
      <x:c r="U17" s="20" t="n">
        <x:v>0</x:v>
      </x:c>
      <x:c r="V17" s="20" t="n">
        <x:v>0</x:v>
      </x:c>
      <x:c r="W17" s="20" t="n">
        <x:v>0</x:v>
      </x:c>
      <x:c r="X17" s="20" t="n">
        <x:v>0</x:v>
      </x:c>
      <x:c r="Y17" s="20" t="n">
        <x:v>0.185</x:v>
      </x:c>
      <x:c r="Z17" s="20" t="n">
        <x:v>0.18</x:v>
      </x:c>
      <x:c r="AA17" s="20" t="n">
        <x:v>0.18</x:v>
      </x:c>
      <x:c r="AB17" s="20" t="n">
        <x:v>0.18</x:v>
      </x:c>
      <x:c r="AC17" s="20" t="n">
        <x:v>0.18</x:v>
      </x:c>
      <x:c r="AD17" s="20" t="n">
        <x:v>0</x:v>
      </x:c>
      <x:c r="AE17" s="20" t="n">
        <x:v>0</x:v>
      </x:c>
      <x:c r="AF17" s="20" t="n">
        <x:v>0</x:v>
      </x:c>
      <x:c r="AG17" s="20" t="n">
        <x:v>0</x:v>
      </x:c>
      <x:c r="AH17" s="20" t="n">
        <x:v>0</x:v>
      </x:c>
      <x:c r="AI17" s="20" t="n">
        <x:v>0</x:v>
      </x:c>
      <x:c r="AJ17" s="20" t="n">
        <x:v>0</x:v>
      </x:c>
      <x:c r="AK17" s="20" t="n">
        <x:v>0</x:v>
      </x:c>
      <x:c r="AL17" s="20" t="n">
        <x:v>0</x:v>
      </x:c>
      <x:c r="AM17" s="20" t="n">
        <x:v>0</x:v>
      </x:c>
      <x:c r="AN17" s="20" t="n">
        <x:v>0.025</x:v>
      </x:c>
      <x:c r="AO17" s="20" t="n">
        <x:v>0.025</x:v>
      </x:c>
      <x:c r="AP17" s="20" t="n">
        <x:v>0.025</x:v>
      </x:c>
      <x:c r="AQ17" s="20" t="n">
        <x:v>0.025</x:v>
      </x:c>
      <x:c r="AR17" s="20" t="n">
        <x:v>0.025</x:v>
      </x:c>
    </x:row>
    <x:row r="18">
      <x:c r="A18" t="str">
        <x:v>POWL</x:v>
      </x:c>
      <x:c r="B18" t="str">
        <x:v>Base</x:v>
      </x:c>
      <x:c r="C18" s="20" t="n">
        <x:v>0.105</x:v>
      </x:c>
      <x:c r="D18" s="20" t="n">
        <x:v>0.03</x:v>
      </x:c>
      <x:c r="E18" s="20" t="n">
        <x:v>0.25</x:v>
      </x:c>
      <x:c r="F18" s="20" t="n">
        <x:v>0.24</x:v>
      </x:c>
      <x:c r="G18" s="20" t="n">
        <x:v>0.008</x:v>
      </x:c>
      <x:c r="H18" s="20" t="n">
        <x:v>0.1</x:v>
      </x:c>
      <x:c r="I18" s="10" t="n">
        <x:v>0</x:v>
      </x:c>
      <x:c r="J18" s="10" t="n">
        <x:v>0</x:v>
      </x:c>
      <x:c r="K18" s="10" t="n">
        <x:v>0</x:v>
      </x:c>
      <x:c r="L18" s="10" t="n">
        <x:v>1</x:v>
      </x:c>
      <x:c r="M18" s="10" t="n">
        <x:v>1300</x:v>
      </x:c>
      <x:c r="N18" s="10" t="n">
        <x:v>200</x:v>
      </x:c>
      <x:c r="O18" s="20" t="n">
        <x:v>0</x:v>
      </x:c>
      <x:c r="P18" s="20" t="n">
        <x:v>0.15</x:v>
      </x:c>
      <x:c r="Q18" s="20" t="n">
        <x:v>0.12</x:v>
      </x:c>
      <x:c r="R18" s="20" t="n">
        <x:v>0.1</x:v>
      </x:c>
      <x:c r="S18" s="20" t="n">
        <x:v>0.08</x:v>
      </x:c>
      <x:c r="T18" s="20" t="n">
        <x:v>0</x:v>
      </x:c>
      <x:c r="U18" s="20" t="n">
        <x:v>0</x:v>
      </x:c>
      <x:c r="V18" s="20" t="n">
        <x:v>0</x:v>
      </x:c>
      <x:c r="W18" s="20" t="n">
        <x:v>0</x:v>
      </x:c>
      <x:c r="X18" s="20" t="n">
        <x:v>0</x:v>
      </x:c>
      <x:c r="Y18" s="20" t="n">
        <x:v>0.21</x:v>
      </x:c>
      <x:c r="Z18" s="20" t="n">
        <x:v>0.22</x:v>
      </x:c>
      <x:c r="AA18" s="20" t="n">
        <x:v>0.22</x:v>
      </x:c>
      <x:c r="AB18" s="20" t="n">
        <x:v>0.215</x:v>
      </x:c>
      <x:c r="AC18" s="20" t="n">
        <x:v>0.21</x:v>
      </x:c>
      <x:c r="AD18" s="20" t="n">
        <x:v>0</x:v>
      </x:c>
      <x:c r="AE18" s="20" t="n">
        <x:v>0</x:v>
      </x:c>
      <x:c r="AF18" s="20" t="n">
        <x:v>0</x:v>
      </x:c>
      <x:c r="AG18" s="20" t="n">
        <x:v>0</x:v>
      </x:c>
      <x:c r="AH18" s="20" t="n">
        <x:v>0</x:v>
      </x:c>
      <x:c r="AI18" s="20" t="n">
        <x:v>0</x:v>
      </x:c>
      <x:c r="AJ18" s="20" t="n">
        <x:v>0</x:v>
      </x:c>
      <x:c r="AK18" s="20" t="n">
        <x:v>0</x:v>
      </x:c>
      <x:c r="AL18" s="20" t="n">
        <x:v>0</x:v>
      </x:c>
      <x:c r="AM18" s="20" t="n">
        <x:v>0</x:v>
      </x:c>
      <x:c r="AN18" s="20" t="n">
        <x:v>0.025</x:v>
      </x:c>
      <x:c r="AO18" s="20" t="n">
        <x:v>0.025</x:v>
      </x:c>
      <x:c r="AP18" s="20" t="n">
        <x:v>0.022</x:v>
      </x:c>
      <x:c r="AQ18" s="20" t="n">
        <x:v>0.02</x:v>
      </x:c>
      <x:c r="AR18" s="20" t="n">
        <x:v>0.02</x:v>
      </x:c>
    </x:row>
    <x:row r="19">
      <x:c r="A19" t="str">
        <x:v>POWL</x:v>
      </x:c>
      <x:c r="B19" t="str">
        <x:v>Bull</x:v>
      </x:c>
      <x:c r="C19" s="20" t="n">
        <x:v>0.105</x:v>
      </x:c>
      <x:c r="D19" s="20" t="n">
        <x:v>0.03</x:v>
      </x:c>
      <x:c r="E19" s="20" t="n">
        <x:v>0.3</x:v>
      </x:c>
      <x:c r="F19" s="20" t="n">
        <x:v>0.23</x:v>
      </x:c>
      <x:c r="G19" s="20" t="n">
        <x:v>0.008</x:v>
      </x:c>
      <x:c r="H19" s="20" t="n">
        <x:v>0.08</x:v>
      </x:c>
      <x:c r="I19" s="10" t="n">
        <x:v>0</x:v>
      </x:c>
      <x:c r="J19" s="10" t="n">
        <x:v>0</x:v>
      </x:c>
      <x:c r="K19" s="10" t="n">
        <x:v>0</x:v>
      </x:c>
      <x:c r="L19" s="10" t="n">
        <x:v>0.5</x:v>
      </x:c>
      <x:c r="M19" s="10" t="n">
        <x:v>1430</x:v>
      </x:c>
      <x:c r="N19" s="10" t="n">
        <x:v>300</x:v>
      </x:c>
      <x:c r="O19" s="20" t="n">
        <x:v>0</x:v>
      </x:c>
      <x:c r="P19" s="20" t="n">
        <x:v>0.2</x:v>
      </x:c>
      <x:c r="Q19" s="20" t="n">
        <x:v>0.17</x:v>
      </x:c>
      <x:c r="R19" s="20" t="n">
        <x:v>0.14</x:v>
      </x:c>
      <x:c r="S19" s="20" t="n">
        <x:v>0.1</x:v>
      </x:c>
      <x:c r="T19" s="20" t="n">
        <x:v>0</x:v>
      </x:c>
      <x:c r="U19" s="20" t="n">
        <x:v>0</x:v>
      </x:c>
      <x:c r="V19" s="20" t="n">
        <x:v>0</x:v>
      </x:c>
      <x:c r="W19" s="20" t="n">
        <x:v>0</x:v>
      </x:c>
      <x:c r="X19" s="20" t="n">
        <x:v>0</x:v>
      </x:c>
      <x:c r="Y19" s="20" t="n">
        <x:v>0.225</x:v>
      </x:c>
      <x:c r="Z19" s="20" t="n">
        <x:v>0.24</x:v>
      </x:c>
      <x:c r="AA19" s="20" t="n">
        <x:v>0.245</x:v>
      </x:c>
      <x:c r="AB19" s="20" t="n">
        <x:v>0.245</x:v>
      </x:c>
      <x:c r="AC19" s="20" t="n">
        <x:v>0.24</x:v>
      </x:c>
      <x:c r="AD19" s="20" t="n">
        <x:v>0</x:v>
      </x:c>
      <x:c r="AE19" s="20" t="n">
        <x:v>0</x:v>
      </x:c>
      <x:c r="AF19" s="20" t="n">
        <x:v>0</x:v>
      </x:c>
      <x:c r="AG19" s="20" t="n">
        <x:v>0</x:v>
      </x:c>
      <x:c r="AH19" s="20" t="n">
        <x:v>0</x:v>
      </x:c>
      <x:c r="AI19" s="20" t="n">
        <x:v>0</x:v>
      </x:c>
      <x:c r="AJ19" s="20" t="n">
        <x:v>0</x:v>
      </x:c>
      <x:c r="AK19" s="20" t="n">
        <x:v>0</x:v>
      </x:c>
      <x:c r="AL19" s="20" t="n">
        <x:v>0</x:v>
      </x:c>
      <x:c r="AM19" s="20" t="n">
        <x:v>0</x:v>
      </x:c>
      <x:c r="AN19" s="20" t="n">
        <x:v>0.027</x:v>
      </x:c>
      <x:c r="AO19" s="20" t="n">
        <x:v>0.025</x:v>
      </x:c>
      <x:c r="AP19" s="20" t="n">
        <x:v>0.022</x:v>
      </x:c>
      <x:c r="AQ19" s="20" t="n">
        <x:v>0.02</x:v>
      </x:c>
      <x:c r="AR19" s="20" t="n">
        <x:v>0.02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4" t="str">
        <x:v>MODEL CONVENTIONS | research assumptions</x:v>
      </x:c>
      <x:c r="B1" s="4"/>
      <x:c r="C1" s="4"/>
      <x:c r="D1" s="4"/>
    </x:row>
    <x:row r="3">
      <x:c r="A3" t="str">
        <x:v>Alternative enterprise discount</x:v>
      </x:c>
      <x:c r="B3" s="22" t="n">
        <x:v>0.12</x:v>
      </x:c>
    </x:row>
    <x:row r="4">
      <x:c r="A4" t="str">
        <x:v>Default exit EV / EBIT multiple</x:v>
      </x:c>
      <x:c r="B4" t="n">
        <x:v>18</x:v>
      </x:c>
    </x:row>
    <x:row r="5">
      <x:c r="A5" t="str">
        <x:v>Illustrative two-year equity return hurdle</x:v>
      </x:c>
      <x:c r="B5" s="22" t="n">
        <x:v>0.12</x:v>
      </x:c>
    </x:row>
    <x:row r="6">
      <x:c r="A6" t="str">
        <x:v>Years in detailed forecast</x:v>
      </x:c>
      <x:c r="B6" t="n">
        <x:v>10</x:v>
      </x:c>
    </x:row>
    <x:row r="8">
      <x:c r="A8" s="24" t="str">
        <x:v>No investment gate is passed. Values depend on forecasts and terminal assumptions. A 12% enterprise discount rate does not guarantee a 12% shareholder return. Two-year returns assume annual owner-cash distributions and an unverified exit multiple. No automation activated.</x:v>
      </x:c>
      <x:c r="B8" s="24"/>
      <x:c r="C8" s="24"/>
      <x:c r="D8" s="24"/>
    </x:row>
    <x:row r="9">
      <x:c r="A9" s="24"/>
      <x:c r="B9" s="24"/>
      <x:c r="C9" s="24"/>
      <x:c r="D9" s="24"/>
    </x:row>
    <x:row r="10">
      <x:c r="A10" s="24"/>
      <x:c r="B10" s="24"/>
      <x:c r="C10" s="24"/>
      <x:c r="D10" s="24"/>
    </x:row>
    <x:row r="11">
      <x:c r="A11" s="24"/>
      <x:c r="B11" s="24"/>
      <x:c r="C11" s="24"/>
      <x:c r="D11" s="24"/>
    </x:row>
    <x:row r="12">
      <x:c r="A12" s="24"/>
      <x:c r="B12" s="24"/>
      <x:c r="C12" s="24"/>
      <x:c r="D12" s="24"/>
    </x:row>
    <x:row r="13">
      <x:c r="A13" s="24"/>
      <x:c r="B13" s="24"/>
      <x:c r="C13" s="24"/>
      <x:c r="D13" s="24"/>
    </x:row>
  </x:sheetData>
  <x:mergeCells>
    <x:mergeCell ref="A1:D1"/>
    <x:mergeCell ref="A8:D1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9" customHeight="1">
      <x:c r="A1" s="18" t="str">
        <x:v>LMAT | NORMALIZED CASH FLOW | 10 forward economic years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</x:row>
    <x:row r="2" ht="31" customHeight="1">
      <x:c r="A2" s="24" t="str">
        <x:v>USD millions. Blue assumptions on Assumptions tab; recurring SBC stays expensed. Not a precisely fiscal-aligned earnings forecast.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</x:row>
    <x:row r="4" ht="29" customHeight="1">
      <x:c r="A4" s="27" t="str">
        <x:v>BEAR | conditional operating path, not probability band</x:v>
      </x:c>
      <x:c r="B4" s="27"/>
      <x:c r="C4" s="27"/>
      <x:c r="D4" s="27"/>
      <x:c r="E4" s="27"/>
      <x:c r="F4" s="27"/>
      <x:c r="G4" s="27"/>
      <x:c r="H4" s="27"/>
      <x:c r="I4" s="27"/>
      <x:c r="J4" s="27"/>
      <x:c r="K4" s="27"/>
    </x:row>
    <x:row r="6">
      <x:c r="A6" t="str">
        <x:v>Discount rate</x:v>
      </x:c>
      <x:c r="B6" s="22" t="n">
        <x:f>'Assumptions'!$C$2</x:f>
        <x:v>0.1</x:v>
      </x:c>
      <x:c r="C6" t="str">
        <x:v>Terminal growth</x:v>
      </x:c>
      <x:c r="D6" s="22" t="n">
        <x:f>'Assumptions'!$D$2</x:f>
        <x:v>0.03</x:v>
      </x:c>
      <x:c r="E6" t="str">
        <x:v>Tax</x:v>
      </x:c>
      <x:c r="F6" s="22" t="n">
        <x:f>'Assumptions'!$F$2</x:f>
        <x:v>0.25</x:v>
      </x:c>
      <x:c r="G6" t="str">
        <x:v>Terminal ROIC</x:v>
      </x:c>
      <x:c r="H6" s="22" t="n">
        <x:f>'Assumptions'!$E$2</x:f>
        <x:v>0.2</x:v>
      </x:c>
      <x:c r="I6"/>
      <x:c r="J6"/>
      <x:c r="K6"/>
    </x:row>
    <x:row r="8" ht="24" customHeight="1">
      <x:c r="A8" s="31" t="str">
        <x:v>Economic year</x:v>
      </x:c>
      <x:c r="B8" s="31" t="n">
        <x:v>1</x:v>
      </x:c>
      <x:c r="C8" s="31" t="n">
        <x:v>2</x:v>
      </x:c>
      <x:c r="D8" s="31" t="n">
        <x:v>3</x:v>
      </x:c>
      <x:c r="E8" s="31" t="n">
        <x:v>4</x:v>
      </x:c>
      <x:c r="F8" s="31" t="n">
        <x:v>5</x:v>
      </x:c>
      <x:c r="G8" s="31" t="n">
        <x:v>6</x:v>
      </x:c>
      <x:c r="H8" s="31" t="n">
        <x:v>7</x:v>
      </x:c>
      <x:c r="I8" s="31" t="n">
        <x:v>8</x:v>
      </x:c>
      <x:c r="J8" s="31" t="n">
        <x:v>9</x:v>
      </x:c>
      <x:c r="K8" s="31" t="n">
        <x:v>10</x:v>
      </x:c>
    </x:row>
    <x:row r="9" ht="23" customHeight="1">
      <x:c r="A9" t="str">
        <x:v>Primary revenue growth</x:v>
      </x:c>
      <x:c r="B9" s="36" t="n">
        <x:f>'Assumptions'!$O$2</x:f>
        <x:v>-0.05</x:v>
      </x:c>
      <x:c r="C9" s="36" t="n">
        <x:f>'Assumptions'!$P$2</x:f>
        <x:v>0.04</x:v>
      </x:c>
      <x:c r="D9" s="36" t="n">
        <x:f>'Assumptions'!$Q$2</x:f>
        <x:v>0.06</x:v>
      </x:c>
      <x:c r="E9" s="36" t="n">
        <x:f>'Assumptions'!$R$2</x:f>
        <x:v>0.06</x:v>
      </x:c>
      <x:c r="F9" s="36" t="n">
        <x:f>'Assumptions'!$S$2</x:f>
        <x:v>0.05</x:v>
      </x:c>
      <x:c r="G9" s="22" t="n">
        <x:f>$F$19+('Assumptions'!$D$2-$F$19)*(G$8-$F$8)/($K$8-$F$8)</x:f>
        <x:v>0.046000000000000034</x:v>
      </x:c>
      <x:c r="H9" s="22" t="n">
        <x:f>$F$19+('Assumptions'!$D$2-$F$19)*(H$8-$F$8)/($K$8-$F$8)</x:f>
        <x:v>0.04200000000000002</x:v>
      </x:c>
      <x:c r="I9" s="22" t="n">
        <x:f>$F$19+('Assumptions'!$D$2-$F$19)*(I$8-$F$8)/($K$8-$F$8)</x:f>
        <x:v>0.03800000000000002</x:v>
      </x:c>
      <x:c r="J9" s="22" t="n">
        <x:f>$F$19+('Assumptions'!$D$2-$F$19)*(J$8-$F$8)/($K$8-$F$8)</x:f>
        <x:v>0.03400000000000001</x:v>
      </x:c>
      <x:c r="K9" s="22" t="n">
        <x:f>$F$19+('Assumptions'!$D$2-$F$19)*(K$8-$F$8)/($K$8-$F$8)</x:f>
        <x:v>0.03</x:v>
      </x:c>
    </x:row>
    <x:row r="10" ht="23" customHeight="1">
      <x:c r="A10" t="str">
        <x:v>Secondary revenue growth</x:v>
      </x:c>
      <x:c r="B10" s="36" t="n">
        <x:f>'Assumptions'!$T$2</x:f>
        <x:v>0</x:v>
      </x:c>
      <x:c r="C10" s="36" t="n">
        <x:f>'Assumptions'!$U$2</x:f>
        <x:v>0</x:v>
      </x:c>
      <x:c r="D10" s="36" t="n">
        <x:f>'Assumptions'!$V$2</x:f>
        <x:v>0</x:v>
      </x:c>
      <x:c r="E10" s="36" t="n">
        <x:f>'Assumptions'!$W$2</x:f>
        <x:v>0</x:v>
      </x:c>
      <x:c r="F10" s="36" t="n">
        <x:f>'Assumptions'!$X$2</x:f>
        <x:v>0</x:v>
      </x:c>
      <x:c r="G10" s="22" t="n">
        <x:f>$F$19+('Assumptions'!$D$2-$F$19)*(G$8-$F$8)/($K$8-$F$8)</x:f>
        <x:v>0.046000000000000034</x:v>
      </x:c>
      <x:c r="H10" s="22" t="n">
        <x:f>$F$19+('Assumptions'!$D$2-$F$19)*(H$8-$F$8)/($K$8-$F$8)</x:f>
        <x:v>0.04200000000000002</x:v>
      </x:c>
      <x:c r="I10" s="22" t="n">
        <x:f>$F$19+('Assumptions'!$D$2-$F$19)*(I$8-$F$8)/($K$8-$F$8)</x:f>
        <x:v>0.03800000000000002</x:v>
      </x:c>
      <x:c r="J10" s="22" t="n">
        <x:f>$F$19+('Assumptions'!$D$2-$F$19)*(J$8-$F$8)/($K$8-$F$8)</x:f>
        <x:v>0.03400000000000001</x:v>
      </x:c>
      <x:c r="K10" s="22" t="n">
        <x:f>$F$19+('Assumptions'!$D$2-$F$19)*(K$8-$F$8)/($K$8-$F$8)</x:f>
        <x:v>0.03</x:v>
      </x:c>
    </x:row>
    <x:row r="11" ht="23" customHeight="1">
      <x:c r="A11" t="str">
        <x:v>Primary margin</x:v>
      </x:c>
      <x:c r="B11" s="36" t="n">
        <x:f>'Assumptions'!$Y$2</x:f>
        <x:v>0.22</x:v>
      </x:c>
      <x:c r="C11" s="36" t="n">
        <x:f>'Assumptions'!$Z$2</x:f>
        <x:v>0.24</x:v>
      </x:c>
      <x:c r="D11" s="36" t="n">
        <x:f>'Assumptions'!$AA$2</x:f>
        <x:v>0.255</x:v>
      </x:c>
      <x:c r="E11" s="36" t="n">
        <x:f>'Assumptions'!$AB$2</x:f>
        <x:v>0.26</x:v>
      </x:c>
      <x:c r="F11" s="36" t="n">
        <x:f>'Assumptions'!$AC$2</x:f>
        <x:v>0.26</x:v>
      </x:c>
      <x:c r="G11" s="22" t="n">
        <x:f>$F$11</x:f>
        <x:v>0.26</x:v>
      </x:c>
      <x:c r="H11" s="22" t="n">
        <x:f>$F$11</x:f>
        <x:v>0.26</x:v>
      </x:c>
      <x:c r="I11" s="22" t="n">
        <x:f>$F$11</x:f>
        <x:v>0.26</x:v>
      </x:c>
      <x:c r="J11" s="22" t="n">
        <x:f>$F$11</x:f>
        <x:v>0.26</x:v>
      </x:c>
      <x:c r="K11" s="22" t="n">
        <x:f>$F$11</x:f>
        <x:v>0.26</x:v>
      </x:c>
    </x:row>
    <x:row r="12" ht="23" customHeight="1">
      <x:c r="A12" t="str">
        <x:v>Secondary margin</x:v>
      </x:c>
      <x:c r="B12" s="36" t="n">
        <x:f>'Assumptions'!$AD$2</x:f>
        <x:v>0</x:v>
      </x:c>
      <x:c r="C12" s="36" t="n">
        <x:f>'Assumptions'!$AE$2</x:f>
        <x:v>0</x:v>
      </x:c>
      <x:c r="D12" s="36" t="n">
        <x:f>'Assumptions'!$AF$2</x:f>
        <x:v>0</x:v>
      </x:c>
      <x:c r="E12" s="36" t="n">
        <x:f>'Assumptions'!$AG$2</x:f>
        <x:v>0</x:v>
      </x:c>
      <x:c r="F12" s="36" t="n">
        <x:f>'Assumptions'!$AH$2</x:f>
        <x:v>0</x:v>
      </x:c>
      <x:c r="G12" s="22" t="n">
        <x:f>$F$12</x:f>
        <x:v>0</x:v>
      </x:c>
      <x:c r="H12" s="22" t="n">
        <x:f>$F$12</x:f>
        <x:v>0</x:v>
      </x:c>
      <x:c r="I12" s="22" t="n">
        <x:f>$F$12</x:f>
        <x:v>0</x:v>
      </x:c>
      <x:c r="J12" s="22" t="n">
        <x:f>$F$12</x:f>
        <x:v>0</x:v>
      </x:c>
      <x:c r="K12" s="22" t="n">
        <x:f>$F$12</x:f>
        <x:v>0</x:v>
      </x:c>
    </x:row>
    <x:row r="13" ht="23" customHeight="1">
      <x:c r="A13" t="str">
        <x:v>Overhead growth</x:v>
      </x:c>
      <x:c r="B13" s="36" t="n">
        <x:f>'Assumptions'!$AI$2</x:f>
        <x:v>0</x:v>
      </x:c>
      <x:c r="C13" s="36" t="n">
        <x:f>'Assumptions'!$AJ$2</x:f>
        <x:v>0</x:v>
      </x:c>
      <x:c r="D13" s="36" t="n">
        <x:f>'Assumptions'!$AK$2</x:f>
        <x:v>0</x:v>
      </x:c>
      <x:c r="E13" s="36" t="n">
        <x:f>'Assumptions'!$AL$2</x:f>
        <x:v>0</x:v>
      </x:c>
      <x:c r="F13" s="36" t="n">
        <x:f>'Assumptions'!$AM$2</x:f>
        <x:v>0</x:v>
      </x:c>
      <x:c r="G13" s="22" t="n">
        <x:f>$F$19+('Assumptions'!$D$2-$F$19)*(G$8-$F$8)/($K$8-$F$8)</x:f>
        <x:v>0.046000000000000034</x:v>
      </x:c>
      <x:c r="H13" s="22" t="n">
        <x:f>$F$19+('Assumptions'!$D$2-$F$19)*(H$8-$F$8)/($K$8-$F$8)</x:f>
        <x:v>0.04200000000000002</x:v>
      </x:c>
      <x:c r="I13" s="22" t="n">
        <x:f>$F$19+('Assumptions'!$D$2-$F$19)*(I$8-$F$8)/($K$8-$F$8)</x:f>
        <x:v>0.03800000000000002</x:v>
      </x:c>
      <x:c r="J13" s="22" t="n">
        <x:f>$F$19+('Assumptions'!$D$2-$F$19)*(J$8-$F$8)/($K$8-$F$8)</x:f>
        <x:v>0.03400000000000001</x:v>
      </x:c>
      <x:c r="K13" s="22" t="n">
        <x:f>$F$19+('Assumptions'!$D$2-$F$19)*(K$8-$F$8)/($K$8-$F$8)</x:f>
        <x:v>0.03</x:v>
      </x:c>
    </x:row>
    <x:row r="14" ht="23" customHeight="1">
      <x:c r="A14" t="str">
        <x:v>Capex / revenue</x:v>
      </x:c>
      <x:c r="B14" s="36" t="n">
        <x:f>'Assumptions'!$AN$2</x:f>
        <x:v>0.06</x:v>
      </x:c>
      <x:c r="C14" s="36" t="n">
        <x:f>'Assumptions'!$AO$2</x:f>
        <x:v>0.05</x:v>
      </x:c>
      <x:c r="D14" s="36" t="n">
        <x:f>'Assumptions'!$AP$2</x:f>
        <x:v>0.045</x:v>
      </x:c>
      <x:c r="E14" s="36" t="n">
        <x:f>'Assumptions'!$AQ$2</x:f>
        <x:v>0.04</x:v>
      </x:c>
      <x:c r="F14" s="36" t="n">
        <x:f>'Assumptions'!$AR$2</x:f>
        <x:v>0.04</x:v>
      </x:c>
      <x:c r="G14" s="22" t="n">
        <x:f>$F$14</x:f>
        <x:v>0.04</x:v>
      </x:c>
      <x:c r="H14" s="22" t="n">
        <x:f>$F$14</x:f>
        <x:v>0.04</x:v>
      </x:c>
      <x:c r="I14" s="22" t="n">
        <x:f>$F$14</x:f>
        <x:v>0.04</x:v>
      </x:c>
      <x:c r="J14" s="22" t="n">
        <x:f>$F$14</x:f>
        <x:v>0.04</x:v>
      </x:c>
      <x:c r="K14" s="22" t="n">
        <x:f>$F$14</x:f>
        <x:v>0.04</x:v>
      </x:c>
    </x:row>
    <x:row r="15" ht="23" customHeight="1"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</x:row>
    <x:row r="16" ht="23" customHeight="1">
      <x:c r="A16" t="str">
        <x:v>Primary revenue</x:v>
      </x:c>
      <x:c r="B16" s="34" t="n">
        <x:f>'Inputs'!$B$14*(1+B9)</x:f>
        <x:v>262.485</x:v>
      </x:c>
      <x:c r="C16" s="34" t="n">
        <x:f>B16*(1+C9)</x:f>
        <x:v>272.98440000000005</x:v>
      </x:c>
      <x:c r="D16" s="34" t="n">
        <x:f>C16*(1+D9)</x:f>
        <x:v>289.3634640000001</x:v>
      </x:c>
      <x:c r="E16" s="34" t="n">
        <x:f>D16*(1+E9)</x:f>
        <x:v>306.7252718400001</x:v>
      </x:c>
      <x:c r="F16" s="34" t="n">
        <x:f>E16*(1+F9)</x:f>
        <x:v>322.06153543200014</x:v>
      </x:c>
      <x:c r="G16" s="34" t="n">
        <x:f>F16*(1+G9)</x:f>
        <x:v>336.87636606187215</x:v>
      </x:c>
      <x:c r="H16" s="34" t="n">
        <x:f>G16*(1+H9)</x:f>
        <x:v>351.02517343647077</x:v>
      </x:c>
      <x:c r="I16" s="34" t="n">
        <x:f>H16*(1+I9)</x:f>
        <x:v>364.36413002705666</x:v>
      </x:c>
      <x:c r="J16" s="34" t="n">
        <x:f>I16*(1+J9)</x:f>
        <x:v>376.7525104479766</x:v>
      </x:c>
      <x:c r="K16" s="34" t="n">
        <x:f>J16*(1+K9)</x:f>
        <x:v>388.0550857614159</x:v>
      </x:c>
    </x:row>
    <x:row r="17" ht="23" customHeight="1">
      <x:c r="A17" t="str">
        <x:v>Secondary revenue</x:v>
      </x:c>
      <x:c r="B17" s="34" t="n">
        <x:f>0</x:f>
        <x:v>0</x:v>
      </x:c>
      <x:c r="C17" s="34" t="n">
        <x:f>B17*(1+C10)</x:f>
        <x:v>0</x:v>
      </x:c>
      <x:c r="D17" s="34" t="n">
        <x:f>C17*(1+D10)</x:f>
        <x:v>0</x:v>
      </x:c>
      <x:c r="E17" s="34" t="n">
        <x:f>D17*(1+E10)</x:f>
        <x:v>0</x:v>
      </x:c>
      <x:c r="F17" s="34" t="n">
        <x:f>E17*(1+F10)</x:f>
        <x:v>0</x:v>
      </x:c>
      <x:c r="G17" s="34" t="n">
        <x:f>F17*(1+G10)</x:f>
        <x:v>0</x:v>
      </x:c>
      <x:c r="H17" s="34" t="n">
        <x:f>G17*(1+H10)</x:f>
        <x:v>0</x:v>
      </x:c>
      <x:c r="I17" s="34" t="n">
        <x:f>H17*(1+I10)</x:f>
        <x:v>0</x:v>
      </x:c>
      <x:c r="J17" s="34" t="n">
        <x:f>I17*(1+J10)</x:f>
        <x:v>0</x:v>
      </x:c>
      <x:c r="K17" s="34" t="n">
        <x:f>J17*(1+K10)</x:f>
        <x:v>0</x:v>
      </x:c>
    </x:row>
    <x:row r="18" ht="23" customHeight="1">
      <x:c r="A18" s="31" t="str">
        <x:v>Total economic revenue</x:v>
      </x:c>
      <x:c r="B18" s="40" t="n">
        <x:f>SUM(B16:B17)</x:f>
        <x:v>262.485</x:v>
      </x:c>
      <x:c r="C18" s="40" t="n">
        <x:f>SUM(C16:C17)</x:f>
        <x:v>272.98440000000005</x:v>
      </x:c>
      <x:c r="D18" s="40" t="n">
        <x:f>SUM(D16:D17)</x:f>
        <x:v>289.3634640000001</x:v>
      </x:c>
      <x:c r="E18" s="40" t="n">
        <x:f>SUM(E16:E17)</x:f>
        <x:v>306.7252718400001</x:v>
      </x:c>
      <x:c r="F18" s="40" t="n">
        <x:f>SUM(F16:F17)</x:f>
        <x:v>322.06153543200014</x:v>
      </x:c>
      <x:c r="G18" s="40" t="n">
        <x:f>SUM(G16:G17)</x:f>
        <x:v>336.87636606187215</x:v>
      </x:c>
      <x:c r="H18" s="40" t="n">
        <x:f>SUM(H16:H17)</x:f>
        <x:v>351.02517343647077</x:v>
      </x:c>
      <x:c r="I18" s="40" t="n">
        <x:f>SUM(I16:I17)</x:f>
        <x:v>364.36413002705666</x:v>
      </x:c>
      <x:c r="J18" s="40" t="n">
        <x:f>SUM(J16:J17)</x:f>
        <x:v>376.7525104479766</x:v>
      </x:c>
      <x:c r="K18" s="40" t="n">
        <x:f>SUM(K16:K17)</x:f>
        <x:v>388.0550857614159</x:v>
      </x:c>
    </x:row>
    <x:row r="19" ht="23" customHeight="1">
      <x:c r="A19" t="str">
        <x:v>Revenue growth</x:v>
      </x:c>
      <x:c r="B19" s="22" t="n">
        <x:f>B18/'Inputs'!$B$14-1</x:f>
        <x:v>-0.050000000000000044</x:v>
      </x:c>
      <x:c r="C19" s="22" t="n">
        <x:f>C18/B18-1</x:f>
        <x:v>0.040000000000000036</x:v>
      </x:c>
      <x:c r="D19" s="22" t="n">
        <x:f>D18/C18-1</x:f>
        <x:v>0.06000000000000005</x:v>
      </x:c>
      <x:c r="E19" s="22" t="n">
        <x:f>E18/D18-1</x:f>
        <x:v>0.06000000000000005</x:v>
      </x:c>
      <x:c r="F19" s="22" t="n">
        <x:f>F18/E18-1</x:f>
        <x:v>0.050000000000000044</x:v>
      </x:c>
      <x:c r="G19" s="22" t="n">
        <x:f>G18/F18-1</x:f>
        <x:v>0.04600000000000004</x:v>
      </x:c>
      <x:c r="H19" s="22" t="n">
        <x:f>H18/G18-1</x:f>
        <x:v>0.04200000000000004</x:v>
      </x:c>
      <x:c r="I19" s="22" t="n">
        <x:f>I18/H18-1</x:f>
        <x:v>0.038000000000000034</x:v>
      </x:c>
      <x:c r="J19" s="22" t="n">
        <x:f>J18/I18-1</x:f>
        <x:v>0.03400000000000003</x:v>
      </x:c>
      <x:c r="K19" s="22" t="n">
        <x:f>K18/J18-1</x:f>
        <x:v>0.030000000000000027</x:v>
      </x:c>
    </x:row>
    <x:row r="20" ht="23" customHeight="1">
      <x:c r="A20" t="str">
        <x:v>Primary profit pool</x:v>
      </x:c>
      <x:c r="B20" s="34" t="n">
        <x:f>B16*B11</x:f>
        <x:v>57.746700000000004</x:v>
      </x:c>
      <x:c r="C20" s="34" t="n">
        <x:f>C16*C11</x:f>
        <x:v>65.51625600000001</x:v>
      </x:c>
      <x:c r="D20" s="34" t="n">
        <x:f>D16*D11</x:f>
        <x:v>73.78768332000003</x:v>
      </x:c>
      <x:c r="E20" s="34" t="n">
        <x:f>E16*E11</x:f>
        <x:v>79.74857067840003</x:v>
      </x:c>
      <x:c r="F20" s="34" t="n">
        <x:f>F16*F11</x:f>
        <x:v>83.73599921232004</x:v>
      </x:c>
      <x:c r="G20" s="34" t="n">
        <x:f>G16*G11</x:f>
        <x:v>87.58785517608676</x:v>
      </x:c>
      <x:c r="H20" s="34" t="n">
        <x:f>H16*H11</x:f>
        <x:v>91.2665450934824</x:v>
      </x:c>
      <x:c r="I20" s="34" t="n">
        <x:f>I16*I11</x:f>
        <x:v>94.73467380703474</x:v>
      </x:c>
      <x:c r="J20" s="34" t="n">
        <x:f>J16*J11</x:f>
        <x:v>97.95565271647392</x:v>
      </x:c>
      <x:c r="K20" s="34" t="n">
        <x:f>K16*K11</x:f>
        <x:v>100.89432229796815</x:v>
      </x:c>
    </x:row>
    <x:row r="21" ht="23" customHeight="1">
      <x:c r="A21" t="str">
        <x:v>Secondary profit pool</x:v>
      </x:c>
      <x:c r="B21" s="34" t="n">
        <x:f>B17*B12</x:f>
        <x:v>0</x:v>
      </x:c>
      <x:c r="C21" s="34" t="n">
        <x:f>C17*C12</x:f>
        <x:v>0</x:v>
      </x:c>
      <x:c r="D21" s="34" t="n">
        <x:f>D17*D12</x:f>
        <x:v>0</x:v>
      </x:c>
      <x:c r="E21" s="34" t="n">
        <x:f>E17*E12</x:f>
        <x:v>0</x:v>
      </x:c>
      <x:c r="F21" s="34" t="n">
        <x:f>F17*F12</x:f>
        <x:v>0</x:v>
      </x:c>
      <x:c r="G21" s="34" t="n">
        <x:f>G17*G12</x:f>
        <x:v>0</x:v>
      </x:c>
      <x:c r="H21" s="34" t="n">
        <x:f>H17*H12</x:f>
        <x:v>0</x:v>
      </x:c>
      <x:c r="I21" s="34" t="n">
        <x:f>I17*I12</x:f>
        <x:v>0</x:v>
      </x:c>
      <x:c r="J21" s="34" t="n">
        <x:f>J17*J12</x:f>
        <x:v>0</x:v>
      </x:c>
      <x:c r="K21" s="34" t="n">
        <x:f>K17*K12</x:f>
        <x:v>0</x:v>
      </x:c>
    </x:row>
    <x:row r="22" ht="23" customHeight="1">
      <x:c r="A22" t="str">
        <x:v>Less: overhead / corporate</x:v>
      </x:c>
      <x:c r="B22" s="34" t="n">
        <x:f>0</x:f>
        <x:v>0</x:v>
      </x:c>
      <x:c r="C22" s="34" t="n">
        <x:f>B22*(1+C13)</x:f>
        <x:v>0</x:v>
      </x:c>
      <x:c r="D22" s="34" t="n">
        <x:f>C22*(1+D13)</x:f>
        <x:v>0</x:v>
      </x:c>
      <x:c r="E22" s="34" t="n">
        <x:f>D22*(1+E13)</x:f>
        <x:v>0</x:v>
      </x:c>
      <x:c r="F22" s="34" t="n">
        <x:f>E22*(1+F13)</x:f>
        <x:v>0</x:v>
      </x:c>
      <x:c r="G22" s="34" t="n">
        <x:f>F22*(1+G13)</x:f>
        <x:v>0</x:v>
      </x:c>
      <x:c r="H22" s="34" t="n">
        <x:f>G22*(1+H13)</x:f>
        <x:v>0</x:v>
      </x:c>
      <x:c r="I22" s="34" t="n">
        <x:f>H22*(1+I13)</x:f>
        <x:v>0</x:v>
      </x:c>
      <x:c r="J22" s="34" t="n">
        <x:f>I22*(1+J13)</x:f>
        <x:v>0</x:v>
      </x:c>
      <x:c r="K22" s="34" t="n">
        <x:f>J22*(1+K13)</x:f>
        <x:v>0</x:v>
      </x:c>
    </x:row>
    <x:row r="23" ht="23" customHeight="1">
      <x:c r="A23" t="str">
        <x:v>Additional fee profit</x:v>
      </x:c>
      <x:c r="B23" s="34" t="n">
        <x:f>0</x:f>
        <x:v>0</x:v>
      </x:c>
      <x:c r="C23" s="34" t="n">
        <x:f>0</x:f>
        <x:v>0</x:v>
      </x:c>
      <x:c r="D23" s="34" t="n">
        <x:f>0</x:f>
        <x:v>0</x:v>
      </x:c>
      <x:c r="E23" s="34" t="n">
        <x:f>0</x:f>
        <x:v>0</x:v>
      </x:c>
      <x:c r="F23" s="34" t="n">
        <x:f>0</x:f>
        <x:v>0</x:v>
      </x:c>
      <x:c r="G23" s="34" t="n">
        <x:f>0</x:f>
        <x:v>0</x:v>
      </x:c>
      <x:c r="H23" s="34" t="n">
        <x:f>0</x:f>
        <x:v>0</x:v>
      </x:c>
      <x:c r="I23" s="34" t="n">
        <x:f>0</x:f>
        <x:v>0</x:v>
      </x:c>
      <x:c r="J23" s="34" t="n">
        <x:f>0</x:f>
        <x:v>0</x:v>
      </x:c>
      <x:c r="K23" s="34" t="n">
        <x:f>0</x:f>
        <x:v>0</x:v>
      </x:c>
    </x:row>
    <x:row r="24" ht="23" customHeight="1">
      <x:c r="A24" s="31" t="str">
        <x:v>Operating income after recurring SBC</x:v>
      </x:c>
      <x:c r="B24" s="40" t="n">
        <x:f>SUM(B20:B23)</x:f>
        <x:v>57.746700000000004</x:v>
      </x:c>
      <x:c r="C24" s="40" t="n">
        <x:f>SUM(C20:C23)</x:f>
        <x:v>65.51625600000001</x:v>
      </x:c>
      <x:c r="D24" s="40" t="n">
        <x:f>SUM(D20:D23)</x:f>
        <x:v>73.78768332000003</x:v>
      </x:c>
      <x:c r="E24" s="40" t="n">
        <x:f>SUM(E20:E23)</x:f>
        <x:v>79.74857067840003</x:v>
      </x:c>
      <x:c r="F24" s="40" t="n">
        <x:f>SUM(F20:F23)</x:f>
        <x:v>83.73599921232004</x:v>
      </x:c>
      <x:c r="G24" s="40" t="n">
        <x:f>SUM(G20:G23)</x:f>
        <x:v>87.58785517608676</x:v>
      </x:c>
      <x:c r="H24" s="40" t="n">
        <x:f>SUM(H20:H23)</x:f>
        <x:v>91.2665450934824</x:v>
      </x:c>
      <x:c r="I24" s="40" t="n">
        <x:f>SUM(I20:I23)</x:f>
        <x:v>94.73467380703474</x:v>
      </x:c>
      <x:c r="J24" s="40" t="n">
        <x:f>SUM(J20:J23)</x:f>
        <x:v>97.95565271647392</x:v>
      </x:c>
      <x:c r="K24" s="40" t="n">
        <x:f>SUM(K20:K23)</x:f>
        <x:v>100.89432229796815</x:v>
      </x:c>
    </x:row>
    <x:row r="25" ht="23" customHeight="1">
      <x:c r="A25" t="str">
        <x:v>Operating margin</x:v>
      </x:c>
      <x:c r="B25" s="22" t="n">
        <x:f>B24/B18</x:f>
        <x:v>0.22</x:v>
      </x:c>
      <x:c r="C25" s="22" t="n">
        <x:f>C24/C18</x:f>
        <x:v>0.24</x:v>
      </x:c>
      <x:c r="D25" s="22" t="n">
        <x:f>D24/D18</x:f>
        <x:v>0.255</x:v>
      </x:c>
      <x:c r="E25" s="22" t="n">
        <x:f>E24/E18</x:f>
        <x:v>0.26</x:v>
      </x:c>
      <x:c r="F25" s="22" t="n">
        <x:f>F24/F18</x:f>
        <x:v>0.26</x:v>
      </x:c>
      <x:c r="G25" s="22" t="n">
        <x:f>G24/G18</x:f>
        <x:v>0.26</x:v>
      </x:c>
      <x:c r="H25" s="22" t="n">
        <x:f>H24/H18</x:f>
        <x:v>0.26</x:v>
      </x:c>
      <x:c r="I25" s="22" t="n">
        <x:f>I24/I18</x:f>
        <x:v>0.26</x:v>
      </x:c>
      <x:c r="J25" s="22" t="n">
        <x:f>J24/J18</x:f>
        <x:v>0.26</x:v>
      </x:c>
      <x:c r="K25" s="22" t="n">
        <x:f>K24/K18</x:f>
        <x:v>0.26</x:v>
      </x:c>
    </x:row>
    <x:row r="26" ht="23" customHeight="1">
      <x:c r="A26" t="str">
        <x:v>After-tax operating profit</x:v>
      </x:c>
      <x:c r="B26" s="34" t="n">
        <x:f>B24*(1-'Assumptions'!$F$2)</x:f>
        <x:v>43.310025</x:v>
      </x:c>
      <x:c r="C26" s="34" t="n">
        <x:f>C24*(1-'Assumptions'!$F$2)</x:f>
        <x:v>49.13719200000001</x:v>
      </x:c>
      <x:c r="D26" s="34" t="n">
        <x:f>D24*(1-'Assumptions'!$F$2)</x:f>
        <x:v>55.34076249000002</x:v>
      </x:c>
      <x:c r="E26" s="34" t="n">
        <x:f>E24*(1-'Assumptions'!$F$2)</x:f>
        <x:v>59.81142800880002</x:v>
      </x:c>
      <x:c r="F26" s="34" t="n">
        <x:f>F24*(1-'Assumptions'!$F$2)</x:f>
        <x:v>62.801999409240025</x:v>
      </x:c>
      <x:c r="G26" s="34" t="n">
        <x:f>G24*(1-'Assumptions'!$F$2)</x:f>
        <x:v>65.69089138206508</x:v>
      </x:c>
      <x:c r="H26" s="34" t="n">
        <x:f>H24*(1-'Assumptions'!$F$2)</x:f>
        <x:v>68.4499088201118</x:v>
      </x:c>
      <x:c r="I26" s="34" t="n">
        <x:f>I24*(1-'Assumptions'!$F$2)</x:f>
        <x:v>71.05100535527606</x:v>
      </x:c>
      <x:c r="J26" s="34" t="n">
        <x:f>J24*(1-'Assumptions'!$F$2)</x:f>
        <x:v>73.46673953735544</x:v>
      </x:c>
      <x:c r="K26" s="34" t="n">
        <x:f>K24*(1-'Assumptions'!$F$2)</x:f>
        <x:v>75.67074172347611</x:v>
      </x:c>
    </x:row>
    <x:row r="27" ht="23" customHeight="1">
      <x:c r="A27" t="str">
        <x:v>Add: depreciation &amp; amortization</x:v>
      </x:c>
      <x:c r="B27" s="34" t="n">
        <x:f>B18*'Assumptions'!$G$2</x:f>
        <x:v>9.186975000000002</x:v>
      </x:c>
      <x:c r="C27" s="34" t="n">
        <x:f>C18*'Assumptions'!$G$2</x:f>
        <x:v>9.554454000000003</x:v>
      </x:c>
      <x:c r="D27" s="34" t="n">
        <x:f>D18*'Assumptions'!$G$2</x:f>
        <x:v>10.127721240000003</x:v>
      </x:c>
      <x:c r="E27" s="34" t="n">
        <x:f>E18*'Assumptions'!$G$2</x:f>
        <x:v>10.735384514400005</x:v>
      </x:c>
      <x:c r="F27" s="34" t="n">
        <x:f>F18*'Assumptions'!$G$2</x:f>
        <x:v>11.272153740120006</x:v>
      </x:c>
      <x:c r="G27" s="34" t="n">
        <x:f>G18*'Assumptions'!$G$2</x:f>
        <x:v>11.790672812165527</x:v>
      </x:c>
      <x:c r="H27" s="34" t="n">
        <x:f>H18*'Assumptions'!$G$2</x:f>
        <x:v>12.285881070276478</x:v>
      </x:c>
      <x:c r="I27" s="34" t="n">
        <x:f>I18*'Assumptions'!$G$2</x:f>
        <x:v>12.752744550946984</x:v>
      </x:c>
      <x:c r="J27" s="34" t="n">
        <x:f>J18*'Assumptions'!$G$2</x:f>
        <x:v>13.186337865679182</x:v>
      </x:c>
      <x:c r="K27" s="34" t="n">
        <x:f>K18*'Assumptions'!$G$2</x:f>
        <x:v>13.581928001649558</x:v>
      </x:c>
    </x:row>
    <x:row r="28" ht="23" customHeight="1">
      <x:c r="A28" t="str">
        <x:v>Less: investment incl. software</x:v>
      </x:c>
      <x:c r="B28" s="34" t="n">
        <x:f>-B18*B14</x:f>
        <x:v>-15.7491</x:v>
      </x:c>
      <x:c r="C28" s="34" t="n">
        <x:f>-C18*C14</x:f>
        <x:v>-13.649220000000003</x:v>
      </x:c>
      <x:c r="D28" s="34" t="n">
        <x:f>-D18*D14</x:f>
        <x:v>-13.021355880000003</x:v>
      </x:c>
      <x:c r="E28" s="34" t="n">
        <x:f>-E18*E14</x:f>
        <x:v>-12.269010873600005</x:v>
      </x:c>
      <x:c r="F28" s="34" t="n">
        <x:f>-F18*F14</x:f>
        <x:v>-12.882461417280005</x:v>
      </x:c>
      <x:c r="G28" s="34" t="n">
        <x:f>-G18*G14</x:f>
        <x:v>-13.475054642474886</x:v>
      </x:c>
      <x:c r="H28" s="34" t="n">
        <x:f>-H18*H14</x:f>
        <x:v>-14.041006937458832</x:v>
      </x:c>
      <x:c r="I28" s="34" t="n">
        <x:f>-I18*I14</x:f>
        <x:v>-14.574565201082267</x:v>
      </x:c>
      <x:c r="J28" s="34" t="n">
        <x:f>-J18*J14</x:f>
        <x:v>-15.070100417919065</x:v>
      </x:c>
      <x:c r="K28" s="34" t="n">
        <x:f>-K18*K14</x:f>
        <x:v>-15.522203430456637</x:v>
      </x:c>
    </x:row>
    <x:row r="29" ht="23" customHeight="1">
      <x:c r="A29" t="str">
        <x:v>Less: incremental working capital</x:v>
      </x:c>
      <x:c r="B29" s="34" t="n">
        <x:f>-(B18-'Inputs'!$B$14)*'Assumptions'!$H$2</x:f>
        <x:v>3.4537499999999994</x:v>
      </x:c>
      <x:c r="C29" s="34" t="n">
        <x:f>-(C18-B18)*'Assumptions'!$H$2</x:f>
        <x:v>-2.6248500000000092</x:v>
      </x:c>
      <x:c r="D29" s="34" t="n">
        <x:f>-(D18-C18)*'Assumptions'!$H$2</x:f>
        <x:v>-4.094766000000007</x:v>
      </x:c>
      <x:c r="E29" s="34" t="n">
        <x:f>-(E18-D18)*'Assumptions'!$H$2</x:f>
        <x:v>-4.34045196000001</x:v>
      </x:c>
      <x:c r="F29" s="34" t="n">
        <x:f>-(F18-E18)*'Assumptions'!$H$2</x:f>
        <x:v>-3.8340658980000057</x:v>
      </x:c>
      <x:c r="G29" s="34" t="n">
        <x:f>-(G18-F18)*'Assumptions'!$H$2</x:f>
        <x:v>-3.7037076574680015</x:v>
      </x:c>
      <x:c r="H29" s="34" t="n">
        <x:f>-(H18-G18)*'Assumptions'!$H$2</x:f>
        <x:v>-3.5372018436496546</x:v>
      </x:c>
      <x:c r="I29" s="34" t="n">
        <x:f>-(I18-H18)*'Assumptions'!$H$2</x:f>
        <x:v>-3.3347391476464736</x:v>
      </x:c>
      <x:c r="J29" s="34" t="n">
        <x:f>-(J18-I18)*'Assumptions'!$H$2</x:f>
        <x:v>-3.0970951052299824</x:v>
      </x:c>
      <x:c r="K29" s="34" t="n">
        <x:f>-(K18-J18)*'Assumptions'!$H$2</x:f>
        <x:v>-2.82564382835983</x:v>
      </x:c>
    </x:row>
    <x:row r="30" ht="23" customHeight="1">
      <x:c r="A30" t="str">
        <x:v>Less: specified cash shock</x:v>
      </x:c>
      <x:c r="B30" s="34" t="n">
        <x:f>-'Assumptions'!$I$2</x:f>
        <x:v>-10</x:v>
      </x:c>
      <x:c r="C30" s="34" t="n">
        <x:f>0</x:f>
        <x:v>0</x:v>
      </x:c>
      <x:c r="D30" s="34" t="n">
        <x:f>0</x:f>
        <x:v>0</x:v>
      </x:c>
      <x:c r="E30" s="34" t="n">
        <x:f>0</x:f>
        <x:v>0</x:v>
      </x:c>
      <x:c r="F30" s="34" t="n">
        <x:f>0</x:f>
        <x:v>0</x:v>
      </x:c>
      <x:c r="G30" s="34" t="n">
        <x:f>0</x:f>
        <x:v>0</x:v>
      </x:c>
      <x:c r="H30" s="34" t="n">
        <x:f>0</x:f>
        <x:v>0</x:v>
      </x:c>
      <x:c r="I30" s="34" t="n">
        <x:f>0</x:f>
        <x:v>0</x:v>
      </x:c>
      <x:c r="J30" s="34" t="n">
        <x:f>0</x:f>
        <x:v>0</x:v>
      </x:c>
      <x:c r="K30" s="34" t="n">
        <x:f>0</x:f>
        <x:v>0</x:v>
      </x:c>
    </x:row>
    <x:row r="31" ht="23" customHeight="1">
      <x:c r="A31" s="31" t="str">
        <x:v>Owner-economic unlevered cash flow</x:v>
      </x:c>
      <x:c r="B31" s="40" t="n">
        <x:f>SUM(B26:B30)</x:f>
        <x:v>30.201650000000008</x:v>
      </x:c>
      <x:c r="C31" s="40" t="n">
        <x:f>SUM(C26:C30)</x:f>
        <x:v>42.41757600000001</x:v>
      </x:c>
      <x:c r="D31" s="40" t="n">
        <x:f>SUM(D26:D30)</x:f>
        <x:v>48.35236185000001</x:v>
      </x:c>
      <x:c r="E31" s="40" t="n">
        <x:f>SUM(E26:E30)</x:f>
        <x:v>53.93734968960002</x:v>
      </x:c>
      <x:c r="F31" s="40" t="n">
        <x:f>SUM(F26:F30)</x:f>
        <x:v>57.35762583408002</x:v>
      </x:c>
      <x:c r="G31" s="40" t="n">
        <x:f>SUM(G26:G30)</x:f>
        <x:v>60.30280189428771</x:v>
      </x:c>
      <x:c r="H31" s="40" t="n">
        <x:f>SUM(H26:H30)</x:f>
        <x:v>63.15758110927979</x:v>
      </x:c>
      <x:c r="I31" s="40" t="n">
        <x:f>SUM(I26:I30)</x:f>
        <x:v>65.89444555749431</x:v>
      </x:c>
      <x:c r="J31" s="40" t="n">
        <x:f>SUM(J26:J30)</x:f>
        <x:v>68.48588187988557</x:v>
      </x:c>
      <x:c r="K31" s="40" t="n">
        <x:f>SUM(K26:K30)</x:f>
        <x:v>70.9048224663092</x:v>
      </x:c>
    </x:row>
    <x:row r="32" ht="23" customHeight="1">
      <x:c r="A32" t="str">
        <x:v>Discount factor</x:v>
      </x:c>
      <x:c r="B32" s="22" t="n">
        <x:f>1/(1+'Assumptions'!$C$2)^B$8</x:f>
        <x:v>0.9090909090909091</x:v>
      </x:c>
      <x:c r="C32" s="22" t="n">
        <x:f>1/(1+'Assumptions'!$C$2)^C$8</x:f>
        <x:v>0.8264462809917354</x:v>
      </x:c>
      <x:c r="D32" s="22" t="n">
        <x:f>1/(1+'Assumptions'!$C$2)^D$8</x:f>
        <x:v>0.7513148009015775</x:v>
      </x:c>
      <x:c r="E32" s="22" t="n">
        <x:f>1/(1+'Assumptions'!$C$2)^E$8</x:f>
        <x:v>0.6830134553650705</x:v>
      </x:c>
      <x:c r="F32" s="22" t="n">
        <x:f>1/(1+'Assumptions'!$C$2)^F$8</x:f>
        <x:v>0.6209213230591549</x:v>
      </x:c>
      <x:c r="G32" s="22" t="n">
        <x:f>1/(1+'Assumptions'!$C$2)^G$8</x:f>
        <x:v>0.5644739300537772</x:v>
      </x:c>
      <x:c r="H32" s="22" t="n">
        <x:f>1/(1+'Assumptions'!$C$2)^H$8</x:f>
        <x:v>0.5131581182307065</x:v>
      </x:c>
      <x:c r="I32" s="22" t="n">
        <x:f>1/(1+'Assumptions'!$C$2)^I$8</x:f>
        <x:v>0.46650738020973315</x:v>
      </x:c>
      <x:c r="J32" s="22" t="n">
        <x:f>1/(1+'Assumptions'!$C$2)^J$8</x:f>
        <x:v>0.42409761837248466</x:v>
      </x:c>
      <x:c r="K32" s="22" t="n">
        <x:f>1/(1+'Assumptions'!$C$2)^K$8</x:f>
        <x:v>0.3855432894295315</x:v>
      </x:c>
    </x:row>
    <x:row r="33" ht="23" customHeight="1">
      <x:c r="A33" s="31" t="str">
        <x:v>Present value</x:v>
      </x:c>
      <x:c r="B33" s="40" t="n">
        <x:f>B31*B32</x:f>
        <x:v>27.45604545454546</x:v>
      </x:c>
      <x:c r="C33" s="40" t="n">
        <x:f>C31*C32</x:f>
        <x:v>35.0558479338843</x:v>
      </x:c>
      <x:c r="D33" s="40" t="n">
        <x:f>D31*D32</x:f>
        <x:v>36.32784511645379</x:v>
      </x:c>
      <x:c r="E33" s="40" t="n">
        <x:f>E31*E32</x:f>
        <x:v>36.839935584727826</x:v>
      </x:c>
      <x:c r="F33" s="40" t="n">
        <x:f>F31*F32</x:f>
        <x:v>35.61457292042893</x:v>
      </x:c>
      <x:c r="G33" s="40" t="n">
        <x:f>G31*G32</x:f>
        <x:v>34.03935957852295</x:v>
      </x:c>
      <x:c r="H33" s="40" t="n">
        <x:f>H31*H32</x:f>
        <x:v>32.40982547404123</x:v>
      </x:c>
      <x:c r="I33" s="40" t="n">
        <x:f>I31*I32</x:f>
        <x:v>30.740245167399557</x:v>
      </x:c>
      <x:c r="J33" s="40" t="n">
        <x:f>J31*J32</x:f>
        <x:v>29.044699397398773</x:v>
      </x:c>
      <x:c r="K33" s="40" t="n">
        <x:f>K31*K32</x:f>
        <x:v>27.336878490077794</x:v>
      </x:c>
    </x:row>
    <x:row r="34" ht="23" customHeight="1">
      <x:c r="A34" t="str">
        <x:v>Discount factor at 12%</x:v>
      </x:c>
      <x:c r="B34" s="22" t="n">
        <x:f>1/(1+'Controls'!$B$3)^B$8</x:f>
        <x:v>0.8928571428571428</x:v>
      </x:c>
      <x:c r="C34" s="22" t="n">
        <x:f>1/(1+'Controls'!$B$3)^C$8</x:f>
        <x:v>0.7971938775510203</x:v>
      </x:c>
      <x:c r="D34" s="22" t="n">
        <x:f>1/(1+'Controls'!$B$3)^D$8</x:f>
        <x:v>0.7117802478134109</x:v>
      </x:c>
      <x:c r="E34" s="22" t="n">
        <x:f>1/(1+'Controls'!$B$3)^E$8</x:f>
        <x:v>0.6355180784048312</x:v>
      </x:c>
      <x:c r="F34" s="22" t="n">
        <x:f>1/(1+'Controls'!$B$3)^F$8</x:f>
        <x:v>0.5674268557185992</x:v>
      </x:c>
      <x:c r="G34" s="22" t="n">
        <x:f>1/(1+'Controls'!$B$3)^G$8</x:f>
        <x:v>0.5066311211773207</x:v>
      </x:c>
      <x:c r="H34" s="22" t="n">
        <x:f>1/(1+'Controls'!$B$3)^H$8</x:f>
        <x:v>0.45234921533689343</x:v>
      </x:c>
      <x:c r="I34" s="22" t="n">
        <x:f>1/(1+'Controls'!$B$3)^I$8</x:f>
        <x:v>0.4038832279793691</x:v>
      </x:c>
      <x:c r="J34" s="22" t="n">
        <x:f>1/(1+'Controls'!$B$3)^J$8</x:f>
        <x:v>0.36061002498157957</x:v>
      </x:c>
      <x:c r="K34" s="22" t="n">
        <x:f>1/(1+'Controls'!$B$3)^K$8</x:f>
        <x:v>0.321973236590696</x:v>
      </x:c>
    </x:row>
    <x:row r="36" ht="25" customHeight="1">
      <x:c r="A36" t="str">
        <x:v>Year 11 after-tax operating profit</x:v>
      </x:c>
      <x:c r="B36" s="34" t="n">
        <x:f>K26*(1+'Assumptions'!$D$2)</x:f>
        <x:v>77.94086397518039</x:v>
      </x:c>
    </x:row>
    <x:row r="37" ht="25" customHeight="1">
      <x:c r="A37" t="str">
        <x:v>Less: terminal reinvestment</x:v>
      </x:c>
      <x:c r="B37" s="34" t="n">
        <x:f>-B36*'Assumptions'!$D$2/'Assumptions'!$E$2</x:f>
        <x:v>-11.691129596277058</x:v>
      </x:c>
      <x:c r="D37" s="24" t="str">
        <x:v>This is an operating scenario, not a statistical confidence interval. Terminal growth requires reinvestment. Latest-quarter capital structure is not a complete September roll-forward. See company decision notes for remaining unknowns. MOD scenarios assume the transaction closes; WINA core revenue excludes offsetting fee programs.</x:v>
      </x:c>
      <x:c r="E37" s="24"/>
      <x:c r="F37" s="24"/>
      <x:c r="G37" s="24"/>
      <x:c r="H37" s="24"/>
      <x:c r="I37" s="24"/>
      <x:c r="J37" s="24"/>
      <x:c r="K37" s="24"/>
    </x:row>
    <x:row r="38" ht="25" customHeight="1">
      <x:c r="A38" t="str">
        <x:v>Terminal cash flow</x:v>
      </x:c>
      <x:c r="B38" s="34" t="n">
        <x:f>SUM(B36:B37)</x:f>
        <x:v>66.24973437890333</x:v>
      </x:c>
      <x:c r="D38" s="24"/>
      <x:c r="E38" s="24"/>
      <x:c r="F38" s="24"/>
      <x:c r="G38" s="24"/>
      <x:c r="H38" s="24"/>
      <x:c r="I38" s="24"/>
      <x:c r="J38" s="24"/>
      <x:c r="K38" s="24"/>
    </x:row>
    <x:row r="39" ht="25" customHeight="1">
      <x:c r="A39" t="str">
        <x:v>Terminal operating value</x:v>
      </x:c>
      <x:c r="B39" s="34" t="n">
        <x:f>B38/('Assumptions'!$C$2-'Assumptions'!$D$2)</x:f>
        <x:v>946.424776841476</x:v>
      </x:c>
      <x:c r="D39" s="24"/>
      <x:c r="E39" s="24"/>
      <x:c r="F39" s="24"/>
      <x:c r="G39" s="24"/>
      <x:c r="H39" s="24"/>
      <x:c r="I39" s="24"/>
      <x:c r="J39" s="24"/>
      <x:c r="K39" s="24"/>
    </x:row>
    <x:row r="40" ht="25" customHeight="1">
      <x:c r="A40" t="str">
        <x:v>PV terminal value</x:v>
      </x:c>
      <x:c r="B40" s="34" t="n">
        <x:f>B39*K32</x:f>
        <x:v>364.88772166107293</x:v>
      </x:c>
      <x:c r="D40" s="24"/>
      <x:c r="E40" s="24"/>
      <x:c r="F40" s="24"/>
      <x:c r="G40" s="24"/>
      <x:c r="H40" s="24"/>
      <x:c r="I40" s="24"/>
      <x:c r="J40" s="24"/>
      <x:c r="K40" s="24"/>
    </x:row>
    <x:row r="41" ht="25" customHeight="1">
      <x:c r="A41" t="str">
        <x:v>PV explicit forecast</x:v>
      </x:c>
      <x:c r="B41" s="34" t="n">
        <x:f>SUM(B33:K33)</x:f>
        <x:v>324.8652551174806</x:v>
      </x:c>
      <x:c r="D41" s="24"/>
      <x:c r="E41" s="24"/>
      <x:c r="F41" s="24"/>
      <x:c r="G41" s="24"/>
      <x:c r="H41" s="24"/>
      <x:c r="I41" s="24"/>
      <x:c r="J41" s="24"/>
      <x:c r="K41" s="24"/>
    </x:row>
    <x:row r="42" ht="25" customHeight="1">
      <x:c r="A42" s="84" t="str">
        <x:v>Operating enterprise value</x:v>
      </x:c>
      <x:c r="B42" s="85" t="n">
        <x:f>SUM(B40:B41)</x:f>
        <x:v>689.7529767785536</x:v>
      </x:c>
      <x:c r="D42" s="24"/>
      <x:c r="E42" s="24"/>
      <x:c r="F42" s="24"/>
      <x:c r="G42" s="24"/>
      <x:c r="H42" s="24"/>
      <x:c r="I42" s="24"/>
      <x:c r="J42" s="24"/>
      <x:c r="K42" s="24"/>
    </x:row>
    <x:row r="43" ht="25" customHeight="1">
      <x:c r="A43" t="str">
        <x:v>Cash / claims / transaction bridge</x:v>
      </x:c>
      <x:c r="B43" s="34" t="n">
        <x:f>'Inputs'!$B$6-'Inputs'!$B$7-'Inputs'!$B$9-'Inputs'!$B$10-'Inputs'!$B$11+'Inputs'!$B$12*'Inputs'!$B$13</x:f>
        <x:v>178</x:v>
      </x:c>
      <x:c r="D43" s="24"/>
      <x:c r="E43" s="24"/>
      <x:c r="F43" s="24"/>
      <x:c r="G43" s="24"/>
      <x:c r="H43" s="24"/>
      <x:c r="I43" s="24"/>
      <x:c r="J43" s="24"/>
      <x:c r="K43" s="24"/>
    </x:row>
    <x:row r="44" ht="25" customHeight="1">
      <x:c r="A44" s="84" t="str">
        <x:v>Common equity value</x:v>
      </x:c>
      <x:c r="B44" s="85" t="n">
        <x:f>SUM(B42:B43)</x:f>
        <x:v>867.7529767785536</x:v>
      </x:c>
      <x:c r="D44" s="24"/>
      <x:c r="E44" s="24"/>
      <x:c r="F44" s="24"/>
      <x:c r="G44" s="24"/>
      <x:c r="H44" s="24"/>
      <x:c r="I44" s="24"/>
      <x:c r="J44" s="24"/>
      <x:c r="K44" s="24"/>
    </x:row>
    <x:row r="45" ht="25" customHeight="1">
      <x:c r="A45" t="str">
        <x:v>Value / share: debt endpoint</x:v>
      </x:c>
      <x:c r="B45" s="42" t="n">
        <x:f>B44/'Inputs'!$B$8</x:f>
        <x:v>37.584588391309495</x:v>
      </x:c>
    </x:row>
    <x:row r="46" ht="25" customHeight="1">
      <x:c r="A46" t="str">
        <x:v>Value / share: if-converted endpoint</x:v>
      </x:c>
      <x:c r="B46" s="42" t="n">
        <x:f>(B44+'Inputs'!$B$7)/('Inputs'!$B$8+'Inputs'!$B$19)</x:f>
        <x:v>42.4056490472689</x:v>
      </x:c>
    </x:row>
    <x:row r="47" ht="25" customHeight="1">
      <x:c r="A47" s="88" t="str">
        <x:v>Conditional intrinsic value / share</x:v>
      </x:c>
      <x:c r="B47" s="89" t="n">
        <x:f>MIN(B45,B46)</x:f>
        <x:v>37.584588391309495</x:v>
      </x:c>
    </x:row>
    <x:row r="48" ht="25" customHeight="1">
      <x:c r="A48" t="str">
        <x:v>Value versus quote</x:v>
      </x:c>
      <x:c r="B48" s="22" t="n">
        <x:f>B47/'Inputs'!$B$5-1</x:f>
        <x:v>-0.5340946028100968</x:v>
      </x:c>
    </x:row>
    <x:row r="49" ht="25" customHeight="1">
      <x:c r="A49" t="str">
        <x:v>Terminal share of operating EV</x:v>
      </x:c>
      <x:c r="B49" s="22" t="n">
        <x:f>B40/B42</x:f>
        <x:v>0.5290121738441164</x:v>
      </x:c>
    </x:row>
    <x:row r="50" ht="25" customHeight="1">
      <x:c r="A50" t="str">
        <x:v>Value at 12% enterprise discount</x:v>
      </x:c>
      <x:c r="B50" s="42" t="n">
        <x:f>MIN((SUMPRODUCT(B31:K31,B34:K34)+B38/('Controls'!$B$3-'Assumptions'!$D$2)*K34+B43)/'Inputs'!$B$8,((SUMPRODUCT(B31:K31,B34:K34)+B38/('Controls'!$B$3-'Assumptions'!$D$2)*K34+B43)+'Inputs'!$B$7)/('Inputs'!$B$8+'Inputs'!$B$19))</x:f>
        <x:v>30.764421440928484</x:v>
      </x:c>
    </x:row>
    <x:row r="51" ht="25" customHeight="1">
      <x:c r="A51" t="str">
        <x:v>Price-implied operating EV</x:v>
      </x:c>
      <x:c r="B51" s="34" t="n">
        <x:f>'Inputs'!$B$5*'Inputs'!$B$8-B43</x:f>
        <x:v>1684.5089600000001</x:v>
      </x:c>
    </x:row>
    <x:row r="55" ht="29" customHeight="1">
      <x:c r="A55" s="27" t="str">
        <x:v>BASE | conditional operating path, not probability band</x:v>
      </x:c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</x:row>
    <x:row r="57">
      <x:c r="A57" t="str">
        <x:v>Discount rate</x:v>
      </x:c>
      <x:c r="B57" s="22" t="n">
        <x:f>'Assumptions'!$C$3</x:f>
        <x:v>0.1</x:v>
      </x:c>
      <x:c r="C57" t="str">
        <x:v>Terminal growth</x:v>
      </x:c>
      <x:c r="D57" s="22" t="n">
        <x:f>'Assumptions'!$D$3</x:f>
        <x:v>0.03</x:v>
      </x:c>
      <x:c r="E57" t="str">
        <x:v>Tax</x:v>
      </x:c>
      <x:c r="F57" s="22" t="n">
        <x:f>'Assumptions'!$F$3</x:f>
        <x:v>0.24</x:v>
      </x:c>
      <x:c r="G57" t="str">
        <x:v>Terminal ROIC</x:v>
      </x:c>
      <x:c r="H57" s="22" t="n">
        <x:f>'Assumptions'!$E$3</x:f>
        <x:v>0.25</x:v>
      </x:c>
      <x:c r="I57"/>
      <x:c r="J57"/>
      <x:c r="K57"/>
    </x:row>
    <x:row r="59" ht="24" customHeight="1">
      <x:c r="A59" s="31" t="str">
        <x:v>Economic year</x:v>
      </x:c>
      <x:c r="B59" s="31" t="n">
        <x:v>1</x:v>
      </x:c>
      <x:c r="C59" s="31" t="n">
        <x:v>2</x:v>
      </x:c>
      <x:c r="D59" s="31" t="n">
        <x:v>3</x:v>
      </x:c>
      <x:c r="E59" s="31" t="n">
        <x:v>4</x:v>
      </x:c>
      <x:c r="F59" s="31" t="n">
        <x:v>5</x:v>
      </x:c>
      <x:c r="G59" s="31" t="n">
        <x:v>6</x:v>
      </x:c>
      <x:c r="H59" s="31" t="n">
        <x:v>7</x:v>
      </x:c>
      <x:c r="I59" s="31" t="n">
        <x:v>8</x:v>
      </x:c>
      <x:c r="J59" s="31" t="n">
        <x:v>9</x:v>
      </x:c>
      <x:c r="K59" s="31" t="n">
        <x:v>10</x:v>
      </x:c>
    </x:row>
    <x:row r="60" ht="23" customHeight="1">
      <x:c r="A60" t="str">
        <x:v>Primary revenue growth</x:v>
      </x:c>
      <x:c r="B60" s="36" t="n">
        <x:f>'Assumptions'!$O$3</x:f>
        <x:v>0.1</x:v>
      </x:c>
      <x:c r="C60" s="36" t="n">
        <x:f>'Assumptions'!$P$3</x:f>
        <x:v>0.1</x:v>
      </x:c>
      <x:c r="D60" s="36" t="n">
        <x:f>'Assumptions'!$Q$3</x:f>
        <x:v>0.09</x:v>
      </x:c>
      <x:c r="E60" s="36" t="n">
        <x:f>'Assumptions'!$R$3</x:f>
        <x:v>0.08</x:v>
      </x:c>
      <x:c r="F60" s="36" t="n">
        <x:f>'Assumptions'!$S$3</x:f>
        <x:v>0.07</x:v>
      </x:c>
      <x:c r="G60" s="22" t="n">
        <x:f>$F$70+('Assumptions'!$D$3-$F$70)*(G$59-$F$59)/($K$59-$F$59)</x:f>
        <x:v>0.06200000000000005</x:v>
      </x:c>
      <x:c r="H60" s="22" t="n">
        <x:f>$F$70+('Assumptions'!$D$3-$F$70)*(H$59-$F$59)/($K$59-$F$59)</x:f>
        <x:v>0.054000000000000034</x:v>
      </x:c>
      <x:c r="I60" s="22" t="n">
        <x:f>$F$70+('Assumptions'!$D$3-$F$70)*(I$59-$F$59)/($K$59-$F$59)</x:f>
        <x:v>0.04600000000000003</x:v>
      </x:c>
      <x:c r="J60" s="22" t="n">
        <x:f>$F$70+('Assumptions'!$D$3-$F$70)*(J$59-$F$59)/($K$59-$F$59)</x:f>
        <x:v>0.03800000000000001</x:v>
      </x:c>
      <x:c r="K60" s="22" t="n">
        <x:f>$F$70+('Assumptions'!$D$3-$F$70)*(K$59-$F$59)/($K$59-$F$59)</x:f>
        <x:v>0.03</x:v>
      </x:c>
    </x:row>
    <x:row r="61" ht="23" customHeight="1">
      <x:c r="A61" t="str">
        <x:v>Secondary revenue growth</x:v>
      </x:c>
      <x:c r="B61" s="36" t="n">
        <x:f>'Assumptions'!$T$3</x:f>
        <x:v>0</x:v>
      </x:c>
      <x:c r="C61" s="36" t="n">
        <x:f>'Assumptions'!$U$3</x:f>
        <x:v>0</x:v>
      </x:c>
      <x:c r="D61" s="36" t="n">
        <x:f>'Assumptions'!$V$3</x:f>
        <x:v>0</x:v>
      </x:c>
      <x:c r="E61" s="36" t="n">
        <x:f>'Assumptions'!$W$3</x:f>
        <x:v>0</x:v>
      </x:c>
      <x:c r="F61" s="36" t="n">
        <x:f>'Assumptions'!$X$3</x:f>
        <x:v>0</x:v>
      </x:c>
      <x:c r="G61" s="22" t="n">
        <x:f>$F$70+('Assumptions'!$D$3-$F$70)*(G$59-$F$59)/($K$59-$F$59)</x:f>
        <x:v>0.06200000000000005</x:v>
      </x:c>
      <x:c r="H61" s="22" t="n">
        <x:f>$F$70+('Assumptions'!$D$3-$F$70)*(H$59-$F$59)/($K$59-$F$59)</x:f>
        <x:v>0.054000000000000034</x:v>
      </x:c>
      <x:c r="I61" s="22" t="n">
        <x:f>$F$70+('Assumptions'!$D$3-$F$70)*(I$59-$F$59)/($K$59-$F$59)</x:f>
        <x:v>0.04600000000000003</x:v>
      </x:c>
      <x:c r="J61" s="22" t="n">
        <x:f>$F$70+('Assumptions'!$D$3-$F$70)*(J$59-$F$59)/($K$59-$F$59)</x:f>
        <x:v>0.03800000000000001</x:v>
      </x:c>
      <x:c r="K61" s="22" t="n">
        <x:f>$F$70+('Assumptions'!$D$3-$F$70)*(K$59-$F$59)/($K$59-$F$59)</x:f>
        <x:v>0.03</x:v>
      </x:c>
    </x:row>
    <x:row r="62" ht="23" customHeight="1">
      <x:c r="A62" t="str">
        <x:v>Primary margin</x:v>
      </x:c>
      <x:c r="B62" s="36" t="n">
        <x:f>'Assumptions'!$Y$3</x:f>
        <x:v>0.28</x:v>
      </x:c>
      <x:c r="C62" s="36" t="n">
        <x:f>'Assumptions'!$Z$3</x:f>
        <x:v>0.29</x:v>
      </x:c>
      <x:c r="D62" s="36" t="n">
        <x:f>'Assumptions'!$AA$3</x:f>
        <x:v>0.3</x:v>
      </x:c>
      <x:c r="E62" s="36" t="n">
        <x:f>'Assumptions'!$AB$3</x:f>
        <x:v>0.305</x:v>
      </x:c>
      <x:c r="F62" s="36" t="n">
        <x:f>'Assumptions'!$AC$3</x:f>
        <x:v>0.31</x:v>
      </x:c>
      <x:c r="G62" s="22" t="n">
        <x:f>$F$62</x:f>
        <x:v>0.31</x:v>
      </x:c>
      <x:c r="H62" s="22" t="n">
        <x:f>$F$62</x:f>
        <x:v>0.31</x:v>
      </x:c>
      <x:c r="I62" s="22" t="n">
        <x:f>$F$62</x:f>
        <x:v>0.31</x:v>
      </x:c>
      <x:c r="J62" s="22" t="n">
        <x:f>$F$62</x:f>
        <x:v>0.31</x:v>
      </x:c>
      <x:c r="K62" s="22" t="n">
        <x:f>$F$62</x:f>
        <x:v>0.31</x:v>
      </x:c>
    </x:row>
    <x:row r="63" ht="23" customHeight="1">
      <x:c r="A63" t="str">
        <x:v>Secondary margin</x:v>
      </x:c>
      <x:c r="B63" s="36" t="n">
        <x:f>'Assumptions'!$AD$3</x:f>
        <x:v>0</x:v>
      </x:c>
      <x:c r="C63" s="36" t="n">
        <x:f>'Assumptions'!$AE$3</x:f>
        <x:v>0</x:v>
      </x:c>
      <x:c r="D63" s="36" t="n">
        <x:f>'Assumptions'!$AF$3</x:f>
        <x:v>0</x:v>
      </x:c>
      <x:c r="E63" s="36" t="n">
        <x:f>'Assumptions'!$AG$3</x:f>
        <x:v>0</x:v>
      </x:c>
      <x:c r="F63" s="36" t="n">
        <x:f>'Assumptions'!$AH$3</x:f>
        <x:v>0</x:v>
      </x:c>
      <x:c r="G63" s="22" t="n">
        <x:f>$F$63</x:f>
        <x:v>0</x:v>
      </x:c>
      <x:c r="H63" s="22" t="n">
        <x:f>$F$63</x:f>
        <x:v>0</x:v>
      </x:c>
      <x:c r="I63" s="22" t="n">
        <x:f>$F$63</x:f>
        <x:v>0</x:v>
      </x:c>
      <x:c r="J63" s="22" t="n">
        <x:f>$F$63</x:f>
        <x:v>0</x:v>
      </x:c>
      <x:c r="K63" s="22" t="n">
        <x:f>$F$63</x:f>
        <x:v>0</x:v>
      </x:c>
    </x:row>
    <x:row r="64" ht="23" customHeight="1">
      <x:c r="A64" t="str">
        <x:v>Overhead growth</x:v>
      </x:c>
      <x:c r="B64" s="36" t="n">
        <x:f>'Assumptions'!$AI$3</x:f>
        <x:v>0</x:v>
      </x:c>
      <x:c r="C64" s="36" t="n">
        <x:f>'Assumptions'!$AJ$3</x:f>
        <x:v>0</x:v>
      </x:c>
      <x:c r="D64" s="36" t="n">
        <x:f>'Assumptions'!$AK$3</x:f>
        <x:v>0</x:v>
      </x:c>
      <x:c r="E64" s="36" t="n">
        <x:f>'Assumptions'!$AL$3</x:f>
        <x:v>0</x:v>
      </x:c>
      <x:c r="F64" s="36" t="n">
        <x:f>'Assumptions'!$AM$3</x:f>
        <x:v>0</x:v>
      </x:c>
      <x:c r="G64" s="22" t="n">
        <x:f>$F$70+('Assumptions'!$D$3-$F$70)*(G$59-$F$59)/($K$59-$F$59)</x:f>
        <x:v>0.06200000000000005</x:v>
      </x:c>
      <x:c r="H64" s="22" t="n">
        <x:f>$F$70+('Assumptions'!$D$3-$F$70)*(H$59-$F$59)/($K$59-$F$59)</x:f>
        <x:v>0.054000000000000034</x:v>
      </x:c>
      <x:c r="I64" s="22" t="n">
        <x:f>$F$70+('Assumptions'!$D$3-$F$70)*(I$59-$F$59)/($K$59-$F$59)</x:f>
        <x:v>0.04600000000000003</x:v>
      </x:c>
      <x:c r="J64" s="22" t="n">
        <x:f>$F$70+('Assumptions'!$D$3-$F$70)*(J$59-$F$59)/($K$59-$F$59)</x:f>
        <x:v>0.03800000000000001</x:v>
      </x:c>
      <x:c r="K64" s="22" t="n">
        <x:f>$F$70+('Assumptions'!$D$3-$F$70)*(K$59-$F$59)/($K$59-$F$59)</x:f>
        <x:v>0.03</x:v>
      </x:c>
    </x:row>
    <x:row r="65" ht="23" customHeight="1">
      <x:c r="A65" t="str">
        <x:v>Capex / revenue</x:v>
      </x:c>
      <x:c r="B65" s="36" t="n">
        <x:f>'Assumptions'!$AN$3</x:f>
        <x:v>0.04</x:v>
      </x:c>
      <x:c r="C65" s="36" t="n">
        <x:f>'Assumptions'!$AO$3</x:f>
        <x:v>0.04</x:v>
      </x:c>
      <x:c r="D65" s="36" t="n">
        <x:f>'Assumptions'!$AP$3</x:f>
        <x:v>0.04</x:v>
      </x:c>
      <x:c r="E65" s="36" t="n">
        <x:f>'Assumptions'!$AQ$3</x:f>
        <x:v>0.04</x:v>
      </x:c>
      <x:c r="F65" s="36" t="n">
        <x:f>'Assumptions'!$AR$3</x:f>
        <x:v>0.04</x:v>
      </x:c>
      <x:c r="G65" s="22" t="n">
        <x:f>$F$65</x:f>
        <x:v>0.04</x:v>
      </x:c>
      <x:c r="H65" s="22" t="n">
        <x:f>$F$65</x:f>
        <x:v>0.04</x:v>
      </x:c>
      <x:c r="I65" s="22" t="n">
        <x:f>$F$65</x:f>
        <x:v>0.04</x:v>
      </x:c>
      <x:c r="J65" s="22" t="n">
        <x:f>$F$65</x:f>
        <x:v>0.04</x:v>
      </x:c>
      <x:c r="K65" s="22" t="n">
        <x:f>$F$65</x:f>
        <x:v>0.04</x:v>
      </x:c>
    </x:row>
    <x:row r="66" ht="23" customHeight="1"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</x:row>
    <x:row r="67" ht="23" customHeight="1">
      <x:c r="A67" t="str">
        <x:v>Primary revenue</x:v>
      </x:c>
      <x:c r="B67" s="34" t="n">
        <x:f>'Inputs'!$B$14*(1+B60)</x:f>
        <x:v>303.93000000000006</x:v>
      </x:c>
      <x:c r="C67" s="34" t="n">
        <x:f>B67*(1+C60)</x:f>
        <x:v>334.3230000000001</x:v>
      </x:c>
      <x:c r="D67" s="34" t="n">
        <x:f>C67*(1+D60)</x:f>
        <x:v>364.41207000000014</x:v>
      </x:c>
      <x:c r="E67" s="34" t="n">
        <x:f>D67*(1+E60)</x:f>
        <x:v>393.56503560000016</x:v>
      </x:c>
      <x:c r="F67" s="34" t="n">
        <x:f>E67*(1+F60)</x:f>
        <x:v>421.1145880920002</x:v>
      </x:c>
      <x:c r="G67" s="34" t="n">
        <x:f>F67*(1+G60)</x:f>
        <x:v>447.2236925537042</x:v>
      </x:c>
      <x:c r="H67" s="34" t="n">
        <x:f>G67*(1+H60)</x:f>
        <x:v>471.3737719516043</x:v>
      </x:c>
      <x:c r="I67" s="34" t="n">
        <x:f>H67*(1+I60)</x:f>
        <x:v>493.0569654613781</x:v>
      </x:c>
      <x:c r="J67" s="34" t="n">
        <x:f>I67*(1+J60)</x:f>
        <x:v>511.7931301489105</x:v>
      </x:c>
      <x:c r="K67" s="34" t="n">
        <x:f>J67*(1+K60)</x:f>
        <x:v>527.1469240533778</x:v>
      </x:c>
    </x:row>
    <x:row r="68" ht="23" customHeight="1">
      <x:c r="A68" t="str">
        <x:v>Secondary revenue</x:v>
      </x:c>
      <x:c r="B68" s="34" t="n">
        <x:f>0</x:f>
        <x:v>0</x:v>
      </x:c>
      <x:c r="C68" s="34" t="n">
        <x:f>B68*(1+C61)</x:f>
        <x:v>0</x:v>
      </x:c>
      <x:c r="D68" s="34" t="n">
        <x:f>C68*(1+D61)</x:f>
        <x:v>0</x:v>
      </x:c>
      <x:c r="E68" s="34" t="n">
        <x:f>D68*(1+E61)</x:f>
        <x:v>0</x:v>
      </x:c>
      <x:c r="F68" s="34" t="n">
        <x:f>E68*(1+F61)</x:f>
        <x:v>0</x:v>
      </x:c>
      <x:c r="G68" s="34" t="n">
        <x:f>F68*(1+G61)</x:f>
        <x:v>0</x:v>
      </x:c>
      <x:c r="H68" s="34" t="n">
        <x:f>G68*(1+H61)</x:f>
        <x:v>0</x:v>
      </x:c>
      <x:c r="I68" s="34" t="n">
        <x:f>H68*(1+I61)</x:f>
        <x:v>0</x:v>
      </x:c>
      <x:c r="J68" s="34" t="n">
        <x:f>I68*(1+J61)</x:f>
        <x:v>0</x:v>
      </x:c>
      <x:c r="K68" s="34" t="n">
        <x:f>J68*(1+K61)</x:f>
        <x:v>0</x:v>
      </x:c>
    </x:row>
    <x:row r="69" ht="23" customHeight="1">
      <x:c r="A69" s="31" t="str">
        <x:v>Total economic revenue</x:v>
      </x:c>
      <x:c r="B69" s="40" t="n">
        <x:f>SUM(B67:B68)</x:f>
        <x:v>303.93000000000006</x:v>
      </x:c>
      <x:c r="C69" s="40" t="n">
        <x:f>SUM(C67:C68)</x:f>
        <x:v>334.3230000000001</x:v>
      </x:c>
      <x:c r="D69" s="40" t="n">
        <x:f>SUM(D67:D68)</x:f>
        <x:v>364.41207000000014</x:v>
      </x:c>
      <x:c r="E69" s="40" t="n">
        <x:f>SUM(E67:E68)</x:f>
        <x:v>393.56503560000016</x:v>
      </x:c>
      <x:c r="F69" s="40" t="n">
        <x:f>SUM(F67:F68)</x:f>
        <x:v>421.1145880920002</x:v>
      </x:c>
      <x:c r="G69" s="40" t="n">
        <x:f>SUM(G67:G68)</x:f>
        <x:v>447.2236925537042</x:v>
      </x:c>
      <x:c r="H69" s="40" t="n">
        <x:f>SUM(H67:H68)</x:f>
        <x:v>471.3737719516043</x:v>
      </x:c>
      <x:c r="I69" s="40" t="n">
        <x:f>SUM(I67:I68)</x:f>
        <x:v>493.0569654613781</x:v>
      </x:c>
      <x:c r="J69" s="40" t="n">
        <x:f>SUM(J67:J68)</x:f>
        <x:v>511.7931301489105</x:v>
      </x:c>
      <x:c r="K69" s="40" t="n">
        <x:f>SUM(K67:K68)</x:f>
        <x:v>527.1469240533778</x:v>
      </x:c>
    </x:row>
    <x:row r="70" ht="23" customHeight="1">
      <x:c r="A70" t="str">
        <x:v>Revenue growth</x:v>
      </x:c>
      <x:c r="B70" s="22" t="n">
        <x:f>B69/'Inputs'!$B$14-1</x:f>
        <x:v>0.10000000000000009</x:v>
      </x:c>
      <x:c r="C70" s="22" t="n">
        <x:f>C69/B69-1</x:f>
        <x:v>0.10000000000000009</x:v>
      </x:c>
      <x:c r="D70" s="22" t="n">
        <x:f>D69/C69-1</x:f>
        <x:v>0.09000000000000008</x:v>
      </x:c>
      <x:c r="E70" s="22" t="n">
        <x:f>E69/D69-1</x:f>
        <x:v>0.08000000000000007</x:v>
      </x:c>
      <x:c r="F70" s="22" t="n">
        <x:f>F69/E69-1</x:f>
        <x:v>0.07000000000000006</x:v>
      </x:c>
      <x:c r="G70" s="22" t="n">
        <x:f>G69/F69-1</x:f>
        <x:v>0.062000000000000055</x:v>
      </x:c>
      <x:c r="H70" s="22" t="n">
        <x:f>H69/G69-1</x:f>
        <x:v>0.05400000000000005</x:v>
      </x:c>
      <x:c r="I70" s="22" t="n">
        <x:f>I69/H69-1</x:f>
        <x:v>0.04600000000000004</x:v>
      </x:c>
      <x:c r="J70" s="22" t="n">
        <x:f>J69/I69-1</x:f>
        <x:v>0.038000000000000034</x:v>
      </x:c>
      <x:c r="K70" s="22" t="n">
        <x:f>K69/J69-1</x:f>
        <x:v>0.030000000000000027</x:v>
      </x:c>
    </x:row>
    <x:row r="71" ht="23" customHeight="1">
      <x:c r="A71" t="str">
        <x:v>Primary profit pool</x:v>
      </x:c>
      <x:c r="B71" s="34" t="n">
        <x:f>B67*B62</x:f>
        <x:v>85.10040000000002</x:v>
      </x:c>
      <x:c r="C71" s="34" t="n">
        <x:f>C67*C62</x:f>
        <x:v>96.95367000000002</x:v>
      </x:c>
      <x:c r="D71" s="34" t="n">
        <x:f>D67*D62</x:f>
        <x:v>109.32362100000005</x:v>
      </x:c>
      <x:c r="E71" s="34" t="n">
        <x:f>E67*E62</x:f>
        <x:v>120.03733585800005</x:v>
      </x:c>
      <x:c r="F71" s="34" t="n">
        <x:f>F67*F62</x:f>
        <x:v>130.54552230852005</x:v>
      </x:c>
      <x:c r="G71" s="34" t="n">
        <x:f>G67*G62</x:f>
        <x:v>138.63934469164832</x:v>
      </x:c>
      <x:c r="H71" s="34" t="n">
        <x:f>H67*H62</x:f>
        <x:v>146.12586930499734</x:v>
      </x:c>
      <x:c r="I71" s="34" t="n">
        <x:f>I67*I62</x:f>
        <x:v>152.84765929302722</x:v>
      </x:c>
      <x:c r="J71" s="34" t="n">
        <x:f>J67*J62</x:f>
        <x:v>158.65587034616226</x:v>
      </x:c>
      <x:c r="K71" s="34" t="n">
        <x:f>K67*K62</x:f>
        <x:v>163.4155464565471</x:v>
      </x:c>
    </x:row>
    <x:row r="72" ht="23" customHeight="1">
      <x:c r="A72" t="str">
        <x:v>Secondary profit pool</x:v>
      </x:c>
      <x:c r="B72" s="34" t="n">
        <x:f>B68*B63</x:f>
        <x:v>0</x:v>
      </x:c>
      <x:c r="C72" s="34" t="n">
        <x:f>C68*C63</x:f>
        <x:v>0</x:v>
      </x:c>
      <x:c r="D72" s="34" t="n">
        <x:f>D68*D63</x:f>
        <x:v>0</x:v>
      </x:c>
      <x:c r="E72" s="34" t="n">
        <x:f>E68*E63</x:f>
        <x:v>0</x:v>
      </x:c>
      <x:c r="F72" s="34" t="n">
        <x:f>F68*F63</x:f>
        <x:v>0</x:v>
      </x:c>
      <x:c r="G72" s="34" t="n">
        <x:f>G68*G63</x:f>
        <x:v>0</x:v>
      </x:c>
      <x:c r="H72" s="34" t="n">
        <x:f>H68*H63</x:f>
        <x:v>0</x:v>
      </x:c>
      <x:c r="I72" s="34" t="n">
        <x:f>I68*I63</x:f>
        <x:v>0</x:v>
      </x:c>
      <x:c r="J72" s="34" t="n">
        <x:f>J68*J63</x:f>
        <x:v>0</x:v>
      </x:c>
      <x:c r="K72" s="34" t="n">
        <x:f>K68*K63</x:f>
        <x:v>0</x:v>
      </x:c>
    </x:row>
    <x:row r="73" ht="23" customHeight="1">
      <x:c r="A73" t="str">
        <x:v>Less: overhead / corporate</x:v>
      </x:c>
      <x:c r="B73" s="34" t="n">
        <x:f>0</x:f>
        <x:v>0</x:v>
      </x:c>
      <x:c r="C73" s="34" t="n">
        <x:f>B73*(1+C64)</x:f>
        <x:v>0</x:v>
      </x:c>
      <x:c r="D73" s="34" t="n">
        <x:f>C73*(1+D64)</x:f>
        <x:v>0</x:v>
      </x:c>
      <x:c r="E73" s="34" t="n">
        <x:f>D73*(1+E64)</x:f>
        <x:v>0</x:v>
      </x:c>
      <x:c r="F73" s="34" t="n">
        <x:f>E73*(1+F64)</x:f>
        <x:v>0</x:v>
      </x:c>
      <x:c r="G73" s="34" t="n">
        <x:f>F73*(1+G64)</x:f>
        <x:v>0</x:v>
      </x:c>
      <x:c r="H73" s="34" t="n">
        <x:f>G73*(1+H64)</x:f>
        <x:v>0</x:v>
      </x:c>
      <x:c r="I73" s="34" t="n">
        <x:f>H73*(1+I64)</x:f>
        <x:v>0</x:v>
      </x:c>
      <x:c r="J73" s="34" t="n">
        <x:f>I73*(1+J64)</x:f>
        <x:v>0</x:v>
      </x:c>
      <x:c r="K73" s="34" t="n">
        <x:f>J73*(1+K64)</x:f>
        <x:v>0</x:v>
      </x:c>
    </x:row>
    <x:row r="74" ht="23" customHeight="1">
      <x:c r="A74" t="str">
        <x:v>Additional fee profit</x:v>
      </x:c>
      <x:c r="B74" s="34" t="n">
        <x:f>0</x:f>
        <x:v>0</x:v>
      </x:c>
      <x:c r="C74" s="34" t="n">
        <x:f>0</x:f>
        <x:v>0</x:v>
      </x:c>
      <x:c r="D74" s="34" t="n">
        <x:f>0</x:f>
        <x:v>0</x:v>
      </x:c>
      <x:c r="E74" s="34" t="n">
        <x:f>0</x:f>
        <x:v>0</x:v>
      </x:c>
      <x:c r="F74" s="34" t="n">
        <x:f>0</x:f>
        <x:v>0</x:v>
      </x:c>
      <x:c r="G74" s="34" t="n">
        <x:f>0</x:f>
        <x:v>0</x:v>
      </x:c>
      <x:c r="H74" s="34" t="n">
        <x:f>0</x:f>
        <x:v>0</x:v>
      </x:c>
      <x:c r="I74" s="34" t="n">
        <x:f>0</x:f>
        <x:v>0</x:v>
      </x:c>
      <x:c r="J74" s="34" t="n">
        <x:f>0</x:f>
        <x:v>0</x:v>
      </x:c>
      <x:c r="K74" s="34" t="n">
        <x:f>0</x:f>
        <x:v>0</x:v>
      </x:c>
    </x:row>
    <x:row r="75" ht="23" customHeight="1">
      <x:c r="A75" s="31" t="str">
        <x:v>Operating income after recurring SBC</x:v>
      </x:c>
      <x:c r="B75" s="40" t="n">
        <x:f>SUM(B71:B74)</x:f>
        <x:v>85.10040000000002</x:v>
      </x:c>
      <x:c r="C75" s="40" t="n">
        <x:f>SUM(C71:C74)</x:f>
        <x:v>96.95367000000002</x:v>
      </x:c>
      <x:c r="D75" s="40" t="n">
        <x:f>SUM(D71:D74)</x:f>
        <x:v>109.32362100000005</x:v>
      </x:c>
      <x:c r="E75" s="40" t="n">
        <x:f>SUM(E71:E74)</x:f>
        <x:v>120.03733585800005</x:v>
      </x:c>
      <x:c r="F75" s="40" t="n">
        <x:f>SUM(F71:F74)</x:f>
        <x:v>130.54552230852005</x:v>
      </x:c>
      <x:c r="G75" s="40" t="n">
        <x:f>SUM(G71:G74)</x:f>
        <x:v>138.63934469164832</x:v>
      </x:c>
      <x:c r="H75" s="40" t="n">
        <x:f>SUM(H71:H74)</x:f>
        <x:v>146.12586930499734</x:v>
      </x:c>
      <x:c r="I75" s="40" t="n">
        <x:f>SUM(I71:I74)</x:f>
        <x:v>152.84765929302722</x:v>
      </x:c>
      <x:c r="J75" s="40" t="n">
        <x:f>SUM(J71:J74)</x:f>
        <x:v>158.65587034616226</x:v>
      </x:c>
      <x:c r="K75" s="40" t="n">
        <x:f>SUM(K71:K74)</x:f>
        <x:v>163.4155464565471</x:v>
      </x:c>
    </x:row>
    <x:row r="76" ht="23" customHeight="1">
      <x:c r="A76" t="str">
        <x:v>Operating margin</x:v>
      </x:c>
      <x:c r="B76" s="22" t="n">
        <x:f>B75/B69</x:f>
        <x:v>0.28</x:v>
      </x:c>
      <x:c r="C76" s="22" t="n">
        <x:f>C75/C69</x:f>
        <x:v>0.29</x:v>
      </x:c>
      <x:c r="D76" s="22" t="n">
        <x:f>D75/D69</x:f>
        <x:v>0.3</x:v>
      </x:c>
      <x:c r="E76" s="22" t="n">
        <x:f>E75/E69</x:f>
        <x:v>0.305</x:v>
      </x:c>
      <x:c r="F76" s="22" t="n">
        <x:f>F75/F69</x:f>
        <x:v>0.31</x:v>
      </x:c>
      <x:c r="G76" s="22" t="n">
        <x:f>G75/G69</x:f>
        <x:v>0.31000000000000005</x:v>
      </x:c>
      <x:c r="H76" s="22" t="n">
        <x:f>H75/H69</x:f>
        <x:v>0.31</x:v>
      </x:c>
      <x:c r="I76" s="22" t="n">
        <x:f>I75/I69</x:f>
        <x:v>0.31</x:v>
      </x:c>
      <x:c r="J76" s="22" t="n">
        <x:f>J75/J69</x:f>
        <x:v>0.31</x:v>
      </x:c>
      <x:c r="K76" s="22" t="n">
        <x:f>K75/K69</x:f>
        <x:v>0.31</x:v>
      </x:c>
    </x:row>
    <x:row r="77" ht="23" customHeight="1">
      <x:c r="A77" t="str">
        <x:v>After-tax operating profit</x:v>
      </x:c>
      <x:c r="B77" s="34" t="n">
        <x:f>B75*(1-'Assumptions'!$F$3)</x:f>
        <x:v>64.67630400000002</x:v>
      </x:c>
      <x:c r="C77" s="34" t="n">
        <x:f>C75*(1-'Assumptions'!$F$3)</x:f>
        <x:v>73.68478920000001</x:v>
      </x:c>
      <x:c r="D77" s="34" t="n">
        <x:f>D75*(1-'Assumptions'!$F$3)</x:f>
        <x:v>83.08595196000003</x:v>
      </x:c>
      <x:c r="E77" s="34" t="n">
        <x:f>E75*(1-'Assumptions'!$F$3)</x:f>
        <x:v>91.22837525208004</x:v>
      </x:c>
      <x:c r="F77" s="34" t="n">
        <x:f>F75*(1-'Assumptions'!$F$3)</x:f>
        <x:v>99.21459695447524</x:v>
      </x:c>
      <x:c r="G77" s="34" t="n">
        <x:f>G75*(1-'Assumptions'!$F$3)</x:f>
        <x:v>105.36590196565272</x:v>
      </x:c>
      <x:c r="H77" s="34" t="n">
        <x:f>H75*(1-'Assumptions'!$F$3)</x:f>
        <x:v>111.05566067179798</x:v>
      </x:c>
      <x:c r="I77" s="34" t="n">
        <x:f>I75*(1-'Assumptions'!$F$3)</x:f>
        <x:v>116.16422106270069</x:v>
      </x:c>
      <x:c r="J77" s="34" t="n">
        <x:f>J75*(1-'Assumptions'!$F$3)</x:f>
        <x:v>120.57846146308331</x:v>
      </x:c>
      <x:c r="K77" s="34" t="n">
        <x:f>K75*(1-'Assumptions'!$F$3)</x:f>
        <x:v>124.1958153069758</x:v>
      </x:c>
    </x:row>
    <x:row r="78" ht="23" customHeight="1">
      <x:c r="A78" t="str">
        <x:v>Add: depreciation &amp; amortization</x:v>
      </x:c>
      <x:c r="B78" s="34" t="n">
        <x:f>B69*'Assumptions'!$G$3</x:f>
        <x:v>10.637550000000003</x:v>
      </x:c>
      <x:c r="C78" s="34" t="n">
        <x:f>C69*'Assumptions'!$G$3</x:f>
        <x:v>11.701305000000005</x:v>
      </x:c>
      <x:c r="D78" s="34" t="n">
        <x:f>D69*'Assumptions'!$G$3</x:f>
        <x:v>12.754422450000007</x:v>
      </x:c>
      <x:c r="E78" s="34" t="n">
        <x:f>E69*'Assumptions'!$G$3</x:f>
        <x:v>13.774776246000007</x:v>
      </x:c>
      <x:c r="F78" s="34" t="n">
        <x:f>F69*'Assumptions'!$G$3</x:f>
        <x:v>14.739010583220008</x:v>
      </x:c>
      <x:c r="G78" s="34" t="n">
        <x:f>G69*'Assumptions'!$G$3</x:f>
        <x:v>15.652829239379649</x:v>
      </x:c>
      <x:c r="H78" s="34" t="n">
        <x:f>H69*'Assumptions'!$G$3</x:f>
        <x:v>16.498082018306153</x:v>
      </x:c>
      <x:c r="I78" s="34" t="n">
        <x:f>I69*'Assumptions'!$G$3</x:f>
        <x:v>17.256993791148236</x:v>
      </x:c>
      <x:c r="J78" s="34" t="n">
        <x:f>J69*'Assumptions'!$G$3</x:f>
        <x:v>17.91275955521187</x:v>
      </x:c>
      <x:c r="K78" s="34" t="n">
        <x:f>K69*'Assumptions'!$G$3</x:f>
        <x:v>18.450142341868226</x:v>
      </x:c>
    </x:row>
    <x:row r="79" ht="23" customHeight="1">
      <x:c r="A79" t="str">
        <x:v>Less: investment incl. software</x:v>
      </x:c>
      <x:c r="B79" s="34" t="n">
        <x:f>-B69*B65</x:f>
        <x:v>-12.157200000000003</x:v>
      </x:c>
      <x:c r="C79" s="34" t="n">
        <x:f>-C69*C65</x:f>
        <x:v>-13.372920000000004</x:v>
      </x:c>
      <x:c r="D79" s="34" t="n">
        <x:f>-D69*D65</x:f>
        <x:v>-14.576482800000006</x:v>
      </x:c>
      <x:c r="E79" s="34" t="n">
        <x:f>-E69*E65</x:f>
        <x:v>-15.742601424000007</x:v>
      </x:c>
      <x:c r="F79" s="34" t="n">
        <x:f>-F69*F65</x:f>
        <x:v>-16.844583523680008</x:v>
      </x:c>
      <x:c r="G79" s="34" t="n">
        <x:f>-G69*G65</x:f>
        <x:v>-17.88894770214817</x:v>
      </x:c>
      <x:c r="H79" s="34" t="n">
        <x:f>-H69*H65</x:f>
        <x:v>-18.854950878064173</x:v>
      </x:c>
      <x:c r="I79" s="34" t="n">
        <x:f>-I69*I65</x:f>
        <x:v>-19.722278618455125</x:v>
      </x:c>
      <x:c r="J79" s="34" t="n">
        <x:f>-J69*J65</x:f>
        <x:v>-20.47172520595642</x:v>
      </x:c>
      <x:c r="K79" s="34" t="n">
        <x:f>-K69*K65</x:f>
        <x:v>-21.085876962135114</x:v>
      </x:c>
    </x:row>
    <x:row r="80" ht="23" customHeight="1">
      <x:c r="A80" t="str">
        <x:v>Less: incremental working capital</x:v>
      </x:c>
      <x:c r="B80" s="34" t="n">
        <x:f>-(B69-'Inputs'!$B$14)*'Assumptions'!$H$3</x:f>
        <x:v>-6.354900000000012</x:v>
      </x:c>
      <x:c r="C80" s="34" t="n">
        <x:f>-(C69-B69)*'Assumptions'!$H$3</x:f>
        <x:v>-6.990390000000007</x:v>
      </x:c>
      <x:c r="D80" s="34" t="n">
        <x:f>-(D69-C69)*'Assumptions'!$H$3</x:f>
        <x:v>-6.920486100000011</x:v>
      </x:c>
      <x:c r="E80" s="34" t="n">
        <x:f>-(E69-D69)*'Assumptions'!$H$3</x:f>
        <x:v>-6.705182088000004</x:v>
      </x:c>
      <x:c r="F80" s="34" t="n">
        <x:f>-(F69-E69)*'Assumptions'!$H$3</x:f>
        <x:v>-6.336397073160008</x:v>
      </x:c>
      <x:c r="G80" s="34" t="n">
        <x:f>-(G69-F69)*'Assumptions'!$H$3</x:f>
        <x:v>-6.005094026191925</x:v>
      </x:c>
      <x:c r="H80" s="34" t="n">
        <x:f>-(H69-G69)*'Assumptions'!$H$3</x:f>
        <x:v>-5.554518261517017</x:v>
      </x:c>
      <x:c r="I80" s="34" t="n">
        <x:f>-(I69-H69)*'Assumptions'!$H$3</x:f>
        <x:v>-4.987134507247984</x:v>
      </x:c>
      <x:c r="J80" s="34" t="n">
        <x:f>-(J69-I69)*'Assumptions'!$H$3</x:f>
        <x:v>-4.309317878132448</x:v>
      </x:c>
      <x:c r="K80" s="34" t="n">
        <x:f>-(K69-J69)*'Assumptions'!$H$3</x:f>
        <x:v>-3.531372598027478</x:v>
      </x:c>
    </x:row>
    <x:row r="81" ht="23" customHeight="1">
      <x:c r="A81" t="str">
        <x:v>Less: specified cash shock</x:v>
      </x:c>
      <x:c r="B81" s="34" t="n">
        <x:f>-'Assumptions'!$I$3</x:f>
        <x:v>-3</x:v>
      </x:c>
      <x:c r="C81" s="34" t="n">
        <x:f>0</x:f>
        <x:v>0</x:v>
      </x:c>
      <x:c r="D81" s="34" t="n">
        <x:f>0</x:f>
        <x:v>0</x:v>
      </x:c>
      <x:c r="E81" s="34" t="n">
        <x:f>0</x:f>
        <x:v>0</x:v>
      </x:c>
      <x:c r="F81" s="34" t="n">
        <x:f>0</x:f>
        <x:v>0</x:v>
      </x:c>
      <x:c r="G81" s="34" t="n">
        <x:f>0</x:f>
        <x:v>0</x:v>
      </x:c>
      <x:c r="H81" s="34" t="n">
        <x:f>0</x:f>
        <x:v>0</x:v>
      </x:c>
      <x:c r="I81" s="34" t="n">
        <x:f>0</x:f>
        <x:v>0</x:v>
      </x:c>
      <x:c r="J81" s="34" t="n">
        <x:f>0</x:f>
        <x:v>0</x:v>
      </x:c>
      <x:c r="K81" s="34" t="n">
        <x:f>0</x:f>
        <x:v>0</x:v>
      </x:c>
    </x:row>
    <x:row r="82" ht="23" customHeight="1">
      <x:c r="A82" s="31" t="str">
        <x:v>Owner-economic unlevered cash flow</x:v>
      </x:c>
      <x:c r="B82" s="40" t="n">
        <x:f>SUM(B77:B81)</x:f>
        <x:v>53.801754</x:v>
      </x:c>
      <x:c r="C82" s="40" t="n">
        <x:f>SUM(C77:C81)</x:f>
        <x:v>65.0227842</x:v>
      </x:c>
      <x:c r="D82" s="40" t="n">
        <x:f>SUM(D77:D81)</x:f>
        <x:v>74.34340551000003</x:v>
      </x:c>
      <x:c r="E82" s="40" t="n">
        <x:f>SUM(E77:E81)</x:f>
        <x:v>82.55536798608004</x:v>
      </x:c>
      <x:c r="F82" s="40" t="n">
        <x:f>SUM(F77:F81)</x:f>
        <x:v>90.77262694085522</x:v>
      </x:c>
      <x:c r="G82" s="40" t="n">
        <x:f>SUM(G77:G81)</x:f>
        <x:v>97.12468947669227</x:v>
      </x:c>
      <x:c r="H82" s="40" t="n">
        <x:f>SUM(H77:H81)</x:f>
        <x:v>103.14427355052294</x:v>
      </x:c>
      <x:c r="I82" s="40" t="n">
        <x:f>SUM(I77:I81)</x:f>
        <x:v>108.71180172814583</x:v>
      </x:c>
      <x:c r="J82" s="40" t="n">
        <x:f>SUM(J77:J81)</x:f>
        <x:v>113.71017793420633</x:v>
      </x:c>
      <x:c r="K82" s="40" t="n">
        <x:f>SUM(K77:K81)</x:f>
        <x:v>118.02870808868143</x:v>
      </x:c>
    </x:row>
    <x:row r="83" ht="23" customHeight="1">
      <x:c r="A83" t="str">
        <x:v>Discount factor</x:v>
      </x:c>
      <x:c r="B83" s="22" t="n">
        <x:f>1/(1+'Assumptions'!$C$3)^B$59</x:f>
        <x:v>0.9090909090909091</x:v>
      </x:c>
      <x:c r="C83" s="22" t="n">
        <x:f>1/(1+'Assumptions'!$C$3)^C$59</x:f>
        <x:v>0.8264462809917354</x:v>
      </x:c>
      <x:c r="D83" s="22" t="n">
        <x:f>1/(1+'Assumptions'!$C$3)^D$59</x:f>
        <x:v>0.7513148009015775</x:v>
      </x:c>
      <x:c r="E83" s="22" t="n">
        <x:f>1/(1+'Assumptions'!$C$3)^E$59</x:f>
        <x:v>0.6830134553650705</x:v>
      </x:c>
      <x:c r="F83" s="22" t="n">
        <x:f>1/(1+'Assumptions'!$C$3)^F$59</x:f>
        <x:v>0.6209213230591549</x:v>
      </x:c>
      <x:c r="G83" s="22" t="n">
        <x:f>1/(1+'Assumptions'!$C$3)^G$59</x:f>
        <x:v>0.5644739300537772</x:v>
      </x:c>
      <x:c r="H83" s="22" t="n">
        <x:f>1/(1+'Assumptions'!$C$3)^H$59</x:f>
        <x:v>0.5131581182307065</x:v>
      </x:c>
      <x:c r="I83" s="22" t="n">
        <x:f>1/(1+'Assumptions'!$C$3)^I$59</x:f>
        <x:v>0.46650738020973315</x:v>
      </x:c>
      <x:c r="J83" s="22" t="n">
        <x:f>1/(1+'Assumptions'!$C$3)^J$59</x:f>
        <x:v>0.42409761837248466</x:v>
      </x:c>
      <x:c r="K83" s="22" t="n">
        <x:f>1/(1+'Assumptions'!$C$3)^K$59</x:f>
        <x:v>0.3855432894295315</x:v>
      </x:c>
    </x:row>
    <x:row r="84" ht="23" customHeight="1">
      <x:c r="A84" s="31" t="str">
        <x:v>Present value</x:v>
      </x:c>
      <x:c r="B84" s="40" t="n">
        <x:f>B82*B83</x:f>
        <x:v>48.91068545454546</x:v>
      </x:c>
      <x:c r="C84" s="40" t="n">
        <x:f>C82*C83</x:f>
        <x:v>53.73783818181818</x:v>
      </x:c>
      <x:c r="D84" s="40" t="n">
        <x:f>D82*D83</x:f>
        <x:v>55.855300909090914</x:v>
      </x:c>
      <x:c r="E84" s="40" t="n">
        <x:f>E82*E83</x:f>
        <x:v>56.386427147107455</x:v>
      </x:c>
      <x:c r="F84" s="40" t="n">
        <x:f>F82*F83</x:f>
        <x:v>56.362659617670914</x:v>
      </x:c>
      <x:c r="G84" s="40" t="n">
        <x:f>G82*G83</x:f>
        <x:v>54.82435517416123</x:v>
      </x:c>
      <x:c r="H84" s="40" t="n">
        <x:f>H82*H83</x:f>
        <x:v>52.929321321459575</x:v>
      </x:c>
      <x:c r="I84" s="40" t="n">
        <x:f>I82*I83</x:f>
        <x:v>50.71485782207725</x:v>
      </x:c>
      <x:c r="J84" s="40" t="n">
        <x:f>J82*J83</x:f>
        <x:v>48.224215646608364</x:v>
      </x:c>
      <x:c r="K84" s="40" t="n">
        <x:f>K82*K83</x:f>
        <x:v>45.50517636362819</x:v>
      </x:c>
    </x:row>
    <x:row r="85" ht="23" customHeight="1">
      <x:c r="A85" t="str">
        <x:v>Discount factor at 12%</x:v>
      </x:c>
      <x:c r="B85" s="22" t="n">
        <x:f>1/(1+'Controls'!$B$3)^B$59</x:f>
        <x:v>0.8928571428571428</x:v>
      </x:c>
      <x:c r="C85" s="22" t="n">
        <x:f>1/(1+'Controls'!$B$3)^C$59</x:f>
        <x:v>0.7971938775510203</x:v>
      </x:c>
      <x:c r="D85" s="22" t="n">
        <x:f>1/(1+'Controls'!$B$3)^D$59</x:f>
        <x:v>0.7117802478134109</x:v>
      </x:c>
      <x:c r="E85" s="22" t="n">
        <x:f>1/(1+'Controls'!$B$3)^E$59</x:f>
        <x:v>0.6355180784048312</x:v>
      </x:c>
      <x:c r="F85" s="22" t="n">
        <x:f>1/(1+'Controls'!$B$3)^F$59</x:f>
        <x:v>0.5674268557185992</x:v>
      </x:c>
      <x:c r="G85" s="22" t="n">
        <x:f>1/(1+'Controls'!$B$3)^G$59</x:f>
        <x:v>0.5066311211773207</x:v>
      </x:c>
      <x:c r="H85" s="22" t="n">
        <x:f>1/(1+'Controls'!$B$3)^H$59</x:f>
        <x:v>0.45234921533689343</x:v>
      </x:c>
      <x:c r="I85" s="22" t="n">
        <x:f>1/(1+'Controls'!$B$3)^I$59</x:f>
        <x:v>0.4038832279793691</x:v>
      </x:c>
      <x:c r="J85" s="22" t="n">
        <x:f>1/(1+'Controls'!$B$3)^J$59</x:f>
        <x:v>0.36061002498157957</x:v>
      </x:c>
      <x:c r="K85" s="22" t="n">
        <x:f>1/(1+'Controls'!$B$3)^K$59</x:f>
        <x:v>0.321973236590696</x:v>
      </x:c>
    </x:row>
    <x:row r="87" ht="25" customHeight="1">
      <x:c r="A87" t="str">
        <x:v>Year 11 after-tax operating profit</x:v>
      </x:c>
      <x:c r="B87" s="34" t="n">
        <x:f>K77*(1+'Assumptions'!$D$3)</x:f>
        <x:v>127.92168976618508</x:v>
      </x:c>
    </x:row>
    <x:row r="88" ht="25" customHeight="1">
      <x:c r="A88" t="str">
        <x:v>Less: terminal reinvestment</x:v>
      </x:c>
      <x:c r="B88" s="34" t="n">
        <x:f>-B87*'Assumptions'!$D$3/'Assumptions'!$E$3</x:f>
        <x:v>-15.35060277194221</x:v>
      </x:c>
      <x:c r="D88" s="24" t="str">
        <x:v>This is an operating scenario, not a statistical confidence interval. Terminal growth requires reinvestment. Latest-quarter capital structure is not a complete September roll-forward. See company decision notes for remaining unknowns. MOD scenarios assume the transaction closes; WINA core revenue excludes offsetting fee programs.</x:v>
      </x:c>
      <x:c r="E88" s="24"/>
      <x:c r="F88" s="24"/>
      <x:c r="G88" s="24"/>
      <x:c r="H88" s="24"/>
      <x:c r="I88" s="24"/>
      <x:c r="J88" s="24"/>
      <x:c r="K88" s="24"/>
    </x:row>
    <x:row r="89" ht="25" customHeight="1">
      <x:c r="A89" t="str">
        <x:v>Terminal cash flow</x:v>
      </x:c>
      <x:c r="B89" s="34" t="n">
        <x:f>SUM(B87:B88)</x:f>
        <x:v>112.57108699424288</x:v>
      </x:c>
      <x:c r="D89" s="24"/>
      <x:c r="E89" s="24"/>
      <x:c r="F89" s="24"/>
      <x:c r="G89" s="24"/>
      <x:c r="H89" s="24"/>
      <x:c r="I89" s="24"/>
      <x:c r="J89" s="24"/>
      <x:c r="K89" s="24"/>
    </x:row>
    <x:row r="90" ht="25" customHeight="1">
      <x:c r="A90" t="str">
        <x:v>Terminal operating value</x:v>
      </x:c>
      <x:c r="B90" s="34" t="n">
        <x:f>B89/('Assumptions'!$C$3-'Assumptions'!$D$3)</x:f>
        <x:v>1608.158385632041</x:v>
      </x:c>
      <x:c r="D90" s="24"/>
      <x:c r="E90" s="24"/>
      <x:c r="F90" s="24"/>
      <x:c r="G90" s="24"/>
      <x:c r="H90" s="24"/>
      <x:c r="I90" s="24"/>
      <x:c r="J90" s="24"/>
      <x:c r="K90" s="24"/>
    </x:row>
    <x:row r="91" ht="25" customHeight="1">
      <x:c r="A91" t="str">
        <x:v>PV terminal value</x:v>
      </x:c>
      <x:c r="B91" s="34" t="n">
        <x:f>B90*K83</x:f>
        <x:v>620.0146739202621</x:v>
      </x:c>
      <x:c r="D91" s="24"/>
      <x:c r="E91" s="24"/>
      <x:c r="F91" s="24"/>
      <x:c r="G91" s="24"/>
      <x:c r="H91" s="24"/>
      <x:c r="I91" s="24"/>
      <x:c r="J91" s="24"/>
      <x:c r="K91" s="24"/>
    </x:row>
    <x:row r="92" ht="25" customHeight="1">
      <x:c r="A92" t="str">
        <x:v>PV explicit forecast</x:v>
      </x:c>
      <x:c r="B92" s="34" t="n">
        <x:f>SUM(B84:K84)</x:f>
        <x:v>523.4508376381674</x:v>
      </x:c>
      <x:c r="D92" s="24"/>
      <x:c r="E92" s="24"/>
      <x:c r="F92" s="24"/>
      <x:c r="G92" s="24"/>
      <x:c r="H92" s="24"/>
      <x:c r="I92" s="24"/>
      <x:c r="J92" s="24"/>
      <x:c r="K92" s="24"/>
    </x:row>
    <x:row r="93" ht="25" customHeight="1">
      <x:c r="A93" s="84" t="str">
        <x:v>Operating enterprise value</x:v>
      </x:c>
      <x:c r="B93" s="85" t="n">
        <x:f>SUM(B91:B92)</x:f>
        <x:v>1143.4655115584296</x:v>
      </x:c>
      <x:c r="D93" s="24"/>
      <x:c r="E93" s="24"/>
      <x:c r="F93" s="24"/>
      <x:c r="G93" s="24"/>
      <x:c r="H93" s="24"/>
      <x:c r="I93" s="24"/>
      <x:c r="J93" s="24"/>
      <x:c r="K93" s="24"/>
    </x:row>
    <x:row r="94" ht="25" customHeight="1">
      <x:c r="A94" t="str">
        <x:v>Cash / claims / transaction bridge</x:v>
      </x:c>
      <x:c r="B94" s="34" t="n">
        <x:f>'Inputs'!$B$6-'Inputs'!$B$7-'Inputs'!$B$9-'Inputs'!$B$10-'Inputs'!$B$11+'Inputs'!$B$12*'Inputs'!$B$13</x:f>
        <x:v>178</x:v>
      </x:c>
      <x:c r="D94" s="24"/>
      <x:c r="E94" s="24"/>
      <x:c r="F94" s="24"/>
      <x:c r="G94" s="24"/>
      <x:c r="H94" s="24"/>
      <x:c r="I94" s="24"/>
      <x:c r="J94" s="24"/>
      <x:c r="K94" s="24"/>
    </x:row>
    <x:row r="95" ht="25" customHeight="1">
      <x:c r="A95" s="84" t="str">
        <x:v>Common equity value</x:v>
      </x:c>
      <x:c r="B95" s="85" t="n">
        <x:f>SUM(B93:B94)</x:f>
        <x:v>1321.4655115584296</x:v>
      </x:c>
      <x:c r="D95" s="24"/>
      <x:c r="E95" s="24"/>
      <x:c r="F95" s="24"/>
      <x:c r="G95" s="24"/>
      <x:c r="H95" s="24"/>
      <x:c r="I95" s="24"/>
      <x:c r="J95" s="24"/>
      <x:c r="K95" s="24"/>
    </x:row>
    <x:row r="96" ht="25" customHeight="1">
      <x:c r="A96" t="str">
        <x:v>Value / share: debt endpoint</x:v>
      </x:c>
      <x:c r="B96" s="42" t="n">
        <x:f>B95/'Inputs'!$B$8</x:f>
        <x:v>57.23603220540669</x:v>
      </x:c>
    </x:row>
    <x:row r="97" ht="25" customHeight="1">
      <x:c r="A97" t="str">
        <x:v>Value / share: if-converted endpoint</x:v>
      </x:c>
      <x:c r="B97" s="42" t="n">
        <x:f>(B95+'Inputs'!$B$7)/('Inputs'!$B$8+'Inputs'!$B$19)</x:f>
        <x:v>60.90112557818391</x:v>
      </x:c>
    </x:row>
    <x:row r="98" ht="25" customHeight="1">
      <x:c r="A98" s="88" t="str">
        <x:v>Conditional intrinsic value / share</x:v>
      </x:c>
      <x:c r="B98" s="89" t="n">
        <x:f>MIN(B96,B97)</x:f>
        <x:v>57.23603220540669</x:v>
      </x:c>
    </x:row>
    <x:row r="99" ht="25" customHeight="1">
      <x:c r="A99" t="str">
        <x:v>Value versus quote</x:v>
      </x:c>
      <x:c r="B99" s="22" t="n">
        <x:f>B98/'Inputs'!$B$5-1</x:f>
        <x:v>-0.29049172920036337</x:v>
      </x:c>
    </x:row>
    <x:row r="100" ht="25" customHeight="1">
      <x:c r="A100" t="str">
        <x:v>Terminal share of operating EV</x:v>
      </x:c>
      <x:c r="B100" s="22" t="n">
        <x:f>B91/B93</x:f>
        <x:v>0.5422242014761284</x:v>
      </x:c>
    </x:row>
    <x:row r="101" ht="25" customHeight="1">
      <x:c r="A101" t="str">
        <x:v>Value at 12% enterprise discount</x:v>
      </x:c>
      <x:c r="B101" s="42" t="n">
        <x:f>MIN((SUMPRODUCT(B82:K82,B85:K85)+B89/('Controls'!$B$3-'Assumptions'!$D$3)*K85+B94)/'Inputs'!$B$8,((SUMPRODUCT(B82:K82,B85:K85)+B89/('Controls'!$B$3-'Assumptions'!$D$3)*K85+B94)+'Inputs'!$B$7)/('Inputs'!$B$8+'Inputs'!$B$19))</x:f>
        <x:v>45.7493042616829</x:v>
      </x:c>
    </x:row>
    <x:row r="102" ht="25" customHeight="1">
      <x:c r="A102" t="str">
        <x:v>Price-implied operating EV</x:v>
      </x:c>
      <x:c r="B102" s="34" t="n">
        <x:f>'Inputs'!$B$5*'Inputs'!$B$8-B94</x:f>
        <x:v>1684.5089600000001</x:v>
      </x:c>
    </x:row>
    <x:row r="106" ht="29" customHeight="1">
      <x:c r="A106" s="27" t="str">
        <x:v>BULL | conditional operating path, not probability band</x:v>
      </x:c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</x:row>
    <x:row r="108">
      <x:c r="A108" t="str">
        <x:v>Discount rate</x:v>
      </x:c>
      <x:c r="B108" s="22" t="n">
        <x:f>'Assumptions'!$C$4</x:f>
        <x:v>0.1</x:v>
      </x:c>
      <x:c r="C108" t="str">
        <x:v>Terminal growth</x:v>
      </x:c>
      <x:c r="D108" s="22" t="n">
        <x:f>'Assumptions'!$D$4</x:f>
        <x:v>0.03</x:v>
      </x:c>
      <x:c r="E108" t="str">
        <x:v>Tax</x:v>
      </x:c>
      <x:c r="F108" s="22" t="n">
        <x:f>'Assumptions'!$F$4</x:f>
        <x:v>0.23</x:v>
      </x:c>
      <x:c r="G108" t="str">
        <x:v>Terminal ROIC</x:v>
      </x:c>
      <x:c r="H108" s="22" t="n">
        <x:f>'Assumptions'!$E$4</x:f>
        <x:v>0.3</x:v>
      </x:c>
      <x:c r="I108"/>
      <x:c r="J108"/>
      <x:c r="K108"/>
    </x:row>
    <x:row r="110" ht="24" customHeight="1">
      <x:c r="A110" s="31" t="str">
        <x:v>Economic year</x:v>
      </x:c>
      <x:c r="B110" s="31" t="n">
        <x:v>1</x:v>
      </x:c>
      <x:c r="C110" s="31" t="n">
        <x:v>2</x:v>
      </x:c>
      <x:c r="D110" s="31" t="n">
        <x:v>3</x:v>
      </x:c>
      <x:c r="E110" s="31" t="n">
        <x:v>4</x:v>
      </x:c>
      <x:c r="F110" s="31" t="n">
        <x:v>5</x:v>
      </x:c>
      <x:c r="G110" s="31" t="n">
        <x:v>6</x:v>
      </x:c>
      <x:c r="H110" s="31" t="n">
        <x:v>7</x:v>
      </x:c>
      <x:c r="I110" s="31" t="n">
        <x:v>8</x:v>
      </x:c>
      <x:c r="J110" s="31" t="n">
        <x:v>9</x:v>
      </x:c>
      <x:c r="K110" s="31" t="n">
        <x:v>10</x:v>
      </x:c>
    </x:row>
    <x:row r="111" ht="23" customHeight="1">
      <x:c r="A111" t="str">
        <x:v>Primary revenue growth</x:v>
      </x:c>
      <x:c r="B111" s="36" t="n">
        <x:f>'Assumptions'!$O$4</x:f>
        <x:v>0.13</x:v>
      </x:c>
      <x:c r="C111" s="36" t="n">
        <x:f>'Assumptions'!$P$4</x:f>
        <x:v>0.13</x:v>
      </x:c>
      <x:c r="D111" s="36" t="n">
        <x:f>'Assumptions'!$Q$4</x:f>
        <x:v>0.12</x:v>
      </x:c>
      <x:c r="E111" s="36" t="n">
        <x:f>'Assumptions'!$R$4</x:f>
        <x:v>0.11</x:v>
      </x:c>
      <x:c r="F111" s="36" t="n">
        <x:f>'Assumptions'!$S$4</x:f>
        <x:v>0.1</x:v>
      </x:c>
      <x:c r="G111" s="22" t="n">
        <x:f>$F$121+('Assumptions'!$D$4-$F$121)*(G$110-$F$110)/($K$110-$F$110)</x:f>
        <x:v>0.08600000000000008</x:v>
      </x:c>
      <x:c r="H111" s="22" t="n">
        <x:f>$F$121+('Assumptions'!$D$4-$F$121)*(H$110-$F$110)/($K$110-$F$110)</x:f>
        <x:v>0.07200000000000005</x:v>
      </x:c>
      <x:c r="I111" s="22" t="n">
        <x:f>$F$121+('Assumptions'!$D$4-$F$121)*(I$110-$F$110)/($K$110-$F$110)</x:f>
        <x:v>0.05800000000000004</x:v>
      </x:c>
      <x:c r="J111" s="22" t="n">
        <x:f>$F$121+('Assumptions'!$D$4-$F$121)*(J$110-$F$110)/($K$110-$F$110)</x:f>
        <x:v>0.04400000000000002</x:v>
      </x:c>
      <x:c r="K111" s="22" t="n">
        <x:f>$F$121+('Assumptions'!$D$4-$F$121)*(K$110-$F$110)/($K$110-$F$110)</x:f>
        <x:v>0.03</x:v>
      </x:c>
    </x:row>
    <x:row r="112" ht="23" customHeight="1">
      <x:c r="A112" t="str">
        <x:v>Secondary revenue growth</x:v>
      </x:c>
      <x:c r="B112" s="36" t="n">
        <x:f>'Assumptions'!$T$4</x:f>
        <x:v>0</x:v>
      </x:c>
      <x:c r="C112" s="36" t="n">
        <x:f>'Assumptions'!$U$4</x:f>
        <x:v>0</x:v>
      </x:c>
      <x:c r="D112" s="36" t="n">
        <x:f>'Assumptions'!$V$4</x:f>
        <x:v>0</x:v>
      </x:c>
      <x:c r="E112" s="36" t="n">
        <x:f>'Assumptions'!$W$4</x:f>
        <x:v>0</x:v>
      </x:c>
      <x:c r="F112" s="36" t="n">
        <x:f>'Assumptions'!$X$4</x:f>
        <x:v>0</x:v>
      </x:c>
      <x:c r="G112" s="22" t="n">
        <x:f>$F$121+('Assumptions'!$D$4-$F$121)*(G$110-$F$110)/($K$110-$F$110)</x:f>
        <x:v>0.08600000000000008</x:v>
      </x:c>
      <x:c r="H112" s="22" t="n">
        <x:f>$F$121+('Assumptions'!$D$4-$F$121)*(H$110-$F$110)/($K$110-$F$110)</x:f>
        <x:v>0.07200000000000005</x:v>
      </x:c>
      <x:c r="I112" s="22" t="n">
        <x:f>$F$121+('Assumptions'!$D$4-$F$121)*(I$110-$F$110)/($K$110-$F$110)</x:f>
        <x:v>0.05800000000000004</x:v>
      </x:c>
      <x:c r="J112" s="22" t="n">
        <x:f>$F$121+('Assumptions'!$D$4-$F$121)*(J$110-$F$110)/($K$110-$F$110)</x:f>
        <x:v>0.04400000000000002</x:v>
      </x:c>
      <x:c r="K112" s="22" t="n">
        <x:f>$F$121+('Assumptions'!$D$4-$F$121)*(K$110-$F$110)/($K$110-$F$110)</x:f>
        <x:v>0.03</x:v>
      </x:c>
    </x:row>
    <x:row r="113" ht="23" customHeight="1">
      <x:c r="A113" t="str">
        <x:v>Primary margin</x:v>
      </x:c>
      <x:c r="B113" s="36" t="n">
        <x:f>'Assumptions'!$Y$4</x:f>
        <x:v>0.295</x:v>
      </x:c>
      <x:c r="C113" s="36" t="n">
        <x:f>'Assumptions'!$Z$4</x:f>
        <x:v>0.31</x:v>
      </x:c>
      <x:c r="D113" s="36" t="n">
        <x:f>'Assumptions'!$AA$4</x:f>
        <x:v>0.325</x:v>
      </x:c>
      <x:c r="E113" s="36" t="n">
        <x:f>'Assumptions'!$AB$4</x:f>
        <x:v>0.335</x:v>
      </x:c>
      <x:c r="F113" s="36" t="n">
        <x:f>'Assumptions'!$AC$4</x:f>
        <x:v>0.34</x:v>
      </x:c>
      <x:c r="G113" s="22" t="n">
        <x:f>$F$113</x:f>
        <x:v>0.34</x:v>
      </x:c>
      <x:c r="H113" s="22" t="n">
        <x:f>$F$113</x:f>
        <x:v>0.34</x:v>
      </x:c>
      <x:c r="I113" s="22" t="n">
        <x:f>$F$113</x:f>
        <x:v>0.34</x:v>
      </x:c>
      <x:c r="J113" s="22" t="n">
        <x:f>$F$113</x:f>
        <x:v>0.34</x:v>
      </x:c>
      <x:c r="K113" s="22" t="n">
        <x:f>$F$113</x:f>
        <x:v>0.34</x:v>
      </x:c>
    </x:row>
    <x:row r="114" ht="23" customHeight="1">
      <x:c r="A114" t="str">
        <x:v>Secondary margin</x:v>
      </x:c>
      <x:c r="B114" s="36" t="n">
        <x:f>'Assumptions'!$AD$4</x:f>
        <x:v>0</x:v>
      </x:c>
      <x:c r="C114" s="36" t="n">
        <x:f>'Assumptions'!$AE$4</x:f>
        <x:v>0</x:v>
      </x:c>
      <x:c r="D114" s="36" t="n">
        <x:f>'Assumptions'!$AF$4</x:f>
        <x:v>0</x:v>
      </x:c>
      <x:c r="E114" s="36" t="n">
        <x:f>'Assumptions'!$AG$4</x:f>
        <x:v>0</x:v>
      </x:c>
      <x:c r="F114" s="36" t="n">
        <x:f>'Assumptions'!$AH$4</x:f>
        <x:v>0</x:v>
      </x:c>
      <x:c r="G114" s="22" t="n">
        <x:f>$F$114</x:f>
        <x:v>0</x:v>
      </x:c>
      <x:c r="H114" s="22" t="n">
        <x:f>$F$114</x:f>
        <x:v>0</x:v>
      </x:c>
      <x:c r="I114" s="22" t="n">
        <x:f>$F$114</x:f>
        <x:v>0</x:v>
      </x:c>
      <x:c r="J114" s="22" t="n">
        <x:f>$F$114</x:f>
        <x:v>0</x:v>
      </x:c>
      <x:c r="K114" s="22" t="n">
        <x:f>$F$114</x:f>
        <x:v>0</x:v>
      </x:c>
    </x:row>
    <x:row r="115" ht="23" customHeight="1">
      <x:c r="A115" t="str">
        <x:v>Overhead growth</x:v>
      </x:c>
      <x:c r="B115" s="36" t="n">
        <x:f>'Assumptions'!$AI$4</x:f>
        <x:v>0</x:v>
      </x:c>
      <x:c r="C115" s="36" t="n">
        <x:f>'Assumptions'!$AJ$4</x:f>
        <x:v>0</x:v>
      </x:c>
      <x:c r="D115" s="36" t="n">
        <x:f>'Assumptions'!$AK$4</x:f>
        <x:v>0</x:v>
      </x:c>
      <x:c r="E115" s="36" t="n">
        <x:f>'Assumptions'!$AL$4</x:f>
        <x:v>0</x:v>
      </x:c>
      <x:c r="F115" s="36" t="n">
        <x:f>'Assumptions'!$AM$4</x:f>
        <x:v>0</x:v>
      </x:c>
      <x:c r="G115" s="22" t="n">
        <x:f>$F$121+('Assumptions'!$D$4-$F$121)*(G$110-$F$110)/($K$110-$F$110)</x:f>
        <x:v>0.08600000000000008</x:v>
      </x:c>
      <x:c r="H115" s="22" t="n">
        <x:f>$F$121+('Assumptions'!$D$4-$F$121)*(H$110-$F$110)/($K$110-$F$110)</x:f>
        <x:v>0.07200000000000005</x:v>
      </x:c>
      <x:c r="I115" s="22" t="n">
        <x:f>$F$121+('Assumptions'!$D$4-$F$121)*(I$110-$F$110)/($K$110-$F$110)</x:f>
        <x:v>0.05800000000000004</x:v>
      </x:c>
      <x:c r="J115" s="22" t="n">
        <x:f>$F$121+('Assumptions'!$D$4-$F$121)*(J$110-$F$110)/($K$110-$F$110)</x:f>
        <x:v>0.04400000000000002</x:v>
      </x:c>
      <x:c r="K115" s="22" t="n">
        <x:f>$F$121+('Assumptions'!$D$4-$F$121)*(K$110-$F$110)/($K$110-$F$110)</x:f>
        <x:v>0.03</x:v>
      </x:c>
    </x:row>
    <x:row r="116" ht="23" customHeight="1">
      <x:c r="A116" t="str">
        <x:v>Capex / revenue</x:v>
      </x:c>
      <x:c r="B116" s="36" t="n">
        <x:f>'Assumptions'!$AN$4</x:f>
        <x:v>0.04</x:v>
      </x:c>
      <x:c r="C116" s="36" t="n">
        <x:f>'Assumptions'!$AO$4</x:f>
        <x:v>0.04</x:v>
      </x:c>
      <x:c r="D116" s="36" t="n">
        <x:f>'Assumptions'!$AP$4</x:f>
        <x:v>0.04</x:v>
      </x:c>
      <x:c r="E116" s="36" t="n">
        <x:f>'Assumptions'!$AQ$4</x:f>
        <x:v>0.04</x:v>
      </x:c>
      <x:c r="F116" s="36" t="n">
        <x:f>'Assumptions'!$AR$4</x:f>
        <x:v>0.04</x:v>
      </x:c>
      <x:c r="G116" s="22" t="n">
        <x:f>$F$116</x:f>
        <x:v>0.04</x:v>
      </x:c>
      <x:c r="H116" s="22" t="n">
        <x:f>$F$116</x:f>
        <x:v>0.04</x:v>
      </x:c>
      <x:c r="I116" s="22" t="n">
        <x:f>$F$116</x:f>
        <x:v>0.04</x:v>
      </x:c>
      <x:c r="J116" s="22" t="n">
        <x:f>$F$116</x:f>
        <x:v>0.04</x:v>
      </x:c>
      <x:c r="K116" s="22" t="n">
        <x:f>$F$116</x:f>
        <x:v>0.04</x:v>
      </x:c>
    </x:row>
    <x:row r="117" ht="23" customHeight="1">
      <x:c r="B117" s="34"/>
      <x:c r="C117" s="34"/>
      <x:c r="D117" s="34"/>
      <x:c r="E117" s="34"/>
      <x:c r="F117" s="34"/>
      <x:c r="G117" s="34"/>
      <x:c r="H117" s="34"/>
      <x:c r="I117" s="34"/>
      <x:c r="J117" s="34"/>
      <x:c r="K117" s="34"/>
    </x:row>
    <x:row r="118" ht="23" customHeight="1">
      <x:c r="A118" t="str">
        <x:v>Primary revenue</x:v>
      </x:c>
      <x:c r="B118" s="34" t="n">
        <x:f>'Inputs'!$B$14*(1+B111)</x:f>
        <x:v>312.219</x:v>
      </x:c>
      <x:c r="C118" s="34" t="n">
        <x:f>B118*(1+C111)</x:f>
        <x:v>352.80746999999997</x:v>
      </x:c>
      <x:c r="D118" s="34" t="n">
        <x:f>C118*(1+D111)</x:f>
        <x:v>395.1443664</x:v>
      </x:c>
      <x:c r="E118" s="34" t="n">
        <x:f>D118*(1+E111)</x:f>
        <x:v>438.6102467040001</x:v>
      </x:c>
      <x:c r="F118" s="34" t="n">
        <x:f>E118*(1+F111)</x:f>
        <x:v>482.47127137440015</x:v>
      </x:c>
      <x:c r="G118" s="34" t="n">
        <x:f>F118*(1+G111)</x:f>
        <x:v>523.9638007125986</x:v>
      </x:c>
      <x:c r="H118" s="34" t="n">
        <x:f>G118*(1+H111)</x:f>
        <x:v>561.6891943639058</x:v>
      </x:c>
      <x:c r="I118" s="34" t="n">
        <x:f>H118*(1+I111)</x:f>
        <x:v>594.2671676370123</x:v>
      </x:c>
      <x:c r="J118" s="34" t="n">
        <x:f>I118*(1+J111)</x:f>
        <x:v>620.414923013041</x:v>
      </x:c>
      <x:c r="K118" s="34" t="n">
        <x:f>J118*(1+K111)</x:f>
        <x:v>639.0273707034322</x:v>
      </x:c>
    </x:row>
    <x:row r="119" ht="23" customHeight="1">
      <x:c r="A119" t="str">
        <x:v>Secondary revenue</x:v>
      </x:c>
      <x:c r="B119" s="34" t="n">
        <x:f>0</x:f>
        <x:v>0</x:v>
      </x:c>
      <x:c r="C119" s="34" t="n">
        <x:f>B119*(1+C112)</x:f>
        <x:v>0</x:v>
      </x:c>
      <x:c r="D119" s="34" t="n">
        <x:f>C119*(1+D112)</x:f>
        <x:v>0</x:v>
      </x:c>
      <x:c r="E119" s="34" t="n">
        <x:f>D119*(1+E112)</x:f>
        <x:v>0</x:v>
      </x:c>
      <x:c r="F119" s="34" t="n">
        <x:f>E119*(1+F112)</x:f>
        <x:v>0</x:v>
      </x:c>
      <x:c r="G119" s="34" t="n">
        <x:f>F119*(1+G112)</x:f>
        <x:v>0</x:v>
      </x:c>
      <x:c r="H119" s="34" t="n">
        <x:f>G119*(1+H112)</x:f>
        <x:v>0</x:v>
      </x:c>
      <x:c r="I119" s="34" t="n">
        <x:f>H119*(1+I112)</x:f>
        <x:v>0</x:v>
      </x:c>
      <x:c r="J119" s="34" t="n">
        <x:f>I119*(1+J112)</x:f>
        <x:v>0</x:v>
      </x:c>
      <x:c r="K119" s="34" t="n">
        <x:f>J119*(1+K112)</x:f>
        <x:v>0</x:v>
      </x:c>
    </x:row>
    <x:row r="120" ht="23" customHeight="1">
      <x:c r="A120" s="31" t="str">
        <x:v>Total economic revenue</x:v>
      </x:c>
      <x:c r="B120" s="40" t="n">
        <x:f>SUM(B118:B119)</x:f>
        <x:v>312.219</x:v>
      </x:c>
      <x:c r="C120" s="40" t="n">
        <x:f>SUM(C118:C119)</x:f>
        <x:v>352.80746999999997</x:v>
      </x:c>
      <x:c r="D120" s="40" t="n">
        <x:f>SUM(D118:D119)</x:f>
        <x:v>395.1443664</x:v>
      </x:c>
      <x:c r="E120" s="40" t="n">
        <x:f>SUM(E118:E119)</x:f>
        <x:v>438.6102467040001</x:v>
      </x:c>
      <x:c r="F120" s="40" t="n">
        <x:f>SUM(F118:F119)</x:f>
        <x:v>482.47127137440015</x:v>
      </x:c>
      <x:c r="G120" s="40" t="n">
        <x:f>SUM(G118:G119)</x:f>
        <x:v>523.9638007125986</x:v>
      </x:c>
      <x:c r="H120" s="40" t="n">
        <x:f>SUM(H118:H119)</x:f>
        <x:v>561.6891943639058</x:v>
      </x:c>
      <x:c r="I120" s="40" t="n">
        <x:f>SUM(I118:I119)</x:f>
        <x:v>594.2671676370123</x:v>
      </x:c>
      <x:c r="J120" s="40" t="n">
        <x:f>SUM(J118:J119)</x:f>
        <x:v>620.414923013041</x:v>
      </x:c>
      <x:c r="K120" s="40" t="n">
        <x:f>SUM(K118:K119)</x:f>
        <x:v>639.0273707034322</x:v>
      </x:c>
    </x:row>
    <x:row r="121" ht="23" customHeight="1">
      <x:c r="A121" t="str">
        <x:v>Revenue growth</x:v>
      </x:c>
      <x:c r="B121" s="22" t="n">
        <x:f>B120/'Inputs'!$B$14-1</x:f>
        <x:v>0.1299999999999999</x:v>
      </x:c>
      <x:c r="C121" s="22" t="n">
        <x:f>C120/B120-1</x:f>
        <x:v>0.1299999999999999</x:v>
      </x:c>
      <x:c r="D121" s="22" t="n">
        <x:f>D120/C120-1</x:f>
        <x:v>0.1200000000000001</x:v>
      </x:c>
      <x:c r="E121" s="22" t="n">
        <x:f>E120/D120-1</x:f>
        <x:v>0.1100000000000001</x:v>
      </x:c>
      <x:c r="F121" s="22" t="n">
        <x:f>F120/E120-1</x:f>
        <x:v>0.10000000000000009</x:v>
      </x:c>
      <x:c r="G121" s="22" t="n">
        <x:f>G120/F120-1</x:f>
        <x:v>0.08600000000000008</x:v>
      </x:c>
      <x:c r="H121" s="22" t="n">
        <x:f>H120/G120-1</x:f>
        <x:v>0.07200000000000006</x:v>
      </x:c>
      <x:c r="I121" s="22" t="n">
        <x:f>I120/H120-1</x:f>
        <x:v>0.05800000000000005</x:v>
      </x:c>
      <x:c r="J121" s="22" t="n">
        <x:f>J120/I120-1</x:f>
        <x:v>0.04400000000000004</x:v>
      </x:c>
      <x:c r="K121" s="22" t="n">
        <x:f>K120/J120-1</x:f>
        <x:v>0.030000000000000027</x:v>
      </x:c>
    </x:row>
    <x:row r="122" ht="23" customHeight="1">
      <x:c r="A122" t="str">
        <x:v>Primary profit pool</x:v>
      </x:c>
      <x:c r="B122" s="34" t="n">
        <x:f>B118*B113</x:f>
        <x:v>92.10460499999999</x:v>
      </x:c>
      <x:c r="C122" s="34" t="n">
        <x:f>C118*C113</x:f>
        <x:v>109.37031569999999</x:v>
      </x:c>
      <x:c r="D122" s="34" t="n">
        <x:f>D118*D113</x:f>
        <x:v>128.42191908</x:v>
      </x:c>
      <x:c r="E122" s="34" t="n">
        <x:f>E118*E113</x:f>
        <x:v>146.93443264584005</x:v>
      </x:c>
      <x:c r="F122" s="34" t="n">
        <x:f>F118*F113</x:f>
        <x:v>164.04023226729606</x:v>
      </x:c>
      <x:c r="G122" s="34" t="n">
        <x:f>G118*G113</x:f>
        <x:v>178.14769224228354</x:v>
      </x:c>
      <x:c r="H122" s="34" t="n">
        <x:f>H118*H113</x:f>
        <x:v>190.974326083728</x:v>
      </x:c>
      <x:c r="I122" s="34" t="n">
        <x:f>I118*I113</x:f>
        <x:v>202.0508369965842</x:v>
      </x:c>
      <x:c r="J122" s="34" t="n">
        <x:f>J118*J113</x:f>
        <x:v>210.94107382443394</x:v>
      </x:c>
      <x:c r="K122" s="34" t="n">
        <x:f>K118*K113</x:f>
        <x:v>217.26930603916696</x:v>
      </x:c>
    </x:row>
    <x:row r="123" ht="23" customHeight="1">
      <x:c r="A123" t="str">
        <x:v>Secondary profit pool</x:v>
      </x:c>
      <x:c r="B123" s="34" t="n">
        <x:f>B119*B114</x:f>
        <x:v>0</x:v>
      </x:c>
      <x:c r="C123" s="34" t="n">
        <x:f>C119*C114</x:f>
        <x:v>0</x:v>
      </x:c>
      <x:c r="D123" s="34" t="n">
        <x:f>D119*D114</x:f>
        <x:v>0</x:v>
      </x:c>
      <x:c r="E123" s="34" t="n">
        <x:f>E119*E114</x:f>
        <x:v>0</x:v>
      </x:c>
      <x:c r="F123" s="34" t="n">
        <x:f>F119*F114</x:f>
        <x:v>0</x:v>
      </x:c>
      <x:c r="G123" s="34" t="n">
        <x:f>G119*G114</x:f>
        <x:v>0</x:v>
      </x:c>
      <x:c r="H123" s="34" t="n">
        <x:f>H119*H114</x:f>
        <x:v>0</x:v>
      </x:c>
      <x:c r="I123" s="34" t="n">
        <x:f>I119*I114</x:f>
        <x:v>0</x:v>
      </x:c>
      <x:c r="J123" s="34" t="n">
        <x:f>J119*J114</x:f>
        <x:v>0</x:v>
      </x:c>
      <x:c r="K123" s="34" t="n">
        <x:f>K119*K114</x:f>
        <x:v>0</x:v>
      </x:c>
    </x:row>
    <x:row r="124" ht="23" customHeight="1">
      <x:c r="A124" t="str">
        <x:v>Less: overhead / corporate</x:v>
      </x:c>
      <x:c r="B124" s="34" t="n">
        <x:f>0</x:f>
        <x:v>0</x:v>
      </x:c>
      <x:c r="C124" s="34" t="n">
        <x:f>B124*(1+C115)</x:f>
        <x:v>0</x:v>
      </x:c>
      <x:c r="D124" s="34" t="n">
        <x:f>C124*(1+D115)</x:f>
        <x:v>0</x:v>
      </x:c>
      <x:c r="E124" s="34" t="n">
        <x:f>D124*(1+E115)</x:f>
        <x:v>0</x:v>
      </x:c>
      <x:c r="F124" s="34" t="n">
        <x:f>E124*(1+F115)</x:f>
        <x:v>0</x:v>
      </x:c>
      <x:c r="G124" s="34" t="n">
        <x:f>F124*(1+G115)</x:f>
        <x:v>0</x:v>
      </x:c>
      <x:c r="H124" s="34" t="n">
        <x:f>G124*(1+H115)</x:f>
        <x:v>0</x:v>
      </x:c>
      <x:c r="I124" s="34" t="n">
        <x:f>H124*(1+I115)</x:f>
        <x:v>0</x:v>
      </x:c>
      <x:c r="J124" s="34" t="n">
        <x:f>I124*(1+J115)</x:f>
        <x:v>0</x:v>
      </x:c>
      <x:c r="K124" s="34" t="n">
        <x:f>J124*(1+K115)</x:f>
        <x:v>0</x:v>
      </x:c>
    </x:row>
    <x:row r="125" ht="23" customHeight="1">
      <x:c r="A125" t="str">
        <x:v>Additional fee profit</x:v>
      </x:c>
      <x:c r="B125" s="34" t="n">
        <x:f>0</x:f>
        <x:v>0</x:v>
      </x:c>
      <x:c r="C125" s="34" t="n">
        <x:f>0</x:f>
        <x:v>0</x:v>
      </x:c>
      <x:c r="D125" s="34" t="n">
        <x:f>0</x:f>
        <x:v>0</x:v>
      </x:c>
      <x:c r="E125" s="34" t="n">
        <x:f>0</x:f>
        <x:v>0</x:v>
      </x:c>
      <x:c r="F125" s="34" t="n">
        <x:f>0</x:f>
        <x:v>0</x:v>
      </x:c>
      <x:c r="G125" s="34" t="n">
        <x:f>0</x:f>
        <x:v>0</x:v>
      </x:c>
      <x:c r="H125" s="34" t="n">
        <x:f>0</x:f>
        <x:v>0</x:v>
      </x:c>
      <x:c r="I125" s="34" t="n">
        <x:f>0</x:f>
        <x:v>0</x:v>
      </x:c>
      <x:c r="J125" s="34" t="n">
        <x:f>0</x:f>
        <x:v>0</x:v>
      </x:c>
      <x:c r="K125" s="34" t="n">
        <x:f>0</x:f>
        <x:v>0</x:v>
      </x:c>
    </x:row>
    <x:row r="126" ht="23" customHeight="1">
      <x:c r="A126" s="31" t="str">
        <x:v>Operating income after recurring SBC</x:v>
      </x:c>
      <x:c r="B126" s="40" t="n">
        <x:f>SUM(B122:B125)</x:f>
        <x:v>92.10460499999999</x:v>
      </x:c>
      <x:c r="C126" s="40" t="n">
        <x:f>SUM(C122:C125)</x:f>
        <x:v>109.37031569999999</x:v>
      </x:c>
      <x:c r="D126" s="40" t="n">
        <x:f>SUM(D122:D125)</x:f>
        <x:v>128.42191908</x:v>
      </x:c>
      <x:c r="E126" s="40" t="n">
        <x:f>SUM(E122:E125)</x:f>
        <x:v>146.93443264584005</x:v>
      </x:c>
      <x:c r="F126" s="40" t="n">
        <x:f>SUM(F122:F125)</x:f>
        <x:v>164.04023226729606</x:v>
      </x:c>
      <x:c r="G126" s="40" t="n">
        <x:f>SUM(G122:G125)</x:f>
        <x:v>178.14769224228354</x:v>
      </x:c>
      <x:c r="H126" s="40" t="n">
        <x:f>SUM(H122:H125)</x:f>
        <x:v>190.974326083728</x:v>
      </x:c>
      <x:c r="I126" s="40" t="n">
        <x:f>SUM(I122:I125)</x:f>
        <x:v>202.0508369965842</x:v>
      </x:c>
      <x:c r="J126" s="40" t="n">
        <x:f>SUM(J122:J125)</x:f>
        <x:v>210.94107382443394</x:v>
      </x:c>
      <x:c r="K126" s="40" t="n">
        <x:f>SUM(K122:K125)</x:f>
        <x:v>217.26930603916696</x:v>
      </x:c>
    </x:row>
    <x:row r="127" ht="23" customHeight="1">
      <x:c r="A127" t="str">
        <x:v>Operating margin</x:v>
      </x:c>
      <x:c r="B127" s="22" t="n">
        <x:f>B126/B120</x:f>
        <x:v>0.295</x:v>
      </x:c>
      <x:c r="C127" s="22" t="n">
        <x:f>C126/C120</x:f>
        <x:v>0.31</x:v>
      </x:c>
      <x:c r="D127" s="22" t="n">
        <x:f>D126/D120</x:f>
        <x:v>0.325</x:v>
      </x:c>
      <x:c r="E127" s="22" t="n">
        <x:f>E126/E120</x:f>
        <x:v>0.3350000000000001</x:v>
      </x:c>
      <x:c r="F127" s="22" t="n">
        <x:f>F126/F120</x:f>
        <x:v>0.34</x:v>
      </x:c>
      <x:c r="G127" s="22" t="n">
        <x:f>G126/G120</x:f>
        <x:v>0.34</x:v>
      </x:c>
      <x:c r="H127" s="22" t="n">
        <x:f>H126/H120</x:f>
        <x:v>0.34</x:v>
      </x:c>
      <x:c r="I127" s="22" t="n">
        <x:f>I126/I120</x:f>
        <x:v>0.34</x:v>
      </x:c>
      <x:c r="J127" s="22" t="n">
        <x:f>J126/J120</x:f>
        <x:v>0.34</x:v>
      </x:c>
      <x:c r="K127" s="22" t="n">
        <x:f>K126/K120</x:f>
        <x:v>0.34</x:v>
      </x:c>
    </x:row>
    <x:row r="128" ht="23" customHeight="1">
      <x:c r="A128" t="str">
        <x:v>After-tax operating profit</x:v>
      </x:c>
      <x:c r="B128" s="34" t="n">
        <x:f>B126*(1-'Assumptions'!$F$4)</x:f>
        <x:v>70.92054585</x:v>
      </x:c>
      <x:c r="C128" s="34" t="n">
        <x:f>C126*(1-'Assumptions'!$F$4)</x:f>
        <x:v>84.215143089</x:v>
      </x:c>
      <x:c r="D128" s="34" t="n">
        <x:f>D126*(1-'Assumptions'!$F$4)</x:f>
        <x:v>98.88487769160001</x:v>
      </x:c>
      <x:c r="E128" s="34" t="n">
        <x:f>E126*(1-'Assumptions'!$F$4)</x:f>
        <x:v>113.13951313729685</x:v>
      </x:c>
      <x:c r="F128" s="34" t="n">
        <x:f>F126*(1-'Assumptions'!$F$4)</x:f>
        <x:v>126.31097884581797</x:v>
      </x:c>
      <x:c r="G128" s="34" t="n">
        <x:f>G126*(1-'Assumptions'!$F$4)</x:f>
        <x:v>137.17372302655832</x:v>
      </x:c>
      <x:c r="H128" s="34" t="n">
        <x:f>H126*(1-'Assumptions'!$F$4)</x:f>
        <x:v>147.05023108447057</x:v>
      </x:c>
      <x:c r="I128" s="34" t="n">
        <x:f>I126*(1-'Assumptions'!$F$4)</x:f>
        <x:v>155.57914448736983</x:v>
      </x:c>
      <x:c r="J128" s="34" t="n">
        <x:f>J126*(1-'Assumptions'!$F$4)</x:f>
        <x:v>162.42462684481413</x:v>
      </x:c>
      <x:c r="K128" s="34" t="n">
        <x:f>K126*(1-'Assumptions'!$F$4)</x:f>
        <x:v>167.29736565015855</x:v>
      </x:c>
    </x:row>
    <x:row r="129" ht="23" customHeight="1">
      <x:c r="A129" t="str">
        <x:v>Add: depreciation &amp; amortization</x:v>
      </x:c>
      <x:c r="B129" s="34" t="n">
        <x:f>B120*'Assumptions'!$G$4</x:f>
        <x:v>10.927665000000001</x:v>
      </x:c>
      <x:c r="C129" s="34" t="n">
        <x:f>C120*'Assumptions'!$G$4</x:f>
        <x:v>12.34826145</x:v>
      </x:c>
      <x:c r="D129" s="34" t="n">
        <x:f>D120*'Assumptions'!$G$4</x:f>
        <x:v>13.830052824000003</x:v>
      </x:c>
      <x:c r="E129" s="34" t="n">
        <x:f>E120*'Assumptions'!$G$4</x:f>
        <x:v>15.351358634640004</x:v>
      </x:c>
      <x:c r="F129" s="34" t="n">
        <x:f>F120*'Assumptions'!$G$4</x:f>
        <x:v>16.886494498104007</x:v>
      </x:c>
      <x:c r="G129" s="34" t="n">
        <x:f>G120*'Assumptions'!$G$4</x:f>
        <x:v>18.338733024940954</x:v>
      </x:c>
      <x:c r="H129" s="34" t="n">
        <x:f>H120*'Assumptions'!$G$4</x:f>
        <x:v>19.659121802736706</x:v>
      </x:c>
      <x:c r="I129" s="34" t="n">
        <x:f>I120*'Assumptions'!$G$4</x:f>
        <x:v>20.799350867295434</x:v>
      </x:c>
      <x:c r="J129" s="34" t="n">
        <x:f>J120*'Assumptions'!$G$4</x:f>
        <x:v>21.714522305456434</x:v>
      </x:c>
      <x:c r="K129" s="34" t="n">
        <x:f>K120*'Assumptions'!$G$4</x:f>
        <x:v>22.36595797462013</x:v>
      </x:c>
    </x:row>
    <x:row r="130" ht="23" customHeight="1">
      <x:c r="A130" t="str">
        <x:v>Less: investment incl. software</x:v>
      </x:c>
      <x:c r="B130" s="34" t="n">
        <x:f>-B120*B116</x:f>
        <x:v>-12.48876</x:v>
      </x:c>
      <x:c r="C130" s="34" t="n">
        <x:f>-C120*C116</x:f>
        <x:v>-14.1122988</x:v>
      </x:c>
      <x:c r="D130" s="34" t="n">
        <x:f>-D120*D116</x:f>
        <x:v>-15.805774656</x:v>
      </x:c>
      <x:c r="E130" s="34" t="n">
        <x:f>-E120*E116</x:f>
        <x:v>-17.544409868160002</x:v>
      </x:c>
      <x:c r="F130" s="34" t="n">
        <x:f>-F120*F116</x:f>
        <x:v>-19.298850854976006</x:v>
      </x:c>
      <x:c r="G130" s="34" t="n">
        <x:f>-G120*G116</x:f>
        <x:v>-20.958552028503945</x:v>
      </x:c>
      <x:c r="H130" s="34" t="n">
        <x:f>-H120*H116</x:f>
        <x:v>-22.467567774556233</x:v>
      </x:c>
      <x:c r="I130" s="34" t="n">
        <x:f>-I120*I116</x:f>
        <x:v>-23.770686705480493</x:v>
      </x:c>
      <x:c r="J130" s="34" t="n">
        <x:f>-J120*J116</x:f>
        <x:v>-24.81659692052164</x:v>
      </x:c>
      <x:c r="K130" s="34" t="n">
        <x:f>-K120*K116</x:f>
        <x:v>-25.56109482813729</x:v>
      </x:c>
    </x:row>
    <x:row r="131" ht="23" customHeight="1">
      <x:c r="A131" t="str">
        <x:v>Less: incremental working capital</x:v>
      </x:c>
      <x:c r="B131" s="34" t="n">
        <x:f>-(B120-'Inputs'!$B$14)*'Assumptions'!$H$4</x:f>
        <x:v>-7.183799999999997</x:v>
      </x:c>
      <x:c r="C131" s="34" t="n">
        <x:f>-(C120-B120)*'Assumptions'!$H$4</x:f>
        <x:v>-8.117693999999995</x:v>
      </x:c>
      <x:c r="D131" s="34" t="n">
        <x:f>-(D120-C120)*'Assumptions'!$H$4</x:f>
        <x:v>-8.467379280000012</x:v>
      </x:c>
      <x:c r="E131" s="34" t="n">
        <x:f>-(E120-D120)*'Assumptions'!$H$4</x:f>
        <x:v>-8.693176060800011</x:v>
      </x:c>
      <x:c r="F131" s="34" t="n">
        <x:f>-(F120-E120)*'Assumptions'!$H$4</x:f>
        <x:v>-8.772204934080014</x:v>
      </x:c>
      <x:c r="G131" s="34" t="n">
        <x:f>-(G120-F120)*'Assumptions'!$H$4</x:f>
        <x:v>-8.2985058676397</x:v>
      </x:c>
      <x:c r="H131" s="34" t="n">
        <x:f>-(H120-G120)*'Assumptions'!$H$4</x:f>
        <x:v>-7.545078730261435</x:v>
      </x:c>
      <x:c r="I131" s="34" t="n">
        <x:f>-(I120-H120)*'Assumptions'!$H$4</x:f>
        <x:v>-6.515594654621305</x:v>
      </x:c>
      <x:c r="J131" s="34" t="n">
        <x:f>-(J120-I120)*'Assumptions'!$H$4</x:f>
        <x:v>-5.229551075205723</x:v>
      </x:c>
      <x:c r="K131" s="34" t="n">
        <x:f>-(K120-J120)*'Assumptions'!$H$4</x:f>
        <x:v>-3.722489538078253</x:v>
      </x:c>
    </x:row>
    <x:row r="132" ht="23" customHeight="1">
      <x:c r="A132" t="str">
        <x:v>Less: specified cash shock</x:v>
      </x:c>
      <x:c r="B132" s="34" t="n">
        <x:f>-'Assumptions'!$I$4</x:f>
        <x:v>0</x:v>
      </x:c>
      <x:c r="C132" s="34" t="n">
        <x:f>0</x:f>
        <x:v>0</x:v>
      </x:c>
      <x:c r="D132" s="34" t="n">
        <x:f>0</x:f>
        <x:v>0</x:v>
      </x:c>
      <x:c r="E132" s="34" t="n">
        <x:f>0</x:f>
        <x:v>0</x:v>
      </x:c>
      <x:c r="F132" s="34" t="n">
        <x:f>0</x:f>
        <x:v>0</x:v>
      </x:c>
      <x:c r="G132" s="34" t="n">
        <x:f>0</x:f>
        <x:v>0</x:v>
      </x:c>
      <x:c r="H132" s="34" t="n">
        <x:f>0</x:f>
        <x:v>0</x:v>
      </x:c>
      <x:c r="I132" s="34" t="n">
        <x:f>0</x:f>
        <x:v>0</x:v>
      </x:c>
      <x:c r="J132" s="34" t="n">
        <x:f>0</x:f>
        <x:v>0</x:v>
      </x:c>
      <x:c r="K132" s="34" t="n">
        <x:f>0</x:f>
        <x:v>0</x:v>
      </x:c>
    </x:row>
    <x:row r="133" ht="23" customHeight="1">
      <x:c r="A133" s="31" t="str">
        <x:v>Owner-economic unlevered cash flow</x:v>
      </x:c>
      <x:c r="B133" s="40" t="n">
        <x:f>SUM(B128:B132)</x:f>
        <x:v>62.175650850000004</x:v>
      </x:c>
      <x:c r="C133" s="40" t="n">
        <x:f>SUM(C128:C132)</x:f>
        <x:v>74.33341173899998</x:v>
      </x:c>
      <x:c r="D133" s="40" t="n">
        <x:f>SUM(D128:D132)</x:f>
        <x:v>88.4417765796</x:v>
      </x:c>
      <x:c r="E133" s="40" t="n">
        <x:f>SUM(E128:E132)</x:f>
        <x:v>102.25328584297682</x:v>
      </x:c>
      <x:c r="F133" s="40" t="n">
        <x:f>SUM(F128:F132)</x:f>
        <x:v>115.12641755486597</x:v>
      </x:c>
      <x:c r="G133" s="40" t="n">
        <x:f>SUM(G128:G132)</x:f>
        <x:v>126.2553981553556</x:v>
      </x:c>
      <x:c r="H133" s="40" t="n">
        <x:f>SUM(H128:H132)</x:f>
        <x:v>136.6967063823896</x:v>
      </x:c>
      <x:c r="I133" s="40" t="n">
        <x:f>SUM(I128:I132)</x:f>
        <x:v>146.09221399456345</x:v>
      </x:c>
      <x:c r="J133" s="40" t="n">
        <x:f>SUM(J128:J132)</x:f>
        <x:v>154.09300115454317</x:v>
      </x:c>
      <x:c r="K133" s="40" t="n">
        <x:f>SUM(K128:K132)</x:f>
        <x:v>160.37973925856312</x:v>
      </x:c>
    </x:row>
    <x:row r="134" ht="23" customHeight="1">
      <x:c r="A134" t="str">
        <x:v>Discount factor</x:v>
      </x:c>
      <x:c r="B134" s="22" t="n">
        <x:f>1/(1+'Assumptions'!$C$4)^B$110</x:f>
        <x:v>0.9090909090909091</x:v>
      </x:c>
      <x:c r="C134" s="22" t="n">
        <x:f>1/(1+'Assumptions'!$C$4)^C$110</x:f>
        <x:v>0.8264462809917354</x:v>
      </x:c>
      <x:c r="D134" s="22" t="n">
        <x:f>1/(1+'Assumptions'!$C$4)^D$110</x:f>
        <x:v>0.7513148009015775</x:v>
      </x:c>
      <x:c r="E134" s="22" t="n">
        <x:f>1/(1+'Assumptions'!$C$4)^E$110</x:f>
        <x:v>0.6830134553650705</x:v>
      </x:c>
      <x:c r="F134" s="22" t="n">
        <x:f>1/(1+'Assumptions'!$C$4)^F$110</x:f>
        <x:v>0.6209213230591549</x:v>
      </x:c>
      <x:c r="G134" s="22" t="n">
        <x:f>1/(1+'Assumptions'!$C$4)^G$110</x:f>
        <x:v>0.5644739300537772</x:v>
      </x:c>
      <x:c r="H134" s="22" t="n">
        <x:f>1/(1+'Assumptions'!$C$4)^H$110</x:f>
        <x:v>0.5131581182307065</x:v>
      </x:c>
      <x:c r="I134" s="22" t="n">
        <x:f>1/(1+'Assumptions'!$C$4)^I$110</x:f>
        <x:v>0.46650738020973315</x:v>
      </x:c>
      <x:c r="J134" s="22" t="n">
        <x:f>1/(1+'Assumptions'!$C$4)^J$110</x:f>
        <x:v>0.42409761837248466</x:v>
      </x:c>
      <x:c r="K134" s="22" t="n">
        <x:f>1/(1+'Assumptions'!$C$4)^K$110</x:f>
        <x:v>0.3855432894295315</x:v>
      </x:c>
    </x:row>
    <x:row r="135" ht="23" customHeight="1">
      <x:c r="A135" s="31" t="str">
        <x:v>Present value</x:v>
      </x:c>
      <x:c r="B135" s="40" t="n">
        <x:f>B133*B134</x:f>
        <x:v>56.52331895454546</x:v>
      </x:c>
      <x:c r="C135" s="40" t="n">
        <x:f>C133*C134</x:f>
        <x:v>61.432571685123946</x:v>
      </x:c>
      <x:c r="D135" s="40" t="n">
        <x:f>D133*D134</x:f>
        <x:v>66.44761576228397</x:v>
      </x:c>
      <x:c r="E135" s="40" t="n">
        <x:f>E133*E134</x:f>
        <x:v>69.84037008604385</x:v>
      </x:c>
      <x:c r="F135" s="40" t="n">
        <x:f>F133*F134</x:f>
        <x:v>71.4844475072281</x:v>
      </x:c>
      <x:c r="G135" s="40" t="n">
        <x:f>G133*G134</x:f>
        <x:v>71.267880787258</x:v>
      </x:c>
      <x:c r="H135" s="40" t="n">
        <x:f>H133*H134</x:f>
        <x:v>70.14702461552245</x:v>
      </x:c>
      <x:c r="I135" s="40" t="n">
        <x:f>I133*I134</x:f>
        <x:v>68.15309601964351</x:v>
      </x:c>
      <x:c r="J135" s="40" t="n">
        <x:f>J133*J134</x:f>
        <x:v>65.35047479751029</x:v>
      </x:c>
      <x:c r="K135" s="40" t="n">
        <x:f>K133*K134</x:f>
        <x:v>61.83333223159699</x:v>
      </x:c>
    </x:row>
    <x:row r="136" ht="23" customHeight="1">
      <x:c r="A136" t="str">
        <x:v>Discount factor at 12%</x:v>
      </x:c>
      <x:c r="B136" s="22" t="n">
        <x:f>1/(1+'Controls'!$B$3)^B$110</x:f>
        <x:v>0.8928571428571428</x:v>
      </x:c>
      <x:c r="C136" s="22" t="n">
        <x:f>1/(1+'Controls'!$B$3)^C$110</x:f>
        <x:v>0.7971938775510203</x:v>
      </x:c>
      <x:c r="D136" s="22" t="n">
        <x:f>1/(1+'Controls'!$B$3)^D$110</x:f>
        <x:v>0.7117802478134109</x:v>
      </x:c>
      <x:c r="E136" s="22" t="n">
        <x:f>1/(1+'Controls'!$B$3)^E$110</x:f>
        <x:v>0.6355180784048312</x:v>
      </x:c>
      <x:c r="F136" s="22" t="n">
        <x:f>1/(1+'Controls'!$B$3)^F$110</x:f>
        <x:v>0.5674268557185992</x:v>
      </x:c>
      <x:c r="G136" s="22" t="n">
        <x:f>1/(1+'Controls'!$B$3)^G$110</x:f>
        <x:v>0.5066311211773207</x:v>
      </x:c>
      <x:c r="H136" s="22" t="n">
        <x:f>1/(1+'Controls'!$B$3)^H$110</x:f>
        <x:v>0.45234921533689343</x:v>
      </x:c>
      <x:c r="I136" s="22" t="n">
        <x:f>1/(1+'Controls'!$B$3)^I$110</x:f>
        <x:v>0.4038832279793691</x:v>
      </x:c>
      <x:c r="J136" s="22" t="n">
        <x:f>1/(1+'Controls'!$B$3)^J$110</x:f>
        <x:v>0.36061002498157957</x:v>
      </x:c>
      <x:c r="K136" s="22" t="n">
        <x:f>1/(1+'Controls'!$B$3)^K$110</x:f>
        <x:v>0.321973236590696</x:v>
      </x:c>
    </x:row>
    <x:row r="138" ht="25" customHeight="1">
      <x:c r="A138" t="str">
        <x:v>Year 11 after-tax operating profit</x:v>
      </x:c>
      <x:c r="B138" s="34" t="n">
        <x:f>K128*(1+'Assumptions'!$D$4)</x:f>
        <x:v>172.31628661966332</x:v>
      </x:c>
    </x:row>
    <x:row r="139" ht="25" customHeight="1">
      <x:c r="A139" t="str">
        <x:v>Less: terminal reinvestment</x:v>
      </x:c>
      <x:c r="B139" s="34" t="n">
        <x:f>-B138*'Assumptions'!$D$4/'Assumptions'!$E$4</x:f>
        <x:v>-17.231628661966333</x:v>
      </x:c>
      <x:c r="D139" s="24" t="str">
        <x:v>This is an operating scenario, not a statistical confidence interval. Terminal growth requires reinvestment. Latest-quarter capital structure is not a complete September roll-forward. See company decision notes for remaining unknowns. MOD scenarios assume the transaction closes; WINA core revenue excludes offsetting fee programs.</x:v>
      </x:c>
      <x:c r="E139" s="24"/>
      <x:c r="F139" s="24"/>
      <x:c r="G139" s="24"/>
      <x:c r="H139" s="24"/>
      <x:c r="I139" s="24"/>
      <x:c r="J139" s="24"/>
      <x:c r="K139" s="24"/>
    </x:row>
    <x:row r="140" ht="25" customHeight="1">
      <x:c r="A140" t="str">
        <x:v>Terminal cash flow</x:v>
      </x:c>
      <x:c r="B140" s="34" t="n">
        <x:f>SUM(B138:B139)</x:f>
        <x:v>155.08465795769698</x:v>
      </x:c>
      <x:c r="D140" s="24"/>
      <x:c r="E140" s="24"/>
      <x:c r="F140" s="24"/>
      <x:c r="G140" s="24"/>
      <x:c r="H140" s="24"/>
      <x:c r="I140" s="24"/>
      <x:c r="J140" s="24"/>
      <x:c r="K140" s="24"/>
    </x:row>
    <x:row r="141" ht="25" customHeight="1">
      <x:c r="A141" t="str">
        <x:v>Terminal operating value</x:v>
      </x:c>
      <x:c r="B141" s="34" t="n">
        <x:f>B140/('Assumptions'!$C$4-'Assumptions'!$D$4)</x:f>
        <x:v>2215.495113681385</x:v>
      </x:c>
      <x:c r="D141" s="24"/>
      <x:c r="E141" s="24"/>
      <x:c r="F141" s="24"/>
      <x:c r="G141" s="24"/>
      <x:c r="H141" s="24"/>
      <x:c r="I141" s="24"/>
      <x:c r="J141" s="24"/>
      <x:c r="K141" s="24"/>
    </x:row>
    <x:row r="142" ht="25" customHeight="1">
      <x:c r="A142" t="str">
        <x:v>PV terminal value</x:v>
      </x:c>
      <x:c r="B142" s="34" t="n">
        <x:f>B141*K134</x:f>
        <x:v>854.169273843775</x:v>
      </x:c>
      <x:c r="D142" s="24"/>
      <x:c r="E142" s="24"/>
      <x:c r="F142" s="24"/>
      <x:c r="G142" s="24"/>
      <x:c r="H142" s="24"/>
      <x:c r="I142" s="24"/>
      <x:c r="J142" s="24"/>
      <x:c r="K142" s="24"/>
    </x:row>
    <x:row r="143" ht="25" customHeight="1">
      <x:c r="A143" t="str">
        <x:v>PV explicit forecast</x:v>
      </x:c>
      <x:c r="B143" s="34" t="n">
        <x:f>SUM(B135:K135)</x:f>
        <x:v>662.4801324467566</x:v>
      </x:c>
      <x:c r="D143" s="24"/>
      <x:c r="E143" s="24"/>
      <x:c r="F143" s="24"/>
      <x:c r="G143" s="24"/>
      <x:c r="H143" s="24"/>
      <x:c r="I143" s="24"/>
      <x:c r="J143" s="24"/>
      <x:c r="K143" s="24"/>
    </x:row>
    <x:row r="144" ht="25" customHeight="1">
      <x:c r="A144" s="84" t="str">
        <x:v>Operating enterprise value</x:v>
      </x:c>
      <x:c r="B144" s="85" t="n">
        <x:f>SUM(B142:B143)</x:f>
        <x:v>1516.6494062905317</x:v>
      </x:c>
      <x:c r="D144" s="24"/>
      <x:c r="E144" s="24"/>
      <x:c r="F144" s="24"/>
      <x:c r="G144" s="24"/>
      <x:c r="H144" s="24"/>
      <x:c r="I144" s="24"/>
      <x:c r="J144" s="24"/>
      <x:c r="K144" s="24"/>
    </x:row>
    <x:row r="145" ht="25" customHeight="1">
      <x:c r="A145" t="str">
        <x:v>Cash / claims / transaction bridge</x:v>
      </x:c>
      <x:c r="B145" s="34" t="n">
        <x:f>'Inputs'!$B$6-'Inputs'!$B$7-'Inputs'!$B$9-'Inputs'!$B$10-'Inputs'!$B$11+'Inputs'!$B$12*'Inputs'!$B$13</x:f>
        <x:v>178</x:v>
      </x:c>
      <x:c r="D145" s="24"/>
      <x:c r="E145" s="24"/>
      <x:c r="F145" s="24"/>
      <x:c r="G145" s="24"/>
      <x:c r="H145" s="24"/>
      <x:c r="I145" s="24"/>
      <x:c r="J145" s="24"/>
      <x:c r="K145" s="24"/>
    </x:row>
    <x:row r="146" ht="25" customHeight="1">
      <x:c r="A146" s="84" t="str">
        <x:v>Common equity value</x:v>
      </x:c>
      <x:c r="B146" s="85" t="n">
        <x:f>SUM(B144:B145)</x:f>
        <x:v>1694.6494062905317</x:v>
      </x:c>
      <x:c r="D146" s="24"/>
      <x:c r="E146" s="24"/>
      <x:c r="F146" s="24"/>
      <x:c r="G146" s="24"/>
      <x:c r="H146" s="24"/>
      <x:c r="I146" s="24"/>
      <x:c r="J146" s="24"/>
      <x:c r="K146" s="24"/>
    </x:row>
    <x:row r="147" ht="25" customHeight="1">
      <x:c r="A147" t="str">
        <x:v>Value / share: debt endpoint</x:v>
      </x:c>
      <x:c r="B147" s="42" t="n">
        <x:f>B146/'Inputs'!$B$8</x:f>
        <x:v>73.39957580953447</x:v>
      </x:c>
    </x:row>
    <x:row r="148" ht="25" customHeight="1">
      <x:c r="A148" t="str">
        <x:v>Value / share: if-converted endpoint</x:v>
      </x:c>
      <x:c r="B148" s="42" t="n">
        <x:f>(B146+'Inputs'!$B$7)/('Inputs'!$B$8+'Inputs'!$B$19)</x:f>
        <x:v>76.11387249971594</x:v>
      </x:c>
    </x:row>
    <x:row r="149" ht="25" customHeight="1">
      <x:c r="A149" s="88" t="str">
        <x:v>Conditional intrinsic value / share</x:v>
      </x:c>
      <x:c r="B149" s="89" t="n">
        <x:f>MIN(B147,B148)</x:f>
        <x:v>73.39957580953447</x:v>
      </x:c>
    </x:row>
    <x:row r="150" ht="25" customHeight="1">
      <x:c r="A150" t="str">
        <x:v>Value versus quote</x:v>
      </x:c>
      <x:c r="B150" s="22" t="n">
        <x:f>B149/'Inputs'!$B$5-1</x:f>
        <x:v>-0.09012550130736996</x:v>
      </x:c>
    </x:row>
    <x:row r="151" ht="25" customHeight="1">
      <x:c r="A151" t="str">
        <x:v>Terminal share of operating EV</x:v>
      </x:c>
      <x:c r="B151" s="22" t="n">
        <x:f>B142/B144</x:f>
        <x:v>0.5631949416265746</x:v>
      </x:c>
    </x:row>
    <x:row r="152" ht="25" customHeight="1">
      <x:c r="A152" t="str">
        <x:v>Value at 12% enterprise discount</x:v>
      </x:c>
      <x:c r="B152" s="42" t="n">
        <x:f>MIN((SUMPRODUCT(B133:K133,B136:K136)+B140/('Controls'!$B$3-'Assumptions'!$D$4)*K136+B145)/'Inputs'!$B$8,((SUMPRODUCT(B133:K133,B136:K136)+B140/('Controls'!$B$3-'Assumptions'!$D$4)*K136+B145)+'Inputs'!$B$7)/('Inputs'!$B$8+'Inputs'!$B$19))</x:f>
        <x:v>57.729314098560145</x:v>
      </x:c>
    </x:row>
    <x:row r="153" ht="25" customHeight="1">
      <x:c r="A153" t="str">
        <x:v>Price-implied operating EV</x:v>
      </x:c>
      <x:c r="B153" s="34" t="n">
        <x:f>'Inputs'!$B$5*'Inputs'!$B$8-B145</x:f>
        <x:v>1684.5089600000001</x:v>
      </x:c>
    </x:row>
  </x:sheetData>
  <x:mergeCells>
    <x:mergeCell ref="A1:K1"/>
    <x:mergeCell ref="A2:K2"/>
    <x:mergeCell ref="A4:K4"/>
    <x:mergeCell ref="D37:K44"/>
    <x:mergeCell ref="A55:K55"/>
    <x:mergeCell ref="D88:K95"/>
    <x:mergeCell ref="A106:K106"/>
    <x:mergeCell ref="D139:K14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9" customHeight="1">
      <x:c r="A1" s="18" t="str">
        <x:v>WINA | NORMALIZED CASH FLOW | 10 forward economic years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</x:row>
    <x:row r="2" ht="31" customHeight="1">
      <x:c r="A2" s="24" t="str">
        <x:v>USD millions. Blue assumptions on Assumptions tab; recurring SBC stays expensed. Not a precisely fiscal-aligned earnings forecast.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</x:row>
    <x:row r="4" ht="29" customHeight="1">
      <x:c r="A4" s="27" t="str">
        <x:v>BEAR | conditional operating path, not probability band</x:v>
      </x:c>
      <x:c r="B4" s="27"/>
      <x:c r="C4" s="27"/>
      <x:c r="D4" s="27"/>
      <x:c r="E4" s="27"/>
      <x:c r="F4" s="27"/>
      <x:c r="G4" s="27"/>
      <x:c r="H4" s="27"/>
      <x:c r="I4" s="27"/>
      <x:c r="J4" s="27"/>
      <x:c r="K4" s="27"/>
    </x:row>
    <x:row r="6">
      <x:c r="A6" t="str">
        <x:v>Discount rate</x:v>
      </x:c>
      <x:c r="B6" s="22" t="n">
        <x:f>'Assumptions'!$C$5</x:f>
        <x:v>0.1</x:v>
      </x:c>
      <x:c r="C6" t="str">
        <x:v>Terminal growth</x:v>
      </x:c>
      <x:c r="D6" s="22" t="n">
        <x:f>'Assumptions'!$D$5</x:f>
        <x:v>0.025</x:v>
      </x:c>
      <x:c r="E6" t="str">
        <x:v>Tax</x:v>
      </x:c>
      <x:c r="F6" s="22" t="n">
        <x:f>'Assumptions'!$F$5</x:f>
        <x:v>0.25</x:v>
      </x:c>
      <x:c r="G6" t="str">
        <x:v>Terminal ROIC</x:v>
      </x:c>
      <x:c r="H6" s="22" t="n">
        <x:f>'Assumptions'!$E$5</x:f>
        <x:v>0.25</x:v>
      </x:c>
      <x:c r="I6"/>
      <x:c r="J6"/>
      <x:c r="K6"/>
    </x:row>
    <x:row r="8" ht="24" customHeight="1">
      <x:c r="A8" s="31" t="str">
        <x:v>Economic year</x:v>
      </x:c>
      <x:c r="B8" s="31" t="n">
        <x:v>1</x:v>
      </x:c>
      <x:c r="C8" s="31" t="n">
        <x:v>2</x:v>
      </x:c>
      <x:c r="D8" s="31" t="n">
        <x:v>3</x:v>
      </x:c>
      <x:c r="E8" s="31" t="n">
        <x:v>4</x:v>
      </x:c>
      <x:c r="F8" s="31" t="n">
        <x:v>5</x:v>
      </x:c>
      <x:c r="G8" s="31" t="n">
        <x:v>6</x:v>
      </x:c>
      <x:c r="H8" s="31" t="n">
        <x:v>7</x:v>
      </x:c>
      <x:c r="I8" s="31" t="n">
        <x:v>8</x:v>
      </x:c>
      <x:c r="J8" s="31" t="n">
        <x:v>9</x:v>
      </x:c>
      <x:c r="K8" s="31" t="n">
        <x:v>10</x:v>
      </x:c>
    </x:row>
    <x:row r="9" ht="23" customHeight="1">
      <x:c r="A9" t="str">
        <x:v>Primary revenue growth</x:v>
      </x:c>
      <x:c r="B9" s="36" t="n">
        <x:f>'Assumptions'!$O$5</x:f>
        <x:v>0.02</x:v>
      </x:c>
      <x:c r="C9" s="36" t="n">
        <x:f>'Assumptions'!$P$5</x:f>
        <x:v>0.03</x:v>
      </x:c>
      <x:c r="D9" s="36" t="n">
        <x:f>'Assumptions'!$Q$5</x:f>
        <x:v>0.03</x:v>
      </x:c>
      <x:c r="E9" s="36" t="n">
        <x:f>'Assumptions'!$R$5</x:f>
        <x:v>0.03</x:v>
      </x:c>
      <x:c r="F9" s="36" t="n">
        <x:f>'Assumptions'!$S$5</x:f>
        <x:v>0.03</x:v>
      </x:c>
      <x:c r="G9" s="22" t="n">
        <x:f>$F$19+('Assumptions'!$D$5-$F$19)*(G$8-$F$8)/($K$8-$F$8)</x:f>
        <x:v>0.029000000000000022</x:v>
      </x:c>
      <x:c r="H9" s="22" t="n">
        <x:f>$F$19+('Assumptions'!$D$5-$F$19)*(H$8-$F$8)/($K$8-$F$8)</x:f>
        <x:v>0.028000000000000018</x:v>
      </x:c>
      <x:c r="I9" s="22" t="n">
        <x:f>$F$19+('Assumptions'!$D$5-$F$19)*(I$8-$F$8)/($K$8-$F$8)</x:f>
        <x:v>0.02700000000000001</x:v>
      </x:c>
      <x:c r="J9" s="22" t="n">
        <x:f>$F$19+('Assumptions'!$D$5-$F$19)*(J$8-$F$8)/($K$8-$F$8)</x:f>
        <x:v>0.026000000000000006</x:v>
      </x:c>
      <x:c r="K9" s="22" t="n">
        <x:f>$F$19+('Assumptions'!$D$5-$F$19)*(K$8-$F$8)/($K$8-$F$8)</x:f>
        <x:v>0.025</x:v>
      </x:c>
    </x:row>
    <x:row r="10" ht="23" customHeight="1">
      <x:c r="A10" t="str">
        <x:v>Secondary revenue growth</x:v>
      </x:c>
      <x:c r="B10" s="36" t="n">
        <x:f>'Assumptions'!$T$5</x:f>
        <x:v>0</x:v>
      </x:c>
      <x:c r="C10" s="36" t="n">
        <x:f>'Assumptions'!$U$5</x:f>
        <x:v>0</x:v>
      </x:c>
      <x:c r="D10" s="36" t="n">
        <x:f>'Assumptions'!$V$5</x:f>
        <x:v>0</x:v>
      </x:c>
      <x:c r="E10" s="36" t="n">
        <x:f>'Assumptions'!$W$5</x:f>
        <x:v>0</x:v>
      </x:c>
      <x:c r="F10" s="36" t="n">
        <x:f>'Assumptions'!$X$5</x:f>
        <x:v>0</x:v>
      </x:c>
      <x:c r="G10" s="22" t="n">
        <x:f>$F$19+('Assumptions'!$D$5-$F$19)*(G$8-$F$8)/($K$8-$F$8)</x:f>
        <x:v>0.029000000000000022</x:v>
      </x:c>
      <x:c r="H10" s="22" t="n">
        <x:f>$F$19+('Assumptions'!$D$5-$F$19)*(H$8-$F$8)/($K$8-$F$8)</x:f>
        <x:v>0.028000000000000018</x:v>
      </x:c>
      <x:c r="I10" s="22" t="n">
        <x:f>$F$19+('Assumptions'!$D$5-$F$19)*(I$8-$F$8)/($K$8-$F$8)</x:f>
        <x:v>0.02700000000000001</x:v>
      </x:c>
      <x:c r="J10" s="22" t="n">
        <x:f>$F$19+('Assumptions'!$D$5-$F$19)*(J$8-$F$8)/($K$8-$F$8)</x:f>
        <x:v>0.026000000000000006</x:v>
      </x:c>
      <x:c r="K10" s="22" t="n">
        <x:f>$F$19+('Assumptions'!$D$5-$F$19)*(K$8-$F$8)/($K$8-$F$8)</x:f>
        <x:v>0.025</x:v>
      </x:c>
    </x:row>
    <x:row r="11" ht="23" customHeight="1">
      <x:c r="A11" t="str">
        <x:v>Primary margin</x:v>
      </x:c>
      <x:c r="B11" s="36" t="n">
        <x:f>'Assumptions'!$Y$5</x:f>
        <x:v>0.575</x:v>
      </x:c>
      <x:c r="C11" s="36" t="n">
        <x:f>'Assumptions'!$Z$5</x:f>
        <x:v>0.575</x:v>
      </x:c>
      <x:c r="D11" s="36" t="n">
        <x:f>'Assumptions'!$AA$5</x:f>
        <x:v>0.58</x:v>
      </x:c>
      <x:c r="E11" s="36" t="n">
        <x:f>'Assumptions'!$AB$5</x:f>
        <x:v>0.58</x:v>
      </x:c>
      <x:c r="F11" s="36" t="n">
        <x:f>'Assumptions'!$AC$5</x:f>
        <x:v>0.58</x:v>
      </x:c>
      <x:c r="G11" s="22" t="n">
        <x:f>$F$11</x:f>
        <x:v>0.58</x:v>
      </x:c>
      <x:c r="H11" s="22" t="n">
        <x:f>$F$11</x:f>
        <x:v>0.58</x:v>
      </x:c>
      <x:c r="I11" s="22" t="n">
        <x:f>$F$11</x:f>
        <x:v>0.58</x:v>
      </x:c>
      <x:c r="J11" s="22" t="n">
        <x:f>$F$11</x:f>
        <x:v>0.58</x:v>
      </x:c>
      <x:c r="K11" s="22" t="n">
        <x:f>$F$11</x:f>
        <x:v>0.58</x:v>
      </x:c>
    </x:row>
    <x:row r="12" ht="23" customHeight="1">
      <x:c r="A12" t="str">
        <x:v>Secondary margin</x:v>
      </x:c>
      <x:c r="B12" s="36" t="n">
        <x:f>'Assumptions'!$AD$5</x:f>
        <x:v>0</x:v>
      </x:c>
      <x:c r="C12" s="36" t="n">
        <x:f>'Assumptions'!$AE$5</x:f>
        <x:v>0</x:v>
      </x:c>
      <x:c r="D12" s="36" t="n">
        <x:f>'Assumptions'!$AF$5</x:f>
        <x:v>0</x:v>
      </x:c>
      <x:c r="E12" s="36" t="n">
        <x:f>'Assumptions'!$AG$5</x:f>
        <x:v>0</x:v>
      </x:c>
      <x:c r="F12" s="36" t="n">
        <x:f>'Assumptions'!$AH$5</x:f>
        <x:v>0</x:v>
      </x:c>
      <x:c r="G12" s="22" t="n">
        <x:f>$F$12</x:f>
        <x:v>0</x:v>
      </x:c>
      <x:c r="H12" s="22" t="n">
        <x:f>$F$12</x:f>
        <x:v>0</x:v>
      </x:c>
      <x:c r="I12" s="22" t="n">
        <x:f>$F$12</x:f>
        <x:v>0</x:v>
      </x:c>
      <x:c r="J12" s="22" t="n">
        <x:f>$F$12</x:f>
        <x:v>0</x:v>
      </x:c>
      <x:c r="K12" s="22" t="n">
        <x:f>$F$12</x:f>
        <x:v>0</x:v>
      </x:c>
    </x:row>
    <x:row r="13" ht="23" customHeight="1">
      <x:c r="A13" t="str">
        <x:v>Overhead growth</x:v>
      </x:c>
      <x:c r="B13" s="36" t="n">
        <x:f>'Assumptions'!$AI$5</x:f>
        <x:v>0</x:v>
      </x:c>
      <x:c r="C13" s="36" t="n">
        <x:f>'Assumptions'!$AJ$5</x:f>
        <x:v>0</x:v>
      </x:c>
      <x:c r="D13" s="36" t="n">
        <x:f>'Assumptions'!$AK$5</x:f>
        <x:v>0</x:v>
      </x:c>
      <x:c r="E13" s="36" t="n">
        <x:f>'Assumptions'!$AL$5</x:f>
        <x:v>0</x:v>
      </x:c>
      <x:c r="F13" s="36" t="n">
        <x:f>'Assumptions'!$AM$5</x:f>
        <x:v>0</x:v>
      </x:c>
      <x:c r="G13" s="22" t="n">
        <x:f>$F$19+('Assumptions'!$D$5-$F$19)*(G$8-$F$8)/($K$8-$F$8)</x:f>
        <x:v>0.029000000000000022</x:v>
      </x:c>
      <x:c r="H13" s="22" t="n">
        <x:f>$F$19+('Assumptions'!$D$5-$F$19)*(H$8-$F$8)/($K$8-$F$8)</x:f>
        <x:v>0.028000000000000018</x:v>
      </x:c>
      <x:c r="I13" s="22" t="n">
        <x:f>$F$19+('Assumptions'!$D$5-$F$19)*(I$8-$F$8)/($K$8-$F$8)</x:f>
        <x:v>0.02700000000000001</x:v>
      </x:c>
      <x:c r="J13" s="22" t="n">
        <x:f>$F$19+('Assumptions'!$D$5-$F$19)*(J$8-$F$8)/($K$8-$F$8)</x:f>
        <x:v>0.026000000000000006</x:v>
      </x:c>
      <x:c r="K13" s="22" t="n">
        <x:f>$F$19+('Assumptions'!$D$5-$F$19)*(K$8-$F$8)/($K$8-$F$8)</x:f>
        <x:v>0.025</x:v>
      </x:c>
    </x:row>
    <x:row r="14" ht="23" customHeight="1">
      <x:c r="A14" t="str">
        <x:v>Capex / revenue</x:v>
      </x:c>
      <x:c r="B14" s="36" t="n">
        <x:f>'Assumptions'!$AN$5</x:f>
        <x:v>0.045</x:v>
      </x:c>
      <x:c r="C14" s="36" t="n">
        <x:f>'Assumptions'!$AO$5</x:f>
        <x:v>0.04</x:v>
      </x:c>
      <x:c r="D14" s="36" t="n">
        <x:f>'Assumptions'!$AP$5</x:f>
        <x:v>0.03</x:v>
      </x:c>
      <x:c r="E14" s="36" t="n">
        <x:f>'Assumptions'!$AQ$5</x:f>
        <x:v>0.025</x:v>
      </x:c>
      <x:c r="F14" s="36" t="n">
        <x:f>'Assumptions'!$AR$5</x:f>
        <x:v>0.025</x:v>
      </x:c>
      <x:c r="G14" s="22" t="n">
        <x:f>$F$14</x:f>
        <x:v>0.025</x:v>
      </x:c>
      <x:c r="H14" s="22" t="n">
        <x:f>$F$14</x:f>
        <x:v>0.025</x:v>
      </x:c>
      <x:c r="I14" s="22" t="n">
        <x:f>$F$14</x:f>
        <x:v>0.025</x:v>
      </x:c>
      <x:c r="J14" s="22" t="n">
        <x:f>$F$14</x:f>
        <x:v>0.025</x:v>
      </x:c>
      <x:c r="K14" s="22" t="n">
        <x:f>$F$14</x:f>
        <x:v>0.025</x:v>
      </x:c>
    </x:row>
    <x:row r="15" ht="23" customHeight="1"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</x:row>
    <x:row r="16" ht="23" customHeight="1">
      <x:c r="A16" t="str">
        <x:v>Primary revenue</x:v>
      </x:c>
      <x:c r="B16" s="34" t="n">
        <x:f>'Inputs'!$C$14*(1+B9)</x:f>
        <x:v>90.27</x:v>
      </x:c>
      <x:c r="C16" s="34" t="n">
        <x:f>B16*(1+C9)</x:f>
        <x:v>92.9781</x:v>
      </x:c>
      <x:c r="D16" s="34" t="n">
        <x:f>C16*(1+D9)</x:f>
        <x:v>95.767443</x:v>
      </x:c>
      <x:c r="E16" s="34" t="n">
        <x:f>D16*(1+E9)</x:f>
        <x:v>98.64046629</x:v>
      </x:c>
      <x:c r="F16" s="34" t="n">
        <x:f>E16*(1+F9)</x:f>
        <x:v>101.5996802787</x:v>
      </x:c>
      <x:c r="G16" s="34" t="n">
        <x:f>F16*(1+G9)</x:f>
        <x:v>104.5460710067823</x:v>
      </x:c>
      <x:c r="H16" s="34" t="n">
        <x:f>G16*(1+H9)</x:f>
        <x:v>107.47336099497221</x:v>
      </x:c>
      <x:c r="I16" s="34" t="n">
        <x:f>H16*(1+I9)</x:f>
        <x:v>110.37514174183646</x:v>
      </x:c>
      <x:c r="J16" s="34" t="n">
        <x:f>I16*(1+J9)</x:f>
        <x:v>113.2448954271242</x:v>
      </x:c>
      <x:c r="K16" s="34" t="n">
        <x:f>J16*(1+K9)</x:f>
        <x:v>116.0760178128023</x:v>
      </x:c>
    </x:row>
    <x:row r="17" ht="23" customHeight="1">
      <x:c r="A17" t="str">
        <x:v>Secondary revenue</x:v>
      </x:c>
      <x:c r="B17" s="34" t="n">
        <x:f>0</x:f>
        <x:v>0</x:v>
      </x:c>
      <x:c r="C17" s="34" t="n">
        <x:f>B17*(1+C10)</x:f>
        <x:v>0</x:v>
      </x:c>
      <x:c r="D17" s="34" t="n">
        <x:f>C17*(1+D10)</x:f>
        <x:v>0</x:v>
      </x:c>
      <x:c r="E17" s="34" t="n">
        <x:f>D17*(1+E10)</x:f>
        <x:v>0</x:v>
      </x:c>
      <x:c r="F17" s="34" t="n">
        <x:f>E17*(1+F10)</x:f>
        <x:v>0</x:v>
      </x:c>
      <x:c r="G17" s="34" t="n">
        <x:f>F17*(1+G10)</x:f>
        <x:v>0</x:v>
      </x:c>
      <x:c r="H17" s="34" t="n">
        <x:f>G17*(1+H10)</x:f>
        <x:v>0</x:v>
      </x:c>
      <x:c r="I17" s="34" t="n">
        <x:f>H17*(1+I10)</x:f>
        <x:v>0</x:v>
      </x:c>
      <x:c r="J17" s="34" t="n">
        <x:f>I17*(1+J10)</x:f>
        <x:v>0</x:v>
      </x:c>
      <x:c r="K17" s="34" t="n">
        <x:f>J17*(1+K10)</x:f>
        <x:v>0</x:v>
      </x:c>
    </x:row>
    <x:row r="18" ht="23" customHeight="1">
      <x:c r="A18" s="31" t="str">
        <x:v>Total economic revenue</x:v>
      </x:c>
      <x:c r="B18" s="40" t="n">
        <x:f>SUM(B16:B17)</x:f>
        <x:v>90.27</x:v>
      </x:c>
      <x:c r="C18" s="40" t="n">
        <x:f>SUM(C16:C17)</x:f>
        <x:v>92.9781</x:v>
      </x:c>
      <x:c r="D18" s="40" t="n">
        <x:f>SUM(D16:D17)</x:f>
        <x:v>95.767443</x:v>
      </x:c>
      <x:c r="E18" s="40" t="n">
        <x:f>SUM(E16:E17)</x:f>
        <x:v>98.64046629</x:v>
      </x:c>
      <x:c r="F18" s="40" t="n">
        <x:f>SUM(F16:F17)</x:f>
        <x:v>101.5996802787</x:v>
      </x:c>
      <x:c r="G18" s="40" t="n">
        <x:f>SUM(G16:G17)</x:f>
        <x:v>104.5460710067823</x:v>
      </x:c>
      <x:c r="H18" s="40" t="n">
        <x:f>SUM(H16:H17)</x:f>
        <x:v>107.47336099497221</x:v>
      </x:c>
      <x:c r="I18" s="40" t="n">
        <x:f>SUM(I16:I17)</x:f>
        <x:v>110.37514174183646</x:v>
      </x:c>
      <x:c r="J18" s="40" t="n">
        <x:f>SUM(J16:J17)</x:f>
        <x:v>113.2448954271242</x:v>
      </x:c>
      <x:c r="K18" s="40" t="n">
        <x:f>SUM(K16:K17)</x:f>
        <x:v>116.0760178128023</x:v>
      </x:c>
    </x:row>
    <x:row r="19" ht="23" customHeight="1">
      <x:c r="A19" t="str">
        <x:v>Revenue growth</x:v>
      </x:c>
      <x:c r="B19" s="22" t="n">
        <x:f>B18/'Inputs'!$C$14-1</x:f>
        <x:v>0.020000000000000018</x:v>
      </x:c>
      <x:c r="C19" s="22" t="n">
        <x:f>C18/B18-1</x:f>
        <x:v>0.030000000000000027</x:v>
      </x:c>
      <x:c r="D19" s="22" t="n">
        <x:f>D18/C18-1</x:f>
        <x:v>0.030000000000000027</x:v>
      </x:c>
      <x:c r="E19" s="22" t="n">
        <x:f>E18/D18-1</x:f>
        <x:v>0.030000000000000027</x:v>
      </x:c>
      <x:c r="F19" s="22" t="n">
        <x:f>F18/E18-1</x:f>
        <x:v>0.030000000000000027</x:v>
      </x:c>
      <x:c r="G19" s="22" t="n">
        <x:f>G18/F18-1</x:f>
        <x:v>0.028999999999999915</x:v>
      </x:c>
      <x:c r="H19" s="22" t="n">
        <x:f>H18/G18-1</x:f>
        <x:v>0.028000000000000025</x:v>
      </x:c>
      <x:c r="I19" s="22" t="n">
        <x:f>I18/H18-1</x:f>
        <x:v>0.026999999999999913</x:v>
      </x:c>
      <x:c r="J19" s="22" t="n">
        <x:f>J18/I18-1</x:f>
        <x:v>0.026000000000000023</x:v>
      </x:c>
      <x:c r="K19" s="22" t="n">
        <x:f>K18/J18-1</x:f>
        <x:v>0.02499999999999991</x:v>
      </x:c>
    </x:row>
    <x:row r="20" ht="23" customHeight="1">
      <x:c r="A20" t="str">
        <x:v>Primary profit pool</x:v>
      </x:c>
      <x:c r="B20" s="34" t="n">
        <x:f>B16*B11</x:f>
        <x:v>51.905249999999995</x:v>
      </x:c>
      <x:c r="C20" s="34" t="n">
        <x:f>C16*C11</x:f>
        <x:v>53.4624075</x:v>
      </x:c>
      <x:c r="D20" s="34" t="n">
        <x:f>D16*D11</x:f>
        <x:v>55.54511694</x:v>
      </x:c>
      <x:c r="E20" s="34" t="n">
        <x:f>E16*E11</x:f>
        <x:v>57.2114704482</x:v>
      </x:c>
      <x:c r="F20" s="34" t="n">
        <x:f>F16*F11</x:f>
        <x:v>58.927814561646</x:v>
      </x:c>
      <x:c r="G20" s="34" t="n">
        <x:f>G16*G11</x:f>
        <x:v>60.63672118393373</x:v>
      </x:c>
      <x:c r="H20" s="34" t="n">
        <x:f>H16*H11</x:f>
        <x:v>62.33454937708388</x:v>
      </x:c>
      <x:c r="I20" s="34" t="n">
        <x:f>I16*I11</x:f>
        <x:v>64.01758221026515</x:v>
      </x:c>
      <x:c r="J20" s="34" t="n">
        <x:f>J16*J11</x:f>
        <x:v>65.68203934773203</x:v>
      </x:c>
      <x:c r="K20" s="34" t="n">
        <x:f>K16*K11</x:f>
        <x:v>67.32409033142534</x:v>
      </x:c>
    </x:row>
    <x:row r="21" ht="23" customHeight="1">
      <x:c r="A21" t="str">
        <x:v>Secondary profit pool</x:v>
      </x:c>
      <x:c r="B21" s="34" t="n">
        <x:f>B17*B12</x:f>
        <x:v>0</x:v>
      </x:c>
      <x:c r="C21" s="34" t="n">
        <x:f>C17*C12</x:f>
        <x:v>0</x:v>
      </x:c>
      <x:c r="D21" s="34" t="n">
        <x:f>D17*D12</x:f>
        <x:v>0</x:v>
      </x:c>
      <x:c r="E21" s="34" t="n">
        <x:f>E17*E12</x:f>
        <x:v>0</x:v>
      </x:c>
      <x:c r="F21" s="34" t="n">
        <x:f>F17*F12</x:f>
        <x:v>0</x:v>
      </x:c>
      <x:c r="G21" s="34" t="n">
        <x:f>G17*G12</x:f>
        <x:v>0</x:v>
      </x:c>
      <x:c r="H21" s="34" t="n">
        <x:f>H17*H12</x:f>
        <x:v>0</x:v>
      </x:c>
      <x:c r="I21" s="34" t="n">
        <x:f>I17*I12</x:f>
        <x:v>0</x:v>
      </x:c>
      <x:c r="J21" s="34" t="n">
        <x:f>J17*J12</x:f>
        <x:v>0</x:v>
      </x:c>
      <x:c r="K21" s="34" t="n">
        <x:f>K17*K12</x:f>
        <x:v>0</x:v>
      </x:c>
    </x:row>
    <x:row r="22" ht="23" customHeight="1">
      <x:c r="A22" t="str">
        <x:v>Less: overhead / corporate</x:v>
      </x:c>
      <x:c r="B22" s="34" t="n">
        <x:f>0</x:f>
        <x:v>0</x:v>
      </x:c>
      <x:c r="C22" s="34" t="n">
        <x:f>B22*(1+C13)</x:f>
        <x:v>0</x:v>
      </x:c>
      <x:c r="D22" s="34" t="n">
        <x:f>C22*(1+D13)</x:f>
        <x:v>0</x:v>
      </x:c>
      <x:c r="E22" s="34" t="n">
        <x:f>D22*(1+E13)</x:f>
        <x:v>0</x:v>
      </x:c>
      <x:c r="F22" s="34" t="n">
        <x:f>E22*(1+F13)</x:f>
        <x:v>0</x:v>
      </x:c>
      <x:c r="G22" s="34" t="n">
        <x:f>F22*(1+G13)</x:f>
        <x:v>0</x:v>
      </x:c>
      <x:c r="H22" s="34" t="n">
        <x:f>G22*(1+H13)</x:f>
        <x:v>0</x:v>
      </x:c>
      <x:c r="I22" s="34" t="n">
        <x:f>H22*(1+I13)</x:f>
        <x:v>0</x:v>
      </x:c>
      <x:c r="J22" s="34" t="n">
        <x:f>I22*(1+J13)</x:f>
        <x:v>0</x:v>
      </x:c>
      <x:c r="K22" s="34" t="n">
        <x:f>J22*(1+K13)</x:f>
        <x:v>0</x:v>
      </x:c>
    </x:row>
    <x:row r="23" ht="23" customHeight="1">
      <x:c r="A23" t="str">
        <x:v>Additional fee profit</x:v>
      </x:c>
      <x:c r="B23" s="34" t="n">
        <x:f>'Inputs'!$C$33*'Assumptions'!$J$5</x:f>
        <x:v>0</x:v>
      </x:c>
      <x:c r="C23" s="34" t="n">
        <x:f>'Inputs'!$C$33*'Assumptions'!$J$5</x:f>
        <x:v>0</x:v>
      </x:c>
      <x:c r="D23" s="34" t="n">
        <x:f>'Inputs'!$C$33*'Assumptions'!$J$5</x:f>
        <x:v>0</x:v>
      </x:c>
      <x:c r="E23" s="34" t="n">
        <x:f>'Inputs'!$C$33*'Assumptions'!$J$5</x:f>
        <x:v>0</x:v>
      </x:c>
      <x:c r="F23" s="34" t="n">
        <x:f>'Inputs'!$C$33*'Assumptions'!$J$5</x:f>
        <x:v>0</x:v>
      </x:c>
      <x:c r="G23" s="34" t="n">
        <x:f>F23*(1+G9)</x:f>
        <x:v>0</x:v>
      </x:c>
      <x:c r="H23" s="34" t="n">
        <x:f>G23*(1+H9)</x:f>
        <x:v>0</x:v>
      </x:c>
      <x:c r="I23" s="34" t="n">
        <x:f>H23*(1+I9)</x:f>
        <x:v>0</x:v>
      </x:c>
      <x:c r="J23" s="34" t="n">
        <x:f>I23*(1+J9)</x:f>
        <x:v>0</x:v>
      </x:c>
      <x:c r="K23" s="34" t="n">
        <x:f>J23*(1+K9)</x:f>
        <x:v>0</x:v>
      </x:c>
    </x:row>
    <x:row r="24" ht="23" customHeight="1">
      <x:c r="A24" s="31" t="str">
        <x:v>Operating income after recurring SBC</x:v>
      </x:c>
      <x:c r="B24" s="40" t="n">
        <x:f>SUM(B20:B23)</x:f>
        <x:v>51.905249999999995</x:v>
      </x:c>
      <x:c r="C24" s="40" t="n">
        <x:f>SUM(C20:C23)</x:f>
        <x:v>53.4624075</x:v>
      </x:c>
      <x:c r="D24" s="40" t="n">
        <x:f>SUM(D20:D23)</x:f>
        <x:v>55.54511694</x:v>
      </x:c>
      <x:c r="E24" s="40" t="n">
        <x:f>SUM(E20:E23)</x:f>
        <x:v>57.2114704482</x:v>
      </x:c>
      <x:c r="F24" s="40" t="n">
        <x:f>SUM(F20:F23)</x:f>
        <x:v>58.927814561646</x:v>
      </x:c>
      <x:c r="G24" s="40" t="n">
        <x:f>SUM(G20:G23)</x:f>
        <x:v>60.63672118393373</x:v>
      </x:c>
      <x:c r="H24" s="40" t="n">
        <x:f>SUM(H20:H23)</x:f>
        <x:v>62.33454937708388</x:v>
      </x:c>
      <x:c r="I24" s="40" t="n">
        <x:f>SUM(I20:I23)</x:f>
        <x:v>64.01758221026515</x:v>
      </x:c>
      <x:c r="J24" s="40" t="n">
        <x:f>SUM(J20:J23)</x:f>
        <x:v>65.68203934773203</x:v>
      </x:c>
      <x:c r="K24" s="40" t="n">
        <x:f>SUM(K20:K23)</x:f>
        <x:v>67.32409033142534</x:v>
      </x:c>
    </x:row>
    <x:row r="25" ht="23" customHeight="1">
      <x:c r="A25" t="str">
        <x:v>Operating margin</x:v>
      </x:c>
      <x:c r="B25" s="22" t="n">
        <x:f>B24/B18</x:f>
        <x:v>0.575</x:v>
      </x:c>
      <x:c r="C25" s="22" t="n">
        <x:f>C24/C18</x:f>
        <x:v>0.575</x:v>
      </x:c>
      <x:c r="D25" s="22" t="n">
        <x:f>D24/D18</x:f>
        <x:v>0.58</x:v>
      </x:c>
      <x:c r="E25" s="22" t="n">
        <x:f>E24/E18</x:f>
        <x:v>0.58</x:v>
      </x:c>
      <x:c r="F25" s="22" t="n">
        <x:f>F24/F18</x:f>
        <x:v>0.58</x:v>
      </x:c>
      <x:c r="G25" s="22" t="n">
        <x:f>G24/G18</x:f>
        <x:v>0.58</x:v>
      </x:c>
      <x:c r="H25" s="22" t="n">
        <x:f>H24/H18</x:f>
        <x:v>0.58</x:v>
      </x:c>
      <x:c r="I25" s="22" t="n">
        <x:f>I24/I18</x:f>
        <x:v>0.58</x:v>
      </x:c>
      <x:c r="J25" s="22" t="n">
        <x:f>J24/J18</x:f>
        <x:v>0.58</x:v>
      </x:c>
      <x:c r="K25" s="22" t="n">
        <x:f>K24/K18</x:f>
        <x:v>0.58</x:v>
      </x:c>
    </x:row>
    <x:row r="26" ht="23" customHeight="1">
      <x:c r="A26" t="str">
        <x:v>After-tax operating profit</x:v>
      </x:c>
      <x:c r="B26" s="34" t="n">
        <x:f>B24*(1-'Assumptions'!$F$5)</x:f>
        <x:v>38.928937499999996</x:v>
      </x:c>
      <x:c r="C26" s="34" t="n">
        <x:f>C24*(1-'Assumptions'!$F$5)</x:f>
        <x:v>40.096805625</x:v>
      </x:c>
      <x:c r="D26" s="34" t="n">
        <x:f>D24*(1-'Assumptions'!$F$5)</x:f>
        <x:v>41.658837704999996</x:v>
      </x:c>
      <x:c r="E26" s="34" t="n">
        <x:f>E24*(1-'Assumptions'!$F$5)</x:f>
        <x:v>42.908602836149996</x:v>
      </x:c>
      <x:c r="F26" s="34" t="n">
        <x:f>F24*(1-'Assumptions'!$F$5)</x:f>
        <x:v>44.1958609212345</x:v>
      </x:c>
      <x:c r="G26" s="34" t="n">
        <x:f>G24*(1-'Assumptions'!$F$5)</x:f>
        <x:v>45.4775408879503</x:v>
      </x:c>
      <x:c r="H26" s="34" t="n">
        <x:f>H24*(1-'Assumptions'!$F$5)</x:f>
        <x:v>46.75091203281291</x:v>
      </x:c>
      <x:c r="I26" s="34" t="n">
        <x:f>I24*(1-'Assumptions'!$F$5)</x:f>
        <x:v>48.01318665769886</x:v>
      </x:c>
      <x:c r="J26" s="34" t="n">
        <x:f>J24*(1-'Assumptions'!$F$5)</x:f>
        <x:v>49.26152951079902</x:v>
      </x:c>
      <x:c r="K26" s="34" t="n">
        <x:f>K24*(1-'Assumptions'!$F$5)</x:f>
        <x:v>50.493067748569004</x:v>
      </x:c>
    </x:row>
    <x:row r="27" ht="23" customHeight="1">
      <x:c r="A27" t="str">
        <x:v>Add: depreciation &amp; amortization</x:v>
      </x:c>
      <x:c r="B27" s="34" t="n">
        <x:f>B18*'Assumptions'!$G$5</x:f>
        <x:v>0.72216</x:v>
      </x:c>
      <x:c r="C27" s="34" t="n">
        <x:f>C18*'Assumptions'!$G$5</x:f>
        <x:v>0.7438248</x:v>
      </x:c>
      <x:c r="D27" s="34" t="n">
        <x:f>D18*'Assumptions'!$G$5</x:f>
        <x:v>0.7661395440000001</x:v>
      </x:c>
      <x:c r="E27" s="34" t="n">
        <x:f>E18*'Assumptions'!$G$5</x:f>
        <x:v>0.78912373032</x:v>
      </x:c>
      <x:c r="F27" s="34" t="n">
        <x:f>F18*'Assumptions'!$G$5</x:f>
        <x:v>0.8127974422296</x:v>
      </x:c>
      <x:c r="G27" s="34" t="n">
        <x:f>G18*'Assumptions'!$G$5</x:f>
        <x:v>0.8363685680542584</x:v>
      </x:c>
      <x:c r="H27" s="34" t="n">
        <x:f>H18*'Assumptions'!$G$5</x:f>
        <x:v>0.8597868879597778</x:v>
      </x:c>
      <x:c r="I27" s="34" t="n">
        <x:f>I18*'Assumptions'!$G$5</x:f>
        <x:v>0.8830011339346917</x:v>
      </x:c>
      <x:c r="J27" s="34" t="n">
        <x:f>J18*'Assumptions'!$G$5</x:f>
        <x:v>0.9059591634169937</x:v>
      </x:c>
      <x:c r="K27" s="34" t="n">
        <x:f>K18*'Assumptions'!$G$5</x:f>
        <x:v>0.9286081425024184</x:v>
      </x:c>
    </x:row>
    <x:row r="28" ht="23" customHeight="1">
      <x:c r="A28" t="str">
        <x:v>Less: investment incl. software</x:v>
      </x:c>
      <x:c r="B28" s="34" t="n">
        <x:f>-B18*B14</x:f>
        <x:v>-4.06215</x:v>
      </x:c>
      <x:c r="C28" s="34" t="n">
        <x:f>-C18*C14</x:f>
        <x:v>-3.719124</x:v>
      </x:c>
      <x:c r="D28" s="34" t="n">
        <x:f>-D18*D14</x:f>
        <x:v>-2.87302329</x:v>
      </x:c>
      <x:c r="E28" s="34" t="n">
        <x:f>-E18*E14</x:f>
        <x:v>-2.46601165725</x:v>
      </x:c>
      <x:c r="F28" s="34" t="n">
        <x:f>-F18*F14</x:f>
        <x:v>-2.5399920069675</x:v>
      </x:c>
      <x:c r="G28" s="34" t="n">
        <x:f>-G18*G14</x:f>
        <x:v>-2.613651775169558</x:v>
      </x:c>
      <x:c r="H28" s="34" t="n">
        <x:f>-H18*H14</x:f>
        <x:v>-2.6868340248743054</x:v>
      </x:c>
      <x:c r="I28" s="34" t="n">
        <x:f>-I18*I14</x:f>
        <x:v>-2.7593785435459117</x:v>
      </x:c>
      <x:c r="J28" s="34" t="n">
        <x:f>-J18*J14</x:f>
        <x:v>-2.831122385678105</x:v>
      </x:c>
      <x:c r="K28" s="34" t="n">
        <x:f>-K18*K14</x:f>
        <x:v>-2.9019004453200576</x:v>
      </x:c>
    </x:row>
    <x:row r="29" ht="23" customHeight="1">
      <x:c r="A29" t="str">
        <x:v>Less: incremental working capital</x:v>
      </x:c>
      <x:c r="B29" s="34" t="n">
        <x:f>-(B18-'Inputs'!$C$14)*'Assumptions'!$H$5</x:f>
        <x:v>-0.035399999999999925</x:v>
      </x:c>
      <x:c r="C29" s="34" t="n">
        <x:f>-(C18-B18)*'Assumptions'!$H$5</x:f>
        <x:v>-0.054162000000000037</x:v>
      </x:c>
      <x:c r="D29" s="34" t="n">
        <x:f>-(D18-C18)*'Assumptions'!$H$5</x:f>
        <x:v>-0.05578686000000005</x:v>
      </x:c>
      <x:c r="E29" s="34" t="n">
        <x:f>-(E18-D18)*'Assumptions'!$H$5</x:f>
        <x:v>-0.057460465800000124</x:v>
      </x:c>
      <x:c r="F29" s="34" t="n">
        <x:f>-(F18-E18)*'Assumptions'!$H$5</x:f>
        <x:v>-0.059184279774</x:v>
      </x:c>
      <x:c r="G29" s="34" t="n">
        <x:f>-(G18-F18)*'Assumptions'!$H$5</x:f>
        <x:v>-0.05892781456164585</x:v>
      </x:c>
      <x:c r="H29" s="34" t="n">
        <x:f>-(H18-G18)*'Assumptions'!$H$5</x:f>
        <x:v>-0.05854579976379824</x:v>
      </x:c>
      <x:c r="I29" s="34" t="n">
        <x:f>-(I18-H18)*'Assumptions'!$H$5</x:f>
        <x:v>-0.05803561493728495</x:v>
      </x:c>
      <x:c r="J29" s="34" t="n">
        <x:f>-(J18-I18)*'Assumptions'!$H$5</x:f>
        <x:v>-0.05739507370575495</x:v>
      </x:c>
      <x:c r="K29" s="34" t="n">
        <x:f>-(K18-J18)*'Assumptions'!$H$5</x:f>
        <x:v>-0.056622447713562</x:v>
      </x:c>
    </x:row>
    <x:row r="30" ht="23" customHeight="1">
      <x:c r="A30" t="str">
        <x:v>Less: specified cash shock</x:v>
      </x:c>
      <x:c r="B30" s="34" t="n">
        <x:f>-'Assumptions'!$I$5</x:f>
        <x:v>0</x:v>
      </x:c>
      <x:c r="C30" s="34" t="n">
        <x:f>0</x:f>
        <x:v>0</x:v>
      </x:c>
      <x:c r="D30" s="34" t="n">
        <x:f>0</x:f>
        <x:v>0</x:v>
      </x:c>
      <x:c r="E30" s="34" t="n">
        <x:f>0</x:f>
        <x:v>0</x:v>
      </x:c>
      <x:c r="F30" s="34" t="n">
        <x:f>0</x:f>
        <x:v>0</x:v>
      </x:c>
      <x:c r="G30" s="34" t="n">
        <x:f>0</x:f>
        <x:v>0</x:v>
      </x:c>
      <x:c r="H30" s="34" t="n">
        <x:f>0</x:f>
        <x:v>0</x:v>
      </x:c>
      <x:c r="I30" s="34" t="n">
        <x:f>0</x:f>
        <x:v>0</x:v>
      </x:c>
      <x:c r="J30" s="34" t="n">
        <x:f>0</x:f>
        <x:v>0</x:v>
      </x:c>
      <x:c r="K30" s="34" t="n">
        <x:f>0</x:f>
        <x:v>0</x:v>
      </x:c>
    </x:row>
    <x:row r="31" ht="23" customHeight="1">
      <x:c r="A31" s="31" t="str">
        <x:v>Owner-economic unlevered cash flow</x:v>
      </x:c>
      <x:c r="B31" s="40" t="n">
        <x:f>SUM(B26:B30)</x:f>
        <x:v>35.55354749999999</x:v>
      </x:c>
      <x:c r="C31" s="40" t="n">
        <x:f>SUM(C26:C30)</x:f>
        <x:v>37.067344425</x:v>
      </x:c>
      <x:c r="D31" s="40" t="n">
        <x:f>SUM(D26:D30)</x:f>
        <x:v>39.496167099</x:v>
      </x:c>
      <x:c r="E31" s="40" t="n">
        <x:f>SUM(E26:E30)</x:f>
        <x:v>41.17425444342</x:v>
      </x:c>
      <x:c r="F31" s="40" t="n">
        <x:f>SUM(F26:F30)</x:f>
        <x:v>42.4094820767226</x:v>
      </x:c>
      <x:c r="G31" s="40" t="n">
        <x:f>SUM(G26:G30)</x:f>
        <x:v>43.64132986627335</x:v>
      </x:c>
      <x:c r="H31" s="40" t="n">
        <x:f>SUM(H26:H30)</x:f>
        <x:v>44.865319096134584</x:v>
      </x:c>
      <x:c r="I31" s="40" t="n">
        <x:f>SUM(I26:I30)</x:f>
        <x:v>46.078773633150355</x:v>
      </x:c>
      <x:c r="J31" s="40" t="n">
        <x:f>SUM(J26:J30)</x:f>
        <x:v>47.278971214832154</x:v>
      </x:c>
      <x:c r="K31" s="40" t="n">
        <x:f>SUM(K26:K30)</x:f>
        <x:v>48.4631529980378</x:v>
      </x:c>
    </x:row>
    <x:row r="32" ht="23" customHeight="1">
      <x:c r="A32" t="str">
        <x:v>Discount factor</x:v>
      </x:c>
      <x:c r="B32" s="22" t="n">
        <x:f>1/(1+'Assumptions'!$C$5)^B$8</x:f>
        <x:v>0.9090909090909091</x:v>
      </x:c>
      <x:c r="C32" s="22" t="n">
        <x:f>1/(1+'Assumptions'!$C$5)^C$8</x:f>
        <x:v>0.8264462809917354</x:v>
      </x:c>
      <x:c r="D32" s="22" t="n">
        <x:f>1/(1+'Assumptions'!$C$5)^D$8</x:f>
        <x:v>0.7513148009015775</x:v>
      </x:c>
      <x:c r="E32" s="22" t="n">
        <x:f>1/(1+'Assumptions'!$C$5)^E$8</x:f>
        <x:v>0.6830134553650705</x:v>
      </x:c>
      <x:c r="F32" s="22" t="n">
        <x:f>1/(1+'Assumptions'!$C$5)^F$8</x:f>
        <x:v>0.6209213230591549</x:v>
      </x:c>
      <x:c r="G32" s="22" t="n">
        <x:f>1/(1+'Assumptions'!$C$5)^G$8</x:f>
        <x:v>0.5644739300537772</x:v>
      </x:c>
      <x:c r="H32" s="22" t="n">
        <x:f>1/(1+'Assumptions'!$C$5)^H$8</x:f>
        <x:v>0.5131581182307065</x:v>
      </x:c>
      <x:c r="I32" s="22" t="n">
        <x:f>1/(1+'Assumptions'!$C$5)^I$8</x:f>
        <x:v>0.46650738020973315</x:v>
      </x:c>
      <x:c r="J32" s="22" t="n">
        <x:f>1/(1+'Assumptions'!$C$5)^J$8</x:f>
        <x:v>0.42409761837248466</x:v>
      </x:c>
      <x:c r="K32" s="22" t="n">
        <x:f>1/(1+'Assumptions'!$C$5)^K$8</x:f>
        <x:v>0.3855432894295315</x:v>
      </x:c>
    </x:row>
    <x:row r="33" ht="23" customHeight="1">
      <x:c r="A33" s="31" t="str">
        <x:v>Present value</x:v>
      </x:c>
      <x:c r="B33" s="40" t="n">
        <x:f>B31*B32</x:f>
        <x:v>32.32140681818181</x:v>
      </x:c>
      <x:c r="C33" s="40" t="n">
        <x:f>C31*C32</x:f>
        <x:v>30.63416894628099</x:v>
      </x:c>
      <x:c r="D33" s="40" t="n">
        <x:f>D31*D32</x:f>
        <x:v>29.67405492036062</x:v>
      </x:c>
      <x:c r="E33" s="40" t="n">
        <x:f>E31*E32</x:f>
        <x:v>28.1225697994809</x:v>
      </x:c>
      <x:c r="F33" s="40" t="n">
        <x:f>F31*F32</x:f>
        <x:v>26.332951721332112</x:v>
      </x:c>
      <x:c r="G33" s="40" t="n">
        <x:f>G31*G32</x:f>
        <x:v>24.634392982388604</x:v>
      </x:c>
      <x:c r="H33" s="40" t="n">
        <x:f>H31*H32</x:f>
        <x:v>23.023002721192604</x:v>
      </x:c>
      <x:c r="I33" s="40" t="n">
        <x:f>I31*I32</x:f>
        <x:v>21.4960879708783</x:v>
      </x:c>
      <x:c r="J33" s="40" t="n">
        <x:f>J31*J32</x:f>
        <x:v>20.050899091311575</x:v>
      </x:c>
      <x:c r="K33" s="40" t="n">
        <x:f>K31*K32</x:f>
        <x:v>18.684643422990153</x:v>
      </x:c>
    </x:row>
    <x:row r="34" ht="23" customHeight="1">
      <x:c r="A34" t="str">
        <x:v>Discount factor at 12%</x:v>
      </x:c>
      <x:c r="B34" s="22" t="n">
        <x:f>1/(1+'Controls'!$B$3)^B$8</x:f>
        <x:v>0.8928571428571428</x:v>
      </x:c>
      <x:c r="C34" s="22" t="n">
        <x:f>1/(1+'Controls'!$B$3)^C$8</x:f>
        <x:v>0.7971938775510203</x:v>
      </x:c>
      <x:c r="D34" s="22" t="n">
        <x:f>1/(1+'Controls'!$B$3)^D$8</x:f>
        <x:v>0.7117802478134109</x:v>
      </x:c>
      <x:c r="E34" s="22" t="n">
        <x:f>1/(1+'Controls'!$B$3)^E$8</x:f>
        <x:v>0.6355180784048312</x:v>
      </x:c>
      <x:c r="F34" s="22" t="n">
        <x:f>1/(1+'Controls'!$B$3)^F$8</x:f>
        <x:v>0.5674268557185992</x:v>
      </x:c>
      <x:c r="G34" s="22" t="n">
        <x:f>1/(1+'Controls'!$B$3)^G$8</x:f>
        <x:v>0.5066311211773207</x:v>
      </x:c>
      <x:c r="H34" s="22" t="n">
        <x:f>1/(1+'Controls'!$B$3)^H$8</x:f>
        <x:v>0.45234921533689343</x:v>
      </x:c>
      <x:c r="I34" s="22" t="n">
        <x:f>1/(1+'Controls'!$B$3)^I$8</x:f>
        <x:v>0.4038832279793691</x:v>
      </x:c>
      <x:c r="J34" s="22" t="n">
        <x:f>1/(1+'Controls'!$B$3)^J$8</x:f>
        <x:v>0.36061002498157957</x:v>
      </x:c>
      <x:c r="K34" s="22" t="n">
        <x:f>1/(1+'Controls'!$B$3)^K$8</x:f>
        <x:v>0.321973236590696</x:v>
      </x:c>
    </x:row>
    <x:row r="36" ht="25" customHeight="1">
      <x:c r="A36" t="str">
        <x:v>Year 11 after-tax operating profit</x:v>
      </x:c>
      <x:c r="B36" s="34" t="n">
        <x:f>K26*(1+'Assumptions'!$D$5)</x:f>
        <x:v>51.755394442283226</x:v>
      </x:c>
    </x:row>
    <x:row r="37" ht="25" customHeight="1">
      <x:c r="A37" t="str">
        <x:v>Less: terminal reinvestment</x:v>
      </x:c>
      <x:c r="B37" s="34" t="n">
        <x:f>-B36*'Assumptions'!$D$5/'Assumptions'!$E$5</x:f>
        <x:v>-5.175539444228323</x:v>
      </x:c>
      <x:c r="D37" s="24" t="str">
        <x:v>This is an operating scenario, not a statistical confidence interval. Terminal growth requires reinvestment. Latest-quarter capital structure is not a complete September roll-forward. See company decision notes for remaining unknowns. MOD scenarios assume the transaction closes; WINA core revenue excludes offsetting fee programs.</x:v>
      </x:c>
      <x:c r="E37" s="24"/>
      <x:c r="F37" s="24"/>
      <x:c r="G37" s="24"/>
      <x:c r="H37" s="24"/>
      <x:c r="I37" s="24"/>
      <x:c r="J37" s="24"/>
      <x:c r="K37" s="24"/>
    </x:row>
    <x:row r="38" ht="25" customHeight="1">
      <x:c r="A38" t="str">
        <x:v>Terminal cash flow</x:v>
      </x:c>
      <x:c r="B38" s="34" t="n">
        <x:f>SUM(B36:B37)</x:f>
        <x:v>46.579854998054905</x:v>
      </x:c>
      <x:c r="D38" s="24"/>
      <x:c r="E38" s="24"/>
      <x:c r="F38" s="24"/>
      <x:c r="G38" s="24"/>
      <x:c r="H38" s="24"/>
      <x:c r="I38" s="24"/>
      <x:c r="J38" s="24"/>
      <x:c r="K38" s="24"/>
    </x:row>
    <x:row r="39" ht="25" customHeight="1">
      <x:c r="A39" t="str">
        <x:v>Terminal operating value</x:v>
      </x:c>
      <x:c r="B39" s="34" t="n">
        <x:f>B38/('Assumptions'!$C$5-'Assumptions'!$D$5)</x:f>
        <x:v>621.0647333073987</x:v>
      </x:c>
      <x:c r="D39" s="24"/>
      <x:c r="E39" s="24"/>
      <x:c r="F39" s="24"/>
      <x:c r="G39" s="24"/>
      <x:c r="H39" s="24"/>
      <x:c r="I39" s="24"/>
      <x:c r="J39" s="24"/>
      <x:c r="K39" s="24"/>
    </x:row>
    <x:row r="40" ht="25" customHeight="1">
      <x:c r="A40" t="str">
        <x:v>PV terminal value</x:v>
      </x:c>
      <x:c r="B40" s="34" t="n">
        <x:f>B39*K32</x:f>
        <x:v>239.44734022800918</x:v>
      </x:c>
      <x:c r="D40" s="24"/>
      <x:c r="E40" s="24"/>
      <x:c r="F40" s="24"/>
      <x:c r="G40" s="24"/>
      <x:c r="H40" s="24"/>
      <x:c r="I40" s="24"/>
      <x:c r="J40" s="24"/>
      <x:c r="K40" s="24"/>
    </x:row>
    <x:row r="41" ht="25" customHeight="1">
      <x:c r="A41" t="str">
        <x:v>PV explicit forecast</x:v>
      </x:c>
      <x:c r="B41" s="34" t="n">
        <x:f>SUM(B33:K33)</x:f>
        <x:v>254.97417839439768</x:v>
      </x:c>
      <x:c r="D41" s="24"/>
      <x:c r="E41" s="24"/>
      <x:c r="F41" s="24"/>
      <x:c r="G41" s="24"/>
      <x:c r="H41" s="24"/>
      <x:c r="I41" s="24"/>
      <x:c r="J41" s="24"/>
      <x:c r="K41" s="24"/>
    </x:row>
    <x:row r="42" ht="25" customHeight="1">
      <x:c r="A42" s="84" t="str">
        <x:v>Operating enterprise value</x:v>
      </x:c>
      <x:c r="B42" s="85" t="n">
        <x:f>SUM(B40:B41)</x:f>
        <x:v>494.4215186224069</x:v>
      </x:c>
      <x:c r="D42" s="24"/>
      <x:c r="E42" s="24"/>
      <x:c r="F42" s="24"/>
      <x:c r="G42" s="24"/>
      <x:c r="H42" s="24"/>
      <x:c r="I42" s="24"/>
      <x:c r="J42" s="24"/>
      <x:c r="K42" s="24"/>
    </x:row>
    <x:row r="43" ht="25" customHeight="1">
      <x:c r="A43" t="str">
        <x:v>Cash / claims / transaction bridge</x:v>
      </x:c>
      <x:c r="B43" s="34" t="n">
        <x:f>'Inputs'!$C$6-'Inputs'!$C$7-'Inputs'!$C$9-'Inputs'!$C$10-'Inputs'!$C$11+'Inputs'!$C$12*'Inputs'!$C$13</x:f>
        <x:v>-42.825500000000005</x:v>
      </x:c>
      <x:c r="D43" s="24"/>
      <x:c r="E43" s="24"/>
      <x:c r="F43" s="24"/>
      <x:c r="G43" s="24"/>
      <x:c r="H43" s="24"/>
      <x:c r="I43" s="24"/>
      <x:c r="J43" s="24"/>
      <x:c r="K43" s="24"/>
    </x:row>
    <x:row r="44" ht="25" customHeight="1">
      <x:c r="A44" s="84" t="str">
        <x:v>Common equity value</x:v>
      </x:c>
      <x:c r="B44" s="85" t="n">
        <x:f>SUM(B42:B43)</x:f>
        <x:v>451.59601862240686</x:v>
      </x:c>
      <x:c r="D44" s="24"/>
      <x:c r="E44" s="24"/>
      <x:c r="F44" s="24"/>
      <x:c r="G44" s="24"/>
      <x:c r="H44" s="24"/>
      <x:c r="I44" s="24"/>
      <x:c r="J44" s="24"/>
      <x:c r="K44" s="24"/>
    </x:row>
    <x:row r="45" ht="25" customHeight="1">
      <x:c r="A45" t="str">
        <x:v>Value / share: debt endpoint</x:v>
      </x:c>
      <x:c r="B45" s="42" t="n">
        <x:f>B44/'Inputs'!$C$8</x:f>
        <x:v>122.00298975403777</x:v>
      </x:c>
    </x:row>
    <x:row r="46" ht="25" customHeight="1">
      <x:c r="A46" t="str">
        <x:v>Value / share: if-converted endpoint</x:v>
      </x:c>
      <x:c r="B46" s="42" t="n">
        <x:f>B45</x:f>
        <x:v>122.00298975403777</x:v>
      </x:c>
    </x:row>
    <x:row r="47" ht="25" customHeight="1">
      <x:c r="A47" s="88" t="str">
        <x:v>Conditional intrinsic value / share</x:v>
      </x:c>
      <x:c r="B47" s="89" t="n">
        <x:f>B45</x:f>
        <x:v>122.00298975403777</x:v>
      </x:c>
    </x:row>
    <x:row r="48" ht="25" customHeight="1">
      <x:c r="A48" t="str">
        <x:v>Value versus quote</x:v>
      </x:c>
      <x:c r="B48" s="22" t="n">
        <x:f>B47/'Inputs'!$C$5-1</x:f>
        <x:v>-0.616547789690927</x:v>
      </x:c>
    </x:row>
    <x:row r="49" ht="25" customHeight="1">
      <x:c r="A49" t="str">
        <x:v>Terminal share of operating EV</x:v>
      </x:c>
      <x:c r="B49" s="22" t="n">
        <x:f>B40/B42</x:f>
        <x:v>0.484297974924665</x:v>
      </x:c>
    </x:row>
    <x:row r="50" ht="25" customHeight="1">
      <x:c r="A50" t="str">
        <x:v>Value at 12% enterprise discount</x:v>
      </x:c>
      <x:c r="B50" s="42" t="n">
        <x:f>(SUMPRODUCT(B31:K31,B34:K34)+B38/('Controls'!$B$3-'Assumptions'!$D$5)*K34+B43)/'Inputs'!$C$8</x:f>
        <x:v>94.10979816905609</x:v>
      </x:c>
    </x:row>
    <x:row r="51" ht="25" customHeight="1">
      <x:c r="A51" t="str">
        <x:v>Price-implied operating EV</x:v>
      </x:c>
      <x:c r="B51" s="34" t="n">
        <x:f>'Inputs'!$C$5*'Inputs'!$C$8-B43</x:f>
        <x:v>1220.53684572</x:v>
      </x:c>
    </x:row>
    <x:row r="55" ht="29" customHeight="1">
      <x:c r="A55" s="27" t="str">
        <x:v>BASE | conditional operating path, not probability band</x:v>
      </x:c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</x:row>
    <x:row r="57">
      <x:c r="A57" t="str">
        <x:v>Discount rate</x:v>
      </x:c>
      <x:c r="B57" s="22" t="n">
        <x:f>'Assumptions'!$C$6</x:f>
        <x:v>0.1</x:v>
      </x:c>
      <x:c r="C57" t="str">
        <x:v>Terminal growth</x:v>
      </x:c>
      <x:c r="D57" s="22" t="n">
        <x:f>'Assumptions'!$D$6</x:f>
        <x:v>0.025</x:v>
      </x:c>
      <x:c r="E57" t="str">
        <x:v>Tax</x:v>
      </x:c>
      <x:c r="F57" s="22" t="n">
        <x:f>'Assumptions'!$F$6</x:f>
        <x:v>0.24</x:v>
      </x:c>
      <x:c r="G57" t="str">
        <x:v>Terminal ROIC</x:v>
      </x:c>
      <x:c r="H57" s="22" t="n">
        <x:f>'Assumptions'!$E$6</x:f>
        <x:v>0.35</x:v>
      </x:c>
      <x:c r="I57"/>
      <x:c r="J57"/>
      <x:c r="K57"/>
    </x:row>
    <x:row r="59" ht="24" customHeight="1">
      <x:c r="A59" s="31" t="str">
        <x:v>Economic year</x:v>
      </x:c>
      <x:c r="B59" s="31" t="n">
        <x:v>1</x:v>
      </x:c>
      <x:c r="C59" s="31" t="n">
        <x:v>2</x:v>
      </x:c>
      <x:c r="D59" s="31" t="n">
        <x:v>3</x:v>
      </x:c>
      <x:c r="E59" s="31" t="n">
        <x:v>4</x:v>
      </x:c>
      <x:c r="F59" s="31" t="n">
        <x:v>5</x:v>
      </x:c>
      <x:c r="G59" s="31" t="n">
        <x:v>6</x:v>
      </x:c>
      <x:c r="H59" s="31" t="n">
        <x:v>7</x:v>
      </x:c>
      <x:c r="I59" s="31" t="n">
        <x:v>8</x:v>
      </x:c>
      <x:c r="J59" s="31" t="n">
        <x:v>9</x:v>
      </x:c>
      <x:c r="K59" s="31" t="n">
        <x:v>10</x:v>
      </x:c>
    </x:row>
    <x:row r="60" ht="23" customHeight="1">
      <x:c r="A60" t="str">
        <x:v>Primary revenue growth</x:v>
      </x:c>
      <x:c r="B60" s="36" t="n">
        <x:f>'Assumptions'!$O$6</x:f>
        <x:v>0.065</x:v>
      </x:c>
      <x:c r="C60" s="36" t="n">
        <x:f>'Assumptions'!$P$6</x:f>
        <x:v>0.065</x:v>
      </x:c>
      <x:c r="D60" s="36" t="n">
        <x:f>'Assumptions'!$Q$6</x:f>
        <x:v>0.06</x:v>
      </x:c>
      <x:c r="E60" s="36" t="n">
        <x:f>'Assumptions'!$R$6</x:f>
        <x:v>0.06</x:v>
      </x:c>
      <x:c r="F60" s="36" t="n">
        <x:f>'Assumptions'!$S$6</x:f>
        <x:v>0.055</x:v>
      </x:c>
      <x:c r="G60" s="22" t="n">
        <x:f>$F$70+('Assumptions'!$D$6-$F$70)*(G$59-$F$59)/($K$59-$F$59)</x:f>
        <x:v>0.04899999999999995</x:v>
      </x:c>
      <x:c r="H60" s="22" t="n">
        <x:f>$F$70+('Assumptions'!$D$6-$F$70)*(H$59-$F$59)/($K$59-$F$59)</x:f>
        <x:v>0.04299999999999996</x:v>
      </x:c>
      <x:c r="I60" s="22" t="n">
        <x:f>$F$70+('Assumptions'!$D$6-$F$70)*(I$59-$F$59)/($K$59-$F$59)</x:f>
        <x:v>0.03699999999999998</x:v>
      </x:c>
      <x:c r="J60" s="22" t="n">
        <x:f>$F$70+('Assumptions'!$D$6-$F$70)*(J$59-$F$59)/($K$59-$F$59)</x:f>
        <x:v>0.03099999999999999</x:v>
      </x:c>
      <x:c r="K60" s="22" t="n">
        <x:f>$F$70+('Assumptions'!$D$6-$F$70)*(K$59-$F$59)/($K$59-$F$59)</x:f>
        <x:v>0.025</x:v>
      </x:c>
    </x:row>
    <x:row r="61" ht="23" customHeight="1">
      <x:c r="A61" t="str">
        <x:v>Secondary revenue growth</x:v>
      </x:c>
      <x:c r="B61" s="36" t="n">
        <x:f>'Assumptions'!$T$6</x:f>
        <x:v>0</x:v>
      </x:c>
      <x:c r="C61" s="36" t="n">
        <x:f>'Assumptions'!$U$6</x:f>
        <x:v>0</x:v>
      </x:c>
      <x:c r="D61" s="36" t="n">
        <x:f>'Assumptions'!$V$6</x:f>
        <x:v>0</x:v>
      </x:c>
      <x:c r="E61" s="36" t="n">
        <x:f>'Assumptions'!$W$6</x:f>
        <x:v>0</x:v>
      </x:c>
      <x:c r="F61" s="36" t="n">
        <x:f>'Assumptions'!$X$6</x:f>
        <x:v>0</x:v>
      </x:c>
      <x:c r="G61" s="22" t="n">
        <x:f>$F$70+('Assumptions'!$D$6-$F$70)*(G$59-$F$59)/($K$59-$F$59)</x:f>
        <x:v>0.04899999999999995</x:v>
      </x:c>
      <x:c r="H61" s="22" t="n">
        <x:f>$F$70+('Assumptions'!$D$6-$F$70)*(H$59-$F$59)/($K$59-$F$59)</x:f>
        <x:v>0.04299999999999996</x:v>
      </x:c>
      <x:c r="I61" s="22" t="n">
        <x:f>$F$70+('Assumptions'!$D$6-$F$70)*(I$59-$F$59)/($K$59-$F$59)</x:f>
        <x:v>0.03699999999999998</x:v>
      </x:c>
      <x:c r="J61" s="22" t="n">
        <x:f>$F$70+('Assumptions'!$D$6-$F$70)*(J$59-$F$59)/($K$59-$F$59)</x:f>
        <x:v>0.03099999999999999</x:v>
      </x:c>
      <x:c r="K61" s="22" t="n">
        <x:f>$F$70+('Assumptions'!$D$6-$F$70)*(K$59-$F$59)/($K$59-$F$59)</x:f>
        <x:v>0.025</x:v>
      </x:c>
    </x:row>
    <x:row r="62" ht="23" customHeight="1">
      <x:c r="A62" t="str">
        <x:v>Primary margin</x:v>
      </x:c>
      <x:c r="B62" s="36" t="n">
        <x:f>'Assumptions'!$Y$6</x:f>
        <x:v>0.61</x:v>
      </x:c>
      <x:c r="C62" s="36" t="n">
        <x:f>'Assumptions'!$Z$6</x:f>
        <x:v>0.615</x:v>
      </x:c>
      <x:c r="D62" s="36" t="n">
        <x:f>'Assumptions'!$AA$6</x:f>
        <x:v>0.62</x:v>
      </x:c>
      <x:c r="E62" s="36" t="n">
        <x:f>'Assumptions'!$AB$6</x:f>
        <x:v>0.625</x:v>
      </x:c>
      <x:c r="F62" s="36" t="n">
        <x:f>'Assumptions'!$AC$6</x:f>
        <x:v>0.63</x:v>
      </x:c>
      <x:c r="G62" s="22" t="n">
        <x:f>$F$62</x:f>
        <x:v>0.63</x:v>
      </x:c>
      <x:c r="H62" s="22" t="n">
        <x:f>$F$62</x:f>
        <x:v>0.63</x:v>
      </x:c>
      <x:c r="I62" s="22" t="n">
        <x:f>$F$62</x:f>
        <x:v>0.63</x:v>
      </x:c>
      <x:c r="J62" s="22" t="n">
        <x:f>$F$62</x:f>
        <x:v>0.63</x:v>
      </x:c>
      <x:c r="K62" s="22" t="n">
        <x:f>$F$62</x:f>
        <x:v>0.63</x:v>
      </x:c>
    </x:row>
    <x:row r="63" ht="23" customHeight="1">
      <x:c r="A63" t="str">
        <x:v>Secondary margin</x:v>
      </x:c>
      <x:c r="B63" s="36" t="n">
        <x:f>'Assumptions'!$AD$6</x:f>
        <x:v>0</x:v>
      </x:c>
      <x:c r="C63" s="36" t="n">
        <x:f>'Assumptions'!$AE$6</x:f>
        <x:v>0</x:v>
      </x:c>
      <x:c r="D63" s="36" t="n">
        <x:f>'Assumptions'!$AF$6</x:f>
        <x:v>0</x:v>
      </x:c>
      <x:c r="E63" s="36" t="n">
        <x:f>'Assumptions'!$AG$6</x:f>
        <x:v>0</x:v>
      </x:c>
      <x:c r="F63" s="36" t="n">
        <x:f>'Assumptions'!$AH$6</x:f>
        <x:v>0</x:v>
      </x:c>
      <x:c r="G63" s="22" t="n">
        <x:f>$F$63</x:f>
        <x:v>0</x:v>
      </x:c>
      <x:c r="H63" s="22" t="n">
        <x:f>$F$63</x:f>
        <x:v>0</x:v>
      </x:c>
      <x:c r="I63" s="22" t="n">
        <x:f>$F$63</x:f>
        <x:v>0</x:v>
      </x:c>
      <x:c r="J63" s="22" t="n">
        <x:f>$F$63</x:f>
        <x:v>0</x:v>
      </x:c>
      <x:c r="K63" s="22" t="n">
        <x:f>$F$63</x:f>
        <x:v>0</x:v>
      </x:c>
    </x:row>
    <x:row r="64" ht="23" customHeight="1">
      <x:c r="A64" t="str">
        <x:v>Overhead growth</x:v>
      </x:c>
      <x:c r="B64" s="36" t="n">
        <x:f>'Assumptions'!$AI$6</x:f>
        <x:v>0</x:v>
      </x:c>
      <x:c r="C64" s="36" t="n">
        <x:f>'Assumptions'!$AJ$6</x:f>
        <x:v>0</x:v>
      </x:c>
      <x:c r="D64" s="36" t="n">
        <x:f>'Assumptions'!$AK$6</x:f>
        <x:v>0</x:v>
      </x:c>
      <x:c r="E64" s="36" t="n">
        <x:f>'Assumptions'!$AL$6</x:f>
        <x:v>0</x:v>
      </x:c>
      <x:c r="F64" s="36" t="n">
        <x:f>'Assumptions'!$AM$6</x:f>
        <x:v>0</x:v>
      </x:c>
      <x:c r="G64" s="22" t="n">
        <x:f>$F$70+('Assumptions'!$D$6-$F$70)*(G$59-$F$59)/($K$59-$F$59)</x:f>
        <x:v>0.04899999999999995</x:v>
      </x:c>
      <x:c r="H64" s="22" t="n">
        <x:f>$F$70+('Assumptions'!$D$6-$F$70)*(H$59-$F$59)/($K$59-$F$59)</x:f>
        <x:v>0.04299999999999996</x:v>
      </x:c>
      <x:c r="I64" s="22" t="n">
        <x:f>$F$70+('Assumptions'!$D$6-$F$70)*(I$59-$F$59)/($K$59-$F$59)</x:f>
        <x:v>0.03699999999999998</x:v>
      </x:c>
      <x:c r="J64" s="22" t="n">
        <x:f>$F$70+('Assumptions'!$D$6-$F$70)*(J$59-$F$59)/($K$59-$F$59)</x:f>
        <x:v>0.03099999999999999</x:v>
      </x:c>
      <x:c r="K64" s="22" t="n">
        <x:f>$F$70+('Assumptions'!$D$6-$F$70)*(K$59-$F$59)/($K$59-$F$59)</x:f>
        <x:v>0.025</x:v>
      </x:c>
    </x:row>
    <x:row r="65" ht="23" customHeight="1">
      <x:c r="A65" t="str">
        <x:v>Capex / revenue</x:v>
      </x:c>
      <x:c r="B65" s="36" t="n">
        <x:f>'Assumptions'!$AN$6</x:f>
        <x:v>0.035</x:v>
      </x:c>
      <x:c r="C65" s="36" t="n">
        <x:f>'Assumptions'!$AO$6</x:f>
        <x:v>0.03</x:v>
      </x:c>
      <x:c r="D65" s="36" t="n">
        <x:f>'Assumptions'!$AP$6</x:f>
        <x:v>0.025</x:v>
      </x:c>
      <x:c r="E65" s="36" t="n">
        <x:f>'Assumptions'!$AQ$6</x:f>
        <x:v>0.022</x:v>
      </x:c>
      <x:c r="F65" s="36" t="n">
        <x:f>'Assumptions'!$AR$6</x:f>
        <x:v>0.02</x:v>
      </x:c>
      <x:c r="G65" s="22" t="n">
        <x:f>$F$65</x:f>
        <x:v>0.02</x:v>
      </x:c>
      <x:c r="H65" s="22" t="n">
        <x:f>$F$65</x:f>
        <x:v>0.02</x:v>
      </x:c>
      <x:c r="I65" s="22" t="n">
        <x:f>$F$65</x:f>
        <x:v>0.02</x:v>
      </x:c>
      <x:c r="J65" s="22" t="n">
        <x:f>$F$65</x:f>
        <x:v>0.02</x:v>
      </x:c>
      <x:c r="K65" s="22" t="n">
        <x:f>$F$65</x:f>
        <x:v>0.02</x:v>
      </x:c>
    </x:row>
    <x:row r="66" ht="23" customHeight="1"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</x:row>
    <x:row r="67" ht="23" customHeight="1">
      <x:c r="A67" t="str">
        <x:v>Primary revenue</x:v>
      </x:c>
      <x:c r="B67" s="34" t="n">
        <x:f>'Inputs'!$C$14*(1+B60)</x:f>
        <x:v>94.2525</x:v>
      </x:c>
      <x:c r="C67" s="34" t="n">
        <x:f>B67*(1+C60)</x:f>
        <x:v>100.3789125</x:v>
      </x:c>
      <x:c r="D67" s="34" t="n">
        <x:f>C67*(1+D60)</x:f>
        <x:v>106.40164725000001</x:v>
      </x:c>
      <x:c r="E67" s="34" t="n">
        <x:f>D67*(1+E60)</x:f>
        <x:v>112.78574608500001</x:v>
      </x:c>
      <x:c r="F67" s="34" t="n">
        <x:f>E67*(1+F60)</x:f>
        <x:v>118.98896211967501</x:v>
      </x:c>
      <x:c r="G67" s="34" t="n">
        <x:f>F67*(1+G60)</x:f>
        <x:v>124.81942126353907</x:v>
      </x:c>
      <x:c r="H67" s="34" t="n">
        <x:f>G67*(1+H60)</x:f>
        <x:v>130.18665637787123</x:v>
      </x:c>
      <x:c r="I67" s="34" t="n">
        <x:f>H67*(1+I60)</x:f>
        <x:v>135.00356266385245</x:v>
      </x:c>
      <x:c r="J67" s="34" t="n">
        <x:f>I67*(1+J60)</x:f>
        <x:v>139.18867310643185</x:v>
      </x:c>
      <x:c r="K67" s="34" t="n">
        <x:f>J67*(1+K60)</x:f>
        <x:v>142.66838993409263</x:v>
      </x:c>
    </x:row>
    <x:row r="68" ht="23" customHeight="1">
      <x:c r="A68" t="str">
        <x:v>Secondary revenue</x:v>
      </x:c>
      <x:c r="B68" s="34" t="n">
        <x:f>0</x:f>
        <x:v>0</x:v>
      </x:c>
      <x:c r="C68" s="34" t="n">
        <x:f>B68*(1+C61)</x:f>
        <x:v>0</x:v>
      </x:c>
      <x:c r="D68" s="34" t="n">
        <x:f>C68*(1+D61)</x:f>
        <x:v>0</x:v>
      </x:c>
      <x:c r="E68" s="34" t="n">
        <x:f>D68*(1+E61)</x:f>
        <x:v>0</x:v>
      </x:c>
      <x:c r="F68" s="34" t="n">
        <x:f>E68*(1+F61)</x:f>
        <x:v>0</x:v>
      </x:c>
      <x:c r="G68" s="34" t="n">
        <x:f>F68*(1+G61)</x:f>
        <x:v>0</x:v>
      </x:c>
      <x:c r="H68" s="34" t="n">
        <x:f>G68*(1+H61)</x:f>
        <x:v>0</x:v>
      </x:c>
      <x:c r="I68" s="34" t="n">
        <x:f>H68*(1+I61)</x:f>
        <x:v>0</x:v>
      </x:c>
      <x:c r="J68" s="34" t="n">
        <x:f>I68*(1+J61)</x:f>
        <x:v>0</x:v>
      </x:c>
      <x:c r="K68" s="34" t="n">
        <x:f>J68*(1+K61)</x:f>
        <x:v>0</x:v>
      </x:c>
    </x:row>
    <x:row r="69" ht="23" customHeight="1">
      <x:c r="A69" s="31" t="str">
        <x:v>Total economic revenue</x:v>
      </x:c>
      <x:c r="B69" s="40" t="n">
        <x:f>SUM(B67:B68)</x:f>
        <x:v>94.2525</x:v>
      </x:c>
      <x:c r="C69" s="40" t="n">
        <x:f>SUM(C67:C68)</x:f>
        <x:v>100.3789125</x:v>
      </x:c>
      <x:c r="D69" s="40" t="n">
        <x:f>SUM(D67:D68)</x:f>
        <x:v>106.40164725000001</x:v>
      </x:c>
      <x:c r="E69" s="40" t="n">
        <x:f>SUM(E67:E68)</x:f>
        <x:v>112.78574608500001</x:v>
      </x:c>
      <x:c r="F69" s="40" t="n">
        <x:f>SUM(F67:F68)</x:f>
        <x:v>118.98896211967501</x:v>
      </x:c>
      <x:c r="G69" s="40" t="n">
        <x:f>SUM(G67:G68)</x:f>
        <x:v>124.81942126353907</x:v>
      </x:c>
      <x:c r="H69" s="40" t="n">
        <x:f>SUM(H67:H68)</x:f>
        <x:v>130.18665637787123</x:v>
      </x:c>
      <x:c r="I69" s="40" t="n">
        <x:f>SUM(I67:I68)</x:f>
        <x:v>135.00356266385245</x:v>
      </x:c>
      <x:c r="J69" s="40" t="n">
        <x:f>SUM(J67:J68)</x:f>
        <x:v>139.18867310643185</x:v>
      </x:c>
      <x:c r="K69" s="40" t="n">
        <x:f>SUM(K67:K68)</x:f>
        <x:v>142.66838993409263</x:v>
      </x:c>
    </x:row>
    <x:row r="70" ht="23" customHeight="1">
      <x:c r="A70" t="str">
        <x:v>Revenue growth</x:v>
      </x:c>
      <x:c r="B70" s="22" t="n">
        <x:f>B69/'Inputs'!$C$14-1</x:f>
        <x:v>0.06499999999999995</x:v>
      </x:c>
      <x:c r="C70" s="22" t="n">
        <x:f>C69/B69-1</x:f>
        <x:v>0.06499999999999995</x:v>
      </x:c>
      <x:c r="D70" s="22" t="n">
        <x:f>D69/C69-1</x:f>
        <x:v>0.06000000000000005</x:v>
      </x:c>
      <x:c r="E70" s="22" t="n">
        <x:f>E69/D69-1</x:f>
        <x:v>0.06000000000000005</x:v>
      </x:c>
      <x:c r="F70" s="22" t="n">
        <x:f>F69/E69-1</x:f>
        <x:v>0.05499999999999994</x:v>
      </x:c>
      <x:c r="G70" s="22" t="n">
        <x:f>G69/F69-1</x:f>
        <x:v>0.04899999999999993</x:v>
      </x:c>
      <x:c r="H70" s="22" t="n">
        <x:f>H69/G69-1</x:f>
        <x:v>0.04299999999999993</x:v>
      </x:c>
      <x:c r="I70" s="22" t="n">
        <x:f>I69/H69-1</x:f>
        <x:v>0.03699999999999992</x:v>
      </x:c>
      <x:c r="J70" s="22" t="n">
        <x:f>J69/I69-1</x:f>
        <x:v>0.030999999999999917</x:v>
      </x:c>
      <x:c r="K70" s="22" t="n">
        <x:f>K69/J69-1</x:f>
        <x:v>0.02499999999999991</x:v>
      </x:c>
    </x:row>
    <x:row r="71" ht="23" customHeight="1">
      <x:c r="A71" t="str">
        <x:v>Primary profit pool</x:v>
      </x:c>
      <x:c r="B71" s="34" t="n">
        <x:f>B67*B62</x:f>
        <x:v>57.494025</x:v>
      </x:c>
      <x:c r="C71" s="34" t="n">
        <x:f>C67*C62</x:f>
        <x:v>61.733031187499996</x:v>
      </x:c>
      <x:c r="D71" s="34" t="n">
        <x:f>D67*D62</x:f>
        <x:v>65.969021295</x:v>
      </x:c>
      <x:c r="E71" s="34" t="n">
        <x:f>E67*E62</x:f>
        <x:v>70.491091303125</x:v>
      </x:c>
      <x:c r="F71" s="34" t="n">
        <x:f>F67*F62</x:f>
        <x:v>74.96304613539526</x:v>
      </x:c>
      <x:c r="G71" s="34" t="n">
        <x:f>G67*G62</x:f>
        <x:v>78.63623539602962</x:v>
      </x:c>
      <x:c r="H71" s="34" t="n">
        <x:f>H67*H62</x:f>
        <x:v>82.01759351805887</x:v>
      </x:c>
      <x:c r="I71" s="34" t="n">
        <x:f>I67*I62</x:f>
        <x:v>85.05224447822704</x:v>
      </x:c>
      <x:c r="J71" s="34" t="n">
        <x:f>J67*J62</x:f>
        <x:v>87.68886405705207</x:v>
      </x:c>
      <x:c r="K71" s="34" t="n">
        <x:f>K67*K62</x:f>
        <x:v>89.88108565847836</x:v>
      </x:c>
    </x:row>
    <x:row r="72" ht="23" customHeight="1">
      <x:c r="A72" t="str">
        <x:v>Secondary profit pool</x:v>
      </x:c>
      <x:c r="B72" s="34" t="n">
        <x:f>B68*B63</x:f>
        <x:v>0</x:v>
      </x:c>
      <x:c r="C72" s="34" t="n">
        <x:f>C68*C63</x:f>
        <x:v>0</x:v>
      </x:c>
      <x:c r="D72" s="34" t="n">
        <x:f>D68*D63</x:f>
        <x:v>0</x:v>
      </x:c>
      <x:c r="E72" s="34" t="n">
        <x:f>E68*E63</x:f>
        <x:v>0</x:v>
      </x:c>
      <x:c r="F72" s="34" t="n">
        <x:f>F68*F63</x:f>
        <x:v>0</x:v>
      </x:c>
      <x:c r="G72" s="34" t="n">
        <x:f>G68*G63</x:f>
        <x:v>0</x:v>
      </x:c>
      <x:c r="H72" s="34" t="n">
        <x:f>H68*H63</x:f>
        <x:v>0</x:v>
      </x:c>
      <x:c r="I72" s="34" t="n">
        <x:f>I68*I63</x:f>
        <x:v>0</x:v>
      </x:c>
      <x:c r="J72" s="34" t="n">
        <x:f>J68*J63</x:f>
        <x:v>0</x:v>
      </x:c>
      <x:c r="K72" s="34" t="n">
        <x:f>K68*K63</x:f>
        <x:v>0</x:v>
      </x:c>
    </x:row>
    <x:row r="73" ht="23" customHeight="1">
      <x:c r="A73" t="str">
        <x:v>Less: overhead / corporate</x:v>
      </x:c>
      <x:c r="B73" s="34" t="n">
        <x:f>0</x:f>
        <x:v>0</x:v>
      </x:c>
      <x:c r="C73" s="34" t="n">
        <x:f>B73*(1+C64)</x:f>
        <x:v>0</x:v>
      </x:c>
      <x:c r="D73" s="34" t="n">
        <x:f>C73*(1+D64)</x:f>
        <x:v>0</x:v>
      </x:c>
      <x:c r="E73" s="34" t="n">
        <x:f>D73*(1+E64)</x:f>
        <x:v>0</x:v>
      </x:c>
      <x:c r="F73" s="34" t="n">
        <x:f>E73*(1+F64)</x:f>
        <x:v>0</x:v>
      </x:c>
      <x:c r="G73" s="34" t="n">
        <x:f>F73*(1+G64)</x:f>
        <x:v>0</x:v>
      </x:c>
      <x:c r="H73" s="34" t="n">
        <x:f>G73*(1+H64)</x:f>
        <x:v>0</x:v>
      </x:c>
      <x:c r="I73" s="34" t="n">
        <x:f>H73*(1+I64)</x:f>
        <x:v>0</x:v>
      </x:c>
      <x:c r="J73" s="34" t="n">
        <x:f>I73*(1+J64)</x:f>
        <x:v>0</x:v>
      </x:c>
      <x:c r="K73" s="34" t="n">
        <x:f>J73*(1+K64)</x:f>
        <x:v>0</x:v>
      </x:c>
    </x:row>
    <x:row r="74" ht="23" customHeight="1">
      <x:c r="A74" t="str">
        <x:v>Additional fee profit</x:v>
      </x:c>
      <x:c r="B74" s="34" t="n">
        <x:f>'Inputs'!$C$33*'Assumptions'!$J$6</x:f>
        <x:v>0</x:v>
      </x:c>
      <x:c r="C74" s="34" t="n">
        <x:f>'Inputs'!$C$33*'Assumptions'!$J$6</x:f>
        <x:v>0</x:v>
      </x:c>
      <x:c r="D74" s="34" t="n">
        <x:f>'Inputs'!$C$33*'Assumptions'!$J$6</x:f>
        <x:v>0</x:v>
      </x:c>
      <x:c r="E74" s="34" t="n">
        <x:f>'Inputs'!$C$33*'Assumptions'!$J$6</x:f>
        <x:v>0</x:v>
      </x:c>
      <x:c r="F74" s="34" t="n">
        <x:f>'Inputs'!$C$33*'Assumptions'!$J$6</x:f>
        <x:v>0</x:v>
      </x:c>
      <x:c r="G74" s="34" t="n">
        <x:f>F74*(1+G60)</x:f>
        <x:v>0</x:v>
      </x:c>
      <x:c r="H74" s="34" t="n">
        <x:f>G74*(1+H60)</x:f>
        <x:v>0</x:v>
      </x:c>
      <x:c r="I74" s="34" t="n">
        <x:f>H74*(1+I60)</x:f>
        <x:v>0</x:v>
      </x:c>
      <x:c r="J74" s="34" t="n">
        <x:f>I74*(1+J60)</x:f>
        <x:v>0</x:v>
      </x:c>
      <x:c r="K74" s="34" t="n">
        <x:f>J74*(1+K60)</x:f>
        <x:v>0</x:v>
      </x:c>
    </x:row>
    <x:row r="75" ht="23" customHeight="1">
      <x:c r="A75" s="31" t="str">
        <x:v>Operating income after recurring SBC</x:v>
      </x:c>
      <x:c r="B75" s="40" t="n">
        <x:f>SUM(B71:B74)</x:f>
        <x:v>57.494025</x:v>
      </x:c>
      <x:c r="C75" s="40" t="n">
        <x:f>SUM(C71:C74)</x:f>
        <x:v>61.733031187499996</x:v>
      </x:c>
      <x:c r="D75" s="40" t="n">
        <x:f>SUM(D71:D74)</x:f>
        <x:v>65.969021295</x:v>
      </x:c>
      <x:c r="E75" s="40" t="n">
        <x:f>SUM(E71:E74)</x:f>
        <x:v>70.491091303125</x:v>
      </x:c>
      <x:c r="F75" s="40" t="n">
        <x:f>SUM(F71:F74)</x:f>
        <x:v>74.96304613539526</x:v>
      </x:c>
      <x:c r="G75" s="40" t="n">
        <x:f>SUM(G71:G74)</x:f>
        <x:v>78.63623539602962</x:v>
      </x:c>
      <x:c r="H75" s="40" t="n">
        <x:f>SUM(H71:H74)</x:f>
        <x:v>82.01759351805887</x:v>
      </x:c>
      <x:c r="I75" s="40" t="n">
        <x:f>SUM(I71:I74)</x:f>
        <x:v>85.05224447822704</x:v>
      </x:c>
      <x:c r="J75" s="40" t="n">
        <x:f>SUM(J71:J74)</x:f>
        <x:v>87.68886405705207</x:v>
      </x:c>
      <x:c r="K75" s="40" t="n">
        <x:f>SUM(K71:K74)</x:f>
        <x:v>89.88108565847836</x:v>
      </x:c>
    </x:row>
    <x:row r="76" ht="23" customHeight="1">
      <x:c r="A76" t="str">
        <x:v>Operating margin</x:v>
      </x:c>
      <x:c r="B76" s="22" t="n">
        <x:f>B75/B69</x:f>
        <x:v>0.61</x:v>
      </x:c>
      <x:c r="C76" s="22" t="n">
        <x:f>C75/C69</x:f>
        <x:v>0.615</x:v>
      </x:c>
      <x:c r="D76" s="22" t="n">
        <x:f>D75/D69</x:f>
        <x:v>0.62</x:v>
      </x:c>
      <x:c r="E76" s="22" t="n">
        <x:f>E75/E69</x:f>
        <x:v>0.625</x:v>
      </x:c>
      <x:c r="F76" s="22" t="n">
        <x:f>F75/F69</x:f>
        <x:v>0.63</x:v>
      </x:c>
      <x:c r="G76" s="22" t="n">
        <x:f>G75/G69</x:f>
        <x:v>0.63</x:v>
      </x:c>
      <x:c r="H76" s="22" t="n">
        <x:f>H75/H69</x:f>
        <x:v>0.63</x:v>
      </x:c>
      <x:c r="I76" s="22" t="n">
        <x:f>I75/I69</x:f>
        <x:v>0.63</x:v>
      </x:c>
      <x:c r="J76" s="22" t="n">
        <x:f>J75/J69</x:f>
        <x:v>0.63</x:v>
      </x:c>
      <x:c r="K76" s="22" t="n">
        <x:f>K75/K69</x:f>
        <x:v>0.63</x:v>
      </x:c>
    </x:row>
    <x:row r="77" ht="23" customHeight="1">
      <x:c r="A77" t="str">
        <x:v>After-tax operating profit</x:v>
      </x:c>
      <x:c r="B77" s="34" t="n">
        <x:f>B75*(1-'Assumptions'!$F$6)</x:f>
        <x:v>43.695459</x:v>
      </x:c>
      <x:c r="C77" s="34" t="n">
        <x:f>C75*(1-'Assumptions'!$F$6)</x:f>
        <x:v>46.9171037025</x:v>
      </x:c>
      <x:c r="D77" s="34" t="n">
        <x:f>D75*(1-'Assumptions'!$F$6)</x:f>
        <x:v>50.13645618420001</x:v>
      </x:c>
      <x:c r="E77" s="34" t="n">
        <x:f>E75*(1-'Assumptions'!$F$6)</x:f>
        <x:v>53.573229390375005</x:v>
      </x:c>
      <x:c r="F77" s="34" t="n">
        <x:f>F75*(1-'Assumptions'!$F$6)</x:f>
        <x:v>56.9719150629004</x:v>
      </x:c>
      <x:c r="G77" s="34" t="n">
        <x:f>G75*(1-'Assumptions'!$F$6)</x:f>
        <x:v>59.76353890098251</x:v>
      </x:c>
      <x:c r="H77" s="34" t="n">
        <x:f>H75*(1-'Assumptions'!$F$6)</x:f>
        <x:v>62.33337107372474</x:v>
      </x:c>
      <x:c r="I77" s="34" t="n">
        <x:f>I75*(1-'Assumptions'!$F$6)</x:f>
        <x:v>64.63970580345254</x:v>
      </x:c>
      <x:c r="J77" s="34" t="n">
        <x:f>J75*(1-'Assumptions'!$F$6)</x:f>
        <x:v>66.64353668335957</x:v>
      </x:c>
      <x:c r="K77" s="34" t="n">
        <x:f>K75*(1-'Assumptions'!$F$6)</x:f>
        <x:v>68.30962510044355</x:v>
      </x:c>
    </x:row>
    <x:row r="78" ht="23" customHeight="1">
      <x:c r="A78" t="str">
        <x:v>Add: depreciation &amp; amortization</x:v>
      </x:c>
      <x:c r="B78" s="34" t="n">
        <x:f>B69*'Assumptions'!$G$6</x:f>
        <x:v>0.75402</x:v>
      </x:c>
      <x:c r="C78" s="34" t="n">
        <x:f>C69*'Assumptions'!$G$6</x:f>
        <x:v>0.8030313</x:v>
      </x:c>
      <x:c r="D78" s="34" t="n">
        <x:f>D69*'Assumptions'!$G$6</x:f>
        <x:v>0.8512131780000001</x:v>
      </x:c>
      <x:c r="E78" s="34" t="n">
        <x:f>E69*'Assumptions'!$G$6</x:f>
        <x:v>0.9022859686800001</x:v>
      </x:c>
      <x:c r="F78" s="34" t="n">
        <x:f>F69*'Assumptions'!$G$6</x:f>
        <x:v>0.9519116969574001</x:v>
      </x:c>
      <x:c r="G78" s="34" t="n">
        <x:f>G69*'Assumptions'!$G$6</x:f>
        <x:v>0.9985553701083126</x:v>
      </x:c>
      <x:c r="H78" s="34" t="n">
        <x:f>H69*'Assumptions'!$G$6</x:f>
        <x:v>1.04149325102297</x:v>
      </x:c>
      <x:c r="I78" s="34" t="n">
        <x:f>I69*'Assumptions'!$G$6</x:f>
        <x:v>1.0800285013108195</x:v>
      </x:c>
      <x:c r="J78" s="34" t="n">
        <x:f>J69*'Assumptions'!$G$6</x:f>
        <x:v>1.1135093848514548</x:v>
      </x:c>
      <x:c r="K78" s="34" t="n">
        <x:f>K69*'Assumptions'!$G$6</x:f>
        <x:v>1.1413471194727411</x:v>
      </x:c>
    </x:row>
    <x:row r="79" ht="23" customHeight="1">
      <x:c r="A79" t="str">
        <x:v>Less: investment incl. software</x:v>
      </x:c>
      <x:c r="B79" s="34" t="n">
        <x:f>-B69*B65</x:f>
        <x:v>-3.2988375000000003</x:v>
      </x:c>
      <x:c r="C79" s="34" t="n">
        <x:f>-C69*C65</x:f>
        <x:v>-3.011367375</x:v>
      </x:c>
      <x:c r="D79" s="34" t="n">
        <x:f>-D69*D65</x:f>
        <x:v>-2.6600411812500004</x:v>
      </x:c>
      <x:c r="E79" s="34" t="n">
        <x:f>-E69*E65</x:f>
        <x:v>-2.4812864138700004</x:v>
      </x:c>
      <x:c r="F79" s="34" t="n">
        <x:f>-F69*F65</x:f>
        <x:v>-2.3797792423935</x:v>
      </x:c>
      <x:c r="G79" s="34" t="n">
        <x:f>-G69*G65</x:f>
        <x:v>-2.4963884252707813</x:v>
      </x:c>
      <x:c r="H79" s="34" t="n">
        <x:f>-H69*H65</x:f>
        <x:v>-2.6037331275574247</x:v>
      </x:c>
      <x:c r="I79" s="34" t="n">
        <x:f>-I69*I65</x:f>
        <x:v>-2.700071253277049</x:v>
      </x:c>
      <x:c r="J79" s="34" t="n">
        <x:f>-J69*J65</x:f>
        <x:v>-2.783773462128637</x:v>
      </x:c>
      <x:c r="K79" s="34" t="n">
        <x:f>-K69*K65</x:f>
        <x:v>-2.8533677986818526</x:v>
      </x:c>
    </x:row>
    <x:row r="80" ht="23" customHeight="1">
      <x:c r="A80" t="str">
        <x:v>Less: incremental working capital</x:v>
      </x:c>
      <x:c r="B80" s="34" t="n">
        <x:f>-(B69-'Inputs'!$C$14)*'Assumptions'!$H$6</x:f>
        <x:v>-0.11504999999999996</x:v>
      </x:c>
      <x:c r="C80" s="34" t="n">
        <x:f>-(C69-B69)*'Assumptions'!$H$6</x:f>
        <x:v>-0.12252825000000002</x:v>
      </x:c>
      <x:c r="D80" s="34" t="n">
        <x:f>-(D69-C69)*'Assumptions'!$H$6</x:f>
        <x:v>-0.12045469500000025</x:v>
      </x:c>
      <x:c r="E80" s="34" t="n">
        <x:f>-(E69-D69)*'Assumptions'!$H$6</x:f>
        <x:v>-0.12768197670000006</x:v>
      </x:c>
      <x:c r="F80" s="34" t="n">
        <x:f>-(F69-E69)*'Assumptions'!$H$6</x:f>
        <x:v>-0.1240643206934999</x:v>
      </x:c>
      <x:c r="G80" s="34" t="n">
        <x:f>-(G69-F69)*'Assumptions'!$H$6</x:f>
        <x:v>-0.11660918287728123</x:v>
      </x:c>
      <x:c r="H80" s="34" t="n">
        <x:f>-(H69-G69)*'Assumptions'!$H$6</x:f>
        <x:v>-0.10734470228664321</x:v>
      </x:c>
      <x:c r="I80" s="34" t="n">
        <x:f>-(I69-H69)*'Assumptions'!$H$6</x:f>
        <x:v>-0.09633812571962437</x:v>
      </x:c>
      <x:c r="J80" s="34" t="n">
        <x:f>-(J69-I69)*'Assumptions'!$H$6</x:f>
        <x:v>-0.08370220885158801</x:v>
      </x:c>
      <x:c r="K80" s="34" t="n">
        <x:f>-(K69-J69)*'Assumptions'!$H$6</x:f>
        <x:v>-0.06959433655321562</x:v>
      </x:c>
    </x:row>
    <x:row r="81" ht="23" customHeight="1">
      <x:c r="A81" t="str">
        <x:v>Less: specified cash shock</x:v>
      </x:c>
      <x:c r="B81" s="34" t="n">
        <x:f>-'Assumptions'!$I$6</x:f>
        <x:v>0</x:v>
      </x:c>
      <x:c r="C81" s="34" t="n">
        <x:f>0</x:f>
        <x:v>0</x:v>
      </x:c>
      <x:c r="D81" s="34" t="n">
        <x:f>0</x:f>
        <x:v>0</x:v>
      </x:c>
      <x:c r="E81" s="34" t="n">
        <x:f>0</x:f>
        <x:v>0</x:v>
      </x:c>
      <x:c r="F81" s="34" t="n">
        <x:f>0</x:f>
        <x:v>0</x:v>
      </x:c>
      <x:c r="G81" s="34" t="n">
        <x:f>0</x:f>
        <x:v>0</x:v>
      </x:c>
      <x:c r="H81" s="34" t="n">
        <x:f>0</x:f>
        <x:v>0</x:v>
      </x:c>
      <x:c r="I81" s="34" t="n">
        <x:f>0</x:f>
        <x:v>0</x:v>
      </x:c>
      <x:c r="J81" s="34" t="n">
        <x:f>0</x:f>
        <x:v>0</x:v>
      </x:c>
      <x:c r="K81" s="34" t="n">
        <x:f>0</x:f>
        <x:v>0</x:v>
      </x:c>
    </x:row>
    <x:row r="82" ht="23" customHeight="1">
      <x:c r="A82" s="31" t="str">
        <x:v>Owner-economic unlevered cash flow</x:v>
      </x:c>
      <x:c r="B82" s="40" t="n">
        <x:f>SUM(B77:B81)</x:f>
        <x:v>41.0355915</x:v>
      </x:c>
      <x:c r="C82" s="40" t="n">
        <x:f>SUM(C77:C81)</x:f>
        <x:v>44.5862393775</x:v>
      </x:c>
      <x:c r="D82" s="40" t="n">
        <x:f>SUM(D77:D81)</x:f>
        <x:v>48.20717348595001</x:v>
      </x:c>
      <x:c r="E82" s="40" t="n">
        <x:f>SUM(E77:E81)</x:f>
        <x:v>51.866546968485</x:v>
      </x:c>
      <x:c r="F82" s="40" t="n">
        <x:f>SUM(F77:F81)</x:f>
        <x:v>55.41998319677081</x:v>
      </x:c>
      <x:c r="G82" s="40" t="n">
        <x:f>SUM(G77:G81)</x:f>
        <x:v>58.14909666294276</x:v>
      </x:c>
      <x:c r="H82" s="40" t="n">
        <x:f>SUM(H77:H81)</x:f>
        <x:v>60.66378649490364</x:v>
      </x:c>
      <x:c r="I82" s="40" t="n">
        <x:f>SUM(I77:I81)</x:f>
        <x:v>62.923324925766686</x:v>
      </x:c>
      <x:c r="J82" s="40" t="n">
        <x:f>SUM(J77:J81)</x:f>
        <x:v>64.8895703972308</x:v>
      </x:c>
      <x:c r="K82" s="40" t="n">
        <x:f>SUM(K77:K81)</x:f>
        <x:v>66.52801008468123</x:v>
      </x:c>
    </x:row>
    <x:row r="83" ht="23" customHeight="1">
      <x:c r="A83" t="str">
        <x:v>Discount factor</x:v>
      </x:c>
      <x:c r="B83" s="22" t="n">
        <x:f>1/(1+'Assumptions'!$C$6)^B$59</x:f>
        <x:v>0.9090909090909091</x:v>
      </x:c>
      <x:c r="C83" s="22" t="n">
        <x:f>1/(1+'Assumptions'!$C$6)^C$59</x:f>
        <x:v>0.8264462809917354</x:v>
      </x:c>
      <x:c r="D83" s="22" t="n">
        <x:f>1/(1+'Assumptions'!$C$6)^D$59</x:f>
        <x:v>0.7513148009015775</x:v>
      </x:c>
      <x:c r="E83" s="22" t="n">
        <x:f>1/(1+'Assumptions'!$C$6)^E$59</x:f>
        <x:v>0.6830134553650705</x:v>
      </x:c>
      <x:c r="F83" s="22" t="n">
        <x:f>1/(1+'Assumptions'!$C$6)^F$59</x:f>
        <x:v>0.6209213230591549</x:v>
      </x:c>
      <x:c r="G83" s="22" t="n">
        <x:f>1/(1+'Assumptions'!$C$6)^G$59</x:f>
        <x:v>0.5644739300537772</x:v>
      </x:c>
      <x:c r="H83" s="22" t="n">
        <x:f>1/(1+'Assumptions'!$C$6)^H$59</x:f>
        <x:v>0.5131581182307065</x:v>
      </x:c>
      <x:c r="I83" s="22" t="n">
        <x:f>1/(1+'Assumptions'!$C$6)^I$59</x:f>
        <x:v>0.46650738020973315</x:v>
      </x:c>
      <x:c r="J83" s="22" t="n">
        <x:f>1/(1+'Assumptions'!$C$6)^J$59</x:f>
        <x:v>0.42409761837248466</x:v>
      </x:c>
      <x:c r="K83" s="22" t="n">
        <x:f>1/(1+'Assumptions'!$C$6)^K$59</x:f>
        <x:v>0.3855432894295315</x:v>
      </x:c>
    </x:row>
    <x:row r="84" ht="23" customHeight="1">
      <x:c r="A84" s="31" t="str">
        <x:v>Present value</x:v>
      </x:c>
      <x:c r="B84" s="40" t="n">
        <x:f>B82*B83</x:f>
        <x:v>37.30508318181818</x:v>
      </x:c>
      <x:c r="C84" s="40" t="n">
        <x:f>C82*C83</x:f>
        <x:v>36.84813171694214</x:v>
      </x:c>
      <x:c r="D84" s="40" t="n">
        <x:f>D82*D83</x:f>
        <x:v>36.218762949624335</x:v>
      </x:c>
      <x:c r="E84" s="40" t="n">
        <x:f>E82*E83</x:f>
        <x:v>35.42554946279966</x:v>
      </x:c>
      <x:c r="F84" s="40" t="n">
        <x:f>F82*F83</x:f>
        <x:v>34.41144929045507</x:v>
      </x:c>
      <x:c r="G84" s="40" t="n">
        <x:f>G82*G83</x:f>
        <x:v>32.823649122408284</x:v>
      </x:c>
      <x:c r="H84" s="40" t="n">
        <x:f>H82*H83</x:f>
        <x:v>31.130114522474095</x:v>
      </x:c>
      <x:c r="I84" s="40" t="n">
        <x:f>I82*I83</x:f>
        <x:v>29.35419546520522</x:v>
      </x:c>
      <x:c r="J84" s="40" t="n">
        <x:f>J82*J83</x:f>
        <x:v>27.519512262679264</x:v>
      </x:c>
      <x:c r="K84" s="40" t="n">
        <x:f>K82*K83</x:f>
        <x:v>25.649427847249044</x:v>
      </x:c>
    </x:row>
    <x:row r="85" ht="23" customHeight="1">
      <x:c r="A85" t="str">
        <x:v>Discount factor at 12%</x:v>
      </x:c>
      <x:c r="B85" s="22" t="n">
        <x:f>1/(1+'Controls'!$B$3)^B$59</x:f>
        <x:v>0.8928571428571428</x:v>
      </x:c>
      <x:c r="C85" s="22" t="n">
        <x:f>1/(1+'Controls'!$B$3)^C$59</x:f>
        <x:v>0.7971938775510203</x:v>
      </x:c>
      <x:c r="D85" s="22" t="n">
        <x:f>1/(1+'Controls'!$B$3)^D$59</x:f>
        <x:v>0.7117802478134109</x:v>
      </x:c>
      <x:c r="E85" s="22" t="n">
        <x:f>1/(1+'Controls'!$B$3)^E$59</x:f>
        <x:v>0.6355180784048312</x:v>
      </x:c>
      <x:c r="F85" s="22" t="n">
        <x:f>1/(1+'Controls'!$B$3)^F$59</x:f>
        <x:v>0.5674268557185992</x:v>
      </x:c>
      <x:c r="G85" s="22" t="n">
        <x:f>1/(1+'Controls'!$B$3)^G$59</x:f>
        <x:v>0.5066311211773207</x:v>
      </x:c>
      <x:c r="H85" s="22" t="n">
        <x:f>1/(1+'Controls'!$B$3)^H$59</x:f>
        <x:v>0.45234921533689343</x:v>
      </x:c>
      <x:c r="I85" s="22" t="n">
        <x:f>1/(1+'Controls'!$B$3)^I$59</x:f>
        <x:v>0.4038832279793691</x:v>
      </x:c>
      <x:c r="J85" s="22" t="n">
        <x:f>1/(1+'Controls'!$B$3)^J$59</x:f>
        <x:v>0.36061002498157957</x:v>
      </x:c>
      <x:c r="K85" s="22" t="n">
        <x:f>1/(1+'Controls'!$B$3)^K$59</x:f>
        <x:v>0.321973236590696</x:v>
      </x:c>
    </x:row>
    <x:row r="87" ht="25" customHeight="1">
      <x:c r="A87" t="str">
        <x:v>Year 11 after-tax operating profit</x:v>
      </x:c>
      <x:c r="B87" s="34" t="n">
        <x:f>K77*(1+'Assumptions'!$D$6)</x:f>
        <x:v>70.01736572795464</x:v>
      </x:c>
    </x:row>
    <x:row r="88" ht="25" customHeight="1">
      <x:c r="A88" t="str">
        <x:v>Less: terminal reinvestment</x:v>
      </x:c>
      <x:c r="B88" s="34" t="n">
        <x:f>-B87*'Assumptions'!$D$6/'Assumptions'!$E$6</x:f>
        <x:v>-5.001240409139618</x:v>
      </x:c>
      <x:c r="D88" s="24" t="str">
        <x:v>This is an operating scenario, not a statistical confidence interval. Terminal growth requires reinvestment. Latest-quarter capital structure is not a complete September roll-forward. See company decision notes for remaining unknowns. MOD scenarios assume the transaction closes; WINA core revenue excludes offsetting fee programs.</x:v>
      </x:c>
      <x:c r="E88" s="24"/>
      <x:c r="F88" s="24"/>
      <x:c r="G88" s="24"/>
      <x:c r="H88" s="24"/>
      <x:c r="I88" s="24"/>
      <x:c r="J88" s="24"/>
      <x:c r="K88" s="24"/>
    </x:row>
    <x:row r="89" ht="25" customHeight="1">
      <x:c r="A89" t="str">
        <x:v>Terminal cash flow</x:v>
      </x:c>
      <x:c r="B89" s="34" t="n">
        <x:f>SUM(B87:B88)</x:f>
        <x:v>65.01612531881503</x:v>
      </x:c>
      <x:c r="D89" s="24"/>
      <x:c r="E89" s="24"/>
      <x:c r="F89" s="24"/>
      <x:c r="G89" s="24"/>
      <x:c r="H89" s="24"/>
      <x:c r="I89" s="24"/>
      <x:c r="J89" s="24"/>
      <x:c r="K89" s="24"/>
    </x:row>
    <x:row r="90" ht="25" customHeight="1">
      <x:c r="A90" t="str">
        <x:v>Terminal operating value</x:v>
      </x:c>
      <x:c r="B90" s="34" t="n">
        <x:f>B89/('Assumptions'!$C$6-'Assumptions'!$D$6)</x:f>
        <x:v>866.8816709175336</x:v>
      </x:c>
      <x:c r="D90" s="24"/>
      <x:c r="E90" s="24"/>
      <x:c r="F90" s="24"/>
      <x:c r="G90" s="24"/>
      <x:c r="H90" s="24"/>
      <x:c r="I90" s="24"/>
      <x:c r="J90" s="24"/>
      <x:c r="K90" s="24"/>
    </x:row>
    <x:row r="91" ht="25" customHeight="1">
      <x:c r="A91" t="str">
        <x:v>PV terminal value</x:v>
      </x:c>
      <x:c r="B91" s="34" t="n">
        <x:f>B90*K83</x:f>
        <x:v>334.22041095171454</x:v>
      </x:c>
      <x:c r="D91" s="24"/>
      <x:c r="E91" s="24"/>
      <x:c r="F91" s="24"/>
      <x:c r="G91" s="24"/>
      <x:c r="H91" s="24"/>
      <x:c r="I91" s="24"/>
      <x:c r="J91" s="24"/>
      <x:c r="K91" s="24"/>
    </x:row>
    <x:row r="92" ht="25" customHeight="1">
      <x:c r="A92" t="str">
        <x:v>PV explicit forecast</x:v>
      </x:c>
      <x:c r="B92" s="34" t="n">
        <x:f>SUM(B84:K84)</x:f>
        <x:v>326.6858758216553</x:v>
      </x:c>
      <x:c r="D92" s="24"/>
      <x:c r="E92" s="24"/>
      <x:c r="F92" s="24"/>
      <x:c r="G92" s="24"/>
      <x:c r="H92" s="24"/>
      <x:c r="I92" s="24"/>
      <x:c r="J92" s="24"/>
      <x:c r="K92" s="24"/>
    </x:row>
    <x:row r="93" ht="25" customHeight="1">
      <x:c r="A93" s="84" t="str">
        <x:v>Operating enterprise value</x:v>
      </x:c>
      <x:c r="B93" s="85" t="n">
        <x:f>SUM(B91:B92)</x:f>
        <x:v>660.9062867733699</x:v>
      </x:c>
      <x:c r="D93" s="24"/>
      <x:c r="E93" s="24"/>
      <x:c r="F93" s="24"/>
      <x:c r="G93" s="24"/>
      <x:c r="H93" s="24"/>
      <x:c r="I93" s="24"/>
      <x:c r="J93" s="24"/>
      <x:c r="K93" s="24"/>
    </x:row>
    <x:row r="94" ht="25" customHeight="1">
      <x:c r="A94" t="str">
        <x:v>Cash / claims / transaction bridge</x:v>
      </x:c>
      <x:c r="B94" s="34" t="n">
        <x:f>'Inputs'!$C$6-'Inputs'!$C$7-'Inputs'!$C$9-'Inputs'!$C$10-'Inputs'!$C$11+'Inputs'!$C$12*'Inputs'!$C$13</x:f>
        <x:v>-42.825500000000005</x:v>
      </x:c>
      <x:c r="D94" s="24"/>
      <x:c r="E94" s="24"/>
      <x:c r="F94" s="24"/>
      <x:c r="G94" s="24"/>
      <x:c r="H94" s="24"/>
      <x:c r="I94" s="24"/>
      <x:c r="J94" s="24"/>
      <x:c r="K94" s="24"/>
    </x:row>
    <x:row r="95" ht="25" customHeight="1">
      <x:c r="A95" s="84" t="str">
        <x:v>Common equity value</x:v>
      </x:c>
      <x:c r="B95" s="85" t="n">
        <x:f>SUM(B93:B94)</x:f>
        <x:v>618.0807867733698</x:v>
      </x:c>
      <x:c r="D95" s="24"/>
      <x:c r="E95" s="24"/>
      <x:c r="F95" s="24"/>
      <x:c r="G95" s="24"/>
      <x:c r="H95" s="24"/>
      <x:c r="I95" s="24"/>
      <x:c r="J95" s="24"/>
      <x:c r="K95" s="24"/>
    </x:row>
    <x:row r="96" ht="25" customHeight="1">
      <x:c r="A96" t="str">
        <x:v>Value / share: debt endpoint</x:v>
      </x:c>
      <x:c r="B96" s="42" t="n">
        <x:f>B95/'Inputs'!$C$8</x:f>
        <x:v>166.98044443773034</x:v>
      </x:c>
    </x:row>
    <x:row r="97" ht="25" customHeight="1">
      <x:c r="A97" t="str">
        <x:v>Value / share: if-converted endpoint</x:v>
      </x:c>
      <x:c r="B97" s="42" t="n">
        <x:f>B96</x:f>
        <x:v>166.98044443773034</x:v>
      </x:c>
    </x:row>
    <x:row r="98" ht="25" customHeight="1">
      <x:c r="A98" s="88" t="str">
        <x:v>Conditional intrinsic value / share</x:v>
      </x:c>
      <x:c r="B98" s="89" t="n">
        <x:f>B96</x:f>
        <x:v>166.98044443773034</x:v>
      </x:c>
    </x:row>
    <x:row r="99" ht="25" customHeight="1">
      <x:c r="A99" t="str">
        <x:v>Value versus quote</x:v>
      </x:c>
      <x:c r="B99" s="22" t="n">
        <x:f>B98/'Inputs'!$C$5-1</x:f>
        <x:v>-0.47518482434632325</x:v>
      </x:c>
    </x:row>
    <x:row r="100" ht="25" customHeight="1">
      <x:c r="A100" t="str">
        <x:v>Terminal share of operating EV</x:v>
      </x:c>
      <x:c r="B100" s="22" t="n">
        <x:f>B91/B93</x:f>
        <x:v>0.5057001539256373</x:v>
      </x:c>
    </x:row>
    <x:row r="101" ht="25" customHeight="1">
      <x:c r="A101" t="str">
        <x:v>Value at 12% enterprise discount</x:v>
      </x:c>
      <x:c r="B101" s="42" t="n">
        <x:f>(SUMPRODUCT(B82:K82,B85:K85)+B89/('Controls'!$B$3-'Assumptions'!$D$6)*K85+B94)/'Inputs'!$C$8</x:f>
        <x:v>128.47880669564876</x:v>
      </x:c>
    </x:row>
    <x:row r="102" ht="25" customHeight="1">
      <x:c r="A102" t="str">
        <x:v>Price-implied operating EV</x:v>
      </x:c>
      <x:c r="B102" s="34" t="n">
        <x:f>'Inputs'!$C$5*'Inputs'!$C$8-B94</x:f>
        <x:v>1220.53684572</x:v>
      </x:c>
    </x:row>
    <x:row r="106" ht="29" customHeight="1">
      <x:c r="A106" s="27" t="str">
        <x:v>BULL | conditional operating path, not probability band</x:v>
      </x:c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</x:row>
    <x:row r="108">
      <x:c r="A108" t="str">
        <x:v>Discount rate</x:v>
      </x:c>
      <x:c r="B108" s="22" t="n">
        <x:f>'Assumptions'!$C$7</x:f>
        <x:v>0.1</x:v>
      </x:c>
      <x:c r="C108" t="str">
        <x:v>Terminal growth</x:v>
      </x:c>
      <x:c r="D108" s="22" t="n">
        <x:f>'Assumptions'!$D$7</x:f>
        <x:v>0.025</x:v>
      </x:c>
      <x:c r="E108" t="str">
        <x:v>Tax</x:v>
      </x:c>
      <x:c r="F108" s="22" t="n">
        <x:f>'Assumptions'!$F$7</x:f>
        <x:v>0.23</x:v>
      </x:c>
      <x:c r="G108" t="str">
        <x:v>Terminal ROIC</x:v>
      </x:c>
      <x:c r="H108" s="22" t="n">
        <x:f>'Assumptions'!$E$7</x:f>
        <x:v>0.4</x:v>
      </x:c>
      <x:c r="I108"/>
      <x:c r="J108"/>
      <x:c r="K108"/>
    </x:row>
    <x:row r="110" ht="24" customHeight="1">
      <x:c r="A110" s="31" t="str">
        <x:v>Economic year</x:v>
      </x:c>
      <x:c r="B110" s="31" t="n">
        <x:v>1</x:v>
      </x:c>
      <x:c r="C110" s="31" t="n">
        <x:v>2</x:v>
      </x:c>
      <x:c r="D110" s="31" t="n">
        <x:v>3</x:v>
      </x:c>
      <x:c r="E110" s="31" t="n">
        <x:v>4</x:v>
      </x:c>
      <x:c r="F110" s="31" t="n">
        <x:v>5</x:v>
      </x:c>
      <x:c r="G110" s="31" t="n">
        <x:v>6</x:v>
      </x:c>
      <x:c r="H110" s="31" t="n">
        <x:v>7</x:v>
      </x:c>
      <x:c r="I110" s="31" t="n">
        <x:v>8</x:v>
      </x:c>
      <x:c r="J110" s="31" t="n">
        <x:v>9</x:v>
      </x:c>
      <x:c r="K110" s="31" t="n">
        <x:v>10</x:v>
      </x:c>
    </x:row>
    <x:row r="111" ht="23" customHeight="1">
      <x:c r="A111" t="str">
        <x:v>Primary revenue growth</x:v>
      </x:c>
      <x:c r="B111" s="36" t="n">
        <x:f>'Assumptions'!$O$7</x:f>
        <x:v>0.09</x:v>
      </x:c>
      <x:c r="C111" s="36" t="n">
        <x:f>'Assumptions'!$P$7</x:f>
        <x:v>0.09</x:v>
      </x:c>
      <x:c r="D111" s="36" t="n">
        <x:f>'Assumptions'!$Q$7</x:f>
        <x:v>0.085</x:v>
      </x:c>
      <x:c r="E111" s="36" t="n">
        <x:f>'Assumptions'!$R$7</x:f>
        <x:v>0.08</x:v>
      </x:c>
      <x:c r="F111" s="36" t="n">
        <x:f>'Assumptions'!$S$7</x:f>
        <x:v>0.075</x:v>
      </x:c>
      <x:c r="G111" s="22" t="n">
        <x:f>$F$121+('Assumptions'!$D$7-$F$121)*(G$110-$F$110)/($K$110-$F$110)</x:f>
        <x:v>0.06499999999999996</x:v>
      </x:c>
      <x:c r="H111" s="22" t="n">
        <x:f>$F$121+('Assumptions'!$D$7-$F$121)*(H$110-$F$110)/($K$110-$F$110)</x:f>
        <x:v>0.05499999999999997</x:v>
      </x:c>
      <x:c r="I111" s="22" t="n">
        <x:f>$F$121+('Assumptions'!$D$7-$F$121)*(I$110-$F$110)/($K$110-$F$110)</x:f>
        <x:v>0.044999999999999984</x:v>
      </x:c>
      <x:c r="J111" s="22" t="n">
        <x:f>$F$121+('Assumptions'!$D$7-$F$121)*(J$110-$F$110)/($K$110-$F$110)</x:f>
        <x:v>0.03499999999999999</x:v>
      </x:c>
      <x:c r="K111" s="22" t="n">
        <x:f>$F$121+('Assumptions'!$D$7-$F$121)*(K$110-$F$110)/($K$110-$F$110)</x:f>
        <x:v>0.025</x:v>
      </x:c>
    </x:row>
    <x:row r="112" ht="23" customHeight="1">
      <x:c r="A112" t="str">
        <x:v>Secondary revenue growth</x:v>
      </x:c>
      <x:c r="B112" s="36" t="n">
        <x:f>'Assumptions'!$T$7</x:f>
        <x:v>0</x:v>
      </x:c>
      <x:c r="C112" s="36" t="n">
        <x:f>'Assumptions'!$U$7</x:f>
        <x:v>0</x:v>
      </x:c>
      <x:c r="D112" s="36" t="n">
        <x:f>'Assumptions'!$V$7</x:f>
        <x:v>0</x:v>
      </x:c>
      <x:c r="E112" s="36" t="n">
        <x:f>'Assumptions'!$W$7</x:f>
        <x:v>0</x:v>
      </x:c>
      <x:c r="F112" s="36" t="n">
        <x:f>'Assumptions'!$X$7</x:f>
        <x:v>0</x:v>
      </x:c>
      <x:c r="G112" s="22" t="n">
        <x:f>$F$121+('Assumptions'!$D$7-$F$121)*(G$110-$F$110)/($K$110-$F$110)</x:f>
        <x:v>0.06499999999999996</x:v>
      </x:c>
      <x:c r="H112" s="22" t="n">
        <x:f>$F$121+('Assumptions'!$D$7-$F$121)*(H$110-$F$110)/($K$110-$F$110)</x:f>
        <x:v>0.05499999999999997</x:v>
      </x:c>
      <x:c r="I112" s="22" t="n">
        <x:f>$F$121+('Assumptions'!$D$7-$F$121)*(I$110-$F$110)/($K$110-$F$110)</x:f>
        <x:v>0.044999999999999984</x:v>
      </x:c>
      <x:c r="J112" s="22" t="n">
        <x:f>$F$121+('Assumptions'!$D$7-$F$121)*(J$110-$F$110)/($K$110-$F$110)</x:f>
        <x:v>0.03499999999999999</x:v>
      </x:c>
      <x:c r="K112" s="22" t="n">
        <x:f>$F$121+('Assumptions'!$D$7-$F$121)*(K$110-$F$110)/($K$110-$F$110)</x:f>
        <x:v>0.025</x:v>
      </x:c>
    </x:row>
    <x:row r="113" ht="23" customHeight="1">
      <x:c r="A113" t="str">
        <x:v>Primary margin</x:v>
      </x:c>
      <x:c r="B113" s="36" t="n">
        <x:f>'Assumptions'!$Y$7</x:f>
        <x:v>0.62</x:v>
      </x:c>
      <x:c r="C113" s="36" t="n">
        <x:f>'Assumptions'!$Z$7</x:f>
        <x:v>0.63</x:v>
      </x:c>
      <x:c r="D113" s="36" t="n">
        <x:f>'Assumptions'!$AA$7</x:f>
        <x:v>0.64</x:v>
      </x:c>
      <x:c r="E113" s="36" t="n">
        <x:f>'Assumptions'!$AB$7</x:f>
        <x:v>0.65</x:v>
      </x:c>
      <x:c r="F113" s="36" t="n">
        <x:f>'Assumptions'!$AC$7</x:f>
        <x:v>0.66</x:v>
      </x:c>
      <x:c r="G113" s="22" t="n">
        <x:f>$F$113</x:f>
        <x:v>0.66</x:v>
      </x:c>
      <x:c r="H113" s="22" t="n">
        <x:f>$F$113</x:f>
        <x:v>0.66</x:v>
      </x:c>
      <x:c r="I113" s="22" t="n">
        <x:f>$F$113</x:f>
        <x:v>0.66</x:v>
      </x:c>
      <x:c r="J113" s="22" t="n">
        <x:f>$F$113</x:f>
        <x:v>0.66</x:v>
      </x:c>
      <x:c r="K113" s="22" t="n">
        <x:f>$F$113</x:f>
        <x:v>0.66</x:v>
      </x:c>
    </x:row>
    <x:row r="114" ht="23" customHeight="1">
      <x:c r="A114" t="str">
        <x:v>Secondary margin</x:v>
      </x:c>
      <x:c r="B114" s="36" t="n">
        <x:f>'Assumptions'!$AD$7</x:f>
        <x:v>0</x:v>
      </x:c>
      <x:c r="C114" s="36" t="n">
        <x:f>'Assumptions'!$AE$7</x:f>
        <x:v>0</x:v>
      </x:c>
      <x:c r="D114" s="36" t="n">
        <x:f>'Assumptions'!$AF$7</x:f>
        <x:v>0</x:v>
      </x:c>
      <x:c r="E114" s="36" t="n">
        <x:f>'Assumptions'!$AG$7</x:f>
        <x:v>0</x:v>
      </x:c>
      <x:c r="F114" s="36" t="n">
        <x:f>'Assumptions'!$AH$7</x:f>
        <x:v>0</x:v>
      </x:c>
      <x:c r="G114" s="22" t="n">
        <x:f>$F$114</x:f>
        <x:v>0</x:v>
      </x:c>
      <x:c r="H114" s="22" t="n">
        <x:f>$F$114</x:f>
        <x:v>0</x:v>
      </x:c>
      <x:c r="I114" s="22" t="n">
        <x:f>$F$114</x:f>
        <x:v>0</x:v>
      </x:c>
      <x:c r="J114" s="22" t="n">
        <x:f>$F$114</x:f>
        <x:v>0</x:v>
      </x:c>
      <x:c r="K114" s="22" t="n">
        <x:f>$F$114</x:f>
        <x:v>0</x:v>
      </x:c>
    </x:row>
    <x:row r="115" ht="23" customHeight="1">
      <x:c r="A115" t="str">
        <x:v>Overhead growth</x:v>
      </x:c>
      <x:c r="B115" s="36" t="n">
        <x:f>'Assumptions'!$AI$7</x:f>
        <x:v>0</x:v>
      </x:c>
      <x:c r="C115" s="36" t="n">
        <x:f>'Assumptions'!$AJ$7</x:f>
        <x:v>0</x:v>
      </x:c>
      <x:c r="D115" s="36" t="n">
        <x:f>'Assumptions'!$AK$7</x:f>
        <x:v>0</x:v>
      </x:c>
      <x:c r="E115" s="36" t="n">
        <x:f>'Assumptions'!$AL$7</x:f>
        <x:v>0</x:v>
      </x:c>
      <x:c r="F115" s="36" t="n">
        <x:f>'Assumptions'!$AM$7</x:f>
        <x:v>0</x:v>
      </x:c>
      <x:c r="G115" s="22" t="n">
        <x:f>$F$121+('Assumptions'!$D$7-$F$121)*(G$110-$F$110)/($K$110-$F$110)</x:f>
        <x:v>0.06499999999999996</x:v>
      </x:c>
      <x:c r="H115" s="22" t="n">
        <x:f>$F$121+('Assumptions'!$D$7-$F$121)*(H$110-$F$110)/($K$110-$F$110)</x:f>
        <x:v>0.05499999999999997</x:v>
      </x:c>
      <x:c r="I115" s="22" t="n">
        <x:f>$F$121+('Assumptions'!$D$7-$F$121)*(I$110-$F$110)/($K$110-$F$110)</x:f>
        <x:v>0.044999999999999984</x:v>
      </x:c>
      <x:c r="J115" s="22" t="n">
        <x:f>$F$121+('Assumptions'!$D$7-$F$121)*(J$110-$F$110)/($K$110-$F$110)</x:f>
        <x:v>0.03499999999999999</x:v>
      </x:c>
      <x:c r="K115" s="22" t="n">
        <x:f>$F$121+('Assumptions'!$D$7-$F$121)*(K$110-$F$110)/($K$110-$F$110)</x:f>
        <x:v>0.025</x:v>
      </x:c>
    </x:row>
    <x:row r="116" ht="23" customHeight="1">
      <x:c r="A116" t="str">
        <x:v>Capex / revenue</x:v>
      </x:c>
      <x:c r="B116" s="36" t="n">
        <x:f>'Assumptions'!$AN$7</x:f>
        <x:v>0.025</x:v>
      </x:c>
      <x:c r="C116" s="36" t="n">
        <x:f>'Assumptions'!$AO$7</x:f>
        <x:v>0.02</x:v>
      </x:c>
      <x:c r="D116" s="36" t="n">
        <x:f>'Assumptions'!$AP$7</x:f>
        <x:v>0.018</x:v>
      </x:c>
      <x:c r="E116" s="36" t="n">
        <x:f>'Assumptions'!$AQ$7</x:f>
        <x:v>0.018</x:v>
      </x:c>
      <x:c r="F116" s="36" t="n">
        <x:f>'Assumptions'!$AR$7</x:f>
        <x:v>0.018</x:v>
      </x:c>
      <x:c r="G116" s="22" t="n">
        <x:f>$F$116</x:f>
        <x:v>0.018</x:v>
      </x:c>
      <x:c r="H116" s="22" t="n">
        <x:f>$F$116</x:f>
        <x:v>0.018</x:v>
      </x:c>
      <x:c r="I116" s="22" t="n">
        <x:f>$F$116</x:f>
        <x:v>0.018</x:v>
      </x:c>
      <x:c r="J116" s="22" t="n">
        <x:f>$F$116</x:f>
        <x:v>0.018</x:v>
      </x:c>
      <x:c r="K116" s="22" t="n">
        <x:f>$F$116</x:f>
        <x:v>0.018</x:v>
      </x:c>
    </x:row>
    <x:row r="117" ht="23" customHeight="1">
      <x:c r="B117" s="34"/>
      <x:c r="C117" s="34"/>
      <x:c r="D117" s="34"/>
      <x:c r="E117" s="34"/>
      <x:c r="F117" s="34"/>
      <x:c r="G117" s="34"/>
      <x:c r="H117" s="34"/>
      <x:c r="I117" s="34"/>
      <x:c r="J117" s="34"/>
      <x:c r="K117" s="34"/>
    </x:row>
    <x:row r="118" ht="23" customHeight="1">
      <x:c r="A118" t="str">
        <x:v>Primary revenue</x:v>
      </x:c>
      <x:c r="B118" s="34" t="n">
        <x:f>'Inputs'!$C$14*(1+B111)</x:f>
        <x:v>96.465</x:v>
      </x:c>
      <x:c r="C118" s="34" t="n">
        <x:f>B118*(1+C111)</x:f>
        <x:v>105.14685000000001</x:v>
      </x:c>
      <x:c r="D118" s="34" t="n">
        <x:f>C118*(1+D111)</x:f>
        <x:v>114.08433225000002</x:v>
      </x:c>
      <x:c r="E118" s="34" t="n">
        <x:f>D118*(1+E111)</x:f>
        <x:v>123.21107883000002</x:v>
      </x:c>
      <x:c r="F118" s="34" t="n">
        <x:f>E118*(1+F111)</x:f>
        <x:v>132.45190974225002</x:v>
      </x:c>
      <x:c r="G118" s="34" t="n">
        <x:f>F118*(1+G111)</x:f>
        <x:v>141.06128387549626</x:v>
      </x:c>
      <x:c r="H118" s="34" t="n">
        <x:f>G118*(1+H111)</x:f>
        <x:v>148.81965448864855</x:v>
      </x:c>
      <x:c r="I118" s="34" t="n">
        <x:f>H118*(1+I111)</x:f>
        <x:v>155.51653894063773</x:v>
      </x:c>
      <x:c r="J118" s="34" t="n">
        <x:f>I118*(1+J111)</x:f>
        <x:v>160.95961780356004</x:v>
      </x:c>
      <x:c r="K118" s="34" t="n">
        <x:f>J118*(1+K111)</x:f>
        <x:v>164.98360824864903</x:v>
      </x:c>
    </x:row>
    <x:row r="119" ht="23" customHeight="1">
      <x:c r="A119" t="str">
        <x:v>Secondary revenue</x:v>
      </x:c>
      <x:c r="B119" s="34" t="n">
        <x:f>0</x:f>
        <x:v>0</x:v>
      </x:c>
      <x:c r="C119" s="34" t="n">
        <x:f>B119*(1+C112)</x:f>
        <x:v>0</x:v>
      </x:c>
      <x:c r="D119" s="34" t="n">
        <x:f>C119*(1+D112)</x:f>
        <x:v>0</x:v>
      </x:c>
      <x:c r="E119" s="34" t="n">
        <x:f>D119*(1+E112)</x:f>
        <x:v>0</x:v>
      </x:c>
      <x:c r="F119" s="34" t="n">
        <x:f>E119*(1+F112)</x:f>
        <x:v>0</x:v>
      </x:c>
      <x:c r="G119" s="34" t="n">
        <x:f>F119*(1+G112)</x:f>
        <x:v>0</x:v>
      </x:c>
      <x:c r="H119" s="34" t="n">
        <x:f>G119*(1+H112)</x:f>
        <x:v>0</x:v>
      </x:c>
      <x:c r="I119" s="34" t="n">
        <x:f>H119*(1+I112)</x:f>
        <x:v>0</x:v>
      </x:c>
      <x:c r="J119" s="34" t="n">
        <x:f>I119*(1+J112)</x:f>
        <x:v>0</x:v>
      </x:c>
      <x:c r="K119" s="34" t="n">
        <x:f>J119*(1+K112)</x:f>
        <x:v>0</x:v>
      </x:c>
    </x:row>
    <x:row r="120" ht="23" customHeight="1">
      <x:c r="A120" s="31" t="str">
        <x:v>Total economic revenue</x:v>
      </x:c>
      <x:c r="B120" s="40" t="n">
        <x:f>SUM(B118:B119)</x:f>
        <x:v>96.465</x:v>
      </x:c>
      <x:c r="C120" s="40" t="n">
        <x:f>SUM(C118:C119)</x:f>
        <x:v>105.14685000000001</x:v>
      </x:c>
      <x:c r="D120" s="40" t="n">
        <x:f>SUM(D118:D119)</x:f>
        <x:v>114.08433225000002</x:v>
      </x:c>
      <x:c r="E120" s="40" t="n">
        <x:f>SUM(E118:E119)</x:f>
        <x:v>123.21107883000002</x:v>
      </x:c>
      <x:c r="F120" s="40" t="n">
        <x:f>SUM(F118:F119)</x:f>
        <x:v>132.45190974225002</x:v>
      </x:c>
      <x:c r="G120" s="40" t="n">
        <x:f>SUM(G118:G119)</x:f>
        <x:v>141.06128387549626</x:v>
      </x:c>
      <x:c r="H120" s="40" t="n">
        <x:f>SUM(H118:H119)</x:f>
        <x:v>148.81965448864855</x:v>
      </x:c>
      <x:c r="I120" s="40" t="n">
        <x:f>SUM(I118:I119)</x:f>
        <x:v>155.51653894063773</x:v>
      </x:c>
      <x:c r="J120" s="40" t="n">
        <x:f>SUM(J118:J119)</x:f>
        <x:v>160.95961780356004</x:v>
      </x:c>
      <x:c r="K120" s="40" t="n">
        <x:f>SUM(K118:K119)</x:f>
        <x:v>164.98360824864903</x:v>
      </x:c>
    </x:row>
    <x:row r="121" ht="23" customHeight="1">
      <x:c r="A121" t="str">
        <x:v>Revenue growth</x:v>
      </x:c>
      <x:c r="B121" s="22" t="n">
        <x:f>B120/'Inputs'!$C$14-1</x:f>
        <x:v>0.09000000000000008</x:v>
      </x:c>
      <x:c r="C121" s="22" t="n">
        <x:f>C120/B120-1</x:f>
        <x:v>0.09000000000000008</x:v>
      </x:c>
      <x:c r="D121" s="22" t="n">
        <x:f>D120/C120-1</x:f>
        <x:v>0.08499999999999996</x:v>
      </x:c>
      <x:c r="E121" s="22" t="n">
        <x:f>E120/D120-1</x:f>
        <x:v>0.08000000000000007</x:v>
      </x:c>
      <x:c r="F121" s="22" t="n">
        <x:f>F120/E120-1</x:f>
        <x:v>0.07499999999999996</x:v>
      </x:c>
      <x:c r="G121" s="22" t="n">
        <x:f>G120/F120-1</x:f>
        <x:v>0.06499999999999995</x:v>
      </x:c>
      <x:c r="H121" s="22" t="n">
        <x:f>H120/G120-1</x:f>
        <x:v>0.05499999999999994</x:v>
      </x:c>
      <x:c r="I121" s="22" t="n">
        <x:f>I120/H120-1</x:f>
        <x:v>0.04499999999999993</x:v>
      </x:c>
      <x:c r="J121" s="22" t="n">
        <x:f>J120/I120-1</x:f>
        <x:v>0.03499999999999992</x:v>
      </x:c>
      <x:c r="K121" s="22" t="n">
        <x:f>K120/J120-1</x:f>
        <x:v>0.02499999999999991</x:v>
      </x:c>
    </x:row>
    <x:row r="122" ht="23" customHeight="1">
      <x:c r="A122" t="str">
        <x:v>Primary profit pool</x:v>
      </x:c>
      <x:c r="B122" s="34" t="n">
        <x:f>B118*B113</x:f>
        <x:v>59.8083</x:v>
      </x:c>
      <x:c r="C122" s="34" t="n">
        <x:f>C118*C113</x:f>
        <x:v>66.24251550000001</x:v>
      </x:c>
      <x:c r="D122" s="34" t="n">
        <x:f>D118*D113</x:f>
        <x:v>73.01397264</x:v>
      </x:c>
      <x:c r="E122" s="34" t="n">
        <x:f>E118*E113</x:f>
        <x:v>80.08720123950002</x:v>
      </x:c>
      <x:c r="F122" s="34" t="n">
        <x:f>F118*F113</x:f>
        <x:v>87.41826042988502</x:v>
      </x:c>
      <x:c r="G122" s="34" t="n">
        <x:f>G118*G113</x:f>
        <x:v>93.10044735782753</x:v>
      </x:c>
      <x:c r="H122" s="34" t="n">
        <x:f>H118*H113</x:f>
        <x:v>98.22097196250805</x:v>
      </x:c>
      <x:c r="I122" s="34" t="n">
        <x:f>I118*I113</x:f>
        <x:v>102.64091570082091</x:v>
      </x:c>
      <x:c r="J122" s="34" t="n">
        <x:f>J118*J113</x:f>
        <x:v>106.23334775034962</x:v>
      </x:c>
      <x:c r="K122" s="34" t="n">
        <x:f>K118*K113</x:f>
        <x:v>108.88918144410837</x:v>
      </x:c>
    </x:row>
    <x:row r="123" ht="23" customHeight="1">
      <x:c r="A123" t="str">
        <x:v>Secondary profit pool</x:v>
      </x:c>
      <x:c r="B123" s="34" t="n">
        <x:f>B119*B114</x:f>
        <x:v>0</x:v>
      </x:c>
      <x:c r="C123" s="34" t="n">
        <x:f>C119*C114</x:f>
        <x:v>0</x:v>
      </x:c>
      <x:c r="D123" s="34" t="n">
        <x:f>D119*D114</x:f>
        <x:v>0</x:v>
      </x:c>
      <x:c r="E123" s="34" t="n">
        <x:f>E119*E114</x:f>
        <x:v>0</x:v>
      </x:c>
      <x:c r="F123" s="34" t="n">
        <x:f>F119*F114</x:f>
        <x:v>0</x:v>
      </x:c>
      <x:c r="G123" s="34" t="n">
        <x:f>G119*G114</x:f>
        <x:v>0</x:v>
      </x:c>
      <x:c r="H123" s="34" t="n">
        <x:f>H119*H114</x:f>
        <x:v>0</x:v>
      </x:c>
      <x:c r="I123" s="34" t="n">
        <x:f>I119*I114</x:f>
        <x:v>0</x:v>
      </x:c>
      <x:c r="J123" s="34" t="n">
        <x:f>J119*J114</x:f>
        <x:v>0</x:v>
      </x:c>
      <x:c r="K123" s="34" t="n">
        <x:f>K119*K114</x:f>
        <x:v>0</x:v>
      </x:c>
    </x:row>
    <x:row r="124" ht="23" customHeight="1">
      <x:c r="A124" t="str">
        <x:v>Less: overhead / corporate</x:v>
      </x:c>
      <x:c r="B124" s="34" t="n">
        <x:f>0</x:f>
        <x:v>0</x:v>
      </x:c>
      <x:c r="C124" s="34" t="n">
        <x:f>B124*(1+C115)</x:f>
        <x:v>0</x:v>
      </x:c>
      <x:c r="D124" s="34" t="n">
        <x:f>C124*(1+D115)</x:f>
        <x:v>0</x:v>
      </x:c>
      <x:c r="E124" s="34" t="n">
        <x:f>D124*(1+E115)</x:f>
        <x:v>0</x:v>
      </x:c>
      <x:c r="F124" s="34" t="n">
        <x:f>E124*(1+F115)</x:f>
        <x:v>0</x:v>
      </x:c>
      <x:c r="G124" s="34" t="n">
        <x:f>F124*(1+G115)</x:f>
        <x:v>0</x:v>
      </x:c>
      <x:c r="H124" s="34" t="n">
        <x:f>G124*(1+H115)</x:f>
        <x:v>0</x:v>
      </x:c>
      <x:c r="I124" s="34" t="n">
        <x:f>H124*(1+I115)</x:f>
        <x:v>0</x:v>
      </x:c>
      <x:c r="J124" s="34" t="n">
        <x:f>I124*(1+J115)</x:f>
        <x:v>0</x:v>
      </x:c>
      <x:c r="K124" s="34" t="n">
        <x:f>J124*(1+K115)</x:f>
        <x:v>0</x:v>
      </x:c>
    </x:row>
    <x:row r="125" ht="23" customHeight="1">
      <x:c r="A125" t="str">
        <x:v>Additional fee profit</x:v>
      </x:c>
      <x:c r="B125" s="34" t="n">
        <x:f>'Inputs'!$C$33*'Assumptions'!$J$7</x:f>
        <x:v>0.96</x:v>
      </x:c>
      <x:c r="C125" s="34" t="n">
        <x:f>'Inputs'!$C$33*'Assumptions'!$J$7</x:f>
        <x:v>0.96</x:v>
      </x:c>
      <x:c r="D125" s="34" t="n">
        <x:f>'Inputs'!$C$33*'Assumptions'!$J$7</x:f>
        <x:v>0.96</x:v>
      </x:c>
      <x:c r="E125" s="34" t="n">
        <x:f>'Inputs'!$C$33*'Assumptions'!$J$7</x:f>
        <x:v>0.96</x:v>
      </x:c>
      <x:c r="F125" s="34" t="n">
        <x:f>'Inputs'!$C$33*'Assumptions'!$J$7</x:f>
        <x:v>0.96</x:v>
      </x:c>
      <x:c r="G125" s="34" t="n">
        <x:f>F125*(1+G111)</x:f>
        <x:v>1.0224</x:v>
      </x:c>
      <x:c r="H125" s="34" t="n">
        <x:f>G125*(1+H111)</x:f>
        <x:v>1.0786319999999998</x:v>
      </x:c>
      <x:c r="I125" s="34" t="n">
        <x:f>H125*(1+I111)</x:f>
        <x:v>1.1271704399999998</x:v>
      </x:c>
      <x:c r="J125" s="34" t="n">
        <x:f>I125*(1+J111)</x:f>
        <x:v>1.1666214053999997</x:v>
      </x:c>
      <x:c r="K125" s="34" t="n">
        <x:f>J125*(1+K111)</x:f>
        <x:v>1.1957869405349997</x:v>
      </x:c>
    </x:row>
    <x:row r="126" ht="23" customHeight="1">
      <x:c r="A126" s="31" t="str">
        <x:v>Operating income after recurring SBC</x:v>
      </x:c>
      <x:c r="B126" s="40" t="n">
        <x:f>SUM(B122:B125)</x:f>
        <x:v>60.7683</x:v>
      </x:c>
      <x:c r="C126" s="40" t="n">
        <x:f>SUM(C122:C125)</x:f>
        <x:v>67.2025155</x:v>
      </x:c>
      <x:c r="D126" s="40" t="n">
        <x:f>SUM(D122:D125)</x:f>
        <x:v>73.97397264</x:v>
      </x:c>
      <x:c r="E126" s="40" t="n">
        <x:f>SUM(E122:E125)</x:f>
        <x:v>81.04720123950001</x:v>
      </x:c>
      <x:c r="F126" s="40" t="n">
        <x:f>SUM(F122:F125)</x:f>
        <x:v>88.37826042988502</x:v>
      </x:c>
      <x:c r="G126" s="40" t="n">
        <x:f>SUM(G122:G125)</x:f>
        <x:v>94.12284735782754</x:v>
      </x:c>
      <x:c r="H126" s="40" t="n">
        <x:f>SUM(H122:H125)</x:f>
        <x:v>99.29960396250804</x:v>
      </x:c>
      <x:c r="I126" s="40" t="n">
        <x:f>SUM(I122:I125)</x:f>
        <x:v>103.76808614082091</x:v>
      </x:c>
      <x:c r="J126" s="40" t="n">
        <x:f>SUM(J122:J125)</x:f>
        <x:v>107.39996915574962</x:v>
      </x:c>
      <x:c r="K126" s="40" t="n">
        <x:f>SUM(K122:K125)</x:f>
        <x:v>110.08496838464337</x:v>
      </x:c>
    </x:row>
    <x:row r="127" ht="23" customHeight="1">
      <x:c r="A127" t="str">
        <x:v>Operating margin</x:v>
      </x:c>
      <x:c r="B127" s="22" t="n">
        <x:f>B126/B120</x:f>
        <x:v>0.6299517959881823</x:v>
      </x:c>
      <x:c r="C127" s="22" t="n">
        <x:f>C126/C120</x:f>
        <x:v>0.6391300880625524</x:v>
      </x:c>
      <x:c r="D127" s="22" t="n">
        <x:f>D126/D120</x:f>
        <x:v>0.6484148277074215</x:v>
      </x:c>
      <x:c r="E127" s="22" t="n">
        <x:f>E126/E120</x:f>
        <x:v>0.6577915071365016</x:v>
      </x:c>
      <x:c r="F127" s="22" t="n">
        <x:f>F126/F120</x:f>
        <x:v>0.6672479136153503</x:v>
      </x:c>
      <x:c r="G127" s="22" t="n">
        <x:f>G126/G120</x:f>
        <x:v>0.6672479136153503</x:v>
      </x:c>
      <x:c r="H127" s="22" t="n">
        <x:f>H126/H120</x:f>
        <x:v>0.6672479136153503</x:v>
      </x:c>
      <x:c r="I127" s="22" t="n">
        <x:f>I126/I120</x:f>
        <x:v>0.6672479136153503</x:v>
      </x:c>
      <x:c r="J127" s="22" t="n">
        <x:f>J126/J120</x:f>
        <x:v>0.6672479136153502</x:v>
      </x:c>
      <x:c r="K127" s="22" t="n">
        <x:f>K126/K120</x:f>
        <x:v>0.6672479136153504</x:v>
      </x:c>
    </x:row>
    <x:row r="128" ht="23" customHeight="1">
      <x:c r="A128" t="str">
        <x:v>After-tax operating profit</x:v>
      </x:c>
      <x:c r="B128" s="34" t="n">
        <x:f>B126*(1-'Assumptions'!$F$7)</x:f>
        <x:v>46.791591000000004</x:v>
      </x:c>
      <x:c r="C128" s="34" t="n">
        <x:f>C126*(1-'Assumptions'!$F$7)</x:f>
        <x:v>51.745936935</x:v>
      </x:c>
      <x:c r="D128" s="34" t="n">
        <x:f>D126*(1-'Assumptions'!$F$7)</x:f>
        <x:v>56.9599589328</x:v>
      </x:c>
      <x:c r="E128" s="34" t="n">
        <x:f>E126*(1-'Assumptions'!$F$7)</x:f>
        <x:v>62.40634495441501</x:v>
      </x:c>
      <x:c r="F128" s="34" t="n">
        <x:f>F126*(1-'Assumptions'!$F$7)</x:f>
        <x:v>68.05126053101147</x:v>
      </x:c>
      <x:c r="G128" s="34" t="n">
        <x:f>G126*(1-'Assumptions'!$F$7)</x:f>
        <x:v>72.47459246552721</x:v>
      </x:c>
      <x:c r="H128" s="34" t="n">
        <x:f>H126*(1-'Assumptions'!$F$7)</x:f>
        <x:v>76.4606950511312</x:v>
      </x:c>
      <x:c r="I128" s="34" t="n">
        <x:f>I126*(1-'Assumptions'!$F$7)</x:f>
        <x:v>79.90142632843211</x:v>
      </x:c>
      <x:c r="J128" s="34" t="n">
        <x:f>J126*(1-'Assumptions'!$F$7)</x:f>
        <x:v>82.69797624992721</x:v>
      </x:c>
      <x:c r="K128" s="34" t="n">
        <x:f>K126*(1-'Assumptions'!$F$7)</x:f>
        <x:v>84.7654256561754</x:v>
      </x:c>
    </x:row>
    <x:row r="129" ht="23" customHeight="1">
      <x:c r="A129" t="str">
        <x:v>Add: depreciation &amp; amortization</x:v>
      </x:c>
      <x:c r="B129" s="34" t="n">
        <x:f>B120*'Assumptions'!$G$7</x:f>
        <x:v>0.7717200000000001</x:v>
      </x:c>
      <x:c r="C129" s="34" t="n">
        <x:f>C120*'Assumptions'!$G$7</x:f>
        <x:v>0.8411748000000001</x:v>
      </x:c>
      <x:c r="D129" s="34" t="n">
        <x:f>D120*'Assumptions'!$G$7</x:f>
        <x:v>0.9126746580000001</x:v>
      </x:c>
      <x:c r="E129" s="34" t="n">
        <x:f>E120*'Assumptions'!$G$7</x:f>
        <x:v>0.9856886306400002</x:v>
      </x:c>
      <x:c r="F129" s="34" t="n">
        <x:f>F120*'Assumptions'!$G$7</x:f>
        <x:v>1.0596152779380001</x:v>
      </x:c>
      <x:c r="G129" s="34" t="n">
        <x:f>G120*'Assumptions'!$G$7</x:f>
        <x:v>1.1284902710039701</x:v>
      </x:c>
      <x:c r="H129" s="34" t="n">
        <x:f>H120*'Assumptions'!$G$7</x:f>
        <x:v>1.1905572359091885</x:v>
      </x:c>
      <x:c r="I129" s="34" t="n">
        <x:f>I120*'Assumptions'!$G$7</x:f>
        <x:v>1.244132311525102</x:v>
      </x:c>
      <x:c r="J129" s="34" t="n">
        <x:f>J120*'Assumptions'!$G$7</x:f>
        <x:v>1.2876769424284804</x:v>
      </x:c>
      <x:c r="K129" s="34" t="n">
        <x:f>K120*'Assumptions'!$G$7</x:f>
        <x:v>1.3198688659891924</x:v>
      </x:c>
    </x:row>
    <x:row r="130" ht="23" customHeight="1">
      <x:c r="A130" t="str">
        <x:v>Less: investment incl. software</x:v>
      </x:c>
      <x:c r="B130" s="34" t="n">
        <x:f>-B120*B116</x:f>
        <x:v>-2.4116250000000004</x:v>
      </x:c>
      <x:c r="C130" s="34" t="n">
        <x:f>-C120*C116</x:f>
        <x:v>-2.1029370000000003</x:v>
      </x:c>
      <x:c r="D130" s="34" t="n">
        <x:f>-D120*D116</x:f>
        <x:v>-2.0535179805</x:v>
      </x:c>
      <x:c r="E130" s="34" t="n">
        <x:f>-E120*E116</x:f>
        <x:v>-2.2177994189400003</x:v>
      </x:c>
      <x:c r="F130" s="34" t="n">
        <x:f>-F120*F116</x:f>
        <x:v>-2.3841343753605004</x:v>
      </x:c>
      <x:c r="G130" s="34" t="n">
        <x:f>-G120*G116</x:f>
        <x:v>-2.5391031097589325</x:v>
      </x:c>
      <x:c r="H130" s="34" t="n">
        <x:f>-H120*H116</x:f>
        <x:v>-2.678753780795674</x:v>
      </x:c>
      <x:c r="I130" s="34" t="n">
        <x:f>-I120*I116</x:f>
        <x:v>-2.799297700931479</x:v>
      </x:c>
      <x:c r="J130" s="34" t="n">
        <x:f>-J120*J116</x:f>
        <x:v>-2.8972731204640803</x:v>
      </x:c>
      <x:c r="K130" s="34" t="n">
        <x:f>-K120*K116</x:f>
        <x:v>-2.9697049484756826</x:v>
      </x:c>
    </x:row>
    <x:row r="131" ht="23" customHeight="1">
      <x:c r="A131" t="str">
        <x:v>Less: incremental working capital</x:v>
      </x:c>
      <x:c r="B131" s="34" t="n">
        <x:f>-(B120-'Inputs'!$C$14)*'Assumptions'!$H$7</x:f>
        <x:v>-0.07965000000000004</x:v>
      </x:c>
      <x:c r="C131" s="34" t="n">
        <x:f>-(C120-B120)*'Assumptions'!$H$7</x:f>
        <x:v>-0.08681850000000012</x:v>
      </x:c>
      <x:c r="D131" s="34" t="n">
        <x:f>-(D120-C120)*'Assumptions'!$H$7</x:f>
        <x:v>-0.08937482250000002</x:v>
      </x:c>
      <x:c r="E131" s="34" t="n">
        <x:f>-(E120-D120)*'Assumptions'!$H$7</x:f>
        <x:v>-0.09126746580000003</x:v>
      </x:c>
      <x:c r="F131" s="34" t="n">
        <x:f>-(F120-E120)*'Assumptions'!$H$7</x:f>
        <x:v>-0.09240830912250005</x:v>
      </x:c>
      <x:c r="G131" s="34" t="n">
        <x:f>-(G120-F120)*'Assumptions'!$H$7</x:f>
        <x:v>-0.08609374133246235</x:v>
      </x:c>
      <x:c r="H131" s="34" t="n">
        <x:f>-(H120-G120)*'Assumptions'!$H$7</x:f>
        <x:v>-0.07758370613152295</x:v>
      </x:c>
      <x:c r="I131" s="34" t="n">
        <x:f>-(I120-H120)*'Assumptions'!$H$7</x:f>
        <x:v>-0.06696884451989178</x:v>
      </x:c>
      <x:c r="J131" s="34" t="n">
        <x:f>-(J120-I120)*'Assumptions'!$H$7</x:f>
        <x:v>-0.05443078862922306</x:v>
      </x:c>
      <x:c r="K131" s="34" t="n">
        <x:f>-(K120-J120)*'Assumptions'!$H$7</x:f>
        <x:v>-0.04023990445088998</x:v>
      </x:c>
    </x:row>
    <x:row r="132" ht="23" customHeight="1">
      <x:c r="A132" t="str">
        <x:v>Less: specified cash shock</x:v>
      </x:c>
      <x:c r="B132" s="34" t="n">
        <x:f>-'Assumptions'!$I$7</x:f>
        <x:v>0</x:v>
      </x:c>
      <x:c r="C132" s="34" t="n">
        <x:f>0</x:f>
        <x:v>0</x:v>
      </x:c>
      <x:c r="D132" s="34" t="n">
        <x:f>0</x:f>
        <x:v>0</x:v>
      </x:c>
      <x:c r="E132" s="34" t="n">
        <x:f>0</x:f>
        <x:v>0</x:v>
      </x:c>
      <x:c r="F132" s="34" t="n">
        <x:f>0</x:f>
        <x:v>0</x:v>
      </x:c>
      <x:c r="G132" s="34" t="n">
        <x:f>0</x:f>
        <x:v>0</x:v>
      </x:c>
      <x:c r="H132" s="34" t="n">
        <x:f>0</x:f>
        <x:v>0</x:v>
      </x:c>
      <x:c r="I132" s="34" t="n">
        <x:f>0</x:f>
        <x:v>0</x:v>
      </x:c>
      <x:c r="J132" s="34" t="n">
        <x:f>0</x:f>
        <x:v>0</x:v>
      </x:c>
      <x:c r="K132" s="34" t="n">
        <x:f>0</x:f>
        <x:v>0</x:v>
      </x:c>
    </x:row>
    <x:row r="133" ht="23" customHeight="1">
      <x:c r="A133" s="31" t="str">
        <x:v>Owner-economic unlevered cash flow</x:v>
      </x:c>
      <x:c r="B133" s="40" t="n">
        <x:f>SUM(B128:B132)</x:f>
        <x:v>45.072036000000004</x:v>
      </x:c>
      <x:c r="C133" s="40" t="n">
        <x:f>SUM(C128:C132)</x:f>
        <x:v>50.397356235000004</x:v>
      </x:c>
      <x:c r="D133" s="40" t="n">
        <x:f>SUM(D128:D132)</x:f>
        <x:v>55.729740787800004</x:v>
      </x:c>
      <x:c r="E133" s="40" t="n">
        <x:f>SUM(E128:E132)</x:f>
        <x:v>61.08296670031501</x:v>
      </x:c>
      <x:c r="F133" s="40" t="n">
        <x:f>SUM(F128:F132)</x:f>
        <x:v>66.63433312446645</x:v>
      </x:c>
      <x:c r="G133" s="40" t="n">
        <x:f>SUM(G128:G132)</x:f>
        <x:v>70.97788588543979</x:v>
      </x:c>
      <x:c r="H133" s="40" t="n">
        <x:f>SUM(H128:H132)</x:f>
        <x:v>74.89491480011318</x:v>
      </x:c>
      <x:c r="I133" s="40" t="n">
        <x:f>SUM(I128:I132)</x:f>
        <x:v>78.27929209450585</x:v>
      </x:c>
      <x:c r="J133" s="40" t="n">
        <x:f>SUM(J128:J132)</x:f>
        <x:v>81.03394928326239</x:v>
      </x:c>
      <x:c r="K133" s="40" t="n">
        <x:f>SUM(K128:K132)</x:f>
        <x:v>83.07534966923802</x:v>
      </x:c>
    </x:row>
    <x:row r="134" ht="23" customHeight="1">
      <x:c r="A134" t="str">
        <x:v>Discount factor</x:v>
      </x:c>
      <x:c r="B134" s="22" t="n">
        <x:f>1/(1+'Assumptions'!$C$7)^B$110</x:f>
        <x:v>0.9090909090909091</x:v>
      </x:c>
      <x:c r="C134" s="22" t="n">
        <x:f>1/(1+'Assumptions'!$C$7)^C$110</x:f>
        <x:v>0.8264462809917354</x:v>
      </x:c>
      <x:c r="D134" s="22" t="n">
        <x:f>1/(1+'Assumptions'!$C$7)^D$110</x:f>
        <x:v>0.7513148009015775</x:v>
      </x:c>
      <x:c r="E134" s="22" t="n">
        <x:f>1/(1+'Assumptions'!$C$7)^E$110</x:f>
        <x:v>0.6830134553650705</x:v>
      </x:c>
      <x:c r="F134" s="22" t="n">
        <x:f>1/(1+'Assumptions'!$C$7)^F$110</x:f>
        <x:v>0.6209213230591549</x:v>
      </x:c>
      <x:c r="G134" s="22" t="n">
        <x:f>1/(1+'Assumptions'!$C$7)^G$110</x:f>
        <x:v>0.5644739300537772</x:v>
      </x:c>
      <x:c r="H134" s="22" t="n">
        <x:f>1/(1+'Assumptions'!$C$7)^H$110</x:f>
        <x:v>0.5131581182307065</x:v>
      </x:c>
      <x:c r="I134" s="22" t="n">
        <x:f>1/(1+'Assumptions'!$C$7)^I$110</x:f>
        <x:v>0.46650738020973315</x:v>
      </x:c>
      <x:c r="J134" s="22" t="n">
        <x:f>1/(1+'Assumptions'!$C$7)^J$110</x:f>
        <x:v>0.42409761837248466</x:v>
      </x:c>
      <x:c r="K134" s="22" t="n">
        <x:f>1/(1+'Assumptions'!$C$7)^K$110</x:f>
        <x:v>0.3855432894295315</x:v>
      </x:c>
    </x:row>
    <x:row r="135" ht="23" customHeight="1">
      <x:c r="A135" s="31" t="str">
        <x:v>Present value</x:v>
      </x:c>
      <x:c r="B135" s="40" t="n">
        <x:f>B133*B134</x:f>
        <x:v>40.97457818181818</x:v>
      </x:c>
      <x:c r="C135" s="40" t="n">
        <x:f>C133*C134</x:f>
        <x:v>41.6507076322314</x:v>
      </x:c>
      <x:c r="D135" s="40" t="n">
        <x:f>D133*D134</x:f>
        <x:v>41.870579104282484</x:v>
      </x:c>
      <x:c r="E135" s="40" t="n">
        <x:f>E133*E134</x:f>
        <x:v>41.7204881499317</x:v>
      </x:c>
      <x:c r="F135" s="40" t="n">
        <x:f>F133*F134</x:f>
        <x:v>41.37467828480818</x:v>
      </x:c>
      <x:c r="G135" s="40" t="n">
        <x:f>G133*G134</x:f>
        <x:v>40.06516619266272</x:v>
      </x:c>
      <x:c r="H135" s="40" t="n">
        <x:f>H133*H134</x:f>
        <x:v>38.432933543875166</x:v>
      </x:c>
      <x:c r="I135" s="40" t="n">
        <x:f>I133*I134</x:f>
        <x:v>36.5178674796804</x:v>
      </x:c>
      <x:c r="J135" s="40" t="n">
        <x:f>J133*J134</x:f>
        <x:v>34.36630489834829</x:v>
      </x:c>
      <x:c r="K135" s="40" t="n">
        <x:f>K133*K134</x:f>
        <x:v>32.02914358198657</x:v>
      </x:c>
    </x:row>
    <x:row r="136" ht="23" customHeight="1">
      <x:c r="A136" t="str">
        <x:v>Discount factor at 12%</x:v>
      </x:c>
      <x:c r="B136" s="22" t="n">
        <x:f>1/(1+'Controls'!$B$3)^B$110</x:f>
        <x:v>0.8928571428571428</x:v>
      </x:c>
      <x:c r="C136" s="22" t="n">
        <x:f>1/(1+'Controls'!$B$3)^C$110</x:f>
        <x:v>0.7971938775510203</x:v>
      </x:c>
      <x:c r="D136" s="22" t="n">
        <x:f>1/(1+'Controls'!$B$3)^D$110</x:f>
        <x:v>0.7117802478134109</x:v>
      </x:c>
      <x:c r="E136" s="22" t="n">
        <x:f>1/(1+'Controls'!$B$3)^E$110</x:f>
        <x:v>0.6355180784048312</x:v>
      </x:c>
      <x:c r="F136" s="22" t="n">
        <x:f>1/(1+'Controls'!$B$3)^F$110</x:f>
        <x:v>0.5674268557185992</x:v>
      </x:c>
      <x:c r="G136" s="22" t="n">
        <x:f>1/(1+'Controls'!$B$3)^G$110</x:f>
        <x:v>0.5066311211773207</x:v>
      </x:c>
      <x:c r="H136" s="22" t="n">
        <x:f>1/(1+'Controls'!$B$3)^H$110</x:f>
        <x:v>0.45234921533689343</x:v>
      </x:c>
      <x:c r="I136" s="22" t="n">
        <x:f>1/(1+'Controls'!$B$3)^I$110</x:f>
        <x:v>0.4038832279793691</x:v>
      </x:c>
      <x:c r="J136" s="22" t="n">
        <x:f>1/(1+'Controls'!$B$3)^J$110</x:f>
        <x:v>0.36061002498157957</x:v>
      </x:c>
      <x:c r="K136" s="22" t="n">
        <x:f>1/(1+'Controls'!$B$3)^K$110</x:f>
        <x:v>0.321973236590696</x:v>
      </x:c>
    </x:row>
    <x:row r="138" ht="25" customHeight="1">
      <x:c r="A138" t="str">
        <x:v>Year 11 after-tax operating profit</x:v>
      </x:c>
      <x:c r="B138" s="34" t="n">
        <x:f>K128*(1+'Assumptions'!$D$7)</x:f>
        <x:v>86.88456129757978</x:v>
      </x:c>
    </x:row>
    <x:row r="139" ht="25" customHeight="1">
      <x:c r="A139" t="str">
        <x:v>Less: terminal reinvestment</x:v>
      </x:c>
      <x:c r="B139" s="34" t="n">
        <x:f>-B138*'Assumptions'!$D$7/'Assumptions'!$E$7</x:f>
        <x:v>-5.430285081098736</x:v>
      </x:c>
      <x:c r="D139" s="24" t="str">
        <x:v>This is an operating scenario, not a statistical confidence interval. Terminal growth requires reinvestment. Latest-quarter capital structure is not a complete September roll-forward. See company decision notes for remaining unknowns. MOD scenarios assume the transaction closes; WINA core revenue excludes offsetting fee programs.</x:v>
      </x:c>
      <x:c r="E139" s="24"/>
      <x:c r="F139" s="24"/>
      <x:c r="G139" s="24"/>
      <x:c r="H139" s="24"/>
      <x:c r="I139" s="24"/>
      <x:c r="J139" s="24"/>
      <x:c r="K139" s="24"/>
    </x:row>
    <x:row r="140" ht="25" customHeight="1">
      <x:c r="A140" t="str">
        <x:v>Terminal cash flow</x:v>
      </x:c>
      <x:c r="B140" s="34" t="n">
        <x:f>SUM(B138:B139)</x:f>
        <x:v>81.45427621648105</x:v>
      </x:c>
      <x:c r="D140" s="24"/>
      <x:c r="E140" s="24"/>
      <x:c r="F140" s="24"/>
      <x:c r="G140" s="24"/>
      <x:c r="H140" s="24"/>
      <x:c r="I140" s="24"/>
      <x:c r="J140" s="24"/>
      <x:c r="K140" s="24"/>
    </x:row>
    <x:row r="141" ht="25" customHeight="1">
      <x:c r="A141" t="str">
        <x:v>Terminal operating value</x:v>
      </x:c>
      <x:c r="B141" s="34" t="n">
        <x:f>B140/('Assumptions'!$C$7-'Assumptions'!$D$7)</x:f>
        <x:v>1086.057016219747</x:v>
      </x:c>
      <x:c r="D141" s="24"/>
      <x:c r="E141" s="24"/>
      <x:c r="F141" s="24"/>
      <x:c r="G141" s="24"/>
      <x:c r="H141" s="24"/>
      <x:c r="I141" s="24"/>
      <x:c r="J141" s="24"/>
      <x:c r="K141" s="24"/>
    </x:row>
    <x:row r="142" ht="25" customHeight="1">
      <x:c r="A142" t="str">
        <x:v>PV terminal value</x:v>
      </x:c>
      <x:c r="B142" s="34" t="n">
        <x:f>B141*K134</x:f>
        <x:v>418.7219945413833</x:v>
      </x:c>
      <x:c r="D142" s="24"/>
      <x:c r="E142" s="24"/>
      <x:c r="F142" s="24"/>
      <x:c r="G142" s="24"/>
      <x:c r="H142" s="24"/>
      <x:c r="I142" s="24"/>
      <x:c r="J142" s="24"/>
      <x:c r="K142" s="24"/>
    </x:row>
    <x:row r="143" ht="25" customHeight="1">
      <x:c r="A143" t="str">
        <x:v>PV explicit forecast</x:v>
      </x:c>
      <x:c r="B143" s="34" t="n">
        <x:f>SUM(B135:K135)</x:f>
        <x:v>389.00244704962506</x:v>
      </x:c>
      <x:c r="D143" s="24"/>
      <x:c r="E143" s="24"/>
      <x:c r="F143" s="24"/>
      <x:c r="G143" s="24"/>
      <x:c r="H143" s="24"/>
      <x:c r="I143" s="24"/>
      <x:c r="J143" s="24"/>
      <x:c r="K143" s="24"/>
    </x:row>
    <x:row r="144" ht="25" customHeight="1">
      <x:c r="A144" s="84" t="str">
        <x:v>Operating enterprise value</x:v>
      </x:c>
      <x:c r="B144" s="85" t="n">
        <x:f>SUM(B142:B143)</x:f>
        <x:v>807.7244415910084</x:v>
      </x:c>
      <x:c r="D144" s="24"/>
      <x:c r="E144" s="24"/>
      <x:c r="F144" s="24"/>
      <x:c r="G144" s="24"/>
      <x:c r="H144" s="24"/>
      <x:c r="I144" s="24"/>
      <x:c r="J144" s="24"/>
      <x:c r="K144" s="24"/>
    </x:row>
    <x:row r="145" ht="25" customHeight="1">
      <x:c r="A145" t="str">
        <x:v>Cash / claims / transaction bridge</x:v>
      </x:c>
      <x:c r="B145" s="34" t="n">
        <x:f>'Inputs'!$C$6-'Inputs'!$C$7-'Inputs'!$C$9-'Inputs'!$C$10-'Inputs'!$C$11+'Inputs'!$C$12*'Inputs'!$C$13</x:f>
        <x:v>-42.825500000000005</x:v>
      </x:c>
      <x:c r="D145" s="24"/>
      <x:c r="E145" s="24"/>
      <x:c r="F145" s="24"/>
      <x:c r="G145" s="24"/>
      <x:c r="H145" s="24"/>
      <x:c r="I145" s="24"/>
      <x:c r="J145" s="24"/>
      <x:c r="K145" s="24"/>
    </x:row>
    <x:row r="146" ht="25" customHeight="1">
      <x:c r="A146" s="84" t="str">
        <x:v>Common equity value</x:v>
      </x:c>
      <x:c r="B146" s="85" t="n">
        <x:f>SUM(B144:B145)</x:f>
        <x:v>764.8989415910083</x:v>
      </x:c>
      <x:c r="D146" s="24"/>
      <x:c r="E146" s="24"/>
      <x:c r="F146" s="24"/>
      <x:c r="G146" s="24"/>
      <x:c r="H146" s="24"/>
      <x:c r="I146" s="24"/>
      <x:c r="J146" s="24"/>
      <x:c r="K146" s="24"/>
    </x:row>
    <x:row r="147" ht="25" customHeight="1">
      <x:c r="A147" t="str">
        <x:v>Value / share: debt endpoint</x:v>
      </x:c>
      <x:c r="B147" s="42" t="n">
        <x:f>B146/'Inputs'!$C$8</x:f>
        <x:v>206.64477516536695</x:v>
      </x:c>
    </x:row>
    <x:row r="148" ht="25" customHeight="1">
      <x:c r="A148" t="str">
        <x:v>Value / share: if-converted endpoint</x:v>
      </x:c>
      <x:c r="B148" s="42" t="n">
        <x:f>B147</x:f>
        <x:v>206.64477516536695</x:v>
      </x:c>
    </x:row>
    <x:row r="149" ht="25" customHeight="1">
      <x:c r="A149" s="88" t="str">
        <x:v>Conditional intrinsic value / share</x:v>
      </x:c>
      <x:c r="B149" s="89" t="n">
        <x:f>B147</x:f>
        <x:v>206.64477516536695</x:v>
      </x:c>
    </x:row>
    <x:row r="150" ht="25" customHeight="1">
      <x:c r="A150" t="str">
        <x:v>Value versus quote</x:v>
      </x:c>
      <x:c r="B150" s="22" t="n">
        <x:f>B149/'Inputs'!$C$5-1</x:f>
        <x:v>-0.35052086882683176</x:v>
      </x:c>
    </x:row>
    <x:row r="151" ht="25" customHeight="1">
      <x:c r="A151" t="str">
        <x:v>Terminal share of operating EV</x:v>
      </x:c>
      <x:c r="B151" s="22" t="n">
        <x:f>B142/B144</x:f>
        <x:v>0.5183970831891743</x:v>
      </x:c>
    </x:row>
    <x:row r="152" ht="25" customHeight="1">
      <x:c r="A152" t="str">
        <x:v>Value at 12% enterprise discount</x:v>
      </x:c>
      <x:c r="B152" s="42" t="n">
        <x:f>(SUMPRODUCT(B133:K133,B136:K136)+B140/('Controls'!$B$3-'Assumptions'!$D$7)*K136+B145)/'Inputs'!$C$8</x:f>
        <x:v>158.68591374055117</x:v>
      </x:c>
    </x:row>
    <x:row r="153" ht="25" customHeight="1">
      <x:c r="A153" t="str">
        <x:v>Price-implied operating EV</x:v>
      </x:c>
      <x:c r="B153" s="34" t="n">
        <x:f>'Inputs'!$C$5*'Inputs'!$C$8-B145</x:f>
        <x:v>1220.53684572</x:v>
      </x:c>
    </x:row>
  </x:sheetData>
  <x:mergeCells>
    <x:mergeCell ref="A1:K1"/>
    <x:mergeCell ref="A2:K2"/>
    <x:mergeCell ref="A4:K4"/>
    <x:mergeCell ref="D37:K44"/>
    <x:mergeCell ref="A55:K55"/>
    <x:mergeCell ref="D88:K95"/>
    <x:mergeCell ref="A106:K106"/>
    <x:mergeCell ref="D139:K14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9" customHeight="1">
      <x:c r="A1" s="18" t="str">
        <x:v>NSSC | NORMALIZED CASH FLOW | 10 forward economic years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</x:row>
    <x:row r="2" ht="31" customHeight="1">
      <x:c r="A2" s="24" t="str">
        <x:v>USD millions. Blue assumptions on Assumptions tab; recurring SBC stays expensed. Not a precisely fiscal-aligned earnings forecast.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</x:row>
    <x:row r="4" ht="29" customHeight="1">
      <x:c r="A4" s="27" t="str">
        <x:v>BEAR | conditional operating path, not probability band</x:v>
      </x:c>
      <x:c r="B4" s="27"/>
      <x:c r="C4" s="27"/>
      <x:c r="D4" s="27"/>
      <x:c r="E4" s="27"/>
      <x:c r="F4" s="27"/>
      <x:c r="G4" s="27"/>
      <x:c r="H4" s="27"/>
      <x:c r="I4" s="27"/>
      <x:c r="J4" s="27"/>
      <x:c r="K4" s="27"/>
    </x:row>
    <x:row r="6">
      <x:c r="A6" t="str">
        <x:v>Discount rate</x:v>
      </x:c>
      <x:c r="B6" s="22" t="n">
        <x:f>'Assumptions'!$C$8</x:f>
        <x:v>0.1</x:v>
      </x:c>
      <x:c r="C6" t="str">
        <x:v>Terminal growth</x:v>
      </x:c>
      <x:c r="D6" s="22" t="n">
        <x:f>'Assumptions'!$D$8</x:f>
        <x:v>0.03</x:v>
      </x:c>
      <x:c r="E6" t="str">
        <x:v>Tax</x:v>
      </x:c>
      <x:c r="F6" s="22" t="n">
        <x:f>'Assumptions'!$F$8</x:f>
        <x:v>0.23</x:v>
      </x:c>
      <x:c r="G6" t="str">
        <x:v>Terminal ROIC</x:v>
      </x:c>
      <x:c r="H6" s="22" t="n">
        <x:f>'Assumptions'!$E$8</x:f>
        <x:v>0.2</x:v>
      </x:c>
      <x:c r="I6"/>
      <x:c r="J6"/>
      <x:c r="K6"/>
    </x:row>
    <x:row r="8" ht="24" customHeight="1">
      <x:c r="A8" s="31" t="str">
        <x:v>Economic year</x:v>
      </x:c>
      <x:c r="B8" s="31" t="n">
        <x:v>1</x:v>
      </x:c>
      <x:c r="C8" s="31" t="n">
        <x:v>2</x:v>
      </x:c>
      <x:c r="D8" s="31" t="n">
        <x:v>3</x:v>
      </x:c>
      <x:c r="E8" s="31" t="n">
        <x:v>4</x:v>
      </x:c>
      <x:c r="F8" s="31" t="n">
        <x:v>5</x:v>
      </x:c>
      <x:c r="G8" s="31" t="n">
        <x:v>6</x:v>
      </x:c>
      <x:c r="H8" s="31" t="n">
        <x:v>7</x:v>
      </x:c>
      <x:c r="I8" s="31" t="n">
        <x:v>8</x:v>
      </x:c>
      <x:c r="J8" s="31" t="n">
        <x:v>9</x:v>
      </x:c>
      <x:c r="K8" s="31" t="n">
        <x:v>10</x:v>
      </x:c>
    </x:row>
    <x:row r="9" ht="23" customHeight="1">
      <x:c r="A9" t="str">
        <x:v>Primary revenue growth</x:v>
      </x:c>
      <x:c r="B9" s="36" t="n">
        <x:f>'Assumptions'!$O$8</x:f>
        <x:v>0.07</x:v>
      </x:c>
      <x:c r="C9" s="36" t="n">
        <x:f>'Assumptions'!$P$8</x:f>
        <x:v>0.07</x:v>
      </x:c>
      <x:c r="D9" s="36" t="n">
        <x:f>'Assumptions'!$Q$8</x:f>
        <x:v>0.06</x:v>
      </x:c>
      <x:c r="E9" s="36" t="n">
        <x:f>'Assumptions'!$R$8</x:f>
        <x:v>0.05</x:v>
      </x:c>
      <x:c r="F9" s="36" t="n">
        <x:f>'Assumptions'!$S$8</x:f>
        <x:v>0.05</x:v>
      </x:c>
      <x:c r="G9" s="22" t="n">
        <x:f>$F$19+('Assumptions'!$D$8-$F$19)*(G$8-$F$8)/($K$8-$F$8)</x:f>
        <x:v>0.035031335372352805</x:v>
      </x:c>
      <x:c r="H9" s="22" t="n">
        <x:f>$F$19+('Assumptions'!$D$8-$F$19)*(H$8-$F$8)/($K$8-$F$8)</x:f>
        <x:v>0.0337735015292646</x:v>
      </x:c>
      <x:c r="I9" s="22" t="n">
        <x:f>$F$19+('Assumptions'!$D$8-$F$19)*(I$8-$F$8)/($K$8-$F$8)</x:f>
        <x:v>0.032515667686176405</x:v>
      </x:c>
      <x:c r="J9" s="22" t="n">
        <x:f>$F$19+('Assumptions'!$D$8-$F$19)*(J$8-$F$8)/($K$8-$F$8)</x:f>
        <x:v>0.0312578338430882</x:v>
      </x:c>
      <x:c r="K9" s="22" t="n">
        <x:f>$F$19+('Assumptions'!$D$8-$F$19)*(K$8-$F$8)/($K$8-$F$8)</x:f>
        <x:v>0.03</x:v>
      </x:c>
    </x:row>
    <x:row r="10" ht="23" customHeight="1">
      <x:c r="A10" t="str">
        <x:v>Secondary revenue growth</x:v>
      </x:c>
      <x:c r="B10" s="36" t="n">
        <x:f>'Assumptions'!$T$8</x:f>
        <x:v>-0.05</x:v>
      </x:c>
      <x:c r="C10" s="36" t="n">
        <x:f>'Assumptions'!$U$8</x:f>
        <x:v>0.01</x:v>
      </x:c>
      <x:c r="D10" s="36" t="n">
        <x:f>'Assumptions'!$V$8</x:f>
        <x:v>0.02</x:v>
      </x:c>
      <x:c r="E10" s="36" t="n">
        <x:f>'Assumptions'!$W$8</x:f>
        <x:v>0.02</x:v>
      </x:c>
      <x:c r="F10" s="36" t="n">
        <x:f>'Assumptions'!$X$8</x:f>
        <x:v>0.02</x:v>
      </x:c>
      <x:c r="G10" s="22" t="n">
        <x:f>$F$19+('Assumptions'!$D$8-$F$19)*(G$8-$F$8)/($K$8-$F$8)</x:f>
        <x:v>0.035031335372352805</x:v>
      </x:c>
      <x:c r="H10" s="22" t="n">
        <x:f>$F$19+('Assumptions'!$D$8-$F$19)*(H$8-$F$8)/($K$8-$F$8)</x:f>
        <x:v>0.0337735015292646</x:v>
      </x:c>
      <x:c r="I10" s="22" t="n">
        <x:f>$F$19+('Assumptions'!$D$8-$F$19)*(I$8-$F$8)/($K$8-$F$8)</x:f>
        <x:v>0.032515667686176405</x:v>
      </x:c>
      <x:c r="J10" s="22" t="n">
        <x:f>$F$19+('Assumptions'!$D$8-$F$19)*(J$8-$F$8)/($K$8-$F$8)</x:f>
        <x:v>0.0312578338430882</x:v>
      </x:c>
      <x:c r="K10" s="22" t="n">
        <x:f>$F$19+('Assumptions'!$D$8-$F$19)*(K$8-$F$8)/($K$8-$F$8)</x:f>
        <x:v>0.03</x:v>
      </x:c>
    </x:row>
    <x:row r="11" ht="23" customHeight="1">
      <x:c r="A11" t="str">
        <x:v>Primary margin</x:v>
      </x:c>
      <x:c r="B11" s="36" t="n">
        <x:f>'Assumptions'!$Y$8</x:f>
        <x:v>0.88</x:v>
      </x:c>
      <x:c r="C11" s="36" t="n">
        <x:f>'Assumptions'!$Z$8</x:f>
        <x:v>0.88</x:v>
      </x:c>
      <x:c r="D11" s="36" t="n">
        <x:f>'Assumptions'!$AA$8</x:f>
        <x:v>0.88</x:v>
      </x:c>
      <x:c r="E11" s="36" t="n">
        <x:f>'Assumptions'!$AB$8</x:f>
        <x:v>0.88</x:v>
      </x:c>
      <x:c r="F11" s="36" t="n">
        <x:f>'Assumptions'!$AC$8</x:f>
        <x:v>0.88</x:v>
      </x:c>
      <x:c r="G11" s="22" t="n">
        <x:f>$F$11</x:f>
        <x:v>0.88</x:v>
      </x:c>
      <x:c r="H11" s="22" t="n">
        <x:f>$F$11</x:f>
        <x:v>0.88</x:v>
      </x:c>
      <x:c r="I11" s="22" t="n">
        <x:f>$F$11</x:f>
        <x:v>0.88</x:v>
      </x:c>
      <x:c r="J11" s="22" t="n">
        <x:f>$F$11</x:f>
        <x:v>0.88</x:v>
      </x:c>
      <x:c r="K11" s="22" t="n">
        <x:f>$F$11</x:f>
        <x:v>0.88</x:v>
      </x:c>
    </x:row>
    <x:row r="12" ht="23" customHeight="1">
      <x:c r="A12" t="str">
        <x:v>Secondary margin</x:v>
      </x:c>
      <x:c r="B12" s="36" t="n">
        <x:f>'Assumptions'!$AD$8</x:f>
        <x:v>0.26</x:v>
      </x:c>
      <x:c r="C12" s="36" t="n">
        <x:f>'Assumptions'!$AE$8</x:f>
        <x:v>0.27</x:v>
      </x:c>
      <x:c r="D12" s="36" t="n">
        <x:f>'Assumptions'!$AF$8</x:f>
        <x:v>0.27</x:v>
      </x:c>
      <x:c r="E12" s="36" t="n">
        <x:f>'Assumptions'!$AG$8</x:f>
        <x:v>0.27</x:v>
      </x:c>
      <x:c r="F12" s="36" t="n">
        <x:f>'Assumptions'!$AH$8</x:f>
        <x:v>0.27</x:v>
      </x:c>
      <x:c r="G12" s="22" t="n">
        <x:f>$F$12</x:f>
        <x:v>0.27</x:v>
      </x:c>
      <x:c r="H12" s="22" t="n">
        <x:f>$F$12</x:f>
        <x:v>0.27</x:v>
      </x:c>
      <x:c r="I12" s="22" t="n">
        <x:f>$F$12</x:f>
        <x:v>0.27</x:v>
      </x:c>
      <x:c r="J12" s="22" t="n">
        <x:f>$F$12</x:f>
        <x:v>0.27</x:v>
      </x:c>
      <x:c r="K12" s="22" t="n">
        <x:f>$F$12</x:f>
        <x:v>0.27</x:v>
      </x:c>
    </x:row>
    <x:row r="13" ht="23" customHeight="1">
      <x:c r="A13" t="str">
        <x:v>Overhead growth</x:v>
      </x:c>
      <x:c r="B13" s="36" t="n">
        <x:f>'Assumptions'!$AI$8</x:f>
        <x:v>0.07</x:v>
      </x:c>
      <x:c r="C13" s="36" t="n">
        <x:f>'Assumptions'!$AJ$8</x:f>
        <x:v>0.07</x:v>
      </x:c>
      <x:c r="D13" s="36" t="n">
        <x:f>'Assumptions'!$AK$8</x:f>
        <x:v>0.07</x:v>
      </x:c>
      <x:c r="E13" s="36" t="n">
        <x:f>'Assumptions'!$AL$8</x:f>
        <x:v>0.07</x:v>
      </x:c>
      <x:c r="F13" s="36" t="n">
        <x:f>'Assumptions'!$AM$8</x:f>
        <x:v>0.07</x:v>
      </x:c>
      <x:c r="G13" s="22" t="n">
        <x:f>$F$19+('Assumptions'!$D$8-$F$19)*(G$8-$F$8)/($K$8-$F$8)</x:f>
        <x:v>0.035031335372352805</x:v>
      </x:c>
      <x:c r="H13" s="22" t="n">
        <x:f>$F$19+('Assumptions'!$D$8-$F$19)*(H$8-$F$8)/($K$8-$F$8)</x:f>
        <x:v>0.0337735015292646</x:v>
      </x:c>
      <x:c r="I13" s="22" t="n">
        <x:f>$F$19+('Assumptions'!$D$8-$F$19)*(I$8-$F$8)/($K$8-$F$8)</x:f>
        <x:v>0.032515667686176405</x:v>
      </x:c>
      <x:c r="J13" s="22" t="n">
        <x:f>$F$19+('Assumptions'!$D$8-$F$19)*(J$8-$F$8)/($K$8-$F$8)</x:f>
        <x:v>0.0312578338430882</x:v>
      </x:c>
      <x:c r="K13" s="22" t="n">
        <x:f>$F$19+('Assumptions'!$D$8-$F$19)*(K$8-$F$8)/($K$8-$F$8)</x:f>
        <x:v>0.03</x:v>
      </x:c>
    </x:row>
    <x:row r="14" ht="23" customHeight="1">
      <x:c r="A14" t="str">
        <x:v>Capex / revenue</x:v>
      </x:c>
      <x:c r="B14" s="36" t="n">
        <x:f>'Assumptions'!$AN$8</x:f>
        <x:v>0.02</x:v>
      </x:c>
      <x:c r="C14" s="36" t="n">
        <x:f>'Assumptions'!$AO$8</x:f>
        <x:v>0.02</x:v>
      </x:c>
      <x:c r="D14" s="36" t="n">
        <x:f>'Assumptions'!$AP$8</x:f>
        <x:v>0.02</x:v>
      </x:c>
      <x:c r="E14" s="36" t="n">
        <x:f>'Assumptions'!$AQ$8</x:f>
        <x:v>0.02</x:v>
      </x:c>
      <x:c r="F14" s="36" t="n">
        <x:f>'Assumptions'!$AR$8</x:f>
        <x:v>0.02</x:v>
      </x:c>
      <x:c r="G14" s="22" t="n">
        <x:f>$F$14</x:f>
        <x:v>0.02</x:v>
      </x:c>
      <x:c r="H14" s="22" t="n">
        <x:f>$F$14</x:f>
        <x:v>0.02</x:v>
      </x:c>
      <x:c r="I14" s="22" t="n">
        <x:f>$F$14</x:f>
        <x:v>0.02</x:v>
      </x:c>
      <x:c r="J14" s="22" t="n">
        <x:f>$F$14</x:f>
        <x:v>0.02</x:v>
      </x:c>
      <x:c r="K14" s="22" t="n">
        <x:f>$F$14</x:f>
        <x:v>0.02</x:v>
      </x:c>
    </x:row>
    <x:row r="15" ht="23" customHeight="1"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</x:row>
    <x:row r="16" ht="23" customHeight="1">
      <x:c r="A16" t="str">
        <x:v>Primary revenue</x:v>
      </x:c>
      <x:c r="B16" s="34" t="n">
        <x:f>'Inputs'!$D$21*(1+B9)</x:f>
        <x:v>104.35496</x:v>
      </x:c>
      <x:c r="C16" s="34" t="n">
        <x:f>B16*(1+C9)</x:f>
        <x:v>111.65980720000002</x:v>
      </x:c>
      <x:c r="D16" s="34" t="n">
        <x:f>C16*(1+D9)</x:f>
        <x:v>118.35939563200003</x:v>
      </x:c>
      <x:c r="E16" s="34" t="n">
        <x:f>D16*(1+E9)</x:f>
        <x:v>124.27736541360004</x:v>
      </x:c>
      <x:c r="F16" s="34" t="n">
        <x:f>E16*(1+F9)</x:f>
        <x:v>130.49123368428005</x:v>
      </x:c>
      <x:c r="G16" s="34" t="n">
        <x:f>F16*(1+G9)</x:f>
        <x:v>135.06251585462613</x:v>
      </x:c>
      <x:c r="H16" s="34" t="n">
        <x:f>G16*(1+H9)</x:f>
        <x:v>139.62404994038866</x:v>
      </x:c>
      <x:c r="I16" s="34" t="n">
        <x:f>H16*(1+I9)</x:f>
        <x:v>144.16401914924845</x:v>
      </x:c>
      <x:c r="J16" s="34" t="n">
        <x:f>I16*(1+J9)</x:f>
        <x:v>148.67027410596745</x:v>
      </x:c>
      <x:c r="K16" s="34" t="n">
        <x:f>J16*(1+K9)</x:f>
        <x:v>153.13038232914647</x:v>
      </x:c>
    </x:row>
    <x:row r="17" ht="23" customHeight="1">
      <x:c r="A17" t="str">
        <x:v>Secondary revenue</x:v>
      </x:c>
      <x:c r="B17" s="34" t="n">
        <x:f>'Inputs'!$D$22*(1+B10)</x:f>
        <x:v>99.5486</x:v>
      </x:c>
      <x:c r="C17" s="34" t="n">
        <x:f>B17*(1+C10)</x:f>
        <x:v>100.544086</x:v>
      </x:c>
      <x:c r="D17" s="34" t="n">
        <x:f>C17*(1+D10)</x:f>
        <x:v>102.55496772</x:v>
      </x:c>
      <x:c r="E17" s="34" t="n">
        <x:f>D17*(1+E10)</x:f>
        <x:v>104.6060670744</x:v>
      </x:c>
      <x:c r="F17" s="34" t="n">
        <x:f>E17*(1+F10)</x:f>
        <x:v>106.698188415888</x:v>
      </x:c>
      <x:c r="G17" s="34" t="n">
        <x:f>F17*(1+G10)</x:f>
        <x:v>110.43596843790746</x:v>
      </x:c>
      <x:c r="H17" s="34" t="n">
        <x:f>G17*(1+H10)</x:f>
        <x:v>114.16577778683094</x:v>
      </x:c>
      <x:c r="I17" s="34" t="n">
        <x:f>H17*(1+I10)</x:f>
        <x:v>117.8779542784814</x:v>
      </x:c>
      <x:c r="J17" s="34" t="n">
        <x:f>I17*(1+J10)</x:f>
        <x:v>121.56256378708132</x:v>
      </x:c>
      <x:c r="K17" s="34" t="n">
        <x:f>J17*(1+K10)</x:f>
        <x:v>125.20944070069376</x:v>
      </x:c>
    </x:row>
    <x:row r="18" ht="23" customHeight="1">
      <x:c r="A18" s="31" t="str">
        <x:v>Total economic revenue</x:v>
      </x:c>
      <x:c r="B18" s="40" t="n">
        <x:f>SUM(B16:B17)</x:f>
        <x:v>203.90356</x:v>
      </x:c>
      <x:c r="C18" s="40" t="n">
        <x:f>SUM(C16:C17)</x:f>
        <x:v>212.2038932</x:v>
      </x:c>
      <x:c r="D18" s="40" t="n">
        <x:f>SUM(D16:D17)</x:f>
        <x:v>220.914363352</x:v>
      </x:c>
      <x:c r="E18" s="40" t="n">
        <x:f>SUM(E16:E17)</x:f>
        <x:v>228.88343248800004</x:v>
      </x:c>
      <x:c r="F18" s="40" t="n">
        <x:f>SUM(F16:F17)</x:f>
        <x:v>237.18942210016803</x:v>
      </x:c>
      <x:c r="G18" s="40" t="n">
        <x:f>SUM(G16:G17)</x:f>
        <x:v>245.4984842925336</x:v>
      </x:c>
      <x:c r="H18" s="40" t="n">
        <x:f>SUM(H16:H17)</x:f>
        <x:v>253.7898277272196</x:v>
      </x:c>
      <x:c r="I18" s="40" t="n">
        <x:f>SUM(I16:I17)</x:f>
        <x:v>262.04197342772983</x:v>
      </x:c>
      <x:c r="J18" s="40" t="n">
        <x:f>SUM(J16:J17)</x:f>
        <x:v>270.2328378930488</x:v>
      </x:c>
      <x:c r="K18" s="40" t="n">
        <x:f>SUM(K16:K17)</x:f>
        <x:v>278.3398230298402</x:v>
      </x:c>
    </x:row>
    <x:row r="19" ht="23" customHeight="1">
      <x:c r="A19" t="str">
        <x:v>Revenue growth</x:v>
      </x:c>
      <x:c r="B19" s="22" t="n">
        <x:f>B18/'Inputs'!$D$14-1</x:f>
        <x:v>0.007846932521402117</x:v>
      </x:c>
      <x:c r="C19" s="22" t="n">
        <x:f>C18/B18-1</x:f>
        <x:v>0.04070715194967667</x:v>
      </x:c>
      <x:c r="D19" s="22" t="n">
        <x:f>D18/C18-1</x:f>
        <x:v>0.041047645359599816</x:v>
      </x:c>
      <x:c r="E19" s="22" t="n">
        <x:f>E18/D18-1</x:f>
        <x:v>0.03607311455481188</x:v>
      </x:c>
      <x:c r="F19" s="22" t="n">
        <x:f>F18/E18-1</x:f>
        <x:v>0.03628916921544101</x:v>
      </x:c>
      <x:c r="G19" s="22" t="n">
        <x:f>G18/F18-1</x:f>
        <x:v>0.03503133537235281</x:v>
      </x:c>
      <x:c r="H19" s="22" t="n">
        <x:f>H18/G18-1</x:f>
        <x:v>0.033773501529264616</x:v>
      </x:c>
      <x:c r="I19" s="22" t="n">
        <x:f>I18/H18-1</x:f>
        <x:v>0.03251566768617642</x:v>
      </x:c>
      <x:c r="J19" s="22" t="n">
        <x:f>J18/I18-1</x:f>
        <x:v>0.031257833843088445</x:v>
      </x:c>
      <x:c r="K19" s="22" t="n">
        <x:f>K18/J18-1</x:f>
        <x:v>0.029999999999999805</x:v>
      </x:c>
    </x:row>
    <x:row r="20" ht="23" customHeight="1">
      <x:c r="A20" t="str">
        <x:v>Primary profit pool</x:v>
      </x:c>
      <x:c r="B20" s="34" t="n">
        <x:f>B16*B11</x:f>
        <x:v>91.83236480000001</x:v>
      </x:c>
      <x:c r="C20" s="34" t="n">
        <x:f>C16*C11</x:f>
        <x:v>98.26063033600002</x:v>
      </x:c>
      <x:c r="D20" s="34" t="n">
        <x:f>D16*D11</x:f>
        <x:v>104.15626815616002</x:v>
      </x:c>
      <x:c r="E20" s="34" t="n">
        <x:f>E16*E11</x:f>
        <x:v>109.36408156396803</x:v>
      </x:c>
      <x:c r="F20" s="34" t="n">
        <x:f>F16*F11</x:f>
        <x:v>114.83228564216644</x:v>
      </x:c>
      <x:c r="G20" s="34" t="n">
        <x:f>G16*G11</x:f>
        <x:v>118.85501395207099</x:v>
      </x:c>
      <x:c r="H20" s="34" t="n">
        <x:f>H16*H11</x:f>
        <x:v>122.86916394754202</x:v>
      </x:c>
      <x:c r="I20" s="34" t="n">
        <x:f>I16*I11</x:f>
        <x:v>126.86433685133863</x:v>
      </x:c>
      <x:c r="J20" s="34" t="n">
        <x:f>J16*J11</x:f>
        <x:v>130.82984121325137</x:v>
      </x:c>
      <x:c r="K20" s="34" t="n">
        <x:f>K16*K11</x:f>
        <x:v>134.7547364496489</x:v>
      </x:c>
    </x:row>
    <x:row r="21" ht="23" customHeight="1">
      <x:c r="A21" t="str">
        <x:v>Secondary profit pool</x:v>
      </x:c>
      <x:c r="B21" s="34" t="n">
        <x:f>B17*B12</x:f>
        <x:v>25.882635999999998</x:v>
      </x:c>
      <x:c r="C21" s="34" t="n">
        <x:f>C17*C12</x:f>
        <x:v>27.14690322</x:v>
      </x:c>
      <x:c r="D21" s="34" t="n">
        <x:f>D17*D12</x:f>
        <x:v>27.6898412844</x:v>
      </x:c>
      <x:c r="E21" s="34" t="n">
        <x:f>E17*E12</x:f>
        <x:v>28.243638110088003</x:v>
      </x:c>
      <x:c r="F21" s="34" t="n">
        <x:f>F17*F12</x:f>
        <x:v>28.808510872289762</x:v>
      </x:c>
      <x:c r="G21" s="34" t="n">
        <x:f>G17*G12</x:f>
        <x:v>29.817711478235015</x:v>
      </x:c>
      <x:c r="H21" s="34" t="n">
        <x:f>H17*H12</x:f>
        <x:v>30.824760002444357</x:v>
      </x:c>
      <x:c r="I21" s="34" t="n">
        <x:f>I17*I12</x:f>
        <x:v>31.82704765518998</x:v>
      </x:c>
      <x:c r="J21" s="34" t="n">
        <x:f>J17*J12</x:f>
        <x:v>32.821892222511956</x:v>
      </x:c>
      <x:c r="K21" s="34" t="n">
        <x:f>K17*K12</x:f>
        <x:v>33.80654898918732</x:v>
      </x:c>
    </x:row>
    <x:row r="22" ht="23" customHeight="1">
      <x:c r="A22" t="str">
        <x:v>Less: overhead / corporate</x:v>
      </x:c>
      <x:c r="B22" s="34" t="n">
        <x:f>-'Inputs'!$D$23*(1+B13)</x:f>
        <x:v>-62.223710000000004</x:v>
      </x:c>
      <x:c r="C22" s="34" t="n">
        <x:f>B22*(1+C13)</x:f>
        <x:v>-66.57936970000002</x:v>
      </x:c>
      <x:c r="D22" s="34" t="n">
        <x:f>C22*(1+D13)</x:f>
        <x:v>-71.23992557900002</x:v>
      </x:c>
      <x:c r="E22" s="34" t="n">
        <x:f>D22*(1+E13)</x:f>
        <x:v>-76.22672036953001</x:v>
      </x:c>
      <x:c r="F22" s="34" t="n">
        <x:f>E22*(1+F13)</x:f>
        <x:v>-81.56259079539711</x:v>
      </x:c>
      <x:c r="G22" s="34" t="n">
        <x:f>F22*(1+G13)</x:f>
        <x:v>-84.41983726738864</x:v>
      </x:c>
      <x:c r="H22" s="34" t="n">
        <x:f>G22*(1+H13)</x:f>
        <x:v>-87.27099077043907</x:v>
      </x:c>
      <x:c r="I22" s="34" t="n">
        <x:f>H22*(1+I13)</x:f>
        <x:v>-90.10866530497404</x:v>
      </x:c>
      <x:c r="J22" s="34" t="n">
        <x:f>I22*(1+J13)</x:f>
        <x:v>-92.92526699289937</x:v>
      </x:c>
      <x:c r="K22" s="34" t="n">
        <x:f>J22*(1+K13)</x:f>
        <x:v>-95.71302500268635</x:v>
      </x:c>
    </x:row>
    <x:row r="23" ht="23" customHeight="1">
      <x:c r="A23" t="str">
        <x:v>Additional fee profit</x:v>
      </x:c>
      <x:c r="B23" s="34" t="n">
        <x:f>0</x:f>
        <x:v>0</x:v>
      </x:c>
      <x:c r="C23" s="34" t="n">
        <x:f>0</x:f>
        <x:v>0</x:v>
      </x:c>
      <x:c r="D23" s="34" t="n">
        <x:f>0</x:f>
        <x:v>0</x:v>
      </x:c>
      <x:c r="E23" s="34" t="n">
        <x:f>0</x:f>
        <x:v>0</x:v>
      </x:c>
      <x:c r="F23" s="34" t="n">
        <x:f>0</x:f>
        <x:v>0</x:v>
      </x:c>
      <x:c r="G23" s="34" t="n">
        <x:f>0</x:f>
        <x:v>0</x:v>
      </x:c>
      <x:c r="H23" s="34" t="n">
        <x:f>0</x:f>
        <x:v>0</x:v>
      </x:c>
      <x:c r="I23" s="34" t="n">
        <x:f>0</x:f>
        <x:v>0</x:v>
      </x:c>
      <x:c r="J23" s="34" t="n">
        <x:f>0</x:f>
        <x:v>0</x:v>
      </x:c>
      <x:c r="K23" s="34" t="n">
        <x:f>0</x:f>
        <x:v>0</x:v>
      </x:c>
    </x:row>
    <x:row r="24" ht="23" customHeight="1">
      <x:c r="A24" s="31" t="str">
        <x:v>Operating income after recurring SBC</x:v>
      </x:c>
      <x:c r="B24" s="40" t="n">
        <x:f>SUM(B20:B23)</x:f>
        <x:v>55.49129080000001</x:v>
      </x:c>
      <x:c r="C24" s="40" t="n">
        <x:f>SUM(C20:C23)</x:f>
        <x:v>58.828163856</x:v>
      </x:c>
      <x:c r="D24" s="40" t="n">
        <x:f>SUM(D20:D23)</x:f>
        <x:v>60.60618386156</x:v>
      </x:c>
      <x:c r="E24" s="40" t="n">
        <x:f>SUM(E20:E23)</x:f>
        <x:v>61.380999304526014</x:v>
      </x:c>
      <x:c r="F24" s="40" t="n">
        <x:f>SUM(F20:F23)</x:f>
        <x:v>62.0782057190591</x:v>
      </x:c>
      <x:c r="G24" s="40" t="n">
        <x:f>SUM(G20:G23)</x:f>
        <x:v>64.25288816291736</x:v>
      </x:c>
      <x:c r="H24" s="40" t="n">
        <x:f>SUM(H20:H23)</x:f>
        <x:v>66.42293317954731</x:v>
      </x:c>
      <x:c r="I24" s="40" t="n">
        <x:f>SUM(I20:I23)</x:f>
        <x:v>68.58271920155457</x:v>
      </x:c>
      <x:c r="J24" s="40" t="n">
        <x:f>SUM(J20:J23)</x:f>
        <x:v>70.72646644286397</x:v>
      </x:c>
      <x:c r="K24" s="40" t="n">
        <x:f>SUM(K20:K23)</x:f>
        <x:v>72.84826043614987</x:v>
      </x:c>
    </x:row>
    <x:row r="25" ht="23" customHeight="1">
      <x:c r="A25" t="str">
        <x:v>Operating margin</x:v>
      </x:c>
      <x:c r="B25" s="22" t="n">
        <x:f>B24/B18</x:f>
        <x:v>0.2721447864863174</x:v>
      </x:c>
      <x:c r="C25" s="22" t="n">
        <x:f>C24/C18</x:f>
        <x:v>0.27722471519669556</x:v>
      </x:c>
      <x:c r="D25" s="22" t="n">
        <x:f>D24/D18</x:f>
        <x:v>0.2743424327054346</x:v>
      </x:c>
      <x:c r="E25" s="22" t="n">
        <x:f>E24/E18</x:f>
        <x:v>0.2681758073850282</x:v>
      </x:c>
      <x:c r="F25" s="22" t="n">
        <x:f>F24/F18</x:f>
        <x:v>0.2617241745833113</x:v>
      </x:c>
      <x:c r="G25" s="22" t="n">
        <x:f>G24/G18</x:f>
        <x:v>0.26172417458331126</x:v>
      </x:c>
      <x:c r="H25" s="22" t="n">
        <x:f>H24/H18</x:f>
        <x:v>0.26172417458331126</x:v>
      </x:c>
      <x:c r="I25" s="22" t="n">
        <x:f>I24/I18</x:f>
        <x:v>0.26172417458331126</x:v>
      </x:c>
      <x:c r="J25" s="22" t="n">
        <x:f>J24/J18</x:f>
        <x:v>0.2617241745833113</x:v>
      </x:c>
      <x:c r="K25" s="22" t="n">
        <x:f>K24/K18</x:f>
        <x:v>0.2617241745833113</x:v>
      </x:c>
    </x:row>
    <x:row r="26" ht="23" customHeight="1">
      <x:c r="A26" t="str">
        <x:v>After-tax operating profit</x:v>
      </x:c>
      <x:c r="B26" s="34" t="n">
        <x:f>B24*(1-'Assumptions'!$F$8)</x:f>
        <x:v>42.728293916000005</x:v>
      </x:c>
      <x:c r="C26" s="34" t="n">
        <x:f>C24*(1-'Assumptions'!$F$8)</x:f>
        <x:v>45.297686169120006</x:v>
      </x:c>
      <x:c r="D26" s="34" t="n">
        <x:f>D24*(1-'Assumptions'!$F$8)</x:f>
        <x:v>46.6667615734012</x:v>
      </x:c>
      <x:c r="E26" s="34" t="n">
        <x:f>E24*(1-'Assumptions'!$F$8)</x:f>
        <x:v>47.26336946448503</x:v>
      </x:c>
      <x:c r="F26" s="34" t="n">
        <x:f>F24*(1-'Assumptions'!$F$8)</x:f>
        <x:v>47.80021840367551</x:v>
      </x:c>
      <x:c r="G26" s="34" t="n">
        <x:f>G24*(1-'Assumptions'!$F$8)</x:f>
        <x:v>49.474723885446366</x:v>
      </x:c>
      <x:c r="H26" s="34" t="n">
        <x:f>H24*(1-'Assumptions'!$F$8)</x:f>
        <x:v>51.14565854825143</x:v>
      </x:c>
      <x:c r="I26" s="34" t="n">
        <x:f>I24*(1-'Assumptions'!$F$8)</x:f>
        <x:v>52.808693785197015</x:v>
      </x:c>
      <x:c r="J26" s="34" t="n">
        <x:f>J24*(1-'Assumptions'!$F$8)</x:f>
        <x:v>54.45937916100525</x:v>
      </x:c>
      <x:c r="K26" s="34" t="n">
        <x:f>K24*(1-'Assumptions'!$F$8)</x:f>
        <x:v>56.0931605358354</x:v>
      </x:c>
    </x:row>
    <x:row r="27" ht="23" customHeight="1">
      <x:c r="A27" t="str">
        <x:v>Add: depreciation &amp; amortization</x:v>
      </x:c>
      <x:c r="B27" s="34" t="n">
        <x:f>B18*'Assumptions'!$G$8</x:f>
        <x:v>2.2429391599999997</x:v>
      </x:c>
      <x:c r="C27" s="34" t="n">
        <x:f>C18*'Assumptions'!$G$8</x:f>
        <x:v>2.3342428252</x:v>
      </x:c>
      <x:c r="D27" s="34" t="n">
        <x:f>D18*'Assumptions'!$G$8</x:f>
        <x:v>2.4300579968719997</x:v>
      </x:c>
      <x:c r="E27" s="34" t="n">
        <x:f>E18*'Assumptions'!$G$8</x:f>
        <x:v>2.517717757368</x:v>
      </x:c>
      <x:c r="F27" s="34" t="n">
        <x:f>F18*'Assumptions'!$G$8</x:f>
        <x:v>2.6090836431018483</x:v>
      </x:c>
      <x:c r="G27" s="34" t="n">
        <x:f>G18*'Assumptions'!$G$8</x:f>
        <x:v>2.7004833272178694</x:v>
      </x:c>
      <x:c r="H27" s="34" t="n">
        <x:f>H18*'Assumptions'!$G$8</x:f>
        <x:v>2.7916881049994156</x:v>
      </x:c>
      <x:c r="I27" s="34" t="n">
        <x:f>I18*'Assumptions'!$G$8</x:f>
        <x:v>2.882461707705028</x:v>
      </x:c>
      <x:c r="J27" s="34" t="n">
        <x:f>J18*'Assumptions'!$G$8</x:f>
        <x:v>2.9725612168235362</x:v>
      </x:c>
      <x:c r="K27" s="34" t="n">
        <x:f>K18*'Assumptions'!$G$8</x:f>
        <x:v>3.061738053328242</x:v>
      </x:c>
    </x:row>
    <x:row r="28" ht="23" customHeight="1">
      <x:c r="A28" t="str">
        <x:v>Less: investment incl. software</x:v>
      </x:c>
      <x:c r="B28" s="34" t="n">
        <x:f>-B18*B14</x:f>
        <x:v>-4.0780712</x:v>
      </x:c>
      <x:c r="C28" s="34" t="n">
        <x:f>-C18*C14</x:f>
        <x:v>-4.244077864</x:v>
      </x:c>
      <x:c r="D28" s="34" t="n">
        <x:f>-D18*D14</x:f>
        <x:v>-4.41828726704</x:v>
      </x:c>
      <x:c r="E28" s="34" t="n">
        <x:f>-E18*E14</x:f>
        <x:v>-4.5776686497600005</x:v>
      </x:c>
      <x:c r="F28" s="34" t="n">
        <x:f>-F18*F14</x:f>
        <x:v>-4.7437884420033605</x:v>
      </x:c>
      <x:c r="G28" s="34" t="n">
        <x:f>-G18*G14</x:f>
        <x:v>-4.909969685850672</x:v>
      </x:c>
      <x:c r="H28" s="34" t="n">
        <x:f>-H18*H14</x:f>
        <x:v>-5.075796554544392</x:v>
      </x:c>
      <x:c r="I28" s="34" t="n">
        <x:f>-I18*I14</x:f>
        <x:v>-5.240839468554596</x:v>
      </x:c>
      <x:c r="J28" s="34" t="n">
        <x:f>-J18*J14</x:f>
        <x:v>-5.404656757860976</x:v>
      </x:c>
      <x:c r="K28" s="34" t="n">
        <x:f>-K18*K14</x:f>
        <x:v>-5.566796460596804</x:v>
      </x:c>
    </x:row>
    <x:row r="29" ht="23" customHeight="1">
      <x:c r="A29" t="str">
        <x:v>Less: incremental working capital</x:v>
      </x:c>
      <x:c r="B29" s="34" t="n">
        <x:f>-(B18-'Inputs'!$D$14)*'Assumptions'!$H$8</x:f>
        <x:v>-0.20638279999999953</x:v>
      </x:c>
      <x:c r="C29" s="34" t="n">
        <x:f>-(C18-B18)*'Assumptions'!$H$8</x:f>
        <x:v>-1.0790433160000015</x:v>
      </x:c>
      <x:c r="D29" s="34" t="n">
        <x:f>-(D18-C18)*'Assumptions'!$H$8</x:f>
        <x:v>-1.1323611197599999</x:v>
      </x:c>
      <x:c r="E29" s="34" t="n">
        <x:f>-(E18-D18)*'Assumptions'!$H$8</x:f>
        <x:v>-1.0359789876800038</x:v>
      </x:c>
      <x:c r="F29" s="34" t="n">
        <x:f>-(F18-E18)*'Assumptions'!$H$8</x:f>
        <x:v>-1.079778649581839</x:v>
      </x:c>
      <x:c r="G29" s="34" t="n">
        <x:f>-(G18-F18)*'Assumptions'!$H$8</x:f>
        <x:v>-1.0801780850075227</x:v>
      </x:c>
      <x:c r="H29" s="34" t="n">
        <x:f>-(H18-G18)*'Assumptions'!$H$8</x:f>
        <x:v>-1.0778746465091817</x:v>
      </x:c>
      <x:c r="I29" s="34" t="n">
        <x:f>-(I18-H18)*'Assumptions'!$H$8</x:f>
        <x:v>-1.0727789410663295</x:v>
      </x:c>
      <x:c r="J29" s="34" t="n">
        <x:f>-(J18-I18)*'Assumptions'!$H$8</x:f>
        <x:v>-1.064812380491464</x:v>
      </x:c>
      <x:c r="K29" s="34" t="n">
        <x:f>-(K18-J18)*'Assumptions'!$H$8</x:f>
        <x:v>-1.053908067782885</x:v>
      </x:c>
    </x:row>
    <x:row r="30" ht="23" customHeight="1">
      <x:c r="A30" t="str">
        <x:v>Less: specified cash shock</x:v>
      </x:c>
      <x:c r="B30" s="34" t="n">
        <x:f>-'Assumptions'!$I$8</x:f>
        <x:v>0</x:v>
      </x:c>
      <x:c r="C30" s="34" t="n">
        <x:f>0</x:f>
        <x:v>0</x:v>
      </x:c>
      <x:c r="D30" s="34" t="n">
        <x:f>0</x:f>
        <x:v>0</x:v>
      </x:c>
      <x:c r="E30" s="34" t="n">
        <x:f>0</x:f>
        <x:v>0</x:v>
      </x:c>
      <x:c r="F30" s="34" t="n">
        <x:f>0</x:f>
        <x:v>0</x:v>
      </x:c>
      <x:c r="G30" s="34" t="n">
        <x:f>0</x:f>
        <x:v>0</x:v>
      </x:c>
      <x:c r="H30" s="34" t="n">
        <x:f>0</x:f>
        <x:v>0</x:v>
      </x:c>
      <x:c r="I30" s="34" t="n">
        <x:f>0</x:f>
        <x:v>0</x:v>
      </x:c>
      <x:c r="J30" s="34" t="n">
        <x:f>0</x:f>
        <x:v>0</x:v>
      </x:c>
      <x:c r="K30" s="34" t="n">
        <x:f>0</x:f>
        <x:v>0</x:v>
      </x:c>
    </x:row>
    <x:row r="31" ht="23" customHeight="1">
      <x:c r="A31" s="31" t="str">
        <x:v>Owner-economic unlevered cash flow</x:v>
      </x:c>
      <x:c r="B31" s="40" t="n">
        <x:f>SUM(B26:B30)</x:f>
        <x:v>40.68677907600001</x:v>
      </x:c>
      <x:c r="C31" s="40" t="n">
        <x:f>SUM(C26:C30)</x:f>
        <x:v>42.308807814320005</x:v>
      </x:c>
      <x:c r="D31" s="40" t="n">
        <x:f>SUM(D26:D30)</x:f>
        <x:v>43.546171183473206</x:v>
      </x:c>
      <x:c r="E31" s="40" t="n">
        <x:f>SUM(E26:E30)</x:f>
        <x:v>44.167439584413025</x:v>
      </x:c>
      <x:c r="F31" s="40" t="n">
        <x:f>SUM(F26:F30)</x:f>
        <x:v>44.58573495519215</x:v>
      </x:c>
      <x:c r="G31" s="40" t="n">
        <x:f>SUM(G26:G30)</x:f>
        <x:v>46.18505944180604</x:v>
      </x:c>
      <x:c r="H31" s="40" t="n">
        <x:f>SUM(H26:H30)</x:f>
        <x:v>47.78367545219728</x:v>
      </x:c>
      <x:c r="I31" s="40" t="n">
        <x:f>SUM(I26:I30)</x:f>
        <x:v>49.37753708328111</x:v>
      </x:c>
      <x:c r="J31" s="40" t="n">
        <x:f>SUM(J26:J30)</x:f>
        <x:v>50.96247123947634</x:v>
      </x:c>
      <x:c r="K31" s="40" t="n">
        <x:f>SUM(K26:K30)</x:f>
        <x:v>52.53419406078395</x:v>
      </x:c>
    </x:row>
    <x:row r="32" ht="23" customHeight="1">
      <x:c r="A32" t="str">
        <x:v>Discount factor</x:v>
      </x:c>
      <x:c r="B32" s="22" t="n">
        <x:f>1/(1+'Assumptions'!$C$8)^B$8</x:f>
        <x:v>0.9090909090909091</x:v>
      </x:c>
      <x:c r="C32" s="22" t="n">
        <x:f>1/(1+'Assumptions'!$C$8)^C$8</x:f>
        <x:v>0.8264462809917354</x:v>
      </x:c>
      <x:c r="D32" s="22" t="n">
        <x:f>1/(1+'Assumptions'!$C$8)^D$8</x:f>
        <x:v>0.7513148009015775</x:v>
      </x:c>
      <x:c r="E32" s="22" t="n">
        <x:f>1/(1+'Assumptions'!$C$8)^E$8</x:f>
        <x:v>0.6830134553650705</x:v>
      </x:c>
      <x:c r="F32" s="22" t="n">
        <x:f>1/(1+'Assumptions'!$C$8)^F$8</x:f>
        <x:v>0.6209213230591549</x:v>
      </x:c>
      <x:c r="G32" s="22" t="n">
        <x:f>1/(1+'Assumptions'!$C$8)^G$8</x:f>
        <x:v>0.5644739300537772</x:v>
      </x:c>
      <x:c r="H32" s="22" t="n">
        <x:f>1/(1+'Assumptions'!$C$8)^H$8</x:f>
        <x:v>0.5131581182307065</x:v>
      </x:c>
      <x:c r="I32" s="22" t="n">
        <x:f>1/(1+'Assumptions'!$C$8)^I$8</x:f>
        <x:v>0.46650738020973315</x:v>
      </x:c>
      <x:c r="J32" s="22" t="n">
        <x:f>1/(1+'Assumptions'!$C$8)^J$8</x:f>
        <x:v>0.42409761837248466</x:v>
      </x:c>
      <x:c r="K32" s="22" t="n">
        <x:f>1/(1+'Assumptions'!$C$8)^K$8</x:f>
        <x:v>0.3855432894295315</x:v>
      </x:c>
    </x:row>
    <x:row r="33" ht="23" customHeight="1">
      <x:c r="A33" s="31" t="str">
        <x:v>Present value</x:v>
      </x:c>
      <x:c r="B33" s="40" t="n">
        <x:f>B31*B32</x:f>
        <x:v>36.987980978181824</x:v>
      </x:c>
      <x:c r="C33" s="40" t="n">
        <x:f>C31*C32</x:f>
        <x:v>34.96595687133885</x:v>
      </x:c>
      <x:c r="D33" s="40" t="n">
        <x:f>D31*D32</x:f>
        <x:v>32.716882932737185</x:v>
      </x:c>
      <x:c r="E33" s="40" t="n">
        <x:f>E31*E32</x:f>
        <x:v>30.166955525177933</x:v>
      </x:c>
      <x:c r="F33" s="40" t="n">
        <x:f>F31*F32</x:f>
        <x:v>27.684233537942724</x:v>
      </x:c>
      <x:c r="G33" s="40" t="n">
        <x:f>G31*G32</x:f>
        <x:v>26.070262012883564</x:v>
      </x:c>
      <x:c r="H33" s="40" t="n">
        <x:f>H31*H32</x:f>
        <x:v>24.520580977196357</x:v>
      </x:c>
      <x:c r="I33" s="40" t="n">
        <x:f>I31*I32</x:f>
        <x:v>23.03498546593042</x:v>
      </x:c>
      <x:c r="J33" s="40" t="n">
        <x:f>J31*J32</x:f>
        <x:v>21.613062679038165</x:v>
      </x:c>
      <x:c r="K33" s="40" t="n">
        <x:f>K31*K32</x:f>
        <x:v>20.254205985724003</x:v>
      </x:c>
    </x:row>
    <x:row r="34" ht="23" customHeight="1">
      <x:c r="A34" t="str">
        <x:v>Discount factor at 12%</x:v>
      </x:c>
      <x:c r="B34" s="22" t="n">
        <x:f>1/(1+'Controls'!$B$3)^B$8</x:f>
        <x:v>0.8928571428571428</x:v>
      </x:c>
      <x:c r="C34" s="22" t="n">
        <x:f>1/(1+'Controls'!$B$3)^C$8</x:f>
        <x:v>0.7971938775510203</x:v>
      </x:c>
      <x:c r="D34" s="22" t="n">
        <x:f>1/(1+'Controls'!$B$3)^D$8</x:f>
        <x:v>0.7117802478134109</x:v>
      </x:c>
      <x:c r="E34" s="22" t="n">
        <x:f>1/(1+'Controls'!$B$3)^E$8</x:f>
        <x:v>0.6355180784048312</x:v>
      </x:c>
      <x:c r="F34" s="22" t="n">
        <x:f>1/(1+'Controls'!$B$3)^F$8</x:f>
        <x:v>0.5674268557185992</x:v>
      </x:c>
      <x:c r="G34" s="22" t="n">
        <x:f>1/(1+'Controls'!$B$3)^G$8</x:f>
        <x:v>0.5066311211773207</x:v>
      </x:c>
      <x:c r="H34" s="22" t="n">
        <x:f>1/(1+'Controls'!$B$3)^H$8</x:f>
        <x:v>0.45234921533689343</x:v>
      </x:c>
      <x:c r="I34" s="22" t="n">
        <x:f>1/(1+'Controls'!$B$3)^I$8</x:f>
        <x:v>0.4038832279793691</x:v>
      </x:c>
      <x:c r="J34" s="22" t="n">
        <x:f>1/(1+'Controls'!$B$3)^J$8</x:f>
        <x:v>0.36061002498157957</x:v>
      </x:c>
      <x:c r="K34" s="22" t="n">
        <x:f>1/(1+'Controls'!$B$3)^K$8</x:f>
        <x:v>0.321973236590696</x:v>
      </x:c>
    </x:row>
    <x:row r="36" ht="25" customHeight="1">
      <x:c r="A36" t="str">
        <x:v>Year 11 after-tax operating profit</x:v>
      </x:c>
      <x:c r="B36" s="34" t="n">
        <x:f>K26*(1+'Assumptions'!$D$8)</x:f>
        <x:v>57.77595535191047</x:v>
      </x:c>
    </x:row>
    <x:row r="37" ht="25" customHeight="1">
      <x:c r="A37" t="str">
        <x:v>Less: terminal reinvestment</x:v>
      </x:c>
      <x:c r="B37" s="34" t="n">
        <x:f>-B36*'Assumptions'!$D$8/'Assumptions'!$E$8</x:f>
        <x:v>-8.66639330278657</x:v>
      </x:c>
      <x:c r="D37" s="24" t="str">
        <x:v>This is an operating scenario, not a statistical confidence interval. Terminal growth requires reinvestment. Latest-quarter capital structure is not a complete September roll-forward. See company decision notes for remaining unknowns. MOD scenarios assume the transaction closes; WINA core revenue excludes offsetting fee programs.</x:v>
      </x:c>
      <x:c r="E37" s="24"/>
      <x:c r="F37" s="24"/>
      <x:c r="G37" s="24"/>
      <x:c r="H37" s="24"/>
      <x:c r="I37" s="24"/>
      <x:c r="J37" s="24"/>
      <x:c r="K37" s="24"/>
    </x:row>
    <x:row r="38" ht="25" customHeight="1">
      <x:c r="A38" t="str">
        <x:v>Terminal cash flow</x:v>
      </x:c>
      <x:c r="B38" s="34" t="n">
        <x:f>SUM(B36:B37)</x:f>
        <x:v>49.109562049123895</x:v>
      </x:c>
      <x:c r="D38" s="24"/>
      <x:c r="E38" s="24"/>
      <x:c r="F38" s="24"/>
      <x:c r="G38" s="24"/>
      <x:c r="H38" s="24"/>
      <x:c r="I38" s="24"/>
      <x:c r="J38" s="24"/>
      <x:c r="K38" s="24"/>
    </x:row>
    <x:row r="39" ht="25" customHeight="1">
      <x:c r="A39" t="str">
        <x:v>Terminal operating value</x:v>
      </x:c>
      <x:c r="B39" s="34" t="n">
        <x:f>B38/('Assumptions'!$C$8-'Assumptions'!$D$8)</x:f>
        <x:v>701.5651721303412</x:v>
      </x:c>
      <x:c r="D39" s="24"/>
      <x:c r="E39" s="24"/>
      <x:c r="F39" s="24"/>
      <x:c r="G39" s="24"/>
      <x:c r="H39" s="24"/>
      <x:c r="I39" s="24"/>
      <x:c r="J39" s="24"/>
      <x:c r="K39" s="24"/>
    </x:row>
    <x:row r="40" ht="25" customHeight="1">
      <x:c r="A40" t="str">
        <x:v>PV terminal value</x:v>
      </x:c>
      <x:c r="B40" s="34" t="n">
        <x:f>B39*K32</x:f>
        <x:v>270.4837442123272</x:v>
      </x:c>
      <x:c r="D40" s="24"/>
      <x:c r="E40" s="24"/>
      <x:c r="F40" s="24"/>
      <x:c r="G40" s="24"/>
      <x:c r="H40" s="24"/>
      <x:c r="I40" s="24"/>
      <x:c r="J40" s="24"/>
      <x:c r="K40" s="24"/>
    </x:row>
    <x:row r="41" ht="25" customHeight="1">
      <x:c r="A41" t="str">
        <x:v>PV explicit forecast</x:v>
      </x:c>
      <x:c r="B41" s="34" t="n">
        <x:f>SUM(B33:K33)</x:f>
        <x:v>278.01510696615105</x:v>
      </x:c>
      <x:c r="D41" s="24"/>
      <x:c r="E41" s="24"/>
      <x:c r="F41" s="24"/>
      <x:c r="G41" s="24"/>
      <x:c r="H41" s="24"/>
      <x:c r="I41" s="24"/>
      <x:c r="J41" s="24"/>
      <x:c r="K41" s="24"/>
    </x:row>
    <x:row r="42" ht="25" customHeight="1">
      <x:c r="A42" s="84" t="str">
        <x:v>Operating enterprise value</x:v>
      </x:c>
      <x:c r="B42" s="85" t="n">
        <x:f>SUM(B40:B41)</x:f>
        <x:v>548.4988511784783</x:v>
      </x:c>
      <x:c r="D42" s="24"/>
      <x:c r="E42" s="24"/>
      <x:c r="F42" s="24"/>
      <x:c r="G42" s="24"/>
      <x:c r="H42" s="24"/>
      <x:c r="I42" s="24"/>
      <x:c r="J42" s="24"/>
      <x:c r="K42" s="24"/>
    </x:row>
    <x:row r="43" ht="25" customHeight="1">
      <x:c r="A43" t="str">
        <x:v>Cash / claims / transaction bridge</x:v>
      </x:c>
      <x:c r="B43" s="34" t="n">
        <x:f>'Inputs'!$D$6-'Inputs'!$D$7-'Inputs'!$D$9-'Inputs'!$D$10-'Inputs'!$D$11+'Inputs'!$D$12*'Inputs'!$D$13</x:f>
        <x:v>101.2</x:v>
      </x:c>
      <x:c r="D43" s="24"/>
      <x:c r="E43" s="24"/>
      <x:c r="F43" s="24"/>
      <x:c r="G43" s="24"/>
      <x:c r="H43" s="24"/>
      <x:c r="I43" s="24"/>
      <x:c r="J43" s="24"/>
      <x:c r="K43" s="24"/>
    </x:row>
    <x:row r="44" ht="25" customHeight="1">
      <x:c r="A44" s="84" t="str">
        <x:v>Common equity value</x:v>
      </x:c>
      <x:c r="B44" s="85" t="n">
        <x:f>SUM(B42:B43)</x:f>
        <x:v>649.6988511784783</x:v>
      </x:c>
      <x:c r="D44" s="24"/>
      <x:c r="E44" s="24"/>
      <x:c r="F44" s="24"/>
      <x:c r="G44" s="24"/>
      <x:c r="H44" s="24"/>
      <x:c r="I44" s="24"/>
      <x:c r="J44" s="24"/>
      <x:c r="K44" s="24"/>
    </x:row>
    <x:row r="45" ht="25" customHeight="1">
      <x:c r="A45" t="str">
        <x:v>Value / share: debt endpoint</x:v>
      </x:c>
      <x:c r="B45" s="42" t="n">
        <x:f>B44/'Inputs'!$D$8</x:f>
        <x:v>18.101999141246505</x:v>
      </x:c>
    </x:row>
    <x:row r="46" ht="25" customHeight="1">
      <x:c r="A46" t="str">
        <x:v>Value / share: if-converted endpoint</x:v>
      </x:c>
      <x:c r="B46" s="42" t="n">
        <x:f>B45</x:f>
        <x:v>18.101999141246505</x:v>
      </x:c>
    </x:row>
    <x:row r="47" ht="25" customHeight="1">
      <x:c r="A47" s="88" t="str">
        <x:v>Conditional intrinsic value / share</x:v>
      </x:c>
      <x:c r="B47" s="89" t="n">
        <x:f>B45</x:f>
        <x:v>18.101999141246505</x:v>
      </x:c>
    </x:row>
    <x:row r="48" ht="25" customHeight="1">
      <x:c r="A48" t="str">
        <x:v>Value versus quote</x:v>
      </x:c>
      <x:c r="B48" s="22" t="n">
        <x:f>B47/'Inputs'!$D$5-1</x:f>
        <x:v>-0.5108889721360036</x:v>
      </x:c>
    </x:row>
    <x:row r="49" ht="25" customHeight="1">
      <x:c r="A49" t="str">
        <x:v>Terminal share of operating EV</x:v>
      </x:c>
      <x:c r="B49" s="22" t="n">
        <x:f>B40/B42</x:f>
        <x:v>0.4931345683426298</x:v>
      </x:c>
    </x:row>
    <x:row r="50" ht="25" customHeight="1">
      <x:c r="A50" t="str">
        <x:v>Value at 12% enterprise discount</x:v>
      </x:c>
      <x:c r="B50" s="42" t="n">
        <x:f>(SUMPRODUCT(B31:K31,B34:K34)+B38/('Controls'!$B$3-'Assumptions'!$D$8)*K34+B43)/'Inputs'!$D$8</x:f>
        <x:v>14.810303202880464</x:v>
      </x:c>
    </x:row>
    <x:row r="51" ht="25" customHeight="1">
      <x:c r="A51" t="str">
        <x:v>Price-implied operating EV</x:v>
      </x:c>
      <x:c r="B51" s="34" t="n">
        <x:f>'Inputs'!$D$5*'Inputs'!$D$8-B43</x:f>
        <x:v>1227.1259099999997</x:v>
      </x:c>
    </x:row>
    <x:row r="55" ht="29" customHeight="1">
      <x:c r="A55" s="27" t="str">
        <x:v>BASE | conditional operating path, not probability band</x:v>
      </x:c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</x:row>
    <x:row r="57">
      <x:c r="A57" t="str">
        <x:v>Discount rate</x:v>
      </x:c>
      <x:c r="B57" s="22" t="n">
        <x:f>'Assumptions'!$C$9</x:f>
        <x:v>0.1</x:v>
      </x:c>
      <x:c r="C57" t="str">
        <x:v>Terminal growth</x:v>
      </x:c>
      <x:c r="D57" s="22" t="n">
        <x:f>'Assumptions'!$D$9</x:f>
        <x:v>0.03</x:v>
      </x:c>
      <x:c r="E57" t="str">
        <x:v>Tax</x:v>
      </x:c>
      <x:c r="F57" s="22" t="n">
        <x:f>'Assumptions'!$F$9</x:f>
        <x:v>0.18</x:v>
      </x:c>
      <x:c r="G57" t="str">
        <x:v>Terminal ROIC</x:v>
      </x:c>
      <x:c r="H57" s="22" t="n">
        <x:f>'Assumptions'!$E$9</x:f>
        <x:v>0.3</x:v>
      </x:c>
      <x:c r="I57"/>
      <x:c r="J57"/>
      <x:c r="K57"/>
    </x:row>
    <x:row r="59" ht="24" customHeight="1">
      <x:c r="A59" s="31" t="str">
        <x:v>Economic year</x:v>
      </x:c>
      <x:c r="B59" s="31" t="n">
        <x:v>1</x:v>
      </x:c>
      <x:c r="C59" s="31" t="n">
        <x:v>2</x:v>
      </x:c>
      <x:c r="D59" s="31" t="n">
        <x:v>3</x:v>
      </x:c>
      <x:c r="E59" s="31" t="n">
        <x:v>4</x:v>
      </x:c>
      <x:c r="F59" s="31" t="n">
        <x:v>5</x:v>
      </x:c>
      <x:c r="G59" s="31" t="n">
        <x:v>6</x:v>
      </x:c>
      <x:c r="H59" s="31" t="n">
        <x:v>7</x:v>
      </x:c>
      <x:c r="I59" s="31" t="n">
        <x:v>8</x:v>
      </x:c>
      <x:c r="J59" s="31" t="n">
        <x:v>9</x:v>
      </x:c>
      <x:c r="K59" s="31" t="n">
        <x:v>10</x:v>
      </x:c>
    </x:row>
    <x:row r="60" ht="23" customHeight="1">
      <x:c r="A60" t="str">
        <x:v>Primary revenue growth</x:v>
      </x:c>
      <x:c r="B60" s="36" t="n">
        <x:f>'Assumptions'!$O$9</x:f>
        <x:v>0.13</x:v>
      </x:c>
      <x:c r="C60" s="36" t="n">
        <x:f>'Assumptions'!$P$9</x:f>
        <x:v>0.12</x:v>
      </x:c>
      <x:c r="D60" s="36" t="n">
        <x:f>'Assumptions'!$Q$9</x:f>
        <x:v>0.11</x:v>
      </x:c>
      <x:c r="E60" s="36" t="n">
        <x:f>'Assumptions'!$R$9</x:f>
        <x:v>0.1</x:v>
      </x:c>
      <x:c r="F60" s="36" t="n">
        <x:f>'Assumptions'!$S$9</x:f>
        <x:v>0.09</x:v>
      </x:c>
      <x:c r="G60" s="22" t="n">
        <x:f>$F$70+('Assumptions'!$D$9-$F$70)*(G$59-$F$59)/($K$59-$F$59)</x:f>
        <x:v>0.057042790560462235</x:v>
      </x:c>
      <x:c r="H60" s="22" t="n">
        <x:f>$F$70+('Assumptions'!$D$9-$F$70)*(H$59-$F$59)/($K$59-$F$59)</x:f>
        <x:v>0.050282092920346674</x:v>
      </x:c>
      <x:c r="I60" s="22" t="n">
        <x:f>$F$70+('Assumptions'!$D$9-$F$70)*(I$59-$F$59)/($K$59-$F$59)</x:f>
        <x:v>0.04352139528023112</x:v>
      </x:c>
      <x:c r="J60" s="22" t="n">
        <x:f>$F$70+('Assumptions'!$D$9-$F$70)*(J$59-$F$59)/($K$59-$F$59)</x:f>
        <x:v>0.03676069764011556</x:v>
      </x:c>
      <x:c r="K60" s="22" t="n">
        <x:f>$F$70+('Assumptions'!$D$9-$F$70)*(K$59-$F$59)/($K$59-$F$59)</x:f>
        <x:v>0.03</x:v>
      </x:c>
    </x:row>
    <x:row r="61" ht="23" customHeight="1">
      <x:c r="A61" t="str">
        <x:v>Secondary revenue growth</x:v>
      </x:c>
      <x:c r="B61" s="36" t="n">
        <x:f>'Assumptions'!$T$9</x:f>
        <x:v>0.02</x:v>
      </x:c>
      <x:c r="C61" s="36" t="n">
        <x:f>'Assumptions'!$U$9</x:f>
        <x:v>0.03</x:v>
      </x:c>
      <x:c r="D61" s="36" t="n">
        <x:f>'Assumptions'!$V$9</x:f>
        <x:v>0.03</x:v>
      </x:c>
      <x:c r="E61" s="36" t="n">
        <x:f>'Assumptions'!$W$9</x:f>
        <x:v>0.03</x:v>
      </x:c>
      <x:c r="F61" s="36" t="n">
        <x:f>'Assumptions'!$X$9</x:f>
        <x:v>0.03</x:v>
      </x:c>
      <x:c r="G61" s="22" t="n">
        <x:f>$F$70+('Assumptions'!$D$9-$F$70)*(G$59-$F$59)/($K$59-$F$59)</x:f>
        <x:v>0.057042790560462235</x:v>
      </x:c>
      <x:c r="H61" s="22" t="n">
        <x:f>$F$70+('Assumptions'!$D$9-$F$70)*(H$59-$F$59)/($K$59-$F$59)</x:f>
        <x:v>0.050282092920346674</x:v>
      </x:c>
      <x:c r="I61" s="22" t="n">
        <x:f>$F$70+('Assumptions'!$D$9-$F$70)*(I$59-$F$59)/($K$59-$F$59)</x:f>
        <x:v>0.04352139528023112</x:v>
      </x:c>
      <x:c r="J61" s="22" t="n">
        <x:f>$F$70+('Assumptions'!$D$9-$F$70)*(J$59-$F$59)/($K$59-$F$59)</x:f>
        <x:v>0.03676069764011556</x:v>
      </x:c>
      <x:c r="K61" s="22" t="n">
        <x:f>$F$70+('Assumptions'!$D$9-$F$70)*(K$59-$F$59)/($K$59-$F$59)</x:f>
        <x:v>0.03</x:v>
      </x:c>
    </x:row>
    <x:row r="62" ht="23" customHeight="1">
      <x:c r="A62" t="str">
        <x:v>Primary margin</x:v>
      </x:c>
      <x:c r="B62" s="36" t="n">
        <x:f>'Assumptions'!$Y$9</x:f>
        <x:v>0.903</x:v>
      </x:c>
      <x:c r="C62" s="36" t="n">
        <x:f>'Assumptions'!$Z$9</x:f>
        <x:v>0.903</x:v>
      </x:c>
      <x:c r="D62" s="36" t="n">
        <x:f>'Assumptions'!$AA$9</x:f>
        <x:v>0.903</x:v>
      </x:c>
      <x:c r="E62" s="36" t="n">
        <x:f>'Assumptions'!$AB$9</x:f>
        <x:v>0.903</x:v>
      </x:c>
      <x:c r="F62" s="36" t="n">
        <x:f>'Assumptions'!$AC$9</x:f>
        <x:v>0.903</x:v>
      </x:c>
      <x:c r="G62" s="22" t="n">
        <x:f>$F$62</x:f>
        <x:v>0.903</x:v>
      </x:c>
      <x:c r="H62" s="22" t="n">
        <x:f>$F$62</x:f>
        <x:v>0.903</x:v>
      </x:c>
      <x:c r="I62" s="22" t="n">
        <x:f>$F$62</x:f>
        <x:v>0.903</x:v>
      </x:c>
      <x:c r="J62" s="22" t="n">
        <x:f>$F$62</x:f>
        <x:v>0.903</x:v>
      </x:c>
      <x:c r="K62" s="22" t="n">
        <x:f>$F$62</x:f>
        <x:v>0.903</x:v>
      </x:c>
    </x:row>
    <x:row r="63" ht="23" customHeight="1">
      <x:c r="A63" t="str">
        <x:v>Secondary margin</x:v>
      </x:c>
      <x:c r="B63" s="36" t="n">
        <x:f>'Assumptions'!$AD$9</x:f>
        <x:v>0.292</x:v>
      </x:c>
      <x:c r="C63" s="36" t="n">
        <x:f>'Assumptions'!$AE$9</x:f>
        <x:v>0.295</x:v>
      </x:c>
      <x:c r="D63" s="36" t="n">
        <x:f>'Assumptions'!$AF$9</x:f>
        <x:v>0.3</x:v>
      </x:c>
      <x:c r="E63" s="36" t="n">
        <x:f>'Assumptions'!$AG$9</x:f>
        <x:v>0.3</x:v>
      </x:c>
      <x:c r="F63" s="36" t="n">
        <x:f>'Assumptions'!$AH$9</x:f>
        <x:v>0.3</x:v>
      </x:c>
      <x:c r="G63" s="22" t="n">
        <x:f>$F$63</x:f>
        <x:v>0.3</x:v>
      </x:c>
      <x:c r="H63" s="22" t="n">
        <x:f>$F$63</x:f>
        <x:v>0.3</x:v>
      </x:c>
      <x:c r="I63" s="22" t="n">
        <x:f>$F$63</x:f>
        <x:v>0.3</x:v>
      </x:c>
      <x:c r="J63" s="22" t="n">
        <x:f>$F$63</x:f>
        <x:v>0.3</x:v>
      </x:c>
      <x:c r="K63" s="22" t="n">
        <x:f>$F$63</x:f>
        <x:v>0.3</x:v>
      </x:c>
    </x:row>
    <x:row r="64" ht="23" customHeight="1">
      <x:c r="A64" t="str">
        <x:v>Overhead growth</x:v>
      </x:c>
      <x:c r="B64" s="36" t="n">
        <x:f>'Assumptions'!$AI$9</x:f>
        <x:v>0.055</x:v>
      </x:c>
      <x:c r="C64" s="36" t="n">
        <x:f>'Assumptions'!$AJ$9</x:f>
        <x:v>0.055</x:v>
      </x:c>
      <x:c r="D64" s="36" t="n">
        <x:f>'Assumptions'!$AK$9</x:f>
        <x:v>0.055</x:v>
      </x:c>
      <x:c r="E64" s="36" t="n">
        <x:f>'Assumptions'!$AL$9</x:f>
        <x:v>0.055</x:v>
      </x:c>
      <x:c r="F64" s="36" t="n">
        <x:f>'Assumptions'!$AM$9</x:f>
        <x:v>0.055</x:v>
      </x:c>
      <x:c r="G64" s="22" t="n">
        <x:f>$F$70+('Assumptions'!$D$9-$F$70)*(G$59-$F$59)/($K$59-$F$59)</x:f>
        <x:v>0.057042790560462235</x:v>
      </x:c>
      <x:c r="H64" s="22" t="n">
        <x:f>$F$70+('Assumptions'!$D$9-$F$70)*(H$59-$F$59)/($K$59-$F$59)</x:f>
        <x:v>0.050282092920346674</x:v>
      </x:c>
      <x:c r="I64" s="22" t="n">
        <x:f>$F$70+('Assumptions'!$D$9-$F$70)*(I$59-$F$59)/($K$59-$F$59)</x:f>
        <x:v>0.04352139528023112</x:v>
      </x:c>
      <x:c r="J64" s="22" t="n">
        <x:f>$F$70+('Assumptions'!$D$9-$F$70)*(J$59-$F$59)/($K$59-$F$59)</x:f>
        <x:v>0.03676069764011556</x:v>
      </x:c>
      <x:c r="K64" s="22" t="n">
        <x:f>$F$70+('Assumptions'!$D$9-$F$70)*(K$59-$F$59)/($K$59-$F$59)</x:f>
        <x:v>0.03</x:v>
      </x:c>
    </x:row>
    <x:row r="65" ht="23" customHeight="1">
      <x:c r="A65" t="str">
        <x:v>Capex / revenue</x:v>
      </x:c>
      <x:c r="B65" s="36" t="n">
        <x:f>'Assumptions'!$AN$9</x:f>
        <x:v>0.015</x:v>
      </x:c>
      <x:c r="C65" s="36" t="n">
        <x:f>'Assumptions'!$AO$9</x:f>
        <x:v>0.015</x:v>
      </x:c>
      <x:c r="D65" s="36" t="n">
        <x:f>'Assumptions'!$AP$9</x:f>
        <x:v>0.015</x:v>
      </x:c>
      <x:c r="E65" s="36" t="n">
        <x:f>'Assumptions'!$AQ$9</x:f>
        <x:v>0.015</x:v>
      </x:c>
      <x:c r="F65" s="36" t="n">
        <x:f>'Assumptions'!$AR$9</x:f>
        <x:v>0.015</x:v>
      </x:c>
      <x:c r="G65" s="22" t="n">
        <x:f>$F$65</x:f>
        <x:v>0.015</x:v>
      </x:c>
      <x:c r="H65" s="22" t="n">
        <x:f>$F$65</x:f>
        <x:v>0.015</x:v>
      </x:c>
      <x:c r="I65" s="22" t="n">
        <x:f>$F$65</x:f>
        <x:v>0.015</x:v>
      </x:c>
      <x:c r="J65" s="22" t="n">
        <x:f>$F$65</x:f>
        <x:v>0.015</x:v>
      </x:c>
      <x:c r="K65" s="22" t="n">
        <x:f>$F$65</x:f>
        <x:v>0.015</x:v>
      </x:c>
    </x:row>
    <x:row r="66" ht="23" customHeight="1"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</x:row>
    <x:row r="67" ht="23" customHeight="1">
      <x:c r="A67" t="str">
        <x:v>Primary revenue</x:v>
      </x:c>
      <x:c r="B67" s="34" t="n">
        <x:f>'Inputs'!$D$21*(1+B60)</x:f>
        <x:v>110.20664</x:v>
      </x:c>
      <x:c r="C67" s="34" t="n">
        <x:f>B67*(1+C60)</x:f>
        <x:v>123.4314368</x:v>
      </x:c>
      <x:c r="D67" s="34" t="n">
        <x:f>C67*(1+D60)</x:f>
        <x:v>137.008894848</x:v>
      </x:c>
      <x:c r="E67" s="34" t="n">
        <x:f>D67*(1+E60)</x:f>
        <x:v>150.7097843328</x:v>
      </x:c>
      <x:c r="F67" s="34" t="n">
        <x:f>E67*(1+F60)</x:f>
        <x:v>164.27366492275203</x:v>
      </x:c>
      <x:c r="G67" s="34" t="n">
        <x:f>F67*(1+G60)</x:f>
        <x:v>173.64429318554014</x:v>
      </x:c>
      <x:c r="H67" s="34" t="n">
        <x:f>G67*(1+H60)</x:f>
        <x:v>182.3754916705834</x:v>
      </x:c>
      <x:c r="I67" s="34" t="n">
        <x:f>H67*(1+I60)</x:f>
        <x:v>190.31272753300536</x:v>
      </x:c>
      <x:c r="J67" s="34" t="n">
        <x:f>I67*(1+J60)</x:f>
        <x:v>197.30875616691188</x:v>
      </x:c>
      <x:c r="K67" s="34" t="n">
        <x:f>J67*(1+K60)</x:f>
        <x:v>203.22801885191924</x:v>
      </x:c>
    </x:row>
    <x:row r="68" ht="23" customHeight="1">
      <x:c r="A68" t="str">
        <x:v>Secondary revenue</x:v>
      </x:c>
      <x:c r="B68" s="34" t="n">
        <x:f>'Inputs'!$D$22*(1+B61)</x:f>
        <x:v>106.88376</x:v>
      </x:c>
      <x:c r="C68" s="34" t="n">
        <x:f>B68*(1+C61)</x:f>
        <x:v>110.0902728</x:v>
      </x:c>
      <x:c r="D68" s="34" t="n">
        <x:f>C68*(1+D61)</x:f>
        <x:v>113.39298098399999</x:v>
      </x:c>
      <x:c r="E68" s="34" t="n">
        <x:f>D68*(1+E61)</x:f>
        <x:v>116.79477041352</x:v>
      </x:c>
      <x:c r="F68" s="34" t="n">
        <x:f>E68*(1+F61)</x:f>
        <x:v>120.2986135259256</x:v>
      </x:c>
      <x:c r="G68" s="34" t="n">
        <x:f>F68*(1+G61)</x:f>
        <x:v>127.16078214199896</x:v>
      </x:c>
      <x:c r="H68" s="34" t="n">
        <x:f>G68*(1+H61)</x:f>
        <x:v>133.55469240548692</x:v>
      </x:c>
      <x:c r="I68" s="34" t="n">
        <x:f>H68*(1+I61)</x:f>
        <x:v>139.3671789651958</x:v>
      </x:c>
      <x:c r="J68" s="34" t="n">
        <x:f>I68*(1+J61)</x:f>
        <x:v>144.49041369209124</x:v>
      </x:c>
      <x:c r="K68" s="34" t="n">
        <x:f>J68*(1+K61)</x:f>
        <x:v>148.82512610285397</x:v>
      </x:c>
    </x:row>
    <x:row r="69" ht="23" customHeight="1">
      <x:c r="A69" s="31" t="str">
        <x:v>Total economic revenue</x:v>
      </x:c>
      <x:c r="B69" s="40" t="n">
        <x:f>SUM(B67:B68)</x:f>
        <x:v>217.0904</x:v>
      </x:c>
      <x:c r="C69" s="40" t="n">
        <x:f>SUM(C67:C68)</x:f>
        <x:v>233.5217096</x:v>
      </x:c>
      <x:c r="D69" s="40" t="n">
        <x:f>SUM(D67:D68)</x:f>
        <x:v>250.401875832</x:v>
      </x:c>
      <x:c r="E69" s="40" t="n">
        <x:f>SUM(E67:E68)</x:f>
        <x:v>267.50455474632</x:v>
      </x:c>
      <x:c r="F69" s="40" t="n">
        <x:f>SUM(F67:F68)</x:f>
        <x:v>284.57227844867765</x:v>
      </x:c>
      <x:c r="G69" s="40" t="n">
        <x:f>SUM(G67:G68)</x:f>
        <x:v>300.8050753275391</x:v>
      </x:c>
      <x:c r="H69" s="40" t="n">
        <x:f>SUM(H67:H68)</x:f>
        <x:v>315.9301840760703</x:v>
      </x:c>
      <x:c r="I69" s="40" t="n">
        <x:f>SUM(I67:I68)</x:f>
        <x:v>329.67990649820115</x:v>
      </x:c>
      <x:c r="J69" s="40" t="n">
        <x:f>SUM(J67:J68)</x:f>
        <x:v>341.7991698590031</x:v>
      </x:c>
      <x:c r="K69" s="40" t="n">
        <x:f>SUM(K67:K68)</x:f>
        <x:v>352.0531449547732</x:v>
      </x:c>
    </x:row>
    <x:row r="70" ht="23" customHeight="1">
      <x:c r="A70" t="str">
        <x:v>Revenue growth</x:v>
      </x:c>
      <x:c r="B70" s="22" t="n">
        <x:f>B69/'Inputs'!$D$14-1</x:f>
        <x:v>0.07302635481128528</x:v>
      </x:c>
      <x:c r="C70" s="22" t="n">
        <x:f>C69/B69-1</x:f>
        <x:v>0.07568878955495051</x:v>
      </x:c>
      <x:c r="D70" s="22" t="n">
        <x:f>D69/C69-1</x:f>
        <x:v>0.07228521177287583</x:v>
      </x:c>
      <x:c r="E70" s="22" t="n">
        <x:f>E69/D69-1</x:f>
        <x:v>0.06830092169834456</x:v>
      </x:c>
      <x:c r="F70" s="22" t="n">
        <x:f>F69/E69-1</x:f>
        <x:v>0.0638034882005778</x:v>
      </x:c>
      <x:c r="G70" s="22" t="n">
        <x:f>G69/F69-1</x:f>
        <x:v>0.05704279056046224</x:v>
      </x:c>
      <x:c r="H70" s="22" t="n">
        <x:f>H69/G69-1</x:f>
        <x:v>0.05028209292034669</x:v>
      </x:c>
      <x:c r="I70" s="22" t="n">
        <x:f>I69/H69-1</x:f>
        <x:v>0.043521395280231134</x:v>
      </x:c>
      <x:c r="J70" s="22" t="n">
        <x:f>J69/I69-1</x:f>
        <x:v>0.03676069764011558</x:v>
      </x:c>
      <x:c r="K70" s="22" t="n">
        <x:f>K69/J69-1</x:f>
        <x:v>0.030000000000000027</x:v>
      </x:c>
    </x:row>
    <x:row r="71" ht="23" customHeight="1">
      <x:c r="A71" t="str">
        <x:v>Primary profit pool</x:v>
      </x:c>
      <x:c r="B71" s="34" t="n">
        <x:f>B67*B62</x:f>
        <x:v>99.51659592</x:v>
      </x:c>
      <x:c r="C71" s="34" t="n">
        <x:f>C67*C62</x:f>
        <x:v>111.4585874304</x:v>
      </x:c>
      <x:c r="D71" s="34" t="n">
        <x:f>D67*D62</x:f>
        <x:v>123.71903204774401</x:v>
      </x:c>
      <x:c r="E71" s="34" t="n">
        <x:f>E67*E62</x:f>
        <x:v>136.09093525251842</x:v>
      </x:c>
      <x:c r="F71" s="34" t="n">
        <x:f>F67*F62</x:f>
        <x:v>148.3391194252451</x:v>
      </x:c>
      <x:c r="G71" s="34" t="n">
        <x:f>G67*G62</x:f>
        <x:v>156.80079674654274</x:v>
      </x:c>
      <x:c r="H71" s="34" t="n">
        <x:f>H67*H62</x:f>
        <x:v>164.6850689785368</x:v>
      </x:c>
      <x:c r="I71" s="34" t="n">
        <x:f>I67*I62</x:f>
        <x:v>171.85239296230384</x:v>
      </x:c>
      <x:c r="J71" s="34" t="n">
        <x:f>J67*J62</x:f>
        <x:v>178.16980681872144</x:v>
      </x:c>
      <x:c r="K71" s="34" t="n">
        <x:f>K67*K62</x:f>
        <x:v>183.51490102328307</x:v>
      </x:c>
    </x:row>
    <x:row r="72" ht="23" customHeight="1">
      <x:c r="A72" t="str">
        <x:v>Secondary profit pool</x:v>
      </x:c>
      <x:c r="B72" s="34" t="n">
        <x:f>B68*B63</x:f>
        <x:v>31.210057919999997</x:v>
      </x:c>
      <x:c r="C72" s="34" t="n">
        <x:f>C68*C63</x:f>
        <x:v>32.476630476</x:v>
      </x:c>
      <x:c r="D72" s="34" t="n">
        <x:f>D68*D63</x:f>
        <x:v>34.017894295199994</x:v>
      </x:c>
      <x:c r="E72" s="34" t="n">
        <x:f>E68*E63</x:f>
        <x:v>35.038431124056</x:v>
      </x:c>
      <x:c r="F72" s="34" t="n">
        <x:f>F68*F63</x:f>
        <x:v>36.08958405777768</x:v>
      </x:c>
      <x:c r="G72" s="34" t="n">
        <x:f>G68*G63</x:f>
        <x:v>38.14823464259969</x:v>
      </x:c>
      <x:c r="H72" s="34" t="n">
        <x:f>H68*H63</x:f>
        <x:v>40.06640772164607</x:v>
      </x:c>
      <x:c r="I72" s="34" t="n">
        <x:f>I68*I63</x:f>
        <x:v>41.81015368955874</x:v>
      </x:c>
      <x:c r="J72" s="34" t="n">
        <x:f>J68*J63</x:f>
        <x:v>43.34712410762737</x:v>
      </x:c>
      <x:c r="K72" s="34" t="n">
        <x:f>K68*K63</x:f>
        <x:v>44.64753783085619</x:v>
      </x:c>
    </x:row>
    <x:row r="73" ht="23" customHeight="1">
      <x:c r="A73" t="str">
        <x:v>Less: overhead / corporate</x:v>
      </x:c>
      <x:c r="B73" s="34" t="n">
        <x:f>-'Inputs'!$D$23*(1+B64)</x:f>
        <x:v>-61.351414999999996</x:v>
      </x:c>
      <x:c r="C73" s="34" t="n">
        <x:f>B73*(1+C64)</x:f>
        <x:v>-64.725742825</x:v>
      </x:c>
      <x:c r="D73" s="34" t="n">
        <x:f>C73*(1+D64)</x:f>
        <x:v>-68.285658680375</x:v>
      </x:c>
      <x:c r="E73" s="34" t="n">
        <x:f>D73*(1+E64)</x:f>
        <x:v>-72.04136990779561</x:v>
      </x:c>
      <x:c r="F73" s="34" t="n">
        <x:f>E73*(1+F64)</x:f>
        <x:v>-76.00364525272437</x:v>
      </x:c>
      <x:c r="G73" s="34" t="n">
        <x:f>F73*(1+G64)</x:f>
        <x:v>-80.3391052707072</x:v>
      </x:c>
      <x:c r="H73" s="34" t="n">
        <x:f>G73*(1+H64)</x:f>
        <x:v>-84.3787236270664</x:v>
      </x:c>
      <x:c r="I73" s="34" t="n">
        <x:f>H73*(1+I64)</x:f>
        <x:v>-88.05100341128134</x:v>
      </x:c>
      <x:c r="J73" s="34" t="n">
        <x:f>I73*(1+J64)</x:f>
        <x:v>-91.28781972459224</x:v>
      </x:c>
      <x:c r="K73" s="34" t="n">
        <x:f>J73*(1+K64)</x:f>
        <x:v>-94.02645431633</x:v>
      </x:c>
    </x:row>
    <x:row r="74" ht="23" customHeight="1">
      <x:c r="A74" t="str">
        <x:v>Additional fee profit</x:v>
      </x:c>
      <x:c r="B74" s="34" t="n">
        <x:f>0</x:f>
        <x:v>0</x:v>
      </x:c>
      <x:c r="C74" s="34" t="n">
        <x:f>0</x:f>
        <x:v>0</x:v>
      </x:c>
      <x:c r="D74" s="34" t="n">
        <x:f>0</x:f>
        <x:v>0</x:v>
      </x:c>
      <x:c r="E74" s="34" t="n">
        <x:f>0</x:f>
        <x:v>0</x:v>
      </x:c>
      <x:c r="F74" s="34" t="n">
        <x:f>0</x:f>
        <x:v>0</x:v>
      </x:c>
      <x:c r="G74" s="34" t="n">
        <x:f>0</x:f>
        <x:v>0</x:v>
      </x:c>
      <x:c r="H74" s="34" t="n">
        <x:f>0</x:f>
        <x:v>0</x:v>
      </x:c>
      <x:c r="I74" s="34" t="n">
        <x:f>0</x:f>
        <x:v>0</x:v>
      </x:c>
      <x:c r="J74" s="34" t="n">
        <x:f>0</x:f>
        <x:v>0</x:v>
      </x:c>
      <x:c r="K74" s="34" t="n">
        <x:f>0</x:f>
        <x:v>0</x:v>
      </x:c>
    </x:row>
    <x:row r="75" ht="23" customHeight="1">
      <x:c r="A75" s="31" t="str">
        <x:v>Operating income after recurring SBC</x:v>
      </x:c>
      <x:c r="B75" s="40" t="n">
        <x:f>SUM(B71:B74)</x:f>
        <x:v>69.37523883999998</x:v>
      </x:c>
      <x:c r="C75" s="40" t="n">
        <x:f>SUM(C71:C74)</x:f>
        <x:v>79.2094750814</x:v>
      </x:c>
      <x:c r="D75" s="40" t="n">
        <x:f>SUM(D71:D74)</x:f>
        <x:v>89.45126766256901</x:v>
      </x:c>
      <x:c r="E75" s="40" t="n">
        <x:f>SUM(E71:E74)</x:f>
        <x:v>99.0879964687788</x:v>
      </x:c>
      <x:c r="F75" s="40" t="n">
        <x:f>SUM(F71:F74)</x:f>
        <x:v>108.42505823029839</x:v>
      </x:c>
      <x:c r="G75" s="40" t="n">
        <x:f>SUM(G71:G74)</x:f>
        <x:v>114.60992611843523</x:v>
      </x:c>
      <x:c r="H75" s="40" t="n">
        <x:f>SUM(H71:H74)</x:f>
        <x:v>120.37275307311647</x:v>
      </x:c>
      <x:c r="I75" s="40" t="n">
        <x:f>SUM(I71:I74)</x:f>
        <x:v>125.61154324058124</x:v>
      </x:c>
      <x:c r="J75" s="40" t="n">
        <x:f>SUM(J71:J74)</x:f>
        <x:v>130.22911120175655</x:v>
      </x:c>
      <x:c r="K75" s="40" t="n">
        <x:f>SUM(K71:K74)</x:f>
        <x:v>134.13598453780924</x:v>
      </x:c>
    </x:row>
    <x:row r="76" ht="23" customHeight="1">
      <x:c r="A76" t="str">
        <x:v>Operating margin</x:v>
      </x:c>
      <x:c r="B76" s="22" t="n">
        <x:f>B75/B69</x:f>
        <x:v>0.3195684325055368</x:v>
      </x:c>
      <x:c r="C76" s="22" t="n">
        <x:f>C75/C69</x:f>
        <x:v>0.3391953374145733</x:v>
      </x:c>
      <x:c r="D76" s="22" t="n">
        <x:f>D75/D69</x:f>
        <x:v>0.35723082091678815</x:v>
      </x:c>
      <x:c r="E76" s="22" t="n">
        <x:f>E75/E69</x:f>
        <x:v>0.37041610959763266</x:v>
      </x:c>
      <x:c r="F76" s="22" t="n">
        <x:f>F75/F69</x:f>
        <x:v>0.38101061291482313</x:v>
      </x:c>
      <x:c r="G76" s="22" t="n">
        <x:f>G75/G69</x:f>
        <x:v>0.3810106129148232</x:v>
      </x:c>
      <x:c r="H76" s="22" t="n">
        <x:f>H75/H69</x:f>
        <x:v>0.38101061291482324</x:v>
      </x:c>
      <x:c r="I76" s="22" t="n">
        <x:f>I75/I69</x:f>
        <x:v>0.38101061291482324</x:v>
      </x:c>
      <x:c r="J76" s="22" t="n">
        <x:f>J75/J69</x:f>
        <x:v>0.38101061291482324</x:v>
      </x:c>
      <x:c r="K76" s="22" t="n">
        <x:f>K75/K69</x:f>
        <x:v>0.38101061291482324</x:v>
      </x:c>
    </x:row>
    <x:row r="77" ht="23" customHeight="1">
      <x:c r="A77" t="str">
        <x:v>After-tax operating profit</x:v>
      </x:c>
      <x:c r="B77" s="34" t="n">
        <x:f>B75*(1-'Assumptions'!$F$9)</x:f>
        <x:v>56.887695848799986</x:v>
      </x:c>
      <x:c r="C77" s="34" t="n">
        <x:f>C75*(1-'Assumptions'!$F$9)</x:f>
        <x:v>64.95176956674801</x:v>
      </x:c>
      <x:c r="D77" s="34" t="n">
        <x:f>D75*(1-'Assumptions'!$F$9)</x:f>
        <x:v>73.35003948330659</x:v>
      </x:c>
      <x:c r="E77" s="34" t="n">
        <x:f>E75*(1-'Assumptions'!$F$9)</x:f>
        <x:v>81.25215710439862</x:v>
      </x:c>
      <x:c r="F77" s="34" t="n">
        <x:f>F75*(1-'Assumptions'!$F$9)</x:f>
        <x:v>88.90854774884468</x:v>
      </x:c>
      <x:c r="G77" s="34" t="n">
        <x:f>G75*(1-'Assumptions'!$F$9)</x:f>
        <x:v>93.98013941711689</x:v>
      </x:c>
      <x:c r="H77" s="34" t="n">
        <x:f>H75*(1-'Assumptions'!$F$9)</x:f>
        <x:v>98.70565751995551</x:v>
      </x:c>
      <x:c r="I77" s="34" t="n">
        <x:f>I75*(1-'Assumptions'!$F$9)</x:f>
        <x:v>103.00146545727662</x:v>
      </x:c>
      <x:c r="J77" s="34" t="n">
        <x:f>J75*(1-'Assumptions'!$F$9)</x:f>
        <x:v>106.78787118544038</x:v>
      </x:c>
      <x:c r="K77" s="34" t="n">
        <x:f>K75*(1-'Assumptions'!$F$9)</x:f>
        <x:v>109.99150732100358</x:v>
      </x:c>
    </x:row>
    <x:row r="78" ht="23" customHeight="1">
      <x:c r="A78" t="str">
        <x:v>Add: depreciation &amp; amortization</x:v>
      </x:c>
      <x:c r="B78" s="34" t="n">
        <x:f>B69*'Assumptions'!$G$9</x:f>
        <x:v>2.3879943999999997</x:v>
      </x:c>
      <x:c r="C78" s="34" t="n">
        <x:f>C69*'Assumptions'!$G$9</x:f>
        <x:v>2.5687388056</x:v>
      </x:c>
      <x:c r="D78" s="34" t="n">
        <x:f>D69*'Assumptions'!$G$9</x:f>
        <x:v>2.754420634152</x:v>
      </x:c>
      <x:c r="E78" s="34" t="n">
        <x:f>E69*'Assumptions'!$G$9</x:f>
        <x:v>2.94255010220952</x:v>
      </x:c>
      <x:c r="F78" s="34" t="n">
        <x:f>F69*'Assumptions'!$G$9</x:f>
        <x:v>3.130295062935454</x:v>
      </x:c>
      <x:c r="G78" s="34" t="n">
        <x:f>G69*'Assumptions'!$G$9</x:f>
        <x:v>3.3088558286029297</x:v>
      </x:c>
      <x:c r="H78" s="34" t="n">
        <x:f>H69*'Assumptions'!$G$9</x:f>
        <x:v>3.475232024836773</x:v>
      </x:c>
      <x:c r="I78" s="34" t="n">
        <x:f>I69*'Assumptions'!$G$9</x:f>
        <x:v>3.6264789714802124</x:v>
      </x:c>
      <x:c r="J78" s="34" t="n">
        <x:f>J69*'Assumptions'!$G$9</x:f>
        <x:v>3.7597908684490338</x:v>
      </x:c>
      <x:c r="K78" s="34" t="n">
        <x:f>K69*'Assumptions'!$G$9</x:f>
        <x:v>3.872584594502505</x:v>
      </x:c>
    </x:row>
    <x:row r="79" ht="23" customHeight="1">
      <x:c r="A79" t="str">
        <x:v>Less: investment incl. software</x:v>
      </x:c>
      <x:c r="B79" s="34" t="n">
        <x:f>-B69*B65</x:f>
        <x:v>-3.256356</x:v>
      </x:c>
      <x:c r="C79" s="34" t="n">
        <x:f>-C69*C65</x:f>
        <x:v>-3.502825644</x:v>
      </x:c>
      <x:c r="D79" s="34" t="n">
        <x:f>-D69*D65</x:f>
        <x:v>-3.75602813748</x:v>
      </x:c>
      <x:c r="E79" s="34" t="n">
        <x:f>-E69*E65</x:f>
        <x:v>-4.0125683211948004</x:v>
      </x:c>
      <x:c r="F79" s="34" t="n">
        <x:f>-F69*F65</x:f>
        <x:v>-4.268584176730164</x:v>
      </x:c>
      <x:c r="G79" s="34" t="n">
        <x:f>-G69*G65</x:f>
        <x:v>-4.512076129913086</x:v>
      </x:c>
      <x:c r="H79" s="34" t="n">
        <x:f>-H69*H65</x:f>
        <x:v>-4.7389527611410545</x:v>
      </x:c>
      <x:c r="I79" s="34" t="n">
        <x:f>-I69*I65</x:f>
        <x:v>-4.945198597473017</x:v>
      </x:c>
      <x:c r="J79" s="34" t="n">
        <x:f>-J69*J65</x:f>
        <x:v>-5.126987547885046</x:v>
      </x:c>
      <x:c r="K79" s="34" t="n">
        <x:f>-K69*K65</x:f>
        <x:v>-5.280797174321598</x:v>
      </x:c>
    </x:row>
    <x:row r="80" ht="23" customHeight="1">
      <x:c r="A80" t="str">
        <x:v>Less: incremental working capital</x:v>
      </x:c>
      <x:c r="B80" s="34" t="n">
        <x:f>-(B69-'Inputs'!$D$14)*'Assumptions'!$H$9</x:f>
        <x:v>-1.4774399999999988</x:v>
      </x:c>
      <x:c r="C80" s="34" t="n">
        <x:f>-(C69-B69)*'Assumptions'!$H$9</x:f>
        <x:v>-1.6431309600000021</x:v>
      </x:c>
      <x:c r="D80" s="34" t="n">
        <x:f>-(D69-C69)*'Assumptions'!$H$9</x:f>
        <x:v>-1.6880166231999993</x:v>
      </x:c>
      <x:c r="E80" s="34" t="n">
        <x:f>-(E69-D69)*'Assumptions'!$H$9</x:f>
        <x:v>-1.7102678914320024</x:v>
      </x:c>
      <x:c r="F80" s="34" t="n">
        <x:f>-(F69-E69)*'Assumptions'!$H$9</x:f>
        <x:v>-1.7067723702357627</x:v>
      </x:c>
      <x:c r="G80" s="34" t="n">
        <x:f>-(G69-F69)*'Assumptions'!$H$9</x:f>
        <x:v>-1.623279687886145</x:v>
      </x:c>
      <x:c r="H80" s="34" t="n">
        <x:f>-(H69-G69)*'Assumptions'!$H$9</x:f>
        <x:v>-1.5125108748531204</x:v>
      </x:c>
      <x:c r="I80" s="34" t="n">
        <x:f>-(I69-H69)*'Assumptions'!$H$9</x:f>
        <x:v>-1.3749722422130846</x:v>
      </x:c>
      <x:c r="J80" s="34" t="n">
        <x:f>-(J69-I69)*'Assumptions'!$H$9</x:f>
        <x:v>-1.211926336080194</x:v>
      </x:c>
      <x:c r="K80" s="34" t="n">
        <x:f>-(K69-J69)*'Assumptions'!$H$9</x:f>
        <x:v>-1.0253975095770103</x:v>
      </x:c>
    </x:row>
    <x:row r="81" ht="23" customHeight="1">
      <x:c r="A81" t="str">
        <x:v>Less: specified cash shock</x:v>
      </x:c>
      <x:c r="B81" s="34" t="n">
        <x:f>-'Assumptions'!$I$9</x:f>
        <x:v>0</x:v>
      </x:c>
      <x:c r="C81" s="34" t="n">
        <x:f>0</x:f>
        <x:v>0</x:v>
      </x:c>
      <x:c r="D81" s="34" t="n">
        <x:f>0</x:f>
        <x:v>0</x:v>
      </x:c>
      <x:c r="E81" s="34" t="n">
        <x:f>0</x:f>
        <x:v>0</x:v>
      </x:c>
      <x:c r="F81" s="34" t="n">
        <x:f>0</x:f>
        <x:v>0</x:v>
      </x:c>
      <x:c r="G81" s="34" t="n">
        <x:f>0</x:f>
        <x:v>0</x:v>
      </x:c>
      <x:c r="H81" s="34" t="n">
        <x:f>0</x:f>
        <x:v>0</x:v>
      </x:c>
      <x:c r="I81" s="34" t="n">
        <x:f>0</x:f>
        <x:v>0</x:v>
      </x:c>
      <x:c r="J81" s="34" t="n">
        <x:f>0</x:f>
        <x:v>0</x:v>
      </x:c>
      <x:c r="K81" s="34" t="n">
        <x:f>0</x:f>
        <x:v>0</x:v>
      </x:c>
    </x:row>
    <x:row r="82" ht="23" customHeight="1">
      <x:c r="A82" s="31" t="str">
        <x:v>Owner-economic unlevered cash flow</x:v>
      </x:c>
      <x:c r="B82" s="40" t="n">
        <x:f>SUM(B77:B81)</x:f>
        <x:v>54.541894248799984</x:v>
      </x:c>
      <x:c r="C82" s="40" t="n">
        <x:f>SUM(C77:C81)</x:f>
        <x:v>62.37455176834802</x:v>
      </x:c>
      <x:c r="D82" s="40" t="n">
        <x:f>SUM(D77:D81)</x:f>
        <x:v>70.66041535677859</x:v>
      </x:c>
      <x:c r="E82" s="40" t="n">
        <x:f>SUM(E77:E81)</x:f>
        <x:v>78.47187099398134</x:v>
      </x:c>
      <x:c r="F82" s="40" t="n">
        <x:f>SUM(F77:F81)</x:f>
        <x:v>86.06348626481422</x:v>
      </x:c>
      <x:c r="G82" s="40" t="n">
        <x:f>SUM(G77:G81)</x:f>
        <x:v>91.1536394279206</x:v>
      </x:c>
      <x:c r="H82" s="40" t="n">
        <x:f>SUM(H77:H81)</x:f>
        <x:v>95.92942590879811</x:v>
      </x:c>
      <x:c r="I82" s="40" t="n">
        <x:f>SUM(I77:I81)</x:f>
        <x:v>100.30777358907072</x:v>
      </x:c>
      <x:c r="J82" s="40" t="n">
        <x:f>SUM(J77:J81)</x:f>
        <x:v>104.20874816992416</x:v>
      </x:c>
      <x:c r="K82" s="40" t="n">
        <x:f>SUM(K77:K81)</x:f>
        <x:v>107.55789723160748</x:v>
      </x:c>
    </x:row>
    <x:row r="83" ht="23" customHeight="1">
      <x:c r="A83" t="str">
        <x:v>Discount factor</x:v>
      </x:c>
      <x:c r="B83" s="22" t="n">
        <x:f>1/(1+'Assumptions'!$C$9)^B$59</x:f>
        <x:v>0.9090909090909091</x:v>
      </x:c>
      <x:c r="C83" s="22" t="n">
        <x:f>1/(1+'Assumptions'!$C$9)^C$59</x:f>
        <x:v>0.8264462809917354</x:v>
      </x:c>
      <x:c r="D83" s="22" t="n">
        <x:f>1/(1+'Assumptions'!$C$9)^D$59</x:f>
        <x:v>0.7513148009015775</x:v>
      </x:c>
      <x:c r="E83" s="22" t="n">
        <x:f>1/(1+'Assumptions'!$C$9)^E$59</x:f>
        <x:v>0.6830134553650705</x:v>
      </x:c>
      <x:c r="F83" s="22" t="n">
        <x:f>1/(1+'Assumptions'!$C$9)^F$59</x:f>
        <x:v>0.6209213230591549</x:v>
      </x:c>
      <x:c r="G83" s="22" t="n">
        <x:f>1/(1+'Assumptions'!$C$9)^G$59</x:f>
        <x:v>0.5644739300537772</x:v>
      </x:c>
      <x:c r="H83" s="22" t="n">
        <x:f>1/(1+'Assumptions'!$C$9)^H$59</x:f>
        <x:v>0.5131581182307065</x:v>
      </x:c>
      <x:c r="I83" s="22" t="n">
        <x:f>1/(1+'Assumptions'!$C$9)^I$59</x:f>
        <x:v>0.46650738020973315</x:v>
      </x:c>
      <x:c r="J83" s="22" t="n">
        <x:f>1/(1+'Assumptions'!$C$9)^J$59</x:f>
        <x:v>0.42409761837248466</x:v>
      </x:c>
      <x:c r="K83" s="22" t="n">
        <x:f>1/(1+'Assumptions'!$C$9)^K$59</x:f>
        <x:v>0.3855432894295315</x:v>
      </x:c>
    </x:row>
    <x:row r="84" ht="23" customHeight="1">
      <x:c r="A84" s="31" t="str">
        <x:v>Present value</x:v>
      </x:c>
      <x:c r="B84" s="40" t="n">
        <x:f>B82*B83</x:f>
        <x:v>49.5835402261818</x:v>
      </x:c>
      <x:c r="C84" s="40" t="n">
        <x:f>C82*C83</x:f>
        <x:v>51.549216337477695</x:v>
      </x:c>
      <x:c r="D84" s="40" t="n">
        <x:f>D82*D83</x:f>
        <x:v>53.08821589540088</x:v>
      </x:c>
      <x:c r="E84" s="40" t="n">
        <x:f>E82*E83</x:f>
        <x:v>53.597343756561244</x:v>
      </x:c>
      <x:c r="F84" s="40" t="n">
        <x:f>F82*F83</x:f>
        <x:v>53.43865375863185</x:v>
      </x:c>
      <x:c r="G84" s="40" t="n">
        <x:f>G82*G83</x:f>
        <x:v>51.45385308658328</x:v>
      </x:c>
      <x:c r="H84" s="40" t="n">
        <x:f>H82*H83</x:f>
        <x:v>49.22696368231082</x:v>
      </x:c>
      <x:c r="I84" s="40" t="n">
        <x:f>I82*I83</x:f>
        <x:v>46.794316671708444</x:v>
      </x:c>
      <x:c r="J84" s="40" t="n">
        <x:f>J82*J83</x:f>
        <x:v>44.19468191244286</x:v>
      </x:c>
      <x:c r="K84" s="40" t="n">
        <x:f>K82*K83</x:f>
        <x:v>41.468225502797445</x:v>
      </x:c>
    </x:row>
    <x:row r="85" ht="23" customHeight="1">
      <x:c r="A85" t="str">
        <x:v>Discount factor at 12%</x:v>
      </x:c>
      <x:c r="B85" s="22" t="n">
        <x:f>1/(1+'Controls'!$B$3)^B$59</x:f>
        <x:v>0.8928571428571428</x:v>
      </x:c>
      <x:c r="C85" s="22" t="n">
        <x:f>1/(1+'Controls'!$B$3)^C$59</x:f>
        <x:v>0.7971938775510203</x:v>
      </x:c>
      <x:c r="D85" s="22" t="n">
        <x:f>1/(1+'Controls'!$B$3)^D$59</x:f>
        <x:v>0.7117802478134109</x:v>
      </x:c>
      <x:c r="E85" s="22" t="n">
        <x:f>1/(1+'Controls'!$B$3)^E$59</x:f>
        <x:v>0.6355180784048312</x:v>
      </x:c>
      <x:c r="F85" s="22" t="n">
        <x:f>1/(1+'Controls'!$B$3)^F$59</x:f>
        <x:v>0.5674268557185992</x:v>
      </x:c>
      <x:c r="G85" s="22" t="n">
        <x:f>1/(1+'Controls'!$B$3)^G$59</x:f>
        <x:v>0.5066311211773207</x:v>
      </x:c>
      <x:c r="H85" s="22" t="n">
        <x:f>1/(1+'Controls'!$B$3)^H$59</x:f>
        <x:v>0.45234921533689343</x:v>
      </x:c>
      <x:c r="I85" s="22" t="n">
        <x:f>1/(1+'Controls'!$B$3)^I$59</x:f>
        <x:v>0.4038832279793691</x:v>
      </x:c>
      <x:c r="J85" s="22" t="n">
        <x:f>1/(1+'Controls'!$B$3)^J$59</x:f>
        <x:v>0.36061002498157957</x:v>
      </x:c>
      <x:c r="K85" s="22" t="n">
        <x:f>1/(1+'Controls'!$B$3)^K$59</x:f>
        <x:v>0.321973236590696</x:v>
      </x:c>
    </x:row>
    <x:row r="87" ht="25" customHeight="1">
      <x:c r="A87" t="str">
        <x:v>Year 11 after-tax operating profit</x:v>
      </x:c>
      <x:c r="B87" s="34" t="n">
        <x:f>K77*(1+'Assumptions'!$D$9)</x:f>
        <x:v>113.29125254063369</x:v>
      </x:c>
    </x:row>
    <x:row r="88" ht="25" customHeight="1">
      <x:c r="A88" t="str">
        <x:v>Less: terminal reinvestment</x:v>
      </x:c>
      <x:c r="B88" s="34" t="n">
        <x:f>-B87*'Assumptions'!$D$9/'Assumptions'!$E$9</x:f>
        <x:v>-11.32912525406337</x:v>
      </x:c>
      <x:c r="D88" s="24" t="str">
        <x:v>This is an operating scenario, not a statistical confidence interval. Terminal growth requires reinvestment. Latest-quarter capital structure is not a complete September roll-forward. See company decision notes for remaining unknowns. MOD scenarios assume the transaction closes; WINA core revenue excludes offsetting fee programs.</x:v>
      </x:c>
      <x:c r="E88" s="24"/>
      <x:c r="F88" s="24"/>
      <x:c r="G88" s="24"/>
      <x:c r="H88" s="24"/>
      <x:c r="I88" s="24"/>
      <x:c r="J88" s="24"/>
      <x:c r="K88" s="24"/>
    </x:row>
    <x:row r="89" ht="25" customHeight="1">
      <x:c r="A89" t="str">
        <x:v>Terminal cash flow</x:v>
      </x:c>
      <x:c r="B89" s="34" t="n">
        <x:f>SUM(B87:B88)</x:f>
        <x:v>101.96212728657032</x:v>
      </x:c>
      <x:c r="D89" s="24"/>
      <x:c r="E89" s="24"/>
      <x:c r="F89" s="24"/>
      <x:c r="G89" s="24"/>
      <x:c r="H89" s="24"/>
      <x:c r="I89" s="24"/>
      <x:c r="J89" s="24"/>
      <x:c r="K89" s="24"/>
    </x:row>
    <x:row r="90" ht="25" customHeight="1">
      <x:c r="A90" t="str">
        <x:v>Terminal operating value</x:v>
      </x:c>
      <x:c r="B90" s="34" t="n">
        <x:f>B89/('Assumptions'!$C$9-'Assumptions'!$D$9)</x:f>
        <x:v>1456.601818379576</x:v>
      </x:c>
      <x:c r="D90" s="24"/>
      <x:c r="E90" s="24"/>
      <x:c r="F90" s="24"/>
      <x:c r="G90" s="24"/>
      <x:c r="H90" s="24"/>
      <x:c r="I90" s="24"/>
      <x:c r="J90" s="24"/>
      <x:c r="K90" s="24"/>
    </x:row>
    <x:row r="91" ht="25" customHeight="1">
      <x:c r="A91" t="str">
        <x:v>PV terminal value</x:v>
      </x:c>
      <x:c r="B91" s="34" t="n">
        <x:f>B90*K83</x:f>
        <x:v>561.5830564470987</x:v>
      </x:c>
      <x:c r="D91" s="24"/>
      <x:c r="E91" s="24"/>
      <x:c r="F91" s="24"/>
      <x:c r="G91" s="24"/>
      <x:c r="H91" s="24"/>
      <x:c r="I91" s="24"/>
      <x:c r="J91" s="24"/>
      <x:c r="K91" s="24"/>
    </x:row>
    <x:row r="92" ht="25" customHeight="1">
      <x:c r="A92" t="str">
        <x:v>PV explicit forecast</x:v>
      </x:c>
      <x:c r="B92" s="34" t="n">
        <x:f>SUM(B84:K84)</x:f>
        <x:v>494.3950108300964</x:v>
      </x:c>
      <x:c r="D92" s="24"/>
      <x:c r="E92" s="24"/>
      <x:c r="F92" s="24"/>
      <x:c r="G92" s="24"/>
      <x:c r="H92" s="24"/>
      <x:c r="I92" s="24"/>
      <x:c r="J92" s="24"/>
      <x:c r="K92" s="24"/>
    </x:row>
    <x:row r="93" ht="25" customHeight="1">
      <x:c r="A93" s="84" t="str">
        <x:v>Operating enterprise value</x:v>
      </x:c>
      <x:c r="B93" s="85" t="n">
        <x:f>SUM(B91:B92)</x:f>
        <x:v>1055.9780672771951</x:v>
      </x:c>
      <x:c r="D93" s="24"/>
      <x:c r="E93" s="24"/>
      <x:c r="F93" s="24"/>
      <x:c r="G93" s="24"/>
      <x:c r="H93" s="24"/>
      <x:c r="I93" s="24"/>
      <x:c r="J93" s="24"/>
      <x:c r="K93" s="24"/>
    </x:row>
    <x:row r="94" ht="25" customHeight="1">
      <x:c r="A94" t="str">
        <x:v>Cash / claims / transaction bridge</x:v>
      </x:c>
      <x:c r="B94" s="34" t="n">
        <x:f>'Inputs'!$D$6-'Inputs'!$D$7-'Inputs'!$D$9-'Inputs'!$D$10-'Inputs'!$D$11+'Inputs'!$D$12*'Inputs'!$D$13</x:f>
        <x:v>101.2</x:v>
      </x:c>
      <x:c r="D94" s="24"/>
      <x:c r="E94" s="24"/>
      <x:c r="F94" s="24"/>
      <x:c r="G94" s="24"/>
      <x:c r="H94" s="24"/>
      <x:c r="I94" s="24"/>
      <x:c r="J94" s="24"/>
      <x:c r="K94" s="24"/>
    </x:row>
    <x:row r="95" ht="25" customHeight="1">
      <x:c r="A95" s="84" t="str">
        <x:v>Common equity value</x:v>
      </x:c>
      <x:c r="B95" s="85" t="n">
        <x:f>SUM(B93:B94)</x:f>
        <x:v>1157.1780672771952</x:v>
      </x:c>
      <x:c r="D95" s="24"/>
      <x:c r="E95" s="24"/>
      <x:c r="F95" s="24"/>
      <x:c r="G95" s="24"/>
      <x:c r="H95" s="24"/>
      <x:c r="I95" s="24"/>
      <x:c r="J95" s="24"/>
      <x:c r="K95" s="24"/>
    </x:row>
    <x:row r="96" ht="25" customHeight="1">
      <x:c r="A96" t="str">
        <x:v>Value / share: debt endpoint</x:v>
      </x:c>
      <x:c r="B96" s="42" t="n">
        <x:f>B95/'Inputs'!$D$8</x:f>
        <x:v>32.24145516361192</x:v>
      </x:c>
    </x:row>
    <x:row r="97" ht="25" customHeight="1">
      <x:c r="A97" t="str">
        <x:v>Value / share: if-converted endpoint</x:v>
      </x:c>
      <x:c r="B97" s="42" t="n">
        <x:f>B96</x:f>
        <x:v>32.24145516361192</x:v>
      </x:c>
    </x:row>
    <x:row r="98" ht="25" customHeight="1">
      <x:c r="A98" s="88" t="str">
        <x:v>Conditional intrinsic value / share</x:v>
      </x:c>
      <x:c r="B98" s="89" t="n">
        <x:f>B96</x:f>
        <x:v>32.24145516361192</x:v>
      </x:c>
    </x:row>
    <x:row r="99" ht="25" customHeight="1">
      <x:c r="A99" t="str">
        <x:v>Value versus quote</x:v>
      </x:c>
      <x:c r="B99" s="22" t="n">
        <x:f>B98/'Inputs'!$D$5-1</x:f>
        <x:v>-0.12884476726257987</x:v>
      </x:c>
    </x:row>
    <x:row r="100" ht="25" customHeight="1">
      <x:c r="A100" t="str">
        <x:v>Terminal share of operating EV</x:v>
      </x:c>
      <x:c r="B100" s="22" t="n">
        <x:f>B91/B93</x:f>
        <x:v>0.5318131823467908</x:v>
      </x:c>
    </x:row>
    <x:row r="101" ht="25" customHeight="1">
      <x:c r="A101" t="str">
        <x:v>Value at 12% enterprise discount</x:v>
      </x:c>
      <x:c r="B101" s="42" t="n">
        <x:f>(SUMPRODUCT(B82:K82,B85:K85)+B89/('Controls'!$B$3-'Assumptions'!$D$9)*K85+B94)/'Inputs'!$D$8</x:f>
        <x:v>25.512995995955492</x:v>
      </x:c>
    </x:row>
    <x:row r="102" ht="25" customHeight="1">
      <x:c r="A102" t="str">
        <x:v>Price-implied operating EV</x:v>
      </x:c>
      <x:c r="B102" s="34" t="n">
        <x:f>'Inputs'!$D$5*'Inputs'!$D$8-B94</x:f>
        <x:v>1227.1259099999997</x:v>
      </x:c>
    </x:row>
    <x:row r="106" ht="29" customHeight="1">
      <x:c r="A106" s="27" t="str">
        <x:v>BULL | conditional operating path, not probability band</x:v>
      </x:c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</x:row>
    <x:row r="108">
      <x:c r="A108" t="str">
        <x:v>Discount rate</x:v>
      </x:c>
      <x:c r="B108" s="22" t="n">
        <x:f>'Assumptions'!$C$10</x:f>
        <x:v>0.1</x:v>
      </x:c>
      <x:c r="C108" t="str">
        <x:v>Terminal growth</x:v>
      </x:c>
      <x:c r="D108" s="22" t="n">
        <x:f>'Assumptions'!$D$10</x:f>
        <x:v>0.03</x:v>
      </x:c>
      <x:c r="E108" t="str">
        <x:v>Tax</x:v>
      </x:c>
      <x:c r="F108" s="22" t="n">
        <x:f>'Assumptions'!$F$10</x:f>
        <x:v>0.16</x:v>
      </x:c>
      <x:c r="G108" t="str">
        <x:v>Terminal ROIC</x:v>
      </x:c>
      <x:c r="H108" s="22" t="n">
        <x:f>'Assumptions'!$E$10</x:f>
        <x:v>0.35</x:v>
      </x:c>
      <x:c r="I108"/>
      <x:c r="J108"/>
      <x:c r="K108"/>
    </x:row>
    <x:row r="110" ht="24" customHeight="1">
      <x:c r="A110" s="31" t="str">
        <x:v>Economic year</x:v>
      </x:c>
      <x:c r="B110" s="31" t="n">
        <x:v>1</x:v>
      </x:c>
      <x:c r="C110" s="31" t="n">
        <x:v>2</x:v>
      </x:c>
      <x:c r="D110" s="31" t="n">
        <x:v>3</x:v>
      </x:c>
      <x:c r="E110" s="31" t="n">
        <x:v>4</x:v>
      </x:c>
      <x:c r="F110" s="31" t="n">
        <x:v>5</x:v>
      </x:c>
      <x:c r="G110" s="31" t="n">
        <x:v>6</x:v>
      </x:c>
      <x:c r="H110" s="31" t="n">
        <x:v>7</x:v>
      </x:c>
      <x:c r="I110" s="31" t="n">
        <x:v>8</x:v>
      </x:c>
      <x:c r="J110" s="31" t="n">
        <x:v>9</x:v>
      </x:c>
      <x:c r="K110" s="31" t="n">
        <x:v>10</x:v>
      </x:c>
    </x:row>
    <x:row r="111" ht="23" customHeight="1">
      <x:c r="A111" t="str">
        <x:v>Primary revenue growth</x:v>
      </x:c>
      <x:c r="B111" s="36" t="n">
        <x:f>'Assumptions'!$O$10</x:f>
        <x:v>0.16</x:v>
      </x:c>
      <x:c r="C111" s="36" t="n">
        <x:f>'Assumptions'!$P$10</x:f>
        <x:v>0.16</x:v>
      </x:c>
      <x:c r="D111" s="36" t="n">
        <x:f>'Assumptions'!$Q$10</x:f>
        <x:v>0.15</x:v>
      </x:c>
      <x:c r="E111" s="36" t="n">
        <x:f>'Assumptions'!$R$10</x:f>
        <x:v>0.14</x:v>
      </x:c>
      <x:c r="F111" s="36" t="n">
        <x:f>'Assumptions'!$S$10</x:f>
        <x:v>0.13</x:v>
      </x:c>
      <x:c r="G111" s="22" t="n">
        <x:f>$F$121+('Assumptions'!$D$10-$F$121)*(G$110-$F$110)/($K$110-$F$110)</x:f>
        <x:v>0.08232903446473111</x:v>
      </x:c>
      <x:c r="H111" s="22" t="n">
        <x:f>$F$121+('Assumptions'!$D$10-$F$121)*(H$110-$F$110)/($K$110-$F$110)</x:f>
        <x:v>0.06924677584854834</x:v>
      </x:c>
      <x:c r="I111" s="22" t="n">
        <x:f>$F$121+('Assumptions'!$D$10-$F$121)*(I$110-$F$110)/($K$110-$F$110)</x:f>
        <x:v>0.056164517232365554</x:v>
      </x:c>
      <x:c r="J111" s="22" t="n">
        <x:f>$F$121+('Assumptions'!$D$10-$F$121)*(J$110-$F$110)/($K$110-$F$110)</x:f>
        <x:v>0.04308225861618278</x:v>
      </x:c>
      <x:c r="K111" s="22" t="n">
        <x:f>$F$121+('Assumptions'!$D$10-$F$121)*(K$110-$F$110)/($K$110-$F$110)</x:f>
        <x:v>0.03</x:v>
      </x:c>
    </x:row>
    <x:row r="112" ht="23" customHeight="1">
      <x:c r="A112" t="str">
        <x:v>Secondary revenue growth</x:v>
      </x:c>
      <x:c r="B112" s="36" t="n">
        <x:f>'Assumptions'!$T$10</x:f>
        <x:v>0.06</x:v>
      </x:c>
      <x:c r="C112" s="36" t="n">
        <x:f>'Assumptions'!$U$10</x:f>
        <x:v>0.06</x:v>
      </x:c>
      <x:c r="D112" s="36" t="n">
        <x:f>'Assumptions'!$V$10</x:f>
        <x:v>0.06</x:v>
      </x:c>
      <x:c r="E112" s="36" t="n">
        <x:f>'Assumptions'!$W$10</x:f>
        <x:v>0.05</x:v>
      </x:c>
      <x:c r="F112" s="36" t="n">
        <x:f>'Assumptions'!$X$10</x:f>
        <x:v>0.05</x:v>
      </x:c>
      <x:c r="G112" s="22" t="n">
        <x:f>$F$121+('Assumptions'!$D$10-$F$121)*(G$110-$F$110)/($K$110-$F$110)</x:f>
        <x:v>0.08232903446473111</x:v>
      </x:c>
      <x:c r="H112" s="22" t="n">
        <x:f>$F$121+('Assumptions'!$D$10-$F$121)*(H$110-$F$110)/($K$110-$F$110)</x:f>
        <x:v>0.06924677584854834</x:v>
      </x:c>
      <x:c r="I112" s="22" t="n">
        <x:f>$F$121+('Assumptions'!$D$10-$F$121)*(I$110-$F$110)/($K$110-$F$110)</x:f>
        <x:v>0.056164517232365554</x:v>
      </x:c>
      <x:c r="J112" s="22" t="n">
        <x:f>$F$121+('Assumptions'!$D$10-$F$121)*(J$110-$F$110)/($K$110-$F$110)</x:f>
        <x:v>0.04308225861618278</x:v>
      </x:c>
      <x:c r="K112" s="22" t="n">
        <x:f>$F$121+('Assumptions'!$D$10-$F$121)*(K$110-$F$110)/($K$110-$F$110)</x:f>
        <x:v>0.03</x:v>
      </x:c>
    </x:row>
    <x:row r="113" ht="23" customHeight="1">
      <x:c r="A113" t="str">
        <x:v>Primary margin</x:v>
      </x:c>
      <x:c r="B113" s="36" t="n">
        <x:f>'Assumptions'!$Y$10</x:f>
        <x:v>0.91</x:v>
      </x:c>
      <x:c r="C113" s="36" t="n">
        <x:f>'Assumptions'!$Z$10</x:f>
        <x:v>0.91</x:v>
      </x:c>
      <x:c r="D113" s="36" t="n">
        <x:f>'Assumptions'!$AA$10</x:f>
        <x:v>0.91</x:v>
      </x:c>
      <x:c r="E113" s="36" t="n">
        <x:f>'Assumptions'!$AB$10</x:f>
        <x:v>0.91</x:v>
      </x:c>
      <x:c r="F113" s="36" t="n">
        <x:f>'Assumptions'!$AC$10</x:f>
        <x:v>0.91</x:v>
      </x:c>
      <x:c r="G113" s="22" t="n">
        <x:f>$F$113</x:f>
        <x:v>0.91</x:v>
      </x:c>
      <x:c r="H113" s="22" t="n">
        <x:f>$F$113</x:f>
        <x:v>0.91</x:v>
      </x:c>
      <x:c r="I113" s="22" t="n">
        <x:f>$F$113</x:f>
        <x:v>0.91</x:v>
      </x:c>
      <x:c r="J113" s="22" t="n">
        <x:f>$F$113</x:f>
        <x:v>0.91</x:v>
      </x:c>
      <x:c r="K113" s="22" t="n">
        <x:f>$F$113</x:f>
        <x:v>0.91</x:v>
      </x:c>
    </x:row>
    <x:row r="114" ht="23" customHeight="1">
      <x:c r="A114" t="str">
        <x:v>Secondary margin</x:v>
      </x:c>
      <x:c r="B114" s="36" t="n">
        <x:f>'Assumptions'!$AD$10</x:f>
        <x:v>0.31</x:v>
      </x:c>
      <x:c r="C114" s="36" t="n">
        <x:f>'Assumptions'!$AE$10</x:f>
        <x:v>0.32</x:v>
      </x:c>
      <x:c r="D114" s="36" t="n">
        <x:f>'Assumptions'!$AF$10</x:f>
        <x:v>0.33</x:v>
      </x:c>
      <x:c r="E114" s="36" t="n">
        <x:f>'Assumptions'!$AG$10</x:f>
        <x:v>0.33</x:v>
      </x:c>
      <x:c r="F114" s="36" t="n">
        <x:f>'Assumptions'!$AH$10</x:f>
        <x:v>0.33</x:v>
      </x:c>
      <x:c r="G114" s="22" t="n">
        <x:f>$F$114</x:f>
        <x:v>0.33</x:v>
      </x:c>
      <x:c r="H114" s="22" t="n">
        <x:f>$F$114</x:f>
        <x:v>0.33</x:v>
      </x:c>
      <x:c r="I114" s="22" t="n">
        <x:f>$F$114</x:f>
        <x:v>0.33</x:v>
      </x:c>
      <x:c r="J114" s="22" t="n">
        <x:f>$F$114</x:f>
        <x:v>0.33</x:v>
      </x:c>
      <x:c r="K114" s="22" t="n">
        <x:f>$F$114</x:f>
        <x:v>0.33</x:v>
      </x:c>
    </x:row>
    <x:row r="115" ht="23" customHeight="1">
      <x:c r="A115" t="str">
        <x:v>Overhead growth</x:v>
      </x:c>
      <x:c r="B115" s="36" t="n">
        <x:f>'Assumptions'!$AI$10</x:f>
        <x:v>0.055</x:v>
      </x:c>
      <x:c r="C115" s="36" t="n">
        <x:f>'Assumptions'!$AJ$10</x:f>
        <x:v>0.055</x:v>
      </x:c>
      <x:c r="D115" s="36" t="n">
        <x:f>'Assumptions'!$AK$10</x:f>
        <x:v>0.055</x:v>
      </x:c>
      <x:c r="E115" s="36" t="n">
        <x:f>'Assumptions'!$AL$10</x:f>
        <x:v>0.055</x:v>
      </x:c>
      <x:c r="F115" s="36" t="n">
        <x:f>'Assumptions'!$AM$10</x:f>
        <x:v>0.055</x:v>
      </x:c>
      <x:c r="G115" s="22" t="n">
        <x:f>$F$121+('Assumptions'!$D$10-$F$121)*(G$110-$F$110)/($K$110-$F$110)</x:f>
        <x:v>0.08232903446473111</x:v>
      </x:c>
      <x:c r="H115" s="22" t="n">
        <x:f>$F$121+('Assumptions'!$D$10-$F$121)*(H$110-$F$110)/($K$110-$F$110)</x:f>
        <x:v>0.06924677584854834</x:v>
      </x:c>
      <x:c r="I115" s="22" t="n">
        <x:f>$F$121+('Assumptions'!$D$10-$F$121)*(I$110-$F$110)/($K$110-$F$110)</x:f>
        <x:v>0.056164517232365554</x:v>
      </x:c>
      <x:c r="J115" s="22" t="n">
        <x:f>$F$121+('Assumptions'!$D$10-$F$121)*(J$110-$F$110)/($K$110-$F$110)</x:f>
        <x:v>0.04308225861618278</x:v>
      </x:c>
      <x:c r="K115" s="22" t="n">
        <x:f>$F$121+('Assumptions'!$D$10-$F$121)*(K$110-$F$110)/($K$110-$F$110)</x:f>
        <x:v>0.03</x:v>
      </x:c>
    </x:row>
    <x:row r="116" ht="23" customHeight="1">
      <x:c r="A116" t="str">
        <x:v>Capex / revenue</x:v>
      </x:c>
      <x:c r="B116" s="36" t="n">
        <x:f>'Assumptions'!$AN$10</x:f>
        <x:v>0.014</x:v>
      </x:c>
      <x:c r="C116" s="36" t="n">
        <x:f>'Assumptions'!$AO$10</x:f>
        <x:v>0.014</x:v>
      </x:c>
      <x:c r="D116" s="36" t="n">
        <x:f>'Assumptions'!$AP$10</x:f>
        <x:v>0.014</x:v>
      </x:c>
      <x:c r="E116" s="36" t="n">
        <x:f>'Assumptions'!$AQ$10</x:f>
        <x:v>0.014</x:v>
      </x:c>
      <x:c r="F116" s="36" t="n">
        <x:f>'Assumptions'!$AR$10</x:f>
        <x:v>0.014</x:v>
      </x:c>
      <x:c r="G116" s="22" t="n">
        <x:f>$F$116</x:f>
        <x:v>0.014</x:v>
      </x:c>
      <x:c r="H116" s="22" t="n">
        <x:f>$F$116</x:f>
        <x:v>0.014</x:v>
      </x:c>
      <x:c r="I116" s="22" t="n">
        <x:f>$F$116</x:f>
        <x:v>0.014</x:v>
      </x:c>
      <x:c r="J116" s="22" t="n">
        <x:f>$F$116</x:f>
        <x:v>0.014</x:v>
      </x:c>
      <x:c r="K116" s="22" t="n">
        <x:f>$F$116</x:f>
        <x:v>0.014</x:v>
      </x:c>
    </x:row>
    <x:row r="117" ht="23" customHeight="1">
      <x:c r="B117" s="34"/>
      <x:c r="C117" s="34"/>
      <x:c r="D117" s="34"/>
      <x:c r="E117" s="34"/>
      <x:c r="F117" s="34"/>
      <x:c r="G117" s="34"/>
      <x:c r="H117" s="34"/>
      <x:c r="I117" s="34"/>
      <x:c r="J117" s="34"/>
      <x:c r="K117" s="34"/>
    </x:row>
    <x:row r="118" ht="23" customHeight="1">
      <x:c r="A118" t="str">
        <x:v>Primary revenue</x:v>
      </x:c>
      <x:c r="B118" s="34" t="n">
        <x:f>'Inputs'!$D$21*(1+B111)</x:f>
        <x:v>113.13248</x:v>
      </x:c>
      <x:c r="C118" s="34" t="n">
        <x:f>B118*(1+C111)</x:f>
        <x:v>131.23367679999998</x:v>
      </x:c>
      <x:c r="D118" s="34" t="n">
        <x:f>C118*(1+D111)</x:f>
        <x:v>150.91872831999996</x:v>
      </x:c>
      <x:c r="E118" s="34" t="n">
        <x:f>D118*(1+E111)</x:f>
        <x:v>172.04735028479996</x:v>
      </x:c>
      <x:c r="F118" s="34" t="n">
        <x:f>E118*(1+F111)</x:f>
        <x:v>194.41350582182395</x:v>
      </x:c>
      <x:c r="G118" s="34" t="n">
        <x:f>F118*(1+G111)</x:f>
        <x:v>210.4193820430381</x:v>
      </x:c>
      <x:c r="H118" s="34" t="n">
        <x:f>G118*(1+H111)</x:f>
        <x:v>224.99024582556243</x:v>
      </x:c>
      <x:c r="I118" s="34" t="n">
        <x:f>H118*(1+I111)</x:f>
        <x:v>237.62671436434638</x:v>
      </x:c>
      <x:c r="J118" s="34" t="n">
        <x:f>I118*(1+J111)</x:f>
        <x:v>247.86420992670494</x:v>
      </x:c>
      <x:c r="K118" s="34" t="n">
        <x:f>J118*(1+K111)</x:f>
        <x:v>255.3001362245061</x:v>
      </x:c>
    </x:row>
    <x:row r="119" ht="23" customHeight="1">
      <x:c r="A119" t="str">
        <x:v>Secondary revenue</x:v>
      </x:c>
      <x:c r="B119" s="34" t="n">
        <x:f>'Inputs'!$D$22*(1+B112)</x:f>
        <x:v>111.07528</x:v>
      </x:c>
      <x:c r="C119" s="34" t="n">
        <x:f>B119*(1+C112)</x:f>
        <x:v>117.73979680000001</x:v>
      </x:c>
      <x:c r="D119" s="34" t="n">
        <x:f>C119*(1+D112)</x:f>
        <x:v>124.80418460800001</x:v>
      </x:c>
      <x:c r="E119" s="34" t="n">
        <x:f>D119*(1+E112)</x:f>
        <x:v>131.04439383840003</x:v>
      </x:c>
      <x:c r="F119" s="34" t="n">
        <x:f>E119*(1+F112)</x:f>
        <x:v>137.59661353032004</x:v>
      </x:c>
      <x:c r="G119" s="34" t="n">
        <x:f>F119*(1+G112)</x:f>
        <x:v>148.92480986788806</x:v>
      </x:c>
      <x:c r="H119" s="34" t="n">
        <x:f>G119*(1+H112)</x:f>
        <x:v>159.2373727950974</x:v>
      </x:c>
      <x:c r="I119" s="34" t="n">
        <x:f>H119*(1+I112)</x:f>
        <x:v>168.18086296348426</x:v>
      </x:c>
      <x:c r="J119" s="34" t="n">
        <x:f>I119*(1+J112)</x:f>
        <x:v>175.42647439596988</x:v>
      </x:c>
      <x:c r="K119" s="34" t="n">
        <x:f>J119*(1+K112)</x:f>
        <x:v>180.68926862784897</x:v>
      </x:c>
    </x:row>
    <x:row r="120" ht="23" customHeight="1">
      <x:c r="A120" s="31" t="str">
        <x:v>Total economic revenue</x:v>
      </x:c>
      <x:c r="B120" s="40" t="n">
        <x:f>SUM(B118:B119)</x:f>
        <x:v>224.20776</x:v>
      </x:c>
      <x:c r="C120" s="40" t="n">
        <x:f>SUM(C118:C119)</x:f>
        <x:v>248.97347359999998</x:v>
      </x:c>
      <x:c r="D120" s="40" t="n">
        <x:f>SUM(D118:D119)</x:f>
        <x:v>275.72291292799997</x:v>
      </x:c>
      <x:c r="E120" s="40" t="n">
        <x:f>SUM(E118:E119)</x:f>
        <x:v>303.0917441232</x:v>
      </x:c>
      <x:c r="F120" s="40" t="n">
        <x:f>SUM(F118:F119)</x:f>
        <x:v>332.010119352144</x:v>
      </x:c>
      <x:c r="G120" s="40" t="n">
        <x:f>SUM(G118:G119)</x:f>
        <x:v>359.34419191092616</x:v>
      </x:c>
      <x:c r="H120" s="40" t="n">
        <x:f>SUM(H118:H119)</x:f>
        <x:v>384.2276186206598</x:v>
      </x:c>
      <x:c r="I120" s="40" t="n">
        <x:f>SUM(I118:I119)</x:f>
        <x:v>405.80757732783064</x:v>
      </x:c>
      <x:c r="J120" s="40" t="n">
        <x:f>SUM(J118:J119)</x:f>
        <x:v>423.2906843226748</x:v>
      </x:c>
      <x:c r="K120" s="40" t="n">
        <x:f>SUM(K118:K119)</x:f>
        <x:v>435.98940485235505</x:v>
      </x:c>
    </x:row>
    <x:row r="121" ht="23" customHeight="1">
      <x:c r="A121" t="str">
        <x:v>Revenue growth</x:v>
      </x:c>
      <x:c r="B121" s="22" t="n">
        <x:f>B120/'Inputs'!$D$14-1</x:f>
        <x:v>0.10820577710116841</x:v>
      </x:c>
      <x:c r="C121" s="22" t="n">
        <x:f>C120/B120-1</x:f>
        <x:v>0.11045877091854428</x:v>
      </x:c>
      <x:c r="D121" s="22" t="n">
        <x:f>D120/C120-1</x:f>
        <x:v>0.10743891283364415</x:v>
      </x:c>
      <x:c r="E121" s="22" t="n">
        <x:f>E120/D120-1</x:f>
        <x:v>0.09926208491184374</x:v>
      </x:c>
      <x:c r="F121" s="22" t="n">
        <x:f>F120/E120-1</x:f>
        <x:v>0.0954112930809139</x:v>
      </x:c>
      <x:c r="G121" s="22" t="n">
        <x:f>G120/F120-1</x:f>
        <x:v>0.08232903446473117</x:v>
      </x:c>
      <x:c r="H121" s="22" t="n">
        <x:f>H120/G120-1</x:f>
        <x:v>0.06924677584854844</x:v>
      </x:c>
      <x:c r="I121" s="22" t="n">
        <x:f>I120/H120-1</x:f>
        <x:v>0.056164517232365485</x:v>
      </x:c>
      <x:c r="J121" s="22" t="n">
        <x:f>J120/I120-1</x:f>
        <x:v>0.043082258616182756</x:v>
      </x:c>
      <x:c r="K121" s="22" t="n">
        <x:f>K120/J120-1</x:f>
        <x:v>0.030000000000000027</x:v>
      </x:c>
    </x:row>
    <x:row r="122" ht="23" customHeight="1">
      <x:c r="A122" t="str">
        <x:v>Primary profit pool</x:v>
      </x:c>
      <x:c r="B122" s="34" t="n">
        <x:f>B118*B113</x:f>
        <x:v>102.9505568</x:v>
      </x:c>
      <x:c r="C122" s="34" t="n">
        <x:f>C118*C113</x:f>
        <x:v>119.42264588799999</x:v>
      </x:c>
      <x:c r="D122" s="34" t="n">
        <x:f>D118*D113</x:f>
        <x:v>137.33604277119997</x:v>
      </x:c>
      <x:c r="E122" s="34" t="n">
        <x:f>E118*E113</x:f>
        <x:v>156.56308875916798</x:v>
      </x:c>
      <x:c r="F122" s="34" t="n">
        <x:f>F118*F113</x:f>
        <x:v>176.9162902978598</x:v>
      </x:c>
      <x:c r="G122" s="34" t="n">
        <x:f>G118*G113</x:f>
        <x:v>191.48163765916468</x:v>
      </x:c>
      <x:c r="H122" s="34" t="n">
        <x:f>H118*H113</x:f>
        <x:v>204.7411237012618</x:v>
      </x:c>
      <x:c r="I122" s="34" t="n">
        <x:f>I118*I113</x:f>
        <x:v>216.24031007155523</x:v>
      </x:c>
      <x:c r="J122" s="34" t="n">
        <x:f>J118*J113</x:f>
        <x:v>225.55643103330152</x:v>
      </x:c>
      <x:c r="K122" s="34" t="n">
        <x:f>K118*K113</x:f>
        <x:v>232.32312396430055</x:v>
      </x:c>
    </x:row>
    <x:row r="123" ht="23" customHeight="1">
      <x:c r="A123" t="str">
        <x:v>Secondary profit pool</x:v>
      </x:c>
      <x:c r="B123" s="34" t="n">
        <x:f>B119*B114</x:f>
        <x:v>34.4333368</x:v>
      </x:c>
      <x:c r="C123" s="34" t="n">
        <x:f>C119*C114</x:f>
        <x:v>37.676734976000006</x:v>
      </x:c>
      <x:c r="D123" s="34" t="n">
        <x:f>D119*D114</x:f>
        <x:v>41.18538092064001</x:v>
      </x:c>
      <x:c r="E123" s="34" t="n">
        <x:f>E119*E114</x:f>
        <x:v>43.24464996667201</x:v>
      </x:c>
      <x:c r="F123" s="34" t="n">
        <x:f>F119*F114</x:f>
        <x:v>45.406882465005616</x:v>
      </x:c>
      <x:c r="G123" s="34" t="n">
        <x:f>G119*G114</x:f>
        <x:v>49.14518725640306</x:v>
      </x:c>
      <x:c r="H123" s="34" t="n">
        <x:f>H119*H114</x:f>
        <x:v>52.548333022382145</x:v>
      </x:c>
      <x:c r="I123" s="34" t="n">
        <x:f>I119*I114</x:f>
        <x:v>55.49968477794981</x:v>
      </x:c>
      <x:c r="J123" s="34" t="n">
        <x:f>J119*J114</x:f>
        <x:v>57.89073655067006</x:v>
      </x:c>
      <x:c r="K123" s="34" t="n">
        <x:f>K119*K114</x:f>
        <x:v>59.62745864719017</x:v>
      </x:c>
    </x:row>
    <x:row r="124" ht="23" customHeight="1">
      <x:c r="A124" t="str">
        <x:v>Less: overhead / corporate</x:v>
      </x:c>
      <x:c r="B124" s="34" t="n">
        <x:f>-'Inputs'!$D$23*(1+B115)</x:f>
        <x:v>-61.351414999999996</x:v>
      </x:c>
      <x:c r="C124" s="34" t="n">
        <x:f>B124*(1+C115)</x:f>
        <x:v>-64.725742825</x:v>
      </x:c>
      <x:c r="D124" s="34" t="n">
        <x:f>C124*(1+D115)</x:f>
        <x:v>-68.285658680375</x:v>
      </x:c>
      <x:c r="E124" s="34" t="n">
        <x:f>D124*(1+E115)</x:f>
        <x:v>-72.04136990779561</x:v>
      </x:c>
      <x:c r="F124" s="34" t="n">
        <x:f>E124*(1+F115)</x:f>
        <x:v>-76.00364525272437</x:v>
      </x:c>
      <x:c r="G124" s="34" t="n">
        <x:f>F124*(1+G115)</x:f>
        <x:v>-82.26095198218111</x:v>
      </x:c>
      <x:c r="H124" s="34" t="n">
        <x:f>G124*(1+H115)</x:f>
        <x:v>-87.95725768517941</x:v>
      </x:c>
      <x:c r="I124" s="34" t="n">
        <x:f>H124*(1+I115)</x:f>
        <x:v>-92.89733460015029</x:v>
      </x:c>
      <x:c r="J124" s="34" t="n">
        <x:f>I124*(1+J115)</x:f>
        <x:v>-96.89956159414803</x:v>
      </x:c>
      <x:c r="K124" s="34" t="n">
        <x:f>J124*(1+K115)</x:f>
        <x:v>-99.80654844197247</x:v>
      </x:c>
    </x:row>
    <x:row r="125" ht="23" customHeight="1">
      <x:c r="A125" t="str">
        <x:v>Additional fee profit</x:v>
      </x:c>
      <x:c r="B125" s="34" t="n">
        <x:f>0</x:f>
        <x:v>0</x:v>
      </x:c>
      <x:c r="C125" s="34" t="n">
        <x:f>0</x:f>
        <x:v>0</x:v>
      </x:c>
      <x:c r="D125" s="34" t="n">
        <x:f>0</x:f>
        <x:v>0</x:v>
      </x:c>
      <x:c r="E125" s="34" t="n">
        <x:f>0</x:f>
        <x:v>0</x:v>
      </x:c>
      <x:c r="F125" s="34" t="n">
        <x:f>0</x:f>
        <x:v>0</x:v>
      </x:c>
      <x:c r="G125" s="34" t="n">
        <x:f>0</x:f>
        <x:v>0</x:v>
      </x:c>
      <x:c r="H125" s="34" t="n">
        <x:f>0</x:f>
        <x:v>0</x:v>
      </x:c>
      <x:c r="I125" s="34" t="n">
        <x:f>0</x:f>
        <x:v>0</x:v>
      </x:c>
      <x:c r="J125" s="34" t="n">
        <x:f>0</x:f>
        <x:v>0</x:v>
      </x:c>
      <x:c r="K125" s="34" t="n">
        <x:f>0</x:f>
        <x:v>0</x:v>
      </x:c>
    </x:row>
    <x:row r="126" ht="23" customHeight="1">
      <x:c r="A126" s="31" t="str">
        <x:v>Operating income after recurring SBC</x:v>
      </x:c>
      <x:c r="B126" s="40" t="n">
        <x:f>SUM(B122:B125)</x:f>
        <x:v>76.03247859999999</x:v>
      </x:c>
      <x:c r="C126" s="40" t="n">
        <x:f>SUM(C122:C125)</x:f>
        <x:v>92.37363803900001</x:v>
      </x:c>
      <x:c r="D126" s="40" t="n">
        <x:f>SUM(D122:D125)</x:f>
        <x:v>110.23576501146498</x:v>
      </x:c>
      <x:c r="E126" s="40" t="n">
        <x:f>SUM(E122:E125)</x:f>
        <x:v>127.76636881804437</x:v>
      </x:c>
      <x:c r="F126" s="40" t="n">
        <x:f>SUM(F122:F125)</x:f>
        <x:v>146.31952751014106</x:v>
      </x:c>
      <x:c r="G126" s="40" t="n">
        <x:f>SUM(G122:G125)</x:f>
        <x:v>158.36587293338664</x:v>
      </x:c>
      <x:c r="H126" s="40" t="n">
        <x:f>SUM(H122:H125)</x:f>
        <x:v>169.33219903846458</x:v>
      </x:c>
      <x:c r="I126" s="40" t="n">
        <x:f>SUM(I122:I125)</x:f>
        <x:v>178.84266024935474</x:v>
      </x:c>
      <x:c r="J126" s="40" t="n">
        <x:f>SUM(J122:J125)</x:f>
        <x:v>186.54760598982355</x:v>
      </x:c>
      <x:c r="K126" s="40" t="n">
        <x:f>SUM(K122:K125)</x:f>
        <x:v>192.14403416951828</x:v>
      </x:c>
    </x:row>
    <x:row r="127" ht="23" customHeight="1">
      <x:c r="A127" t="str">
        <x:v>Operating margin</x:v>
      </x:c>
      <x:c r="B127" s="22" t="n">
        <x:f>B126/B120</x:f>
        <x:v>0.33911617778082254</x:v>
      </x:c>
      <x:c r="C127" s="22" t="n">
        <x:f>C126/C120</x:f>
        <x:v>0.37101799120739754</x:v>
      </x:c>
      <x:c r="D127" s="22" t="n">
        <x:f>D126/D120</x:f>
        <x:v>0.39980632672429023</x:v>
      </x:c>
      <x:c r="E127" s="22" t="n">
        <x:f>E126/E120</x:f>
        <x:v>0.4215435467820272</x:v>
      </x:c>
      <x:c r="F127" s="22" t="n">
        <x:f>F126/F120</x:f>
        <x:v>0.44070803563354155</x:v>
      </x:c>
      <x:c r="G127" s="22" t="n">
        <x:f>G126/G120</x:f>
        <x:v>0.44070803563354155</x:v>
      </x:c>
      <x:c r="H127" s="22" t="n">
        <x:f>H126/H120</x:f>
        <x:v>0.4407080356335416</x:v>
      </x:c>
      <x:c r="I127" s="22" t="n">
        <x:f>I126/I120</x:f>
        <x:v>0.4407080356335415</x:v>
      </x:c>
      <x:c r="J127" s="22" t="n">
        <x:f>J126/J120</x:f>
        <x:v>0.44070803563354155</x:v>
      </x:c>
      <x:c r="K127" s="22" t="n">
        <x:f>K126/K120</x:f>
        <x:v>0.4407080356335416</x:v>
      </x:c>
    </x:row>
    <x:row r="128" ht="23" customHeight="1">
      <x:c r="A128" t="str">
        <x:v>After-tax operating profit</x:v>
      </x:c>
      <x:c r="B128" s="34" t="n">
        <x:f>B126*(1-'Assumptions'!$F$10)</x:f>
        <x:v>63.86728202399999</x:v>
      </x:c>
      <x:c r="C128" s="34" t="n">
        <x:f>C126*(1-'Assumptions'!$F$10)</x:f>
        <x:v>77.59385595276001</x:v>
      </x:c>
      <x:c r="D128" s="34" t="n">
        <x:f>D126*(1-'Assumptions'!$F$10)</x:f>
        <x:v>92.59804260963058</x:v>
      </x:c>
      <x:c r="E128" s="34" t="n">
        <x:f>E126*(1-'Assumptions'!$F$10)</x:f>
        <x:v>107.32374980715727</x:v>
      </x:c>
      <x:c r="F128" s="34" t="n">
        <x:f>F126*(1-'Assumptions'!$F$10)</x:f>
        <x:v>122.90840310851848</x:v>
      </x:c>
      <x:c r="G128" s="34" t="n">
        <x:f>G126*(1-'Assumptions'!$F$10)</x:f>
        <x:v>133.02733326404478</x:v>
      </x:c>
      <x:c r="H128" s="34" t="n">
        <x:f>H126*(1-'Assumptions'!$F$10)</x:f>
        <x:v>142.23904719231024</x:v>
      </x:c>
      <x:c r="I128" s="34" t="n">
        <x:f>I126*(1-'Assumptions'!$F$10)</x:f>
        <x:v>150.22783460945797</x:v>
      </x:c>
      <x:c r="J128" s="34" t="n">
        <x:f>J126*(1-'Assumptions'!$F$10)</x:f>
        <x:v>156.69998903145176</x:v>
      </x:c>
      <x:c r="K128" s="34" t="n">
        <x:f>K126*(1-'Assumptions'!$F$10)</x:f>
        <x:v>161.40098870239535</x:v>
      </x:c>
    </x:row>
    <x:row r="129" ht="23" customHeight="1">
      <x:c r="A129" t="str">
        <x:v>Add: depreciation &amp; amortization</x:v>
      </x:c>
      <x:c r="B129" s="34" t="n">
        <x:f>B120*'Assumptions'!$G$10</x:f>
        <x:v>2.46628536</x:v>
      </x:c>
      <x:c r="C129" s="34" t="n">
        <x:f>C120*'Assumptions'!$G$10</x:f>
        <x:v>2.7387082095999995</x:v>
      </x:c>
      <x:c r="D129" s="34" t="n">
        <x:f>D120*'Assumptions'!$G$10</x:f>
        <x:v>3.0329520422079996</x:v>
      </x:c>
      <x:c r="E129" s="34" t="n">
        <x:f>E120*'Assumptions'!$G$10</x:f>
        <x:v>3.3340091853551996</x:v>
      </x:c>
      <x:c r="F129" s="34" t="n">
        <x:f>F120*'Assumptions'!$G$10</x:f>
        <x:v>3.6521113128735836</x:v>
      </x:c>
      <x:c r="G129" s="34" t="n">
        <x:f>G120*'Assumptions'!$G$10</x:f>
        <x:v>3.9527861110201874</x:v>
      </x:c>
      <x:c r="H129" s="34" t="n">
        <x:f>H120*'Assumptions'!$G$10</x:f>
        <x:v>4.226503804827257</x:v>
      </x:c>
      <x:c r="I129" s="34" t="n">
        <x:f>I120*'Assumptions'!$G$10</x:f>
        <x:v>4.463883350606137</x:v>
      </x:c>
      <x:c r="J129" s="34" t="n">
        <x:f>J120*'Assumptions'!$G$10</x:f>
        <x:v>4.6561975275494225</x:v>
      </x:c>
      <x:c r="K129" s="34" t="n">
        <x:f>K120*'Assumptions'!$G$10</x:f>
        <x:v>4.795883453375906</x:v>
      </x:c>
    </x:row>
    <x:row r="130" ht="23" customHeight="1">
      <x:c r="A130" t="str">
        <x:v>Less: investment incl. software</x:v>
      </x:c>
      <x:c r="B130" s="34" t="n">
        <x:f>-B120*B116</x:f>
        <x:v>-3.1389086400000004</x:v>
      </x:c>
      <x:c r="C130" s="34" t="n">
        <x:f>-C120*C116</x:f>
        <x:v>-3.4856286304</x:v>
      </x:c>
      <x:c r="D130" s="34" t="n">
        <x:f>-D120*D116</x:f>
        <x:v>-3.8601207809919997</x:v>
      </x:c>
      <x:c r="E130" s="34" t="n">
        <x:f>-E120*E116</x:f>
        <x:v>-4.2432844177248</x:v>
      </x:c>
      <x:c r="F130" s="34" t="n">
        <x:f>-F120*F116</x:f>
        <x:v>-4.648141670930016</x:v>
      </x:c>
      <x:c r="G130" s="34" t="n">
        <x:f>-G120*G116</x:f>
        <x:v>-5.0308186867529665</x:v>
      </x:c>
      <x:c r="H130" s="34" t="n">
        <x:f>-H120*H116</x:f>
        <x:v>-5.379186660689237</x:v>
      </x:c>
      <x:c r="I130" s="34" t="n">
        <x:f>-I120*I116</x:f>
        <x:v>-5.6813060825896295</x:v>
      </x:c>
      <x:c r="J130" s="34" t="n">
        <x:f>-J120*J116</x:f>
        <x:v>-5.9260695805174475</x:v>
      </x:c>
      <x:c r="K130" s="34" t="n">
        <x:f>-K120*K116</x:f>
        <x:v>-6.103851667932971</x:v>
      </x:c>
    </x:row>
    <x:row r="131" ht="23" customHeight="1">
      <x:c r="A131" t="str">
        <x:v>Less: incremental working capital</x:v>
      </x:c>
      <x:c r="B131" s="34" t="n">
        <x:f>-(B120-'Inputs'!$D$14)*'Assumptions'!$H$10</x:f>
        <x:v>-1.7513408000000004</x:v>
      </x:c>
      <x:c r="C131" s="34" t="n">
        <x:f>-(C120-B120)*'Assumptions'!$H$10</x:f>
        <x:v>-1.9812570879999976</x:v>
      </x:c>
      <x:c r="D131" s="34" t="n">
        <x:f>-(D120-C120)*'Assumptions'!$H$10</x:f>
        <x:v>-2.1399551462399997</x:v>
      </x:c>
      <x:c r="E131" s="34" t="n">
        <x:f>-(E120-D120)*'Assumptions'!$H$10</x:f>
        <x:v>-2.1895064956160013</x:v>
      </x:c>
      <x:c r="F131" s="34" t="n">
        <x:f>-(F120-E120)*'Assumptions'!$H$10</x:f>
        <x:v>-2.31347001831552</x:v>
      </x:c>
      <x:c r="G131" s="34" t="n">
        <x:f>-(G120-F120)*'Assumptions'!$H$10</x:f>
        <x:v>-2.1867258047025735</x:v>
      </x:c>
      <x:c r="H131" s="34" t="n">
        <x:f>-(H120-G120)*'Assumptions'!$H$10</x:f>
        <x:v>-1.9906741367786935</x:v>
      </x:c>
      <x:c r="I131" s="34" t="n">
        <x:f>-(I120-H120)*'Assumptions'!$H$10</x:f>
        <x:v>-1.7263966965736655</x:v>
      </x:c>
      <x:c r="J131" s="34" t="n">
        <x:f>-(J120-I120)*'Assumptions'!$H$10</x:f>
        <x:v>-1.398648559587532</x:v>
      </x:c>
      <x:c r="K131" s="34" t="n">
        <x:f>-(K120-J120)*'Assumptions'!$H$10</x:f>
        <x:v>-1.0158976423744206</x:v>
      </x:c>
    </x:row>
    <x:row r="132" ht="23" customHeight="1">
      <x:c r="A132" t="str">
        <x:v>Less: specified cash shock</x:v>
      </x:c>
      <x:c r="B132" s="34" t="n">
        <x:f>-'Assumptions'!$I$10</x:f>
        <x:v>0</x:v>
      </x:c>
      <x:c r="C132" s="34" t="n">
        <x:f>0</x:f>
        <x:v>0</x:v>
      </x:c>
      <x:c r="D132" s="34" t="n">
        <x:f>0</x:f>
        <x:v>0</x:v>
      </x:c>
      <x:c r="E132" s="34" t="n">
        <x:f>0</x:f>
        <x:v>0</x:v>
      </x:c>
      <x:c r="F132" s="34" t="n">
        <x:f>0</x:f>
        <x:v>0</x:v>
      </x:c>
      <x:c r="G132" s="34" t="n">
        <x:f>0</x:f>
        <x:v>0</x:v>
      </x:c>
      <x:c r="H132" s="34" t="n">
        <x:f>0</x:f>
        <x:v>0</x:v>
      </x:c>
      <x:c r="I132" s="34" t="n">
        <x:f>0</x:f>
        <x:v>0</x:v>
      </x:c>
      <x:c r="J132" s="34" t="n">
        <x:f>0</x:f>
        <x:v>0</x:v>
      </x:c>
      <x:c r="K132" s="34" t="n">
        <x:f>0</x:f>
        <x:v>0</x:v>
      </x:c>
    </x:row>
    <x:row r="133" ht="23" customHeight="1">
      <x:c r="A133" s="31" t="str">
        <x:v>Owner-economic unlevered cash flow</x:v>
      </x:c>
      <x:c r="B133" s="40" t="n">
        <x:f>SUM(B128:B132)</x:f>
        <x:v>61.44331794399999</x:v>
      </x:c>
      <x:c r="C133" s="40" t="n">
        <x:f>SUM(C128:C132)</x:f>
        <x:v>74.86567844396002</x:v>
      </x:c>
      <x:c r="D133" s="40" t="n">
        <x:f>SUM(D128:D132)</x:f>
        <x:v>89.63091872460657</x:v>
      </x:c>
      <x:c r="E133" s="40" t="n">
        <x:f>SUM(E128:E132)</x:f>
        <x:v>104.22496807917167</x:v>
      </x:c>
      <x:c r="F133" s="40" t="n">
        <x:f>SUM(F128:F132)</x:f>
        <x:v>119.59890273214654</x:v>
      </x:c>
      <x:c r="G133" s="40" t="n">
        <x:f>SUM(G128:G132)</x:f>
        <x:v>129.7625748836094</x:v>
      </x:c>
      <x:c r="H133" s="40" t="n">
        <x:f>SUM(H128:H132)</x:f>
        <x:v>139.09569019966955</x:v>
      </x:c>
      <x:c r="I133" s="40" t="n">
        <x:f>SUM(I128:I132)</x:f>
        <x:v>147.2840151809008</x:v>
      </x:c>
      <x:c r="J133" s="40" t="n">
        <x:f>SUM(J128:J132)</x:f>
        <x:v>154.0314684188962</x:v>
      </x:c>
      <x:c r="K133" s="40" t="n">
        <x:f>SUM(K128:K132)</x:f>
        <x:v>159.07712284546386</x:v>
      </x:c>
    </x:row>
    <x:row r="134" ht="23" customHeight="1">
      <x:c r="A134" t="str">
        <x:v>Discount factor</x:v>
      </x:c>
      <x:c r="B134" s="22" t="n">
        <x:f>1/(1+'Assumptions'!$C$10)^B$110</x:f>
        <x:v>0.9090909090909091</x:v>
      </x:c>
      <x:c r="C134" s="22" t="n">
        <x:f>1/(1+'Assumptions'!$C$10)^C$110</x:f>
        <x:v>0.8264462809917354</x:v>
      </x:c>
      <x:c r="D134" s="22" t="n">
        <x:f>1/(1+'Assumptions'!$C$10)^D$110</x:f>
        <x:v>0.7513148009015775</x:v>
      </x:c>
      <x:c r="E134" s="22" t="n">
        <x:f>1/(1+'Assumptions'!$C$10)^E$110</x:f>
        <x:v>0.6830134553650705</x:v>
      </x:c>
      <x:c r="F134" s="22" t="n">
        <x:f>1/(1+'Assumptions'!$C$10)^F$110</x:f>
        <x:v>0.6209213230591549</x:v>
      </x:c>
      <x:c r="G134" s="22" t="n">
        <x:f>1/(1+'Assumptions'!$C$10)^G$110</x:f>
        <x:v>0.5644739300537772</x:v>
      </x:c>
      <x:c r="H134" s="22" t="n">
        <x:f>1/(1+'Assumptions'!$C$10)^H$110</x:f>
        <x:v>0.5131581182307065</x:v>
      </x:c>
      <x:c r="I134" s="22" t="n">
        <x:f>1/(1+'Assumptions'!$C$10)^I$110</x:f>
        <x:v>0.46650738020973315</x:v>
      </x:c>
      <x:c r="J134" s="22" t="n">
        <x:f>1/(1+'Assumptions'!$C$10)^J$110</x:f>
        <x:v>0.42409761837248466</x:v>
      </x:c>
      <x:c r="K134" s="22" t="n">
        <x:f>1/(1+'Assumptions'!$C$10)^K$110</x:f>
        <x:v>0.3855432894295315</x:v>
      </x:c>
    </x:row>
    <x:row r="135" ht="23" customHeight="1">
      <x:c r="A135" s="31" t="str">
        <x:v>Present value</x:v>
      </x:c>
      <x:c r="B135" s="40" t="n">
        <x:f>B133*B134</x:f>
        <x:v>55.85756176727272</x:v>
      </x:c>
      <x:c r="C135" s="40" t="n">
        <x:f>C133*C134</x:f>
        <x:v>61.87246152393389</x:v>
      </x:c>
      <x:c r="D135" s="40" t="n">
        <x:f>D133*D134</x:f>
        <x:v>67.34103585620326</x:v>
      </x:c>
      <x:c r="E135" s="40" t="n">
        <x:f>E133*E134</x:f>
        <x:v>71.18705558306922</x:v>
      </x:c>
      <x:c r="F135" s="40" t="n">
        <x:f>F133*F134</x:f>
        <x:v>74.26150892086761</x:v>
      </x:c>
      <x:c r="G135" s="40" t="n">
        <x:f>G133*G134</x:f>
        <x:v>73.24759061844857</x:v>
      </x:c>
      <x:c r="H135" s="40" t="n">
        <x:f>H133*H134</x:f>
        <x:v>71.37808263686374</x:v>
      </x:c>
      <x:c r="I135" s="40" t="n">
        <x:f>I133*I134</x:f>
        <x:v>68.7090800688126</x:v>
      </x:c>
      <x:c r="J135" s="40" t="n">
        <x:f>J133*J134</x:f>
        <x:v>65.32437891087046</x:v>
      </x:c>
      <x:c r="K135" s="40" t="n">
        <x:f>K133*K134</x:f>
        <x:v>61.33111721482581</x:v>
      </x:c>
    </x:row>
    <x:row r="136" ht="23" customHeight="1">
      <x:c r="A136" t="str">
        <x:v>Discount factor at 12%</x:v>
      </x:c>
      <x:c r="B136" s="22" t="n">
        <x:f>1/(1+'Controls'!$B$3)^B$110</x:f>
        <x:v>0.8928571428571428</x:v>
      </x:c>
      <x:c r="C136" s="22" t="n">
        <x:f>1/(1+'Controls'!$B$3)^C$110</x:f>
        <x:v>0.7971938775510203</x:v>
      </x:c>
      <x:c r="D136" s="22" t="n">
        <x:f>1/(1+'Controls'!$B$3)^D$110</x:f>
        <x:v>0.7117802478134109</x:v>
      </x:c>
      <x:c r="E136" s="22" t="n">
        <x:f>1/(1+'Controls'!$B$3)^E$110</x:f>
        <x:v>0.6355180784048312</x:v>
      </x:c>
      <x:c r="F136" s="22" t="n">
        <x:f>1/(1+'Controls'!$B$3)^F$110</x:f>
        <x:v>0.5674268557185992</x:v>
      </x:c>
      <x:c r="G136" s="22" t="n">
        <x:f>1/(1+'Controls'!$B$3)^G$110</x:f>
        <x:v>0.5066311211773207</x:v>
      </x:c>
      <x:c r="H136" s="22" t="n">
        <x:f>1/(1+'Controls'!$B$3)^H$110</x:f>
        <x:v>0.45234921533689343</x:v>
      </x:c>
      <x:c r="I136" s="22" t="n">
        <x:f>1/(1+'Controls'!$B$3)^I$110</x:f>
        <x:v>0.4038832279793691</x:v>
      </x:c>
      <x:c r="J136" s="22" t="n">
        <x:f>1/(1+'Controls'!$B$3)^J$110</x:f>
        <x:v>0.36061002498157957</x:v>
      </x:c>
      <x:c r="K136" s="22" t="n">
        <x:f>1/(1+'Controls'!$B$3)^K$110</x:f>
        <x:v>0.321973236590696</x:v>
      </x:c>
    </x:row>
    <x:row r="138" ht="25" customHeight="1">
      <x:c r="A138" t="str">
        <x:v>Year 11 after-tax operating profit</x:v>
      </x:c>
      <x:c r="B138" s="34" t="n">
        <x:f>K128*(1+'Assumptions'!$D$10)</x:f>
        <x:v>166.24301836346723</x:v>
      </x:c>
    </x:row>
    <x:row r="139" ht="25" customHeight="1">
      <x:c r="A139" t="str">
        <x:v>Less: terminal reinvestment</x:v>
      </x:c>
      <x:c r="B139" s="34" t="n">
        <x:f>-B138*'Assumptions'!$D$10/'Assumptions'!$E$10</x:f>
        <x:v>-14.249401574011477</x:v>
      </x:c>
      <x:c r="D139" s="24" t="str">
        <x:v>This is an operating scenario, not a statistical confidence interval. Terminal growth requires reinvestment. Latest-quarter capital structure is not a complete September roll-forward. See company decision notes for remaining unknowns. MOD scenarios assume the transaction closes; WINA core revenue excludes offsetting fee programs.</x:v>
      </x:c>
      <x:c r="E139" s="24"/>
      <x:c r="F139" s="24"/>
      <x:c r="G139" s="24"/>
      <x:c r="H139" s="24"/>
      <x:c r="I139" s="24"/>
      <x:c r="J139" s="24"/>
      <x:c r="K139" s="24"/>
    </x:row>
    <x:row r="140" ht="25" customHeight="1">
      <x:c r="A140" t="str">
        <x:v>Terminal cash flow</x:v>
      </x:c>
      <x:c r="B140" s="34" t="n">
        <x:f>SUM(B138:B139)</x:f>
        <x:v>151.99361678945576</x:v>
      </x:c>
      <x:c r="D140" s="24"/>
      <x:c r="E140" s="24"/>
      <x:c r="F140" s="24"/>
      <x:c r="G140" s="24"/>
      <x:c r="H140" s="24"/>
      <x:c r="I140" s="24"/>
      <x:c r="J140" s="24"/>
      <x:c r="K140" s="24"/>
    </x:row>
    <x:row r="141" ht="25" customHeight="1">
      <x:c r="A141" t="str">
        <x:v>Terminal operating value</x:v>
      </x:c>
      <x:c r="B141" s="34" t="n">
        <x:f>B140/('Assumptions'!$C$10-'Assumptions'!$D$10)</x:f>
        <x:v>2171.3373827065107</x:v>
      </x:c>
      <x:c r="D141" s="24"/>
      <x:c r="E141" s="24"/>
      <x:c r="F141" s="24"/>
      <x:c r="G141" s="24"/>
      <x:c r="H141" s="24"/>
      <x:c r="I141" s="24"/>
      <x:c r="J141" s="24"/>
      <x:c r="K141" s="24"/>
    </x:row>
    <x:row r="142" ht="25" customHeight="1">
      <x:c r="A142" t="str">
        <x:v>PV terminal value</x:v>
      </x:c>
      <x:c r="B142" s="34" t="n">
        <x:f>B141*K134</x:f>
        <x:v>837.1445569899776</x:v>
      </x:c>
      <x:c r="D142" s="24"/>
      <x:c r="E142" s="24"/>
      <x:c r="F142" s="24"/>
      <x:c r="G142" s="24"/>
      <x:c r="H142" s="24"/>
      <x:c r="I142" s="24"/>
      <x:c r="J142" s="24"/>
      <x:c r="K142" s="24"/>
    </x:row>
    <x:row r="143" ht="25" customHeight="1">
      <x:c r="A143" t="str">
        <x:v>PV explicit forecast</x:v>
      </x:c>
      <x:c r="B143" s="34" t="n">
        <x:f>SUM(B135:K135)</x:f>
        <x:v>670.5098731011678</x:v>
      </x:c>
      <x:c r="D143" s="24"/>
      <x:c r="E143" s="24"/>
      <x:c r="F143" s="24"/>
      <x:c r="G143" s="24"/>
      <x:c r="H143" s="24"/>
      <x:c r="I143" s="24"/>
      <x:c r="J143" s="24"/>
      <x:c r="K143" s="24"/>
    </x:row>
    <x:row r="144" ht="25" customHeight="1">
      <x:c r="A144" s="84" t="str">
        <x:v>Operating enterprise value</x:v>
      </x:c>
      <x:c r="B144" s="85" t="n">
        <x:f>SUM(B142:B143)</x:f>
        <x:v>1507.6544300911455</x:v>
      </x:c>
      <x:c r="D144" s="24"/>
      <x:c r="E144" s="24"/>
      <x:c r="F144" s="24"/>
      <x:c r="G144" s="24"/>
      <x:c r="H144" s="24"/>
      <x:c r="I144" s="24"/>
      <x:c r="J144" s="24"/>
      <x:c r="K144" s="24"/>
    </x:row>
    <x:row r="145" ht="25" customHeight="1">
      <x:c r="A145" t="str">
        <x:v>Cash / claims / transaction bridge</x:v>
      </x:c>
      <x:c r="B145" s="34" t="n">
        <x:f>'Inputs'!$D$6-'Inputs'!$D$7-'Inputs'!$D$9-'Inputs'!$D$10-'Inputs'!$D$11+'Inputs'!$D$12*'Inputs'!$D$13</x:f>
        <x:v>101.2</x:v>
      </x:c>
      <x:c r="D145" s="24"/>
      <x:c r="E145" s="24"/>
      <x:c r="F145" s="24"/>
      <x:c r="G145" s="24"/>
      <x:c r="H145" s="24"/>
      <x:c r="I145" s="24"/>
      <x:c r="J145" s="24"/>
      <x:c r="K145" s="24"/>
    </x:row>
    <x:row r="146" ht="25" customHeight="1">
      <x:c r="A146" s="84" t="str">
        <x:v>Common equity value</x:v>
      </x:c>
      <x:c r="B146" s="85" t="n">
        <x:f>SUM(B144:B145)</x:f>
        <x:v>1608.8544300911456</x:v>
      </x:c>
      <x:c r="D146" s="24"/>
      <x:c r="E146" s="24"/>
      <x:c r="F146" s="24"/>
      <x:c r="G146" s="24"/>
      <x:c r="H146" s="24"/>
      <x:c r="I146" s="24"/>
      <x:c r="J146" s="24"/>
      <x:c r="K146" s="24"/>
    </x:row>
    <x:row r="147" ht="25" customHeight="1">
      <x:c r="A147" t="str">
        <x:v>Value / share: debt endpoint</x:v>
      </x:c>
      <x:c r="B147" s="42" t="n">
        <x:f>B146/'Inputs'!$D$8</x:f>
        <x:v>44.826124379124174</x:v>
      </x:c>
    </x:row>
    <x:row r="148" ht="25" customHeight="1">
      <x:c r="A148" t="str">
        <x:v>Value / share: if-converted endpoint</x:v>
      </x:c>
      <x:c r="B148" s="42" t="n">
        <x:f>B147</x:f>
        <x:v>44.826124379124174</x:v>
      </x:c>
    </x:row>
    <x:row r="149" ht="25" customHeight="1">
      <x:c r="A149" s="88" t="str">
        <x:v>Conditional intrinsic value / share</x:v>
      </x:c>
      <x:c r="B149" s="89" t="n">
        <x:f>B147</x:f>
        <x:v>44.826124379124174</x:v>
      </x:c>
    </x:row>
    <x:row r="150" ht="25" customHeight="1">
      <x:c r="A150" t="str">
        <x:v>Value versus quote</x:v>
      </x:c>
      <x:c r="B150" s="22" t="n">
        <x:f>B149/'Inputs'!$D$5-1</x:f>
        <x:v>0.21118952659076395</x:v>
      </x:c>
    </x:row>
    <x:row r="151" ht="25" customHeight="1">
      <x:c r="A151" t="str">
        <x:v>Terminal share of operating EV</x:v>
      </x:c>
      <x:c r="B151" s="22" t="n">
        <x:f>B142/B144</x:f>
        <x:v>0.5552628906740703</x:v>
      </x:c>
    </x:row>
    <x:row r="152" ht="25" customHeight="1">
      <x:c r="A152" t="str">
        <x:v>Value at 12% enterprise discount</x:v>
      </x:c>
      <x:c r="B152" s="42" t="n">
        <x:f>(SUMPRODUCT(B133:K133,B136:K136)+B140/('Controls'!$B$3-'Assumptions'!$D$10)*K136+B145)/'Inputs'!$D$8</x:f>
        <x:v>34.89191570238678</x:v>
      </x:c>
    </x:row>
    <x:row r="153" ht="25" customHeight="1">
      <x:c r="A153" t="str">
        <x:v>Price-implied operating EV</x:v>
      </x:c>
      <x:c r="B153" s="34" t="n">
        <x:f>'Inputs'!$D$5*'Inputs'!$D$8-B145</x:f>
        <x:v>1227.1259099999997</x:v>
      </x:c>
    </x:row>
  </x:sheetData>
  <x:mergeCells>
    <x:mergeCell ref="A1:K1"/>
    <x:mergeCell ref="A2:K2"/>
    <x:mergeCell ref="A4:K4"/>
    <x:mergeCell ref="D37:K44"/>
    <x:mergeCell ref="A55:K55"/>
    <x:mergeCell ref="D88:K95"/>
    <x:mergeCell ref="A106:K106"/>
    <x:mergeCell ref="D139:K14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9" customHeight="1">
      <x:c r="A1" s="18" t="str">
        <x:v>APPF | NORMALIZED CASH FLOW | 10 forward economic years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</x:row>
    <x:row r="2" ht="31" customHeight="1">
      <x:c r="A2" s="24" t="str">
        <x:v>USD millions. Blue assumptions on Assumptions tab; recurring SBC stays expensed. Not a precisely fiscal-aligned earnings forecast.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</x:row>
    <x:row r="4" ht="29" customHeight="1">
      <x:c r="A4" s="27" t="str">
        <x:v>BEAR | conditional operating path, not probability band</x:v>
      </x:c>
      <x:c r="B4" s="27"/>
      <x:c r="C4" s="27"/>
      <x:c r="D4" s="27"/>
      <x:c r="E4" s="27"/>
      <x:c r="F4" s="27"/>
      <x:c r="G4" s="27"/>
      <x:c r="H4" s="27"/>
      <x:c r="I4" s="27"/>
      <x:c r="J4" s="27"/>
      <x:c r="K4" s="27"/>
    </x:row>
    <x:row r="6">
      <x:c r="A6" t="str">
        <x:v>Discount rate</x:v>
      </x:c>
      <x:c r="B6" s="22" t="n">
        <x:f>'Assumptions'!$C$11</x:f>
        <x:v>0.1</x:v>
      </x:c>
      <x:c r="C6" t="str">
        <x:v>Terminal growth</x:v>
      </x:c>
      <x:c r="D6" s="22" t="n">
        <x:f>'Assumptions'!$D$11</x:f>
        <x:v>0.03</x:v>
      </x:c>
      <x:c r="E6" t="str">
        <x:v>Tax</x:v>
      </x:c>
      <x:c r="F6" s="22" t="n">
        <x:f>'Assumptions'!$F$11</x:f>
        <x:v>0.26</x:v>
      </x:c>
      <x:c r="G6" t="str">
        <x:v>Terminal ROIC</x:v>
      </x:c>
      <x:c r="H6" s="22" t="n">
        <x:f>'Assumptions'!$E$11</x:f>
        <x:v>0.25</x:v>
      </x:c>
      <x:c r="I6"/>
      <x:c r="J6"/>
      <x:c r="K6"/>
    </x:row>
    <x:row r="8" ht="24" customHeight="1">
      <x:c r="A8" s="31" t="str">
        <x:v>Economic year</x:v>
      </x:c>
      <x:c r="B8" s="31" t="n">
        <x:v>1</x:v>
      </x:c>
      <x:c r="C8" s="31" t="n">
        <x:v>2</x:v>
      </x:c>
      <x:c r="D8" s="31" t="n">
        <x:v>3</x:v>
      </x:c>
      <x:c r="E8" s="31" t="n">
        <x:v>4</x:v>
      </x:c>
      <x:c r="F8" s="31" t="n">
        <x:v>5</x:v>
      </x:c>
      <x:c r="G8" s="31" t="n">
        <x:v>6</x:v>
      </x:c>
      <x:c r="H8" s="31" t="n">
        <x:v>7</x:v>
      </x:c>
      <x:c r="I8" s="31" t="n">
        <x:v>8</x:v>
      </x:c>
      <x:c r="J8" s="31" t="n">
        <x:v>9</x:v>
      </x:c>
      <x:c r="K8" s="31" t="n">
        <x:v>10</x:v>
      </x:c>
    </x:row>
    <x:row r="9" ht="23" customHeight="1">
      <x:c r="A9" t="str">
        <x:v>Primary revenue growth</x:v>
      </x:c>
      <x:c r="B9" s="36" t="n">
        <x:f>'Assumptions'!$O$11</x:f>
        <x:v>0.1</x:v>
      </x:c>
      <x:c r="C9" s="36" t="n">
        <x:f>'Assumptions'!$P$11</x:f>
        <x:v>0.09</x:v>
      </x:c>
      <x:c r="D9" s="36" t="n">
        <x:f>'Assumptions'!$Q$11</x:f>
        <x:v>0.08</x:v>
      </x:c>
      <x:c r="E9" s="36" t="n">
        <x:f>'Assumptions'!$R$11</x:f>
        <x:v>0.07</x:v>
      </x:c>
      <x:c r="F9" s="36" t="n">
        <x:f>'Assumptions'!$S$11</x:f>
        <x:v>0.06</x:v>
      </x:c>
      <x:c r="G9" s="22" t="n">
        <x:f>$F$19+('Assumptions'!$D$11-$F$19)*(G$8-$F$8)/($K$8-$F$8)</x:f>
        <x:v>0.05400000000000004</x:v>
      </x:c>
      <x:c r="H9" s="22" t="n">
        <x:f>$F$19+('Assumptions'!$D$11-$F$19)*(H$8-$F$8)/($K$8-$F$8)</x:f>
        <x:v>0.04800000000000003</x:v>
      </x:c>
      <x:c r="I9" s="22" t="n">
        <x:f>$F$19+('Assumptions'!$D$11-$F$19)*(I$8-$F$8)/($K$8-$F$8)</x:f>
        <x:v>0.04200000000000002</x:v>
      </x:c>
      <x:c r="J9" s="22" t="n">
        <x:f>$F$19+('Assumptions'!$D$11-$F$19)*(J$8-$F$8)/($K$8-$F$8)</x:f>
        <x:v>0.03600000000000001</x:v>
      </x:c>
      <x:c r="K9" s="22" t="n">
        <x:f>$F$19+('Assumptions'!$D$11-$F$19)*(K$8-$F$8)/($K$8-$F$8)</x:f>
        <x:v>0.03</x:v>
      </x:c>
    </x:row>
    <x:row r="10" ht="23" customHeight="1">
      <x:c r="A10" t="str">
        <x:v>Secondary revenue growth</x:v>
      </x:c>
      <x:c r="B10" s="36" t="n">
        <x:f>'Assumptions'!$T$11</x:f>
        <x:v>0</x:v>
      </x:c>
      <x:c r="C10" s="36" t="n">
        <x:f>'Assumptions'!$U$11</x:f>
        <x:v>0</x:v>
      </x:c>
      <x:c r="D10" s="36" t="n">
        <x:f>'Assumptions'!$V$11</x:f>
        <x:v>0</x:v>
      </x:c>
      <x:c r="E10" s="36" t="n">
        <x:f>'Assumptions'!$W$11</x:f>
        <x:v>0</x:v>
      </x:c>
      <x:c r="F10" s="36" t="n">
        <x:f>'Assumptions'!$X$11</x:f>
        <x:v>0</x:v>
      </x:c>
      <x:c r="G10" s="22" t="n">
        <x:f>$F$19+('Assumptions'!$D$11-$F$19)*(G$8-$F$8)/($K$8-$F$8)</x:f>
        <x:v>0.05400000000000004</x:v>
      </x:c>
      <x:c r="H10" s="22" t="n">
        <x:f>$F$19+('Assumptions'!$D$11-$F$19)*(H$8-$F$8)/($K$8-$F$8)</x:f>
        <x:v>0.04800000000000003</x:v>
      </x:c>
      <x:c r="I10" s="22" t="n">
        <x:f>$F$19+('Assumptions'!$D$11-$F$19)*(I$8-$F$8)/($K$8-$F$8)</x:f>
        <x:v>0.04200000000000002</x:v>
      </x:c>
      <x:c r="J10" s="22" t="n">
        <x:f>$F$19+('Assumptions'!$D$11-$F$19)*(J$8-$F$8)/($K$8-$F$8)</x:f>
        <x:v>0.03600000000000001</x:v>
      </x:c>
      <x:c r="K10" s="22" t="n">
        <x:f>$F$19+('Assumptions'!$D$11-$F$19)*(K$8-$F$8)/($K$8-$F$8)</x:f>
        <x:v>0.03</x:v>
      </x:c>
    </x:row>
    <x:row r="11" ht="23" customHeight="1">
      <x:c r="A11" t="str">
        <x:v>Primary margin</x:v>
      </x:c>
      <x:c r="B11" s="36" t="n">
        <x:f>'Assumptions'!$Y$11</x:f>
        <x:v>0.18</x:v>
      </x:c>
      <x:c r="C11" s="36" t="n">
        <x:f>'Assumptions'!$Z$11</x:f>
        <x:v>0.18</x:v>
      </x:c>
      <x:c r="D11" s="36" t="n">
        <x:f>'Assumptions'!$AA$11</x:f>
        <x:v>0.185</x:v>
      </x:c>
      <x:c r="E11" s="36" t="n">
        <x:f>'Assumptions'!$AB$11</x:f>
        <x:v>0.19</x:v>
      </x:c>
      <x:c r="F11" s="36" t="n">
        <x:f>'Assumptions'!$AC$11</x:f>
        <x:v>0.19</x:v>
      </x:c>
      <x:c r="G11" s="22" t="n">
        <x:f>$F$11</x:f>
        <x:v>0.19</x:v>
      </x:c>
      <x:c r="H11" s="22" t="n">
        <x:f>$F$11</x:f>
        <x:v>0.19</x:v>
      </x:c>
      <x:c r="I11" s="22" t="n">
        <x:f>$F$11</x:f>
        <x:v>0.19</x:v>
      </x:c>
      <x:c r="J11" s="22" t="n">
        <x:f>$F$11</x:f>
        <x:v>0.19</x:v>
      </x:c>
      <x:c r="K11" s="22" t="n">
        <x:f>$F$11</x:f>
        <x:v>0.19</x:v>
      </x:c>
    </x:row>
    <x:row r="12" ht="23" customHeight="1">
      <x:c r="A12" t="str">
        <x:v>Secondary margin</x:v>
      </x:c>
      <x:c r="B12" s="36" t="n">
        <x:f>'Assumptions'!$AD$11</x:f>
        <x:v>0</x:v>
      </x:c>
      <x:c r="C12" s="36" t="n">
        <x:f>'Assumptions'!$AE$11</x:f>
        <x:v>0</x:v>
      </x:c>
      <x:c r="D12" s="36" t="n">
        <x:f>'Assumptions'!$AF$11</x:f>
        <x:v>0</x:v>
      </x:c>
      <x:c r="E12" s="36" t="n">
        <x:f>'Assumptions'!$AG$11</x:f>
        <x:v>0</x:v>
      </x:c>
      <x:c r="F12" s="36" t="n">
        <x:f>'Assumptions'!$AH$11</x:f>
        <x:v>0</x:v>
      </x:c>
      <x:c r="G12" s="22" t="n">
        <x:f>$F$12</x:f>
        <x:v>0</x:v>
      </x:c>
      <x:c r="H12" s="22" t="n">
        <x:f>$F$12</x:f>
        <x:v>0</x:v>
      </x:c>
      <x:c r="I12" s="22" t="n">
        <x:f>$F$12</x:f>
        <x:v>0</x:v>
      </x:c>
      <x:c r="J12" s="22" t="n">
        <x:f>$F$12</x:f>
        <x:v>0</x:v>
      </x:c>
      <x:c r="K12" s="22" t="n">
        <x:f>$F$12</x:f>
        <x:v>0</x:v>
      </x:c>
    </x:row>
    <x:row r="13" ht="23" customHeight="1">
      <x:c r="A13" t="str">
        <x:v>Overhead growth</x:v>
      </x:c>
      <x:c r="B13" s="36" t="n">
        <x:f>'Assumptions'!$AI$11</x:f>
        <x:v>0</x:v>
      </x:c>
      <x:c r="C13" s="36" t="n">
        <x:f>'Assumptions'!$AJ$11</x:f>
        <x:v>0</x:v>
      </x:c>
      <x:c r="D13" s="36" t="n">
        <x:f>'Assumptions'!$AK$11</x:f>
        <x:v>0</x:v>
      </x:c>
      <x:c r="E13" s="36" t="n">
        <x:f>'Assumptions'!$AL$11</x:f>
        <x:v>0</x:v>
      </x:c>
      <x:c r="F13" s="36" t="n">
        <x:f>'Assumptions'!$AM$11</x:f>
        <x:v>0</x:v>
      </x:c>
      <x:c r="G13" s="22" t="n">
        <x:f>$F$19+('Assumptions'!$D$11-$F$19)*(G$8-$F$8)/($K$8-$F$8)</x:f>
        <x:v>0.05400000000000004</x:v>
      </x:c>
      <x:c r="H13" s="22" t="n">
        <x:f>$F$19+('Assumptions'!$D$11-$F$19)*(H$8-$F$8)/($K$8-$F$8)</x:f>
        <x:v>0.04800000000000003</x:v>
      </x:c>
      <x:c r="I13" s="22" t="n">
        <x:f>$F$19+('Assumptions'!$D$11-$F$19)*(I$8-$F$8)/($K$8-$F$8)</x:f>
        <x:v>0.04200000000000002</x:v>
      </x:c>
      <x:c r="J13" s="22" t="n">
        <x:f>$F$19+('Assumptions'!$D$11-$F$19)*(J$8-$F$8)/($K$8-$F$8)</x:f>
        <x:v>0.03600000000000001</x:v>
      </x:c>
      <x:c r="K13" s="22" t="n">
        <x:f>$F$19+('Assumptions'!$D$11-$F$19)*(K$8-$F$8)/($K$8-$F$8)</x:f>
        <x:v>0.03</x:v>
      </x:c>
    </x:row>
    <x:row r="14" ht="23" customHeight="1">
      <x:c r="A14" t="str">
        <x:v>Capex / revenue</x:v>
      </x:c>
      <x:c r="B14" s="36" t="n">
        <x:f>'Assumptions'!$AN$11</x:f>
        <x:v>0.015</x:v>
      </x:c>
      <x:c r="C14" s="36" t="n">
        <x:f>'Assumptions'!$AO$11</x:f>
        <x:v>0.015</x:v>
      </x:c>
      <x:c r="D14" s="36" t="n">
        <x:f>'Assumptions'!$AP$11</x:f>
        <x:v>0.015</x:v>
      </x:c>
      <x:c r="E14" s="36" t="n">
        <x:f>'Assumptions'!$AQ$11</x:f>
        <x:v>0.015</x:v>
      </x:c>
      <x:c r="F14" s="36" t="n">
        <x:f>'Assumptions'!$AR$11</x:f>
        <x:v>0.015</x:v>
      </x:c>
      <x:c r="G14" s="22" t="n">
        <x:f>$F$14</x:f>
        <x:v>0.015</x:v>
      </x:c>
      <x:c r="H14" s="22" t="n">
        <x:f>$F$14</x:f>
        <x:v>0.015</x:v>
      </x:c>
      <x:c r="I14" s="22" t="n">
        <x:f>$F$14</x:f>
        <x:v>0.015</x:v>
      </x:c>
      <x:c r="J14" s="22" t="n">
        <x:f>$F$14</x:f>
        <x:v>0.015</x:v>
      </x:c>
      <x:c r="K14" s="22" t="n">
        <x:f>$F$14</x:f>
        <x:v>0.015</x:v>
      </x:c>
    </x:row>
    <x:row r="15" ht="23" customHeight="1"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</x:row>
    <x:row r="16" ht="23" customHeight="1">
      <x:c r="A16" t="str">
        <x:v>Primary revenue</x:v>
      </x:c>
      <x:c r="B16" s="34" t="n">
        <x:f>'Inputs'!$E$14*(1+B9)</x:f>
        <x:v>1234.2</x:v>
      </x:c>
      <x:c r="C16" s="34" t="n">
        <x:f>B16*(1+C9)</x:f>
        <x:v>1345.2780000000002</x:v>
      </x:c>
      <x:c r="D16" s="34" t="n">
        <x:f>C16*(1+D9)</x:f>
        <x:v>1452.9002400000004</x:v>
      </x:c>
      <x:c r="E16" s="34" t="n">
        <x:f>D16*(1+E9)</x:f>
        <x:v>1554.6032568000005</x:v>
      </x:c>
      <x:c r="F16" s="34" t="n">
        <x:f>E16*(1+F9)</x:f>
        <x:v>1647.8794522080007</x:v>
      </x:c>
      <x:c r="G16" s="34" t="n">
        <x:f>F16*(1+G9)</x:f>
        <x:v>1736.8649426272327</x:v>
      </x:c>
      <x:c r="H16" s="34" t="n">
        <x:f>G16*(1+H9)</x:f>
        <x:v>1820.23445987334</x:v>
      </x:c>
      <x:c r="I16" s="34" t="n">
        <x:f>H16*(1+I9)</x:f>
        <x:v>1896.6843071880203</x:v>
      </x:c>
      <x:c r="J16" s="34" t="n">
        <x:f>I16*(1+J9)</x:f>
        <x:v>1964.9649422467892</x:v>
      </x:c>
      <x:c r="K16" s="34" t="n">
        <x:f>J16*(1+K9)</x:f>
        <x:v>2023.9138905141929</x:v>
      </x:c>
    </x:row>
    <x:row r="17" ht="23" customHeight="1">
      <x:c r="A17" t="str">
        <x:v>Secondary revenue</x:v>
      </x:c>
      <x:c r="B17" s="34" t="n">
        <x:f>0</x:f>
        <x:v>0</x:v>
      </x:c>
      <x:c r="C17" s="34" t="n">
        <x:f>B17*(1+C10)</x:f>
        <x:v>0</x:v>
      </x:c>
      <x:c r="D17" s="34" t="n">
        <x:f>C17*(1+D10)</x:f>
        <x:v>0</x:v>
      </x:c>
      <x:c r="E17" s="34" t="n">
        <x:f>D17*(1+E10)</x:f>
        <x:v>0</x:v>
      </x:c>
      <x:c r="F17" s="34" t="n">
        <x:f>E17*(1+F10)</x:f>
        <x:v>0</x:v>
      </x:c>
      <x:c r="G17" s="34" t="n">
        <x:f>F17*(1+G10)</x:f>
        <x:v>0</x:v>
      </x:c>
      <x:c r="H17" s="34" t="n">
        <x:f>G17*(1+H10)</x:f>
        <x:v>0</x:v>
      </x:c>
      <x:c r="I17" s="34" t="n">
        <x:f>H17*(1+I10)</x:f>
        <x:v>0</x:v>
      </x:c>
      <x:c r="J17" s="34" t="n">
        <x:f>I17*(1+J10)</x:f>
        <x:v>0</x:v>
      </x:c>
      <x:c r="K17" s="34" t="n">
        <x:f>J17*(1+K10)</x:f>
        <x:v>0</x:v>
      </x:c>
    </x:row>
    <x:row r="18" ht="23" customHeight="1">
      <x:c r="A18" s="31" t="str">
        <x:v>Total economic revenue</x:v>
      </x:c>
      <x:c r="B18" s="40" t="n">
        <x:f>SUM(B16:B17)</x:f>
        <x:v>1234.2</x:v>
      </x:c>
      <x:c r="C18" s="40" t="n">
        <x:f>SUM(C16:C17)</x:f>
        <x:v>1345.2780000000002</x:v>
      </x:c>
      <x:c r="D18" s="40" t="n">
        <x:f>SUM(D16:D17)</x:f>
        <x:v>1452.9002400000004</x:v>
      </x:c>
      <x:c r="E18" s="40" t="n">
        <x:f>SUM(E16:E17)</x:f>
        <x:v>1554.6032568000005</x:v>
      </x:c>
      <x:c r="F18" s="40" t="n">
        <x:f>SUM(F16:F17)</x:f>
        <x:v>1647.8794522080007</x:v>
      </x:c>
      <x:c r="G18" s="40" t="n">
        <x:f>SUM(G16:G17)</x:f>
        <x:v>1736.8649426272327</x:v>
      </x:c>
      <x:c r="H18" s="40" t="n">
        <x:f>SUM(H16:H17)</x:f>
        <x:v>1820.23445987334</x:v>
      </x:c>
      <x:c r="I18" s="40" t="n">
        <x:f>SUM(I16:I17)</x:f>
        <x:v>1896.6843071880203</x:v>
      </x:c>
      <x:c r="J18" s="40" t="n">
        <x:f>SUM(J16:J17)</x:f>
        <x:v>1964.9649422467892</x:v>
      </x:c>
      <x:c r="K18" s="40" t="n">
        <x:f>SUM(K16:K17)</x:f>
        <x:v>2023.9138905141929</x:v>
      </x:c>
    </x:row>
    <x:row r="19" ht="23" customHeight="1">
      <x:c r="A19" t="str">
        <x:v>Revenue growth</x:v>
      </x:c>
      <x:c r="B19" s="22" t="n">
        <x:f>B18/'Inputs'!$E$14-1</x:f>
        <x:v>0.10000000000000009</x:v>
      </x:c>
      <x:c r="C19" s="22" t="n">
        <x:f>C18/B18-1</x:f>
        <x:v>0.09000000000000008</x:v>
      </x:c>
      <x:c r="D19" s="22" t="n">
        <x:f>D18/C18-1</x:f>
        <x:v>0.08000000000000007</x:v>
      </x:c>
      <x:c r="E19" s="22" t="n">
        <x:f>E18/D18-1</x:f>
        <x:v>0.07000000000000006</x:v>
      </x:c>
      <x:c r="F19" s="22" t="n">
        <x:f>F18/E18-1</x:f>
        <x:v>0.06000000000000005</x:v>
      </x:c>
      <x:c r="G19" s="22" t="n">
        <x:f>G18/F18-1</x:f>
        <x:v>0.05400000000000005</x:v>
      </x:c>
      <x:c r="H19" s="22" t="n">
        <x:f>H18/G18-1</x:f>
        <x:v>0.04800000000000004</x:v>
      </x:c>
      <x:c r="I19" s="22" t="n">
        <x:f>I18/H18-1</x:f>
        <x:v>0.04200000000000004</x:v>
      </x:c>
      <x:c r="J19" s="22" t="n">
        <x:f>J18/I18-1</x:f>
        <x:v>0.03600000000000003</x:v>
      </x:c>
      <x:c r="K19" s="22" t="n">
        <x:f>K18/J18-1</x:f>
        <x:v>0.030000000000000027</x:v>
      </x:c>
    </x:row>
    <x:row r="20" ht="23" customHeight="1">
      <x:c r="A20" t="str">
        <x:v>Primary profit pool</x:v>
      </x:c>
      <x:c r="B20" s="34" t="n">
        <x:f>B16*B11</x:f>
        <x:v>222.156</x:v>
      </x:c>
      <x:c r="C20" s="34" t="n">
        <x:f>C16*C11</x:f>
        <x:v>242.15004000000005</x:v>
      </x:c>
      <x:c r="D20" s="34" t="n">
        <x:f>D16*D11</x:f>
        <x:v>268.7865444000001</x:v>
      </x:c>
      <x:c r="E20" s="34" t="n">
        <x:f>E16*E11</x:f>
        <x:v>295.3746187920001</x:v>
      </x:c>
      <x:c r="F20" s="34" t="n">
        <x:f>F16*F11</x:f>
        <x:v>313.09709591952014</x:v>
      </x:c>
      <x:c r="G20" s="34" t="n">
        <x:f>G16*G11</x:f>
        <x:v>330.0043390991742</x:v>
      </x:c>
      <x:c r="H20" s="34" t="n">
        <x:f>H16*H11</x:f>
        <x:v>345.8445473759346</x:v>
      </x:c>
      <x:c r="I20" s="34" t="n">
        <x:f>I16*I11</x:f>
        <x:v>360.37001836572387</x:v>
      </x:c>
      <x:c r="J20" s="34" t="n">
        <x:f>J16*J11</x:f>
        <x:v>373.34333902688996</x:v>
      </x:c>
      <x:c r="K20" s="34" t="n">
        <x:f>K16*K11</x:f>
        <x:v>384.5436391976967</x:v>
      </x:c>
    </x:row>
    <x:row r="21" ht="23" customHeight="1">
      <x:c r="A21" t="str">
        <x:v>Secondary profit pool</x:v>
      </x:c>
      <x:c r="B21" s="34" t="n">
        <x:f>B17*B12</x:f>
        <x:v>0</x:v>
      </x:c>
      <x:c r="C21" s="34" t="n">
        <x:f>C17*C12</x:f>
        <x:v>0</x:v>
      </x:c>
      <x:c r="D21" s="34" t="n">
        <x:f>D17*D12</x:f>
        <x:v>0</x:v>
      </x:c>
      <x:c r="E21" s="34" t="n">
        <x:f>E17*E12</x:f>
        <x:v>0</x:v>
      </x:c>
      <x:c r="F21" s="34" t="n">
        <x:f>F17*F12</x:f>
        <x:v>0</x:v>
      </x:c>
      <x:c r="G21" s="34" t="n">
        <x:f>G17*G12</x:f>
        <x:v>0</x:v>
      </x:c>
      <x:c r="H21" s="34" t="n">
        <x:f>H17*H12</x:f>
        <x:v>0</x:v>
      </x:c>
      <x:c r="I21" s="34" t="n">
        <x:f>I17*I12</x:f>
        <x:v>0</x:v>
      </x:c>
      <x:c r="J21" s="34" t="n">
        <x:f>J17*J12</x:f>
        <x:v>0</x:v>
      </x:c>
      <x:c r="K21" s="34" t="n">
        <x:f>K17*K12</x:f>
        <x:v>0</x:v>
      </x:c>
    </x:row>
    <x:row r="22" ht="23" customHeight="1">
      <x:c r="A22" t="str">
        <x:v>Less: overhead / corporate</x:v>
      </x:c>
      <x:c r="B22" s="34" t="n">
        <x:f>0</x:f>
        <x:v>0</x:v>
      </x:c>
      <x:c r="C22" s="34" t="n">
        <x:f>B22*(1+C13)</x:f>
        <x:v>0</x:v>
      </x:c>
      <x:c r="D22" s="34" t="n">
        <x:f>C22*(1+D13)</x:f>
        <x:v>0</x:v>
      </x:c>
      <x:c r="E22" s="34" t="n">
        <x:f>D22*(1+E13)</x:f>
        <x:v>0</x:v>
      </x:c>
      <x:c r="F22" s="34" t="n">
        <x:f>E22*(1+F13)</x:f>
        <x:v>0</x:v>
      </x:c>
      <x:c r="G22" s="34" t="n">
        <x:f>F22*(1+G13)</x:f>
        <x:v>0</x:v>
      </x:c>
      <x:c r="H22" s="34" t="n">
        <x:f>G22*(1+H13)</x:f>
        <x:v>0</x:v>
      </x:c>
      <x:c r="I22" s="34" t="n">
        <x:f>H22*(1+I13)</x:f>
        <x:v>0</x:v>
      </x:c>
      <x:c r="J22" s="34" t="n">
        <x:f>I22*(1+J13)</x:f>
        <x:v>0</x:v>
      </x:c>
      <x:c r="K22" s="34" t="n">
        <x:f>J22*(1+K13)</x:f>
        <x:v>0</x:v>
      </x:c>
    </x:row>
    <x:row r="23" ht="23" customHeight="1">
      <x:c r="A23" t="str">
        <x:v>Additional fee profit</x:v>
      </x:c>
      <x:c r="B23" s="34" t="n">
        <x:f>0</x:f>
        <x:v>0</x:v>
      </x:c>
      <x:c r="C23" s="34" t="n">
        <x:f>0</x:f>
        <x:v>0</x:v>
      </x:c>
      <x:c r="D23" s="34" t="n">
        <x:f>0</x:f>
        <x:v>0</x:v>
      </x:c>
      <x:c r="E23" s="34" t="n">
        <x:f>0</x:f>
        <x:v>0</x:v>
      </x:c>
      <x:c r="F23" s="34" t="n">
        <x:f>0</x:f>
        <x:v>0</x:v>
      </x:c>
      <x:c r="G23" s="34" t="n">
        <x:f>0</x:f>
        <x:v>0</x:v>
      </x:c>
      <x:c r="H23" s="34" t="n">
        <x:f>0</x:f>
        <x:v>0</x:v>
      </x:c>
      <x:c r="I23" s="34" t="n">
        <x:f>0</x:f>
        <x:v>0</x:v>
      </x:c>
      <x:c r="J23" s="34" t="n">
        <x:f>0</x:f>
        <x:v>0</x:v>
      </x:c>
      <x:c r="K23" s="34" t="n">
        <x:f>0</x:f>
        <x:v>0</x:v>
      </x:c>
    </x:row>
    <x:row r="24" ht="23" customHeight="1">
      <x:c r="A24" s="31" t="str">
        <x:v>Operating income after recurring SBC</x:v>
      </x:c>
      <x:c r="B24" s="40" t="n">
        <x:f>SUM(B20:B23)</x:f>
        <x:v>222.156</x:v>
      </x:c>
      <x:c r="C24" s="40" t="n">
        <x:f>SUM(C20:C23)</x:f>
        <x:v>242.15004000000005</x:v>
      </x:c>
      <x:c r="D24" s="40" t="n">
        <x:f>SUM(D20:D23)</x:f>
        <x:v>268.7865444000001</x:v>
      </x:c>
      <x:c r="E24" s="40" t="n">
        <x:f>SUM(E20:E23)</x:f>
        <x:v>295.3746187920001</x:v>
      </x:c>
      <x:c r="F24" s="40" t="n">
        <x:f>SUM(F20:F23)</x:f>
        <x:v>313.09709591952014</x:v>
      </x:c>
      <x:c r="G24" s="40" t="n">
        <x:f>SUM(G20:G23)</x:f>
        <x:v>330.0043390991742</x:v>
      </x:c>
      <x:c r="H24" s="40" t="n">
        <x:f>SUM(H20:H23)</x:f>
        <x:v>345.8445473759346</x:v>
      </x:c>
      <x:c r="I24" s="40" t="n">
        <x:f>SUM(I20:I23)</x:f>
        <x:v>360.37001836572387</x:v>
      </x:c>
      <x:c r="J24" s="40" t="n">
        <x:f>SUM(J20:J23)</x:f>
        <x:v>373.34333902688996</x:v>
      </x:c>
      <x:c r="K24" s="40" t="n">
        <x:f>SUM(K20:K23)</x:f>
        <x:v>384.5436391976967</x:v>
      </x:c>
    </x:row>
    <x:row r="25" ht="23" customHeight="1">
      <x:c r="A25" t="str">
        <x:v>Operating margin</x:v>
      </x:c>
      <x:c r="B25" s="22" t="n">
        <x:f>B24/B18</x:f>
        <x:v>0.18</x:v>
      </x:c>
      <x:c r="C25" s="22" t="n">
        <x:f>C24/C18</x:f>
        <x:v>0.18</x:v>
      </x:c>
      <x:c r="D25" s="22" t="n">
        <x:f>D24/D18</x:f>
        <x:v>0.185</x:v>
      </x:c>
      <x:c r="E25" s="22" t="n">
        <x:f>E24/E18</x:f>
        <x:v>0.19</x:v>
      </x:c>
      <x:c r="F25" s="22" t="n">
        <x:f>F24/F18</x:f>
        <x:v>0.19</x:v>
      </x:c>
      <x:c r="G25" s="22" t="n">
        <x:f>G24/G18</x:f>
        <x:v>0.19</x:v>
      </x:c>
      <x:c r="H25" s="22" t="n">
        <x:f>H24/H18</x:f>
        <x:v>0.19</x:v>
      </x:c>
      <x:c r="I25" s="22" t="n">
        <x:f>I24/I18</x:f>
        <x:v>0.19</x:v>
      </x:c>
      <x:c r="J25" s="22" t="n">
        <x:f>J24/J18</x:f>
        <x:v>0.19</x:v>
      </x:c>
      <x:c r="K25" s="22" t="n">
        <x:f>K24/K18</x:f>
        <x:v>0.19</x:v>
      </x:c>
    </x:row>
    <x:row r="26" ht="23" customHeight="1">
      <x:c r="A26" t="str">
        <x:v>After-tax operating profit</x:v>
      </x:c>
      <x:c r="B26" s="34" t="n">
        <x:f>B24*(1-'Assumptions'!$F$11)</x:f>
        <x:v>164.39544</x:v>
      </x:c>
      <x:c r="C26" s="34" t="n">
        <x:f>C24*(1-'Assumptions'!$F$11)</x:f>
        <x:v>179.19102960000004</x:v>
      </x:c>
      <x:c r="D26" s="34" t="n">
        <x:f>D24*(1-'Assumptions'!$F$11)</x:f>
        <x:v>198.90204285600007</x:v>
      </x:c>
      <x:c r="E26" s="34" t="n">
        <x:f>E24*(1-'Assumptions'!$F$11)</x:f>
        <x:v>218.57721790608008</x:v>
      </x:c>
      <x:c r="F26" s="34" t="n">
        <x:f>F24*(1-'Assumptions'!$F$11)</x:f>
        <x:v>231.6918509804449</x:v>
      </x:c>
      <x:c r="G26" s="34" t="n">
        <x:f>G24*(1-'Assumptions'!$F$11)</x:f>
        <x:v>244.20321093338893</x:v>
      </x:c>
      <x:c r="H26" s="34" t="n">
        <x:f>H24*(1-'Assumptions'!$F$11)</x:f>
        <x:v>255.92496505819162</x:v>
      </x:c>
      <x:c r="I26" s="34" t="n">
        <x:f>I24*(1-'Assumptions'!$F$11)</x:f>
        <x:v>266.67381359063563</x:v>
      </x:c>
      <x:c r="J26" s="34" t="n">
        <x:f>J24*(1-'Assumptions'!$F$11)</x:f>
        <x:v>276.27407087989855</x:v>
      </x:c>
      <x:c r="K26" s="34" t="n">
        <x:f>K24*(1-'Assumptions'!$F$11)</x:f>
        <x:v>284.56229300629553</x:v>
      </x:c>
    </x:row>
    <x:row r="27" ht="23" customHeight="1">
      <x:c r="A27" t="str">
        <x:v>Add: depreciation &amp; amortization</x:v>
      </x:c>
      <x:c r="B27" s="34" t="n">
        <x:f>B18*'Assumptions'!$G$11</x:f>
        <x:v>14.810400000000001</x:v>
      </x:c>
      <x:c r="C27" s="34" t="n">
        <x:f>C18*'Assumptions'!$G$11</x:f>
        <x:v>16.143336000000005</x:v>
      </x:c>
      <x:c r="D27" s="34" t="n">
        <x:f>D18*'Assumptions'!$G$11</x:f>
        <x:v>17.434802880000007</x:v>
      </x:c>
      <x:c r="E27" s="34" t="n">
        <x:f>E18*'Assumptions'!$G$11</x:f>
        <x:v>18.655239081600005</x:v>
      </x:c>
      <x:c r="F27" s="34" t="n">
        <x:f>F18*'Assumptions'!$G$11</x:f>
        <x:v>19.77455342649601</x:v>
      </x:c>
      <x:c r="G27" s="34" t="n">
        <x:f>G18*'Assumptions'!$G$11</x:f>
        <x:v>20.842379311526795</x:v>
      </x:c>
      <x:c r="H27" s="34" t="n">
        <x:f>H18*'Assumptions'!$G$11</x:f>
        <x:v>21.84281351848008</x:v>
      </x:c>
      <x:c r="I27" s="34" t="n">
        <x:f>I18*'Assumptions'!$G$11</x:f>
        <x:v>22.760211686256245</x:v>
      </x:c>
      <x:c r="J27" s="34" t="n">
        <x:f>J18*'Assumptions'!$G$11</x:f>
        <x:v>23.57957930696147</x:v>
      </x:c>
      <x:c r="K27" s="34" t="n">
        <x:f>K18*'Assumptions'!$G$11</x:f>
        <x:v>24.286966686170317</x:v>
      </x:c>
    </x:row>
    <x:row r="28" ht="23" customHeight="1">
      <x:c r="A28" t="str">
        <x:v>Less: investment incl. software</x:v>
      </x:c>
      <x:c r="B28" s="34" t="n">
        <x:f>-B18*B14</x:f>
        <x:v>-18.513</x:v>
      </x:c>
      <x:c r="C28" s="34" t="n">
        <x:f>-C18*C14</x:f>
        <x:v>-20.179170000000003</x:v>
      </x:c>
      <x:c r="D28" s="34" t="n">
        <x:f>-D18*D14</x:f>
        <x:v>-21.793503600000005</x:v>
      </x:c>
      <x:c r="E28" s="34" t="n">
        <x:f>-E18*E14</x:f>
        <x:v>-23.319048852000005</x:v>
      </x:c>
      <x:c r="F28" s="34" t="n">
        <x:f>-F18*F14</x:f>
        <x:v>-24.71819178312001</x:v>
      </x:c>
      <x:c r="G28" s="34" t="n">
        <x:f>-G18*G14</x:f>
        <x:v>-26.05297413940849</x:v>
      </x:c>
      <x:c r="H28" s="34" t="n">
        <x:f>-H18*H14</x:f>
        <x:v>-27.3035168981001</x:v>
      </x:c>
      <x:c r="I28" s="34" t="n">
        <x:f>-I18*I14</x:f>
        <x:v>-28.450264607820305</x:v>
      </x:c>
      <x:c r="J28" s="34" t="n">
        <x:f>-J18*J14</x:f>
        <x:v>-29.474474133701836</x:v>
      </x:c>
      <x:c r="K28" s="34" t="n">
        <x:f>-K18*K14</x:f>
        <x:v>-30.358708357712892</x:v>
      </x:c>
    </x:row>
    <x:row r="29" ht="23" customHeight="1">
      <x:c r="A29" t="str">
        <x:v>Less: incremental working capital</x:v>
      </x:c>
      <x:c r="B29" s="34" t="n">
        <x:f>-(B18-'Inputs'!$E$14)*'Assumptions'!$H$11</x:f>
        <x:v>-4.488000000000002</x:v>
      </x:c>
      <x:c r="C29" s="34" t="n">
        <x:f>-(C18-B18)*'Assumptions'!$H$11</x:f>
        <x:v>-4.443120000000008</x:v>
      </x:c>
      <x:c r="D29" s="34" t="n">
        <x:f>-(D18-C18)*'Assumptions'!$H$11</x:f>
        <x:v>-4.304889600000006</x:v>
      </x:c>
      <x:c r="E29" s="34" t="n">
        <x:f>-(E18-D18)*'Assumptions'!$H$11</x:f>
        <x:v>-4.0681206720000045</x:v>
      </x:c>
      <x:c r="F29" s="34" t="n">
        <x:f>-(F18-E18)*'Assumptions'!$H$11</x:f>
        <x:v>-3.731047816320006</x:v>
      </x:c>
      <x:c r="G29" s="34" t="n">
        <x:f>-(G18-F18)*'Assumptions'!$H$11</x:f>
        <x:v>-3.559419616769283</x:v>
      </x:c>
      <x:c r="H29" s="34" t="n">
        <x:f>-(H18-G18)*'Assumptions'!$H$11</x:f>
        <x:v>-3.334780689844292</x:v>
      </x:c>
      <x:c r="I29" s="34" t="n">
        <x:f>-(I18-H18)*'Assumptions'!$H$11</x:f>
        <x:v>-3.05799389258721</x:v>
      </x:c>
      <x:c r="J29" s="34" t="n">
        <x:f>-(J18-I18)*'Assumptions'!$H$11</x:f>
        <x:v>-2.7312254023507556</x:v>
      </x:c>
      <x:c r="K29" s="34" t="n">
        <x:f>-(K18-J18)*'Assumptions'!$H$11</x:f>
        <x:v>-2.357957930696148</x:v>
      </x:c>
    </x:row>
    <x:row r="30" ht="23" customHeight="1">
      <x:c r="A30" t="str">
        <x:v>Less: specified cash shock</x:v>
      </x:c>
      <x:c r="B30" s="34" t="n">
        <x:f>-'Assumptions'!$I$11</x:f>
        <x:v>0</x:v>
      </x:c>
      <x:c r="C30" s="34" t="n">
        <x:f>0</x:f>
        <x:v>0</x:v>
      </x:c>
      <x:c r="D30" s="34" t="n">
        <x:f>0</x:f>
        <x:v>0</x:v>
      </x:c>
      <x:c r="E30" s="34" t="n">
        <x:f>0</x:f>
        <x:v>0</x:v>
      </x:c>
      <x:c r="F30" s="34" t="n">
        <x:f>0</x:f>
        <x:v>0</x:v>
      </x:c>
      <x:c r="G30" s="34" t="n">
        <x:f>0</x:f>
        <x:v>0</x:v>
      </x:c>
      <x:c r="H30" s="34" t="n">
        <x:f>0</x:f>
        <x:v>0</x:v>
      </x:c>
      <x:c r="I30" s="34" t="n">
        <x:f>0</x:f>
        <x:v>0</x:v>
      </x:c>
      <x:c r="J30" s="34" t="n">
        <x:f>0</x:f>
        <x:v>0</x:v>
      </x:c>
      <x:c r="K30" s="34" t="n">
        <x:f>0</x:f>
        <x:v>0</x:v>
      </x:c>
    </x:row>
    <x:row r="31" ht="23" customHeight="1">
      <x:c r="A31" s="31" t="str">
        <x:v>Owner-economic unlevered cash flow</x:v>
      </x:c>
      <x:c r="B31" s="40" t="n">
        <x:f>SUM(B26:B30)</x:f>
        <x:v>156.20484000000002</x:v>
      </x:c>
      <x:c r="C31" s="40" t="n">
        <x:f>SUM(C26:C30)</x:f>
        <x:v>170.71207560000002</x:v>
      </x:c>
      <x:c r="D31" s="40" t="n">
        <x:f>SUM(D26:D30)</x:f>
        <x:v>190.23845253600007</x:v>
      </x:c>
      <x:c r="E31" s="40" t="n">
        <x:f>SUM(E26:E30)</x:f>
        <x:v>209.84528746368008</x:v>
      </x:c>
      <x:c r="F31" s="40" t="n">
        <x:f>SUM(F26:F30)</x:f>
        <x:v>223.0171648075009</x:v>
      </x:c>
      <x:c r="G31" s="40" t="n">
        <x:f>SUM(G26:G30)</x:f>
        <x:v>235.43319648873796</x:v>
      </x:c>
      <x:c r="H31" s="40" t="n">
        <x:f>SUM(H26:H30)</x:f>
        <x:v>247.1294809887273</x:v>
      </x:c>
      <x:c r="I31" s="40" t="n">
        <x:f>SUM(I26:I30)</x:f>
        <x:v>257.92576677648435</x:v>
      </x:c>
      <x:c r="J31" s="40" t="n">
        <x:f>SUM(J26:J30)</x:f>
        <x:v>267.64795065080745</x:v>
      </x:c>
      <x:c r="K31" s="40" t="n">
        <x:f>SUM(K26:K30)</x:f>
        <x:v>276.1325934040568</x:v>
      </x:c>
    </x:row>
    <x:row r="32" ht="23" customHeight="1">
      <x:c r="A32" t="str">
        <x:v>Discount factor</x:v>
      </x:c>
      <x:c r="B32" s="22" t="n">
        <x:f>1/(1+'Assumptions'!$C$11)^B$8</x:f>
        <x:v>0.9090909090909091</x:v>
      </x:c>
      <x:c r="C32" s="22" t="n">
        <x:f>1/(1+'Assumptions'!$C$11)^C$8</x:f>
        <x:v>0.8264462809917354</x:v>
      </x:c>
      <x:c r="D32" s="22" t="n">
        <x:f>1/(1+'Assumptions'!$C$11)^D$8</x:f>
        <x:v>0.7513148009015775</x:v>
      </x:c>
      <x:c r="E32" s="22" t="n">
        <x:f>1/(1+'Assumptions'!$C$11)^E$8</x:f>
        <x:v>0.6830134553650705</x:v>
      </x:c>
      <x:c r="F32" s="22" t="n">
        <x:f>1/(1+'Assumptions'!$C$11)^F$8</x:f>
        <x:v>0.6209213230591549</x:v>
      </x:c>
      <x:c r="G32" s="22" t="n">
        <x:f>1/(1+'Assumptions'!$C$11)^G$8</x:f>
        <x:v>0.5644739300537772</x:v>
      </x:c>
      <x:c r="H32" s="22" t="n">
        <x:f>1/(1+'Assumptions'!$C$11)^H$8</x:f>
        <x:v>0.5131581182307065</x:v>
      </x:c>
      <x:c r="I32" s="22" t="n">
        <x:f>1/(1+'Assumptions'!$C$11)^I$8</x:f>
        <x:v>0.46650738020973315</x:v>
      </x:c>
      <x:c r="J32" s="22" t="n">
        <x:f>1/(1+'Assumptions'!$C$11)^J$8</x:f>
        <x:v>0.42409761837248466</x:v>
      </x:c>
      <x:c r="K32" s="22" t="n">
        <x:f>1/(1+'Assumptions'!$C$11)^K$8</x:f>
        <x:v>0.3855432894295315</x:v>
      </x:c>
    </x:row>
    <x:row r="33" ht="23" customHeight="1">
      <x:c r="A33" s="31" t="str">
        <x:v>Present value</x:v>
      </x:c>
      <x:c r="B33" s="40" t="n">
        <x:f>B31*B32</x:f>
        <x:v>142.0044</x:v>
      </x:c>
      <x:c r="C33" s="40" t="n">
        <x:f>C31*C32</x:f>
        <x:v>141.08436</x:v>
      </x:c>
      <x:c r="D33" s="40" t="n">
        <x:f>D31*D32</x:f>
        <x:v>142.9289650909091</x:v>
      </x:c>
      <x:c r="E33" s="40" t="n">
        <x:f>E31*E32</x:f>
        <x:v>143.32715488264463</x:v>
      </x:c>
      <x:c r="F33" s="40" t="n">
        <x:f>F31*F32</x:f>
        <x:v>138.47611303717505</x:v>
      </x:c>
      <x:c r="G33" s="40" t="n">
        <x:f>G31*G32</x:f>
        <x:v>132.89590168712107</x:v>
      </x:c>
      <x:c r="H33" s="40" t="n">
        <x:f>H31*H32</x:f>
        <x:v>126.81649942350644</x:v>
      </x:c>
      <x:c r="I33" s="40" t="n">
        <x:f>I31*I32</x:f>
        <x:v>120.32427374748434</x:v>
      </x:c>
      <x:c r="J33" s="40" t="n">
        <x:f>J31*J32</x:f>
        <x:v>113.50885843328375</x:v>
      </x:c>
      <x:c r="K33" s="40" t="n">
        <x:f>K31*K32</x:f>
        <x:v>106.46106837970741</x:v>
      </x:c>
    </x:row>
    <x:row r="34" ht="23" customHeight="1">
      <x:c r="A34" t="str">
        <x:v>Discount factor at 12%</x:v>
      </x:c>
      <x:c r="B34" s="22" t="n">
        <x:f>1/(1+'Controls'!$B$3)^B$8</x:f>
        <x:v>0.8928571428571428</x:v>
      </x:c>
      <x:c r="C34" s="22" t="n">
        <x:f>1/(1+'Controls'!$B$3)^C$8</x:f>
        <x:v>0.7971938775510203</x:v>
      </x:c>
      <x:c r="D34" s="22" t="n">
        <x:f>1/(1+'Controls'!$B$3)^D$8</x:f>
        <x:v>0.7117802478134109</x:v>
      </x:c>
      <x:c r="E34" s="22" t="n">
        <x:f>1/(1+'Controls'!$B$3)^E$8</x:f>
        <x:v>0.6355180784048312</x:v>
      </x:c>
      <x:c r="F34" s="22" t="n">
        <x:f>1/(1+'Controls'!$B$3)^F$8</x:f>
        <x:v>0.5674268557185992</x:v>
      </x:c>
      <x:c r="G34" s="22" t="n">
        <x:f>1/(1+'Controls'!$B$3)^G$8</x:f>
        <x:v>0.5066311211773207</x:v>
      </x:c>
      <x:c r="H34" s="22" t="n">
        <x:f>1/(1+'Controls'!$B$3)^H$8</x:f>
        <x:v>0.45234921533689343</x:v>
      </x:c>
      <x:c r="I34" s="22" t="n">
        <x:f>1/(1+'Controls'!$B$3)^I$8</x:f>
        <x:v>0.4038832279793691</x:v>
      </x:c>
      <x:c r="J34" s="22" t="n">
        <x:f>1/(1+'Controls'!$B$3)^J$8</x:f>
        <x:v>0.36061002498157957</x:v>
      </x:c>
      <x:c r="K34" s="22" t="n">
        <x:f>1/(1+'Controls'!$B$3)^K$8</x:f>
        <x:v>0.321973236590696</x:v>
      </x:c>
    </x:row>
    <x:row r="36" ht="25" customHeight="1">
      <x:c r="A36" t="str">
        <x:v>Year 11 after-tax operating profit</x:v>
      </x:c>
      <x:c r="B36" s="34" t="n">
        <x:f>K26*(1+'Assumptions'!$D$11)</x:f>
        <x:v>293.0991617964844</x:v>
      </x:c>
    </x:row>
    <x:row r="37" ht="25" customHeight="1">
      <x:c r="A37" t="str">
        <x:v>Less: terminal reinvestment</x:v>
      </x:c>
      <x:c r="B37" s="34" t="n">
        <x:f>-B36*'Assumptions'!$D$11/'Assumptions'!$E$11</x:f>
        <x:v>-35.171899415578125</x:v>
      </x:c>
      <x:c r="D37" s="24" t="str">
        <x:v>This is an operating scenario, not a statistical confidence interval. Terminal growth requires reinvestment. Latest-quarter capital structure is not a complete September roll-forward. See company decision notes for remaining unknowns. MOD scenarios assume the transaction closes; WINA core revenue excludes offsetting fee programs.</x:v>
      </x:c>
      <x:c r="E37" s="24"/>
      <x:c r="F37" s="24"/>
      <x:c r="G37" s="24"/>
      <x:c r="H37" s="24"/>
      <x:c r="I37" s="24"/>
      <x:c r="J37" s="24"/>
      <x:c r="K37" s="24"/>
    </x:row>
    <x:row r="38" ht="25" customHeight="1">
      <x:c r="A38" t="str">
        <x:v>Terminal cash flow</x:v>
      </x:c>
      <x:c r="B38" s="34" t="n">
        <x:f>SUM(B36:B37)</x:f>
        <x:v>257.92726238090626</x:v>
      </x:c>
      <x:c r="D38" s="24"/>
      <x:c r="E38" s="24"/>
      <x:c r="F38" s="24"/>
      <x:c r="G38" s="24"/>
      <x:c r="H38" s="24"/>
      <x:c r="I38" s="24"/>
      <x:c r="J38" s="24"/>
      <x:c r="K38" s="24"/>
    </x:row>
    <x:row r="39" ht="25" customHeight="1">
      <x:c r="A39" t="str">
        <x:v>Terminal operating value</x:v>
      </x:c>
      <x:c r="B39" s="34" t="n">
        <x:f>B38/('Assumptions'!$C$11-'Assumptions'!$D$11)</x:f>
        <x:v>3684.675176870089</x:v>
      </x:c>
      <x:c r="D39" s="24"/>
      <x:c r="E39" s="24"/>
      <x:c r="F39" s="24"/>
      <x:c r="G39" s="24"/>
      <x:c r="H39" s="24"/>
      <x:c r="I39" s="24"/>
      <x:c r="J39" s="24"/>
      <x:c r="K39" s="24"/>
    </x:row>
    <x:row r="40" ht="25" customHeight="1">
      <x:c r="A40" t="str">
        <x:v>PV terminal value</x:v>
      </x:c>
      <x:c r="B40" s="34" t="n">
        <x:f>B39*K32</x:f>
        <x:v>1420.601788169835</x:v>
      </x:c>
      <x:c r="D40" s="24"/>
      <x:c r="E40" s="24"/>
      <x:c r="F40" s="24"/>
      <x:c r="G40" s="24"/>
      <x:c r="H40" s="24"/>
      <x:c r="I40" s="24"/>
      <x:c r="J40" s="24"/>
      <x:c r="K40" s="24"/>
    </x:row>
    <x:row r="41" ht="25" customHeight="1">
      <x:c r="A41" t="str">
        <x:v>PV explicit forecast</x:v>
      </x:c>
      <x:c r="B41" s="34" t="n">
        <x:f>SUM(B33:K33)</x:f>
        <x:v>1307.827594681832</x:v>
      </x:c>
      <x:c r="D41" s="24"/>
      <x:c r="E41" s="24"/>
      <x:c r="F41" s="24"/>
      <x:c r="G41" s="24"/>
      <x:c r="H41" s="24"/>
      <x:c r="I41" s="24"/>
      <x:c r="J41" s="24"/>
      <x:c r="K41" s="24"/>
    </x:row>
    <x:row r="42" ht="25" customHeight="1">
      <x:c r="A42" s="84" t="str">
        <x:v>Operating enterprise value</x:v>
      </x:c>
      <x:c r="B42" s="85" t="n">
        <x:f>SUM(B40:B41)</x:f>
        <x:v>2728.4293828516666</x:v>
      </x:c>
      <x:c r="D42" s="24"/>
      <x:c r="E42" s="24"/>
      <x:c r="F42" s="24"/>
      <x:c r="G42" s="24"/>
      <x:c r="H42" s="24"/>
      <x:c r="I42" s="24"/>
      <x:c r="J42" s="24"/>
      <x:c r="K42" s="24"/>
    </x:row>
    <x:row r="43" ht="25" customHeight="1">
      <x:c r="A43" t="str">
        <x:v>Cash / claims / transaction bridge</x:v>
      </x:c>
      <x:c r="B43" s="34" t="n">
        <x:f>'Inputs'!$E$6-'Inputs'!$E$7-'Inputs'!$E$9-'Inputs'!$E$10-'Inputs'!$E$11+'Inputs'!$E$12*'Inputs'!$E$13</x:f>
        <x:v>171.685</x:v>
      </x:c>
      <x:c r="D43" s="24"/>
      <x:c r="E43" s="24"/>
      <x:c r="F43" s="24"/>
      <x:c r="G43" s="24"/>
      <x:c r="H43" s="24"/>
      <x:c r="I43" s="24"/>
      <x:c r="J43" s="24"/>
      <x:c r="K43" s="24"/>
    </x:row>
    <x:row r="44" ht="25" customHeight="1">
      <x:c r="A44" s="84" t="str">
        <x:v>Common equity value</x:v>
      </x:c>
      <x:c r="B44" s="85" t="n">
        <x:f>SUM(B42:B43)</x:f>
        <x:v>2900.1143828516665</x:v>
      </x:c>
      <x:c r="D44" s="24"/>
      <x:c r="E44" s="24"/>
      <x:c r="F44" s="24"/>
      <x:c r="G44" s="24"/>
      <x:c r="H44" s="24"/>
      <x:c r="I44" s="24"/>
      <x:c r="J44" s="24"/>
      <x:c r="K44" s="24"/>
    </x:row>
    <x:row r="45" ht="25" customHeight="1">
      <x:c r="A45" t="str">
        <x:v>Value / share: debt endpoint</x:v>
      </x:c>
      <x:c r="B45" s="42" t="n">
        <x:f>B44/'Inputs'!$E$8</x:f>
        <x:v>80.55873285699073</x:v>
      </x:c>
    </x:row>
    <x:row r="46" ht="25" customHeight="1">
      <x:c r="A46" t="str">
        <x:v>Value / share: if-converted endpoint</x:v>
      </x:c>
      <x:c r="B46" s="42" t="n">
        <x:f>B45</x:f>
        <x:v>80.55873285699073</x:v>
      </x:c>
    </x:row>
    <x:row r="47" ht="25" customHeight="1">
      <x:c r="A47" s="88" t="str">
        <x:v>Conditional intrinsic value / share</x:v>
      </x:c>
      <x:c r="B47" s="89" t="n">
        <x:f>B45</x:f>
        <x:v>80.55873285699073</x:v>
      </x:c>
    </x:row>
    <x:row r="48" ht="25" customHeight="1">
      <x:c r="A48" t="str">
        <x:v>Value versus quote</x:v>
      </x:c>
      <x:c r="B48" s="22" t="n">
        <x:f>B47/'Inputs'!$E$5-1</x:f>
        <x:v>-0.6240492213132782</x:v>
      </x:c>
    </x:row>
    <x:row r="49" ht="25" customHeight="1">
      <x:c r="A49" t="str">
        <x:v>Terminal share of operating EV</x:v>
      </x:c>
      <x:c r="B49" s="22" t="n">
        <x:f>B40/B42</x:f>
        <x:v>0.520666503996181</x:v>
      </x:c>
    </x:row>
    <x:row r="50" ht="25" customHeight="1">
      <x:c r="A50" t="str">
        <x:v>Value at 12% enterprise discount</x:v>
      </x:c>
      <x:c r="B50" s="42" t="n">
        <x:f>(SUMPRODUCT(B31:K31,B34:K34)+B38/('Controls'!$B$3-'Assumptions'!$D$11)*K34+B43)/'Inputs'!$E$8</x:f>
        <x:v>63.498629800926125</x:v>
      </x:c>
    </x:row>
    <x:row r="51" ht="25" customHeight="1">
      <x:c r="A51" t="str">
        <x:v>Price-implied operating EV</x:v>
      </x:c>
      <x:c r="B51" s="34" t="n">
        <x:f>'Inputs'!$E$5*'Inputs'!$E$8-B43</x:f>
        <x:v>7542.3949999999995</x:v>
      </x:c>
    </x:row>
    <x:row r="55" ht="29" customHeight="1">
      <x:c r="A55" s="27" t="str">
        <x:v>BASE | conditional operating path, not probability band</x:v>
      </x:c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</x:row>
    <x:row r="57">
      <x:c r="A57" t="str">
        <x:v>Discount rate</x:v>
      </x:c>
      <x:c r="B57" s="22" t="n">
        <x:f>'Assumptions'!$C$12</x:f>
        <x:v>0.1</x:v>
      </x:c>
      <x:c r="C57" t="str">
        <x:v>Terminal growth</x:v>
      </x:c>
      <x:c r="D57" s="22" t="n">
        <x:f>'Assumptions'!$D$12</x:f>
        <x:v>0.03</x:v>
      </x:c>
      <x:c r="E57" t="str">
        <x:v>Tax</x:v>
      </x:c>
      <x:c r="F57" s="22" t="n">
        <x:f>'Assumptions'!$F$12</x:f>
        <x:v>0.25</x:v>
      </x:c>
      <x:c r="G57" t="str">
        <x:v>Terminal ROIC</x:v>
      </x:c>
      <x:c r="H57" s="22" t="n">
        <x:f>'Assumptions'!$E$12</x:f>
        <x:v>0.35</x:v>
      </x:c>
      <x:c r="I57"/>
      <x:c r="J57"/>
      <x:c r="K57"/>
    </x:row>
    <x:row r="59" ht="24" customHeight="1">
      <x:c r="A59" s="31" t="str">
        <x:v>Economic year</x:v>
      </x:c>
      <x:c r="B59" s="31" t="n">
        <x:v>1</x:v>
      </x:c>
      <x:c r="C59" s="31" t="n">
        <x:v>2</x:v>
      </x:c>
      <x:c r="D59" s="31" t="n">
        <x:v>3</x:v>
      </x:c>
      <x:c r="E59" s="31" t="n">
        <x:v>4</x:v>
      </x:c>
      <x:c r="F59" s="31" t="n">
        <x:v>5</x:v>
      </x:c>
      <x:c r="G59" s="31" t="n">
        <x:v>6</x:v>
      </x:c>
      <x:c r="H59" s="31" t="n">
        <x:v>7</x:v>
      </x:c>
      <x:c r="I59" s="31" t="n">
        <x:v>8</x:v>
      </x:c>
      <x:c r="J59" s="31" t="n">
        <x:v>9</x:v>
      </x:c>
      <x:c r="K59" s="31" t="n">
        <x:v>10</x:v>
      </x:c>
    </x:row>
    <x:row r="60" ht="23" customHeight="1">
      <x:c r="A60" t="str">
        <x:v>Primary revenue growth</x:v>
      </x:c>
      <x:c r="B60" s="36" t="n">
        <x:f>'Assumptions'!$O$12</x:f>
        <x:v>0.16</x:v>
      </x:c>
      <x:c r="C60" s="36" t="n">
        <x:f>'Assumptions'!$P$12</x:f>
        <x:v>0.15</x:v>
      </x:c>
      <x:c r="D60" s="36" t="n">
        <x:f>'Assumptions'!$Q$12</x:f>
        <x:v>0.14</x:v>
      </x:c>
      <x:c r="E60" s="36" t="n">
        <x:f>'Assumptions'!$R$12</x:f>
        <x:v>0.12</x:v>
      </x:c>
      <x:c r="F60" s="36" t="n">
        <x:f>'Assumptions'!$S$12</x:f>
        <x:v>0.1</x:v>
      </x:c>
      <x:c r="G60" s="22" t="n">
        <x:f>$F$70+('Assumptions'!$D$12-$F$70)*(G$59-$F$59)/($K$59-$F$59)</x:f>
        <x:v>0.08600000000000024</x:v>
      </x:c>
      <x:c r="H60" s="22" t="n">
        <x:f>$F$70+('Assumptions'!$D$12-$F$70)*(H$59-$F$59)/($K$59-$F$59)</x:f>
        <x:v>0.07200000000000019</x:v>
      </x:c>
      <x:c r="I60" s="22" t="n">
        <x:f>$F$70+('Assumptions'!$D$12-$F$70)*(I$59-$F$59)/($K$59-$F$59)</x:f>
        <x:v>0.05800000000000012</x:v>
      </x:c>
      <x:c r="J60" s="22" t="n">
        <x:f>$F$70+('Assumptions'!$D$12-$F$70)*(J$59-$F$59)/($K$59-$F$59)</x:f>
        <x:v>0.04400000000000006</x:v>
      </x:c>
      <x:c r="K60" s="22" t="n">
        <x:f>$F$70+('Assumptions'!$D$12-$F$70)*(K$59-$F$59)/($K$59-$F$59)</x:f>
        <x:v>0.03</x:v>
      </x:c>
    </x:row>
    <x:row r="61" ht="23" customHeight="1">
      <x:c r="A61" t="str">
        <x:v>Secondary revenue growth</x:v>
      </x:c>
      <x:c r="B61" s="36" t="n">
        <x:f>'Assumptions'!$T$12</x:f>
        <x:v>0</x:v>
      </x:c>
      <x:c r="C61" s="36" t="n">
        <x:f>'Assumptions'!$U$12</x:f>
        <x:v>0</x:v>
      </x:c>
      <x:c r="D61" s="36" t="n">
        <x:f>'Assumptions'!$V$12</x:f>
        <x:v>0</x:v>
      </x:c>
      <x:c r="E61" s="36" t="n">
        <x:f>'Assumptions'!$W$12</x:f>
        <x:v>0</x:v>
      </x:c>
      <x:c r="F61" s="36" t="n">
        <x:f>'Assumptions'!$X$12</x:f>
        <x:v>0</x:v>
      </x:c>
      <x:c r="G61" s="22" t="n">
        <x:f>$F$70+('Assumptions'!$D$12-$F$70)*(G$59-$F$59)/($K$59-$F$59)</x:f>
        <x:v>0.08600000000000024</x:v>
      </x:c>
      <x:c r="H61" s="22" t="n">
        <x:f>$F$70+('Assumptions'!$D$12-$F$70)*(H$59-$F$59)/($K$59-$F$59)</x:f>
        <x:v>0.07200000000000019</x:v>
      </x:c>
      <x:c r="I61" s="22" t="n">
        <x:f>$F$70+('Assumptions'!$D$12-$F$70)*(I$59-$F$59)/($K$59-$F$59)</x:f>
        <x:v>0.05800000000000012</x:v>
      </x:c>
      <x:c r="J61" s="22" t="n">
        <x:f>$F$70+('Assumptions'!$D$12-$F$70)*(J$59-$F$59)/($K$59-$F$59)</x:f>
        <x:v>0.04400000000000006</x:v>
      </x:c>
      <x:c r="K61" s="22" t="n">
        <x:f>$F$70+('Assumptions'!$D$12-$F$70)*(K$59-$F$59)/($K$59-$F$59)</x:f>
        <x:v>0.03</x:v>
      </x:c>
    </x:row>
    <x:row r="62" ht="23" customHeight="1">
      <x:c r="A62" t="str">
        <x:v>Primary margin</x:v>
      </x:c>
      <x:c r="B62" s="36" t="n">
        <x:f>'Assumptions'!$Y$12</x:f>
        <x:v>0.205</x:v>
      </x:c>
      <x:c r="C62" s="36" t="n">
        <x:f>'Assumptions'!$Z$12</x:f>
        <x:v>0.22</x:v>
      </x:c>
      <x:c r="D62" s="36" t="n">
        <x:f>'Assumptions'!$AA$12</x:f>
        <x:v>0.23</x:v>
      </x:c>
      <x:c r="E62" s="36" t="n">
        <x:f>'Assumptions'!$AB$12</x:f>
        <x:v>0.24</x:v>
      </x:c>
      <x:c r="F62" s="36" t="n">
        <x:f>'Assumptions'!$AC$12</x:f>
        <x:v>0.245</x:v>
      </x:c>
      <x:c r="G62" s="22" t="n">
        <x:f>$F$62</x:f>
        <x:v>0.245</x:v>
      </x:c>
      <x:c r="H62" s="22" t="n">
        <x:f>$F$62</x:f>
        <x:v>0.245</x:v>
      </x:c>
      <x:c r="I62" s="22" t="n">
        <x:f>$F$62</x:f>
        <x:v>0.245</x:v>
      </x:c>
      <x:c r="J62" s="22" t="n">
        <x:f>$F$62</x:f>
        <x:v>0.245</x:v>
      </x:c>
      <x:c r="K62" s="22" t="n">
        <x:f>$F$62</x:f>
        <x:v>0.245</x:v>
      </x:c>
    </x:row>
    <x:row r="63" ht="23" customHeight="1">
      <x:c r="A63" t="str">
        <x:v>Secondary margin</x:v>
      </x:c>
      <x:c r="B63" s="36" t="n">
        <x:f>'Assumptions'!$AD$12</x:f>
        <x:v>0</x:v>
      </x:c>
      <x:c r="C63" s="36" t="n">
        <x:f>'Assumptions'!$AE$12</x:f>
        <x:v>0</x:v>
      </x:c>
      <x:c r="D63" s="36" t="n">
        <x:f>'Assumptions'!$AF$12</x:f>
        <x:v>0</x:v>
      </x:c>
      <x:c r="E63" s="36" t="n">
        <x:f>'Assumptions'!$AG$12</x:f>
        <x:v>0</x:v>
      </x:c>
      <x:c r="F63" s="36" t="n">
        <x:f>'Assumptions'!$AH$12</x:f>
        <x:v>0</x:v>
      </x:c>
      <x:c r="G63" s="22" t="n">
        <x:f>$F$63</x:f>
        <x:v>0</x:v>
      </x:c>
      <x:c r="H63" s="22" t="n">
        <x:f>$F$63</x:f>
        <x:v>0</x:v>
      </x:c>
      <x:c r="I63" s="22" t="n">
        <x:f>$F$63</x:f>
        <x:v>0</x:v>
      </x:c>
      <x:c r="J63" s="22" t="n">
        <x:f>$F$63</x:f>
        <x:v>0</x:v>
      </x:c>
      <x:c r="K63" s="22" t="n">
        <x:f>$F$63</x:f>
        <x:v>0</x:v>
      </x:c>
    </x:row>
    <x:row r="64" ht="23" customHeight="1">
      <x:c r="A64" t="str">
        <x:v>Overhead growth</x:v>
      </x:c>
      <x:c r="B64" s="36" t="n">
        <x:f>'Assumptions'!$AI$12</x:f>
        <x:v>0</x:v>
      </x:c>
      <x:c r="C64" s="36" t="n">
        <x:f>'Assumptions'!$AJ$12</x:f>
        <x:v>0</x:v>
      </x:c>
      <x:c r="D64" s="36" t="n">
        <x:f>'Assumptions'!$AK$12</x:f>
        <x:v>0</x:v>
      </x:c>
      <x:c r="E64" s="36" t="n">
        <x:f>'Assumptions'!$AL$12</x:f>
        <x:v>0</x:v>
      </x:c>
      <x:c r="F64" s="36" t="n">
        <x:f>'Assumptions'!$AM$12</x:f>
        <x:v>0</x:v>
      </x:c>
      <x:c r="G64" s="22" t="n">
        <x:f>$F$70+('Assumptions'!$D$12-$F$70)*(G$59-$F$59)/($K$59-$F$59)</x:f>
        <x:v>0.08600000000000024</x:v>
      </x:c>
      <x:c r="H64" s="22" t="n">
        <x:f>$F$70+('Assumptions'!$D$12-$F$70)*(H$59-$F$59)/($K$59-$F$59)</x:f>
        <x:v>0.07200000000000019</x:v>
      </x:c>
      <x:c r="I64" s="22" t="n">
        <x:f>$F$70+('Assumptions'!$D$12-$F$70)*(I$59-$F$59)/($K$59-$F$59)</x:f>
        <x:v>0.05800000000000012</x:v>
      </x:c>
      <x:c r="J64" s="22" t="n">
        <x:f>$F$70+('Assumptions'!$D$12-$F$70)*(J$59-$F$59)/($K$59-$F$59)</x:f>
        <x:v>0.04400000000000006</x:v>
      </x:c>
      <x:c r="K64" s="22" t="n">
        <x:f>$F$70+('Assumptions'!$D$12-$F$70)*(K$59-$F$59)/($K$59-$F$59)</x:f>
        <x:v>0.03</x:v>
      </x:c>
    </x:row>
    <x:row r="65" ht="23" customHeight="1">
      <x:c r="A65" t="str">
        <x:v>Capex / revenue</x:v>
      </x:c>
      <x:c r="B65" s="36" t="n">
        <x:f>'Assumptions'!$AN$12</x:f>
        <x:v>0.015</x:v>
      </x:c>
      <x:c r="C65" s="36" t="n">
        <x:f>'Assumptions'!$AO$12</x:f>
        <x:v>0.015</x:v>
      </x:c>
      <x:c r="D65" s="36" t="n">
        <x:f>'Assumptions'!$AP$12</x:f>
        <x:v>0.015</x:v>
      </x:c>
      <x:c r="E65" s="36" t="n">
        <x:f>'Assumptions'!$AQ$12</x:f>
        <x:v>0.015</x:v>
      </x:c>
      <x:c r="F65" s="36" t="n">
        <x:f>'Assumptions'!$AR$12</x:f>
        <x:v>0.015</x:v>
      </x:c>
      <x:c r="G65" s="22" t="n">
        <x:f>$F$65</x:f>
        <x:v>0.015</x:v>
      </x:c>
      <x:c r="H65" s="22" t="n">
        <x:f>$F$65</x:f>
        <x:v>0.015</x:v>
      </x:c>
      <x:c r="I65" s="22" t="n">
        <x:f>$F$65</x:f>
        <x:v>0.015</x:v>
      </x:c>
      <x:c r="J65" s="22" t="n">
        <x:f>$F$65</x:f>
        <x:v>0.015</x:v>
      </x:c>
      <x:c r="K65" s="22" t="n">
        <x:f>$F$65</x:f>
        <x:v>0.015</x:v>
      </x:c>
    </x:row>
    <x:row r="66" ht="23" customHeight="1"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</x:row>
    <x:row r="67" ht="23" customHeight="1">
      <x:c r="A67" t="str">
        <x:v>Primary revenue</x:v>
      </x:c>
      <x:c r="B67" s="34" t="n">
        <x:f>'Inputs'!$E$14*(1+B60)</x:f>
        <x:v>1301.52</x:v>
      </x:c>
      <x:c r="C67" s="34" t="n">
        <x:f>B67*(1+C60)</x:f>
        <x:v>1496.7479999999998</x:v>
      </x:c>
      <x:c r="D67" s="34" t="n">
        <x:f>C67*(1+D60)</x:f>
        <x:v>1706.29272</x:v>
      </x:c>
      <x:c r="E67" s="34" t="n">
        <x:f>D67*(1+E60)</x:f>
        <x:v>1911.0478464</x:v>
      </x:c>
      <x:c r="F67" s="34" t="n">
        <x:f>E67*(1+F60)</x:f>
        <x:v>2102.1526310400004</x:v>
      </x:c>
      <x:c r="G67" s="34" t="n">
        <x:f>F67*(1+G60)</x:f>
        <x:v>2282.937757309441</x:v>
      </x:c>
      <x:c r="H67" s="34" t="n">
        <x:f>G67*(1+H60)</x:f>
        <x:v>2447.3092758357216</x:v>
      </x:c>
      <x:c r="I67" s="34" t="n">
        <x:f>H67*(1+I60)</x:f>
        <x:v>2589.2532138341935</x:v>
      </x:c>
      <x:c r="J67" s="34" t="n">
        <x:f>I67*(1+J60)</x:f>
        <x:v>2703.1803552428983</x:v>
      </x:c>
      <x:c r="K67" s="34" t="n">
        <x:f>J67*(1+K60)</x:f>
        <x:v>2784.2757659001854</x:v>
      </x:c>
    </x:row>
    <x:row r="68" ht="23" customHeight="1">
      <x:c r="A68" t="str">
        <x:v>Secondary revenue</x:v>
      </x:c>
      <x:c r="B68" s="34" t="n">
        <x:f>0</x:f>
        <x:v>0</x:v>
      </x:c>
      <x:c r="C68" s="34" t="n">
        <x:f>B68*(1+C61)</x:f>
        <x:v>0</x:v>
      </x:c>
      <x:c r="D68" s="34" t="n">
        <x:f>C68*(1+D61)</x:f>
        <x:v>0</x:v>
      </x:c>
      <x:c r="E68" s="34" t="n">
        <x:f>D68*(1+E61)</x:f>
        <x:v>0</x:v>
      </x:c>
      <x:c r="F68" s="34" t="n">
        <x:f>E68*(1+F61)</x:f>
        <x:v>0</x:v>
      </x:c>
      <x:c r="G68" s="34" t="n">
        <x:f>F68*(1+G61)</x:f>
        <x:v>0</x:v>
      </x:c>
      <x:c r="H68" s="34" t="n">
        <x:f>G68*(1+H61)</x:f>
        <x:v>0</x:v>
      </x:c>
      <x:c r="I68" s="34" t="n">
        <x:f>H68*(1+I61)</x:f>
        <x:v>0</x:v>
      </x:c>
      <x:c r="J68" s="34" t="n">
        <x:f>I68*(1+J61)</x:f>
        <x:v>0</x:v>
      </x:c>
      <x:c r="K68" s="34" t="n">
        <x:f>J68*(1+K61)</x:f>
        <x:v>0</x:v>
      </x:c>
    </x:row>
    <x:row r="69" ht="23" customHeight="1">
      <x:c r="A69" s="31" t="str">
        <x:v>Total economic revenue</x:v>
      </x:c>
      <x:c r="B69" s="40" t="n">
        <x:f>SUM(B67:B68)</x:f>
        <x:v>1301.52</x:v>
      </x:c>
      <x:c r="C69" s="40" t="n">
        <x:f>SUM(C67:C68)</x:f>
        <x:v>1496.7479999999998</x:v>
      </x:c>
      <x:c r="D69" s="40" t="n">
        <x:f>SUM(D67:D68)</x:f>
        <x:v>1706.29272</x:v>
      </x:c>
      <x:c r="E69" s="40" t="n">
        <x:f>SUM(E67:E68)</x:f>
        <x:v>1911.0478464</x:v>
      </x:c>
      <x:c r="F69" s="40" t="n">
        <x:f>SUM(F67:F68)</x:f>
        <x:v>2102.1526310400004</x:v>
      </x:c>
      <x:c r="G69" s="40" t="n">
        <x:f>SUM(G67:G68)</x:f>
        <x:v>2282.937757309441</x:v>
      </x:c>
      <x:c r="H69" s="40" t="n">
        <x:f>SUM(H67:H68)</x:f>
        <x:v>2447.3092758357216</x:v>
      </x:c>
      <x:c r="I69" s="40" t="n">
        <x:f>SUM(I67:I68)</x:f>
        <x:v>2589.2532138341935</x:v>
      </x:c>
      <x:c r="J69" s="40" t="n">
        <x:f>SUM(J67:J68)</x:f>
        <x:v>2703.1803552428983</x:v>
      </x:c>
      <x:c r="K69" s="40" t="n">
        <x:f>SUM(K67:K68)</x:f>
        <x:v>2784.2757659001854</x:v>
      </x:c>
    </x:row>
    <x:row r="70" ht="23" customHeight="1">
      <x:c r="A70" t="str">
        <x:v>Revenue growth</x:v>
      </x:c>
      <x:c r="B70" s="22" t="n">
        <x:f>B69/'Inputs'!$E$14-1</x:f>
        <x:v>0.15999999999999992</x:v>
      </x:c>
      <x:c r="C70" s="22" t="n">
        <x:f>C69/B69-1</x:f>
        <x:v>0.1499999999999999</x:v>
      </x:c>
      <x:c r="D70" s="22" t="n">
        <x:f>D69/C69-1</x:f>
        <x:v>0.14000000000000012</x:v>
      </x:c>
      <x:c r="E70" s="22" t="n">
        <x:f>E69/D69-1</x:f>
        <x:v>0.1200000000000001</x:v>
      </x:c>
      <x:c r="F70" s="22" t="n">
        <x:f>F69/E69-1</x:f>
        <x:v>0.10000000000000031</x:v>
      </x:c>
      <x:c r="G70" s="22" t="n">
        <x:f>G69/F69-1</x:f>
        <x:v>0.0860000000000003</x:v>
      </x:c>
      <x:c r="H70" s="22" t="n">
        <x:f>H69/G69-1</x:f>
        <x:v>0.07200000000000029</x:v>
      </x:c>
      <x:c r="I70" s="22" t="n">
        <x:f>I69/H69-1</x:f>
        <x:v>0.05800000000000005</x:v>
      </x:c>
      <x:c r="J70" s="22" t="n">
        <x:f>J69/I69-1</x:f>
        <x:v>0.04400000000000004</x:v>
      </x:c>
      <x:c r="K70" s="22" t="n">
        <x:f>K69/J69-1</x:f>
        <x:v>0.030000000000000027</x:v>
      </x:c>
    </x:row>
    <x:row r="71" ht="23" customHeight="1">
      <x:c r="A71" t="str">
        <x:v>Primary profit pool</x:v>
      </x:c>
      <x:c r="B71" s="34" t="n">
        <x:f>B67*B62</x:f>
        <x:v>266.8116</x:v>
      </x:c>
      <x:c r="C71" s="34" t="n">
        <x:f>C67*C62</x:f>
        <x:v>329.28455999999994</x:v>
      </x:c>
      <x:c r="D71" s="34" t="n">
        <x:f>D67*D62</x:f>
        <x:v>392.4473256</x:v>
      </x:c>
      <x:c r="E71" s="34" t="n">
        <x:f>E67*E62</x:f>
        <x:v>458.65148313599997</x:v>
      </x:c>
      <x:c r="F71" s="34" t="n">
        <x:f>F67*F62</x:f>
        <x:v>515.0273946048001</x:v>
      </x:c>
      <x:c r="G71" s="34" t="n">
        <x:f>G67*G62</x:f>
        <x:v>559.3197505408131</x:v>
      </x:c>
      <x:c r="H71" s="34" t="n">
        <x:f>H67*H62</x:f>
        <x:v>599.5907725797517</x:v>
      </x:c>
      <x:c r="I71" s="34" t="n">
        <x:f>I67*I62</x:f>
        <x:v>634.3670373893774</x:v>
      </x:c>
      <x:c r="J71" s="34" t="n">
        <x:f>J67*J62</x:f>
        <x:v>662.2791870345101</x:v>
      </x:c>
      <x:c r="K71" s="34" t="n">
        <x:f>K67*K62</x:f>
        <x:v>682.1475626455455</x:v>
      </x:c>
    </x:row>
    <x:row r="72" ht="23" customHeight="1">
      <x:c r="A72" t="str">
        <x:v>Secondary profit pool</x:v>
      </x:c>
      <x:c r="B72" s="34" t="n">
        <x:f>B68*B63</x:f>
        <x:v>0</x:v>
      </x:c>
      <x:c r="C72" s="34" t="n">
        <x:f>C68*C63</x:f>
        <x:v>0</x:v>
      </x:c>
      <x:c r="D72" s="34" t="n">
        <x:f>D68*D63</x:f>
        <x:v>0</x:v>
      </x:c>
      <x:c r="E72" s="34" t="n">
        <x:f>E68*E63</x:f>
        <x:v>0</x:v>
      </x:c>
      <x:c r="F72" s="34" t="n">
        <x:f>F68*F63</x:f>
        <x:v>0</x:v>
      </x:c>
      <x:c r="G72" s="34" t="n">
        <x:f>G68*G63</x:f>
        <x:v>0</x:v>
      </x:c>
      <x:c r="H72" s="34" t="n">
        <x:f>H68*H63</x:f>
        <x:v>0</x:v>
      </x:c>
      <x:c r="I72" s="34" t="n">
        <x:f>I68*I63</x:f>
        <x:v>0</x:v>
      </x:c>
      <x:c r="J72" s="34" t="n">
        <x:f>J68*J63</x:f>
        <x:v>0</x:v>
      </x:c>
      <x:c r="K72" s="34" t="n">
        <x:f>K68*K63</x:f>
        <x:v>0</x:v>
      </x:c>
    </x:row>
    <x:row r="73" ht="23" customHeight="1">
      <x:c r="A73" t="str">
        <x:v>Less: overhead / corporate</x:v>
      </x:c>
      <x:c r="B73" s="34" t="n">
        <x:f>0</x:f>
        <x:v>0</x:v>
      </x:c>
      <x:c r="C73" s="34" t="n">
        <x:f>B73*(1+C64)</x:f>
        <x:v>0</x:v>
      </x:c>
      <x:c r="D73" s="34" t="n">
        <x:f>C73*(1+D64)</x:f>
        <x:v>0</x:v>
      </x:c>
      <x:c r="E73" s="34" t="n">
        <x:f>D73*(1+E64)</x:f>
        <x:v>0</x:v>
      </x:c>
      <x:c r="F73" s="34" t="n">
        <x:f>E73*(1+F64)</x:f>
        <x:v>0</x:v>
      </x:c>
      <x:c r="G73" s="34" t="n">
        <x:f>F73*(1+G64)</x:f>
        <x:v>0</x:v>
      </x:c>
      <x:c r="H73" s="34" t="n">
        <x:f>G73*(1+H64)</x:f>
        <x:v>0</x:v>
      </x:c>
      <x:c r="I73" s="34" t="n">
        <x:f>H73*(1+I64)</x:f>
        <x:v>0</x:v>
      </x:c>
      <x:c r="J73" s="34" t="n">
        <x:f>I73*(1+J64)</x:f>
        <x:v>0</x:v>
      </x:c>
      <x:c r="K73" s="34" t="n">
        <x:f>J73*(1+K64)</x:f>
        <x:v>0</x:v>
      </x:c>
    </x:row>
    <x:row r="74" ht="23" customHeight="1">
      <x:c r="A74" t="str">
        <x:v>Additional fee profit</x:v>
      </x:c>
      <x:c r="B74" s="34" t="n">
        <x:f>0</x:f>
        <x:v>0</x:v>
      </x:c>
      <x:c r="C74" s="34" t="n">
        <x:f>0</x:f>
        <x:v>0</x:v>
      </x:c>
      <x:c r="D74" s="34" t="n">
        <x:f>0</x:f>
        <x:v>0</x:v>
      </x:c>
      <x:c r="E74" s="34" t="n">
        <x:f>0</x:f>
        <x:v>0</x:v>
      </x:c>
      <x:c r="F74" s="34" t="n">
        <x:f>0</x:f>
        <x:v>0</x:v>
      </x:c>
      <x:c r="G74" s="34" t="n">
        <x:f>0</x:f>
        <x:v>0</x:v>
      </x:c>
      <x:c r="H74" s="34" t="n">
        <x:f>0</x:f>
        <x:v>0</x:v>
      </x:c>
      <x:c r="I74" s="34" t="n">
        <x:f>0</x:f>
        <x:v>0</x:v>
      </x:c>
      <x:c r="J74" s="34" t="n">
        <x:f>0</x:f>
        <x:v>0</x:v>
      </x:c>
      <x:c r="K74" s="34" t="n">
        <x:f>0</x:f>
        <x:v>0</x:v>
      </x:c>
    </x:row>
    <x:row r="75" ht="23" customHeight="1">
      <x:c r="A75" s="31" t="str">
        <x:v>Operating income after recurring SBC</x:v>
      </x:c>
      <x:c r="B75" s="40" t="n">
        <x:f>SUM(B71:B74)</x:f>
        <x:v>266.8116</x:v>
      </x:c>
      <x:c r="C75" s="40" t="n">
        <x:f>SUM(C71:C74)</x:f>
        <x:v>329.28455999999994</x:v>
      </x:c>
      <x:c r="D75" s="40" t="n">
        <x:f>SUM(D71:D74)</x:f>
        <x:v>392.4473256</x:v>
      </x:c>
      <x:c r="E75" s="40" t="n">
        <x:f>SUM(E71:E74)</x:f>
        <x:v>458.65148313599997</x:v>
      </x:c>
      <x:c r="F75" s="40" t="n">
        <x:f>SUM(F71:F74)</x:f>
        <x:v>515.0273946048001</x:v>
      </x:c>
      <x:c r="G75" s="40" t="n">
        <x:f>SUM(G71:G74)</x:f>
        <x:v>559.3197505408131</x:v>
      </x:c>
      <x:c r="H75" s="40" t="n">
        <x:f>SUM(H71:H74)</x:f>
        <x:v>599.5907725797517</x:v>
      </x:c>
      <x:c r="I75" s="40" t="n">
        <x:f>SUM(I71:I74)</x:f>
        <x:v>634.3670373893774</x:v>
      </x:c>
      <x:c r="J75" s="40" t="n">
        <x:f>SUM(J71:J74)</x:f>
        <x:v>662.2791870345101</x:v>
      </x:c>
      <x:c r="K75" s="40" t="n">
        <x:f>SUM(K71:K74)</x:f>
        <x:v>682.1475626455455</x:v>
      </x:c>
    </x:row>
    <x:row r="76" ht="23" customHeight="1">
      <x:c r="A76" t="str">
        <x:v>Operating margin</x:v>
      </x:c>
      <x:c r="B76" s="22" t="n">
        <x:f>B75/B69</x:f>
        <x:v>0.20500000000000002</x:v>
      </x:c>
      <x:c r="C76" s="22" t="n">
        <x:f>C75/C69</x:f>
        <x:v>0.22</x:v>
      </x:c>
      <x:c r="D76" s="22" t="n">
        <x:f>D75/D69</x:f>
        <x:v>0.23</x:v>
      </x:c>
      <x:c r="E76" s="22" t="n">
        <x:f>E75/E69</x:f>
        <x:v>0.24</x:v>
      </x:c>
      <x:c r="F76" s="22" t="n">
        <x:f>F75/F69</x:f>
        <x:v>0.245</x:v>
      </x:c>
      <x:c r="G76" s="22" t="n">
        <x:f>G75/G69</x:f>
        <x:v>0.245</x:v>
      </x:c>
      <x:c r="H76" s="22" t="n">
        <x:f>H75/H69</x:f>
        <x:v>0.24499999999999997</x:v>
      </x:c>
      <x:c r="I76" s="22" t="n">
        <x:f>I75/I69</x:f>
        <x:v>0.245</x:v>
      </x:c>
      <x:c r="J76" s="22" t="n">
        <x:f>J75/J69</x:f>
        <x:v>0.245</x:v>
      </x:c>
      <x:c r="K76" s="22" t="n">
        <x:f>K75/K69</x:f>
        <x:v>0.24500000000000002</x:v>
      </x:c>
    </x:row>
    <x:row r="77" ht="23" customHeight="1">
      <x:c r="A77" t="str">
        <x:v>After-tax operating profit</x:v>
      </x:c>
      <x:c r="B77" s="34" t="n">
        <x:f>B75*(1-'Assumptions'!$F$12)</x:f>
        <x:v>200.1087</x:v>
      </x:c>
      <x:c r="C77" s="34" t="n">
        <x:f>C75*(1-'Assumptions'!$F$12)</x:f>
        <x:v>246.96341999999996</x:v>
      </x:c>
      <x:c r="D77" s="34" t="n">
        <x:f>D75*(1-'Assumptions'!$F$12)</x:f>
        <x:v>294.33549419999997</x:v>
      </x:c>
      <x:c r="E77" s="34" t="n">
        <x:f>E75*(1-'Assumptions'!$F$12)</x:f>
        <x:v>343.98861235199996</x:v>
      </x:c>
      <x:c r="F77" s="34" t="n">
        <x:f>F75*(1-'Assumptions'!$F$12)</x:f>
        <x:v>386.27054595360005</x:v>
      </x:c>
      <x:c r="G77" s="34" t="n">
        <x:f>G75*(1-'Assumptions'!$F$12)</x:f>
        <x:v>419.4898129056098</x:v>
      </x:c>
      <x:c r="H77" s="34" t="n">
        <x:f>H75*(1-'Assumptions'!$F$12)</x:f>
        <x:v>449.6930794348138</x:v>
      </x:c>
      <x:c r="I77" s="34" t="n">
        <x:f>I75*(1-'Assumptions'!$F$12)</x:f>
        <x:v>475.77527804203305</x:v>
      </x:c>
      <x:c r="J77" s="34" t="n">
        <x:f>J75*(1-'Assumptions'!$F$12)</x:f>
        <x:v>496.7093902758826</x:v>
      </x:c>
      <x:c r="K77" s="34" t="n">
        <x:f>K75*(1-'Assumptions'!$F$12)</x:f>
        <x:v>511.6106719841591</x:v>
      </x:c>
    </x:row>
    <x:row r="78" ht="23" customHeight="1">
      <x:c r="A78" t="str">
        <x:v>Add: depreciation &amp; amortization</x:v>
      </x:c>
      <x:c r="B78" s="34" t="n">
        <x:f>B69*'Assumptions'!$G$12</x:f>
        <x:v>15.61824</x:v>
      </x:c>
      <x:c r="C78" s="34" t="n">
        <x:f>C69*'Assumptions'!$G$12</x:f>
        <x:v>17.960976</x:v>
      </x:c>
      <x:c r="D78" s="34" t="n">
        <x:f>D69*'Assumptions'!$G$12</x:f>
        <x:v>20.475512639999998</x:v>
      </x:c>
      <x:c r="E78" s="34" t="n">
        <x:f>E69*'Assumptions'!$G$12</x:f>
        <x:v>22.9325741568</x:v>
      </x:c>
      <x:c r="F78" s="34" t="n">
        <x:f>F69*'Assumptions'!$G$12</x:f>
        <x:v>25.225831572480004</x:v>
      </x:c>
      <x:c r="G78" s="34" t="n">
        <x:f>G69*'Assumptions'!$G$12</x:f>
        <x:v>27.395253087713293</x:v>
      </x:c>
      <x:c r="H78" s="34" t="n">
        <x:f>H69*'Assumptions'!$G$12</x:f>
        <x:v>29.36771131002866</x:v>
      </x:c>
      <x:c r="I78" s="34" t="n">
        <x:f>I69*'Assumptions'!$G$12</x:f>
        <x:v>31.071038566010323</x:v>
      </x:c>
      <x:c r="J78" s="34" t="n">
        <x:f>J69*'Assumptions'!$G$12</x:f>
        <x:v>32.43816426291478</x:v>
      </x:c>
      <x:c r="K78" s="34" t="n">
        <x:f>K69*'Assumptions'!$G$12</x:f>
        <x:v>33.41130919080223</x:v>
      </x:c>
    </x:row>
    <x:row r="79" ht="23" customHeight="1">
      <x:c r="A79" t="str">
        <x:v>Less: investment incl. software</x:v>
      </x:c>
      <x:c r="B79" s="34" t="n">
        <x:f>-B69*B65</x:f>
        <x:v>-19.5228</x:v>
      </x:c>
      <x:c r="C79" s="34" t="n">
        <x:f>-C69*C65</x:f>
        <x:v>-22.451219999999996</x:v>
      </x:c>
      <x:c r="D79" s="34" t="n">
        <x:f>-D69*D65</x:f>
        <x:v>-25.5943908</x:v>
      </x:c>
      <x:c r="E79" s="34" t="n">
        <x:f>-E69*E65</x:f>
        <x:v>-28.665717695999998</x:v>
      </x:c>
      <x:c r="F79" s="34" t="n">
        <x:f>-F69*F65</x:f>
        <x:v>-31.532289465600005</x:v>
      </x:c>
      <x:c r="G79" s="34" t="n">
        <x:f>-G69*G65</x:f>
        <x:v>-34.244066359641614</x:v>
      </x:c>
      <x:c r="H79" s="34" t="n">
        <x:f>-H69*H65</x:f>
        <x:v>-36.709639137535824</x:v>
      </x:c>
      <x:c r="I79" s="34" t="n">
        <x:f>-I69*I65</x:f>
        <x:v>-38.8387982075129</x:v>
      </x:c>
      <x:c r="J79" s="34" t="n">
        <x:f>-J69*J65</x:f>
        <x:v>-40.547705328643474</x:v>
      </x:c>
      <x:c r="K79" s="34" t="n">
        <x:f>-K69*K65</x:f>
        <x:v>-41.76413648850278</x:v>
      </x:c>
    </x:row>
    <x:row r="80" ht="23" customHeight="1">
      <x:c r="A80" t="str">
        <x:v>Less: incremental working capital</x:v>
      </x:c>
      <x:c r="B80" s="34" t="n">
        <x:f>-(B69-'Inputs'!$E$14)*'Assumptions'!$H$12</x:f>
        <x:v>-7.1808</x:v>
      </x:c>
      <x:c r="C80" s="34" t="n">
        <x:f>-(C69-B69)*'Assumptions'!$H$12</x:f>
        <x:v>-7.809119999999994</x:v>
      </x:c>
      <x:c r="D80" s="34" t="n">
        <x:f>-(D69-C69)*'Assumptions'!$H$12</x:f>
        <x:v>-8.381788800000004</x:v>
      </x:c>
      <x:c r="E80" s="34" t="n">
        <x:f>-(E69-D69)*'Assumptions'!$H$12</x:f>
        <x:v>-8.190205056000005</x:v>
      </x:c>
      <x:c r="F80" s="34" t="n">
        <x:f>-(F69-E69)*'Assumptions'!$H$12</x:f>
        <x:v>-7.644191385600016</x:v>
      </x:c>
      <x:c r="G80" s="34" t="n">
        <x:f>-(G69-F69)*'Assumptions'!$H$12</x:f>
        <x:v>-7.231405050777631</x:v>
      </x:c>
      <x:c r="H80" s="34" t="n">
        <x:f>-(H69-G69)*'Assumptions'!$H$12</x:f>
        <x:v>-6.574860741051216</x:v>
      </x:c>
      <x:c r="I80" s="34" t="n">
        <x:f>-(I69-H69)*'Assumptions'!$H$12</x:f>
        <x:v>-5.6777575199388775</x:v>
      </x:c>
      <x:c r="J80" s="34" t="n">
        <x:f>-(J69-I69)*'Assumptions'!$H$12</x:f>
        <x:v>-4.557085656348191</x:v>
      </x:c>
      <x:c r="K80" s="34" t="n">
        <x:f>-(K69-J69)*'Assumptions'!$H$12</x:f>
        <x:v>-3.2438164262914873</x:v>
      </x:c>
    </x:row>
    <x:row r="81" ht="23" customHeight="1">
      <x:c r="A81" t="str">
        <x:v>Less: specified cash shock</x:v>
      </x:c>
      <x:c r="B81" s="34" t="n">
        <x:f>-'Assumptions'!$I$12</x:f>
        <x:v>0</x:v>
      </x:c>
      <x:c r="C81" s="34" t="n">
        <x:f>0</x:f>
        <x:v>0</x:v>
      </x:c>
      <x:c r="D81" s="34" t="n">
        <x:f>0</x:f>
        <x:v>0</x:v>
      </x:c>
      <x:c r="E81" s="34" t="n">
        <x:f>0</x:f>
        <x:v>0</x:v>
      </x:c>
      <x:c r="F81" s="34" t="n">
        <x:f>0</x:f>
        <x:v>0</x:v>
      </x:c>
      <x:c r="G81" s="34" t="n">
        <x:f>0</x:f>
        <x:v>0</x:v>
      </x:c>
      <x:c r="H81" s="34" t="n">
        <x:f>0</x:f>
        <x:v>0</x:v>
      </x:c>
      <x:c r="I81" s="34" t="n">
        <x:f>0</x:f>
        <x:v>0</x:v>
      </x:c>
      <x:c r="J81" s="34" t="n">
        <x:f>0</x:f>
        <x:v>0</x:v>
      </x:c>
      <x:c r="K81" s="34" t="n">
        <x:f>0</x:f>
        <x:v>0</x:v>
      </x:c>
    </x:row>
    <x:row r="82" ht="23" customHeight="1">
      <x:c r="A82" s="31" t="str">
        <x:v>Owner-economic unlevered cash flow</x:v>
      </x:c>
      <x:c r="B82" s="40" t="n">
        <x:f>SUM(B77:B81)</x:f>
        <x:v>189.02334000000002</x:v>
      </x:c>
      <x:c r="C82" s="40" t="n">
        <x:f>SUM(C77:C81)</x:f>
        <x:v>234.66405599999993</x:v>
      </x:c>
      <x:c r="D82" s="40" t="n">
        <x:f>SUM(D77:D81)</x:f>
        <x:v>280.83482724</x:v>
      </x:c>
      <x:c r="E82" s="40" t="n">
        <x:f>SUM(E77:E81)</x:f>
        <x:v>330.06526375679994</x:v>
      </x:c>
      <x:c r="F82" s="40" t="n">
        <x:f>SUM(F77:F81)</x:f>
        <x:v>372.31989667488</x:v>
      </x:c>
      <x:c r="G82" s="40" t="n">
        <x:f>SUM(G77:G81)</x:f>
        <x:v>405.4095945829038</x:v>
      </x:c>
      <x:c r="H82" s="40" t="n">
        <x:f>SUM(H77:H81)</x:f>
        <x:v>435.7762908662554</x:v>
      </x:c>
      <x:c r="I82" s="40" t="n">
        <x:f>SUM(I77:I81)</x:f>
        <x:v>462.32976088059155</x:v>
      </x:c>
      <x:c r="J82" s="40" t="n">
        <x:f>SUM(J77:J81)</x:f>
        <x:v>484.04276355380574</x:v>
      </x:c>
      <x:c r="K82" s="40" t="n">
        <x:f>SUM(K77:K81)</x:f>
        <x:v>500.01402826016715</x:v>
      </x:c>
    </x:row>
    <x:row r="83" ht="23" customHeight="1">
      <x:c r="A83" t="str">
        <x:v>Discount factor</x:v>
      </x:c>
      <x:c r="B83" s="22" t="n">
        <x:f>1/(1+'Assumptions'!$C$12)^B$59</x:f>
        <x:v>0.9090909090909091</x:v>
      </x:c>
      <x:c r="C83" s="22" t="n">
        <x:f>1/(1+'Assumptions'!$C$12)^C$59</x:f>
        <x:v>0.8264462809917354</x:v>
      </x:c>
      <x:c r="D83" s="22" t="n">
        <x:f>1/(1+'Assumptions'!$C$12)^D$59</x:f>
        <x:v>0.7513148009015775</x:v>
      </x:c>
      <x:c r="E83" s="22" t="n">
        <x:f>1/(1+'Assumptions'!$C$12)^E$59</x:f>
        <x:v>0.6830134553650705</x:v>
      </x:c>
      <x:c r="F83" s="22" t="n">
        <x:f>1/(1+'Assumptions'!$C$12)^F$59</x:f>
        <x:v>0.6209213230591549</x:v>
      </x:c>
      <x:c r="G83" s="22" t="n">
        <x:f>1/(1+'Assumptions'!$C$12)^G$59</x:f>
        <x:v>0.5644739300537772</x:v>
      </x:c>
      <x:c r="H83" s="22" t="n">
        <x:f>1/(1+'Assumptions'!$C$12)^H$59</x:f>
        <x:v>0.5131581182307065</x:v>
      </x:c>
      <x:c r="I83" s="22" t="n">
        <x:f>1/(1+'Assumptions'!$C$12)^I$59</x:f>
        <x:v>0.46650738020973315</x:v>
      </x:c>
      <x:c r="J83" s="22" t="n">
        <x:f>1/(1+'Assumptions'!$C$12)^J$59</x:f>
        <x:v>0.42409761837248466</x:v>
      </x:c>
      <x:c r="K83" s="22" t="n">
        <x:f>1/(1+'Assumptions'!$C$12)^K$59</x:f>
        <x:v>0.3855432894295315</x:v>
      </x:c>
    </x:row>
    <x:row r="84" ht="23" customHeight="1">
      <x:c r="A84" s="31" t="str">
        <x:v>Present value</x:v>
      </x:c>
      <x:c r="B84" s="40" t="n">
        <x:f>B82*B83</x:f>
        <x:v>171.8394</x:v>
      </x:c>
      <x:c r="C84" s="40" t="n">
        <x:f>C82*C83</x:f>
        <x:v>193.9372363636363</x:v>
      </x:c>
      <x:c r="D84" s="40" t="n">
        <x:f>D82*D83</x:f>
        <x:v>210.99536231404952</x:v>
      </x:c>
      <x:c r="E84" s="40" t="n">
        <x:f>E82*E83</x:f>
        <x:v>225.4390162945153</x:v>
      </x:c>
      <x:c r="F84" s="40" t="n">
        <x:f>F82*F83</x:f>
        <x:v>231.18136284461434</x:v>
      </x:c>
      <x:c r="G84" s="40" t="n">
        <x:f>G82*G83</x:f>
        <x:v>228.84314713572024</x:v>
      </x:c>
      <x:c r="H84" s="40" t="n">
        <x:f>H82*H83</x:f>
        <x:v>223.62214139048461</x:v>
      </x:c>
      <x:c r="I84" s="40" t="n">
        <x:f>I82*I83</x:f>
        <x:v>215.68024554139714</x:v>
      </x:c>
      <x:c r="J84" s="40" t="n">
        <x:f>J82*J83</x:f>
        <x:v>205.28138321360473</x:v>
      </x:c>
      <x:c r="K84" s="40" t="n">
        <x:f>K82*K83</x:f>
        <x:v>192.77705321633556</x:v>
      </x:c>
    </x:row>
    <x:row r="85" ht="23" customHeight="1">
      <x:c r="A85" t="str">
        <x:v>Discount factor at 12%</x:v>
      </x:c>
      <x:c r="B85" s="22" t="n">
        <x:f>1/(1+'Controls'!$B$3)^B$59</x:f>
        <x:v>0.8928571428571428</x:v>
      </x:c>
      <x:c r="C85" s="22" t="n">
        <x:f>1/(1+'Controls'!$B$3)^C$59</x:f>
        <x:v>0.7971938775510203</x:v>
      </x:c>
      <x:c r="D85" s="22" t="n">
        <x:f>1/(1+'Controls'!$B$3)^D$59</x:f>
        <x:v>0.7117802478134109</x:v>
      </x:c>
      <x:c r="E85" s="22" t="n">
        <x:f>1/(1+'Controls'!$B$3)^E$59</x:f>
        <x:v>0.6355180784048312</x:v>
      </x:c>
      <x:c r="F85" s="22" t="n">
        <x:f>1/(1+'Controls'!$B$3)^F$59</x:f>
        <x:v>0.5674268557185992</x:v>
      </x:c>
      <x:c r="G85" s="22" t="n">
        <x:f>1/(1+'Controls'!$B$3)^G$59</x:f>
        <x:v>0.5066311211773207</x:v>
      </x:c>
      <x:c r="H85" s="22" t="n">
        <x:f>1/(1+'Controls'!$B$3)^H$59</x:f>
        <x:v>0.45234921533689343</x:v>
      </x:c>
      <x:c r="I85" s="22" t="n">
        <x:f>1/(1+'Controls'!$B$3)^I$59</x:f>
        <x:v>0.4038832279793691</x:v>
      </x:c>
      <x:c r="J85" s="22" t="n">
        <x:f>1/(1+'Controls'!$B$3)^J$59</x:f>
        <x:v>0.36061002498157957</x:v>
      </x:c>
      <x:c r="K85" s="22" t="n">
        <x:f>1/(1+'Controls'!$B$3)^K$59</x:f>
        <x:v>0.321973236590696</x:v>
      </x:c>
    </x:row>
    <x:row r="87" ht="25" customHeight="1">
      <x:c r="A87" t="str">
        <x:v>Year 11 after-tax operating profit</x:v>
      </x:c>
      <x:c r="B87" s="34" t="n">
        <x:f>K77*(1+'Assumptions'!$D$12)</x:f>
        <x:v>526.9589921436839</x:v>
      </x:c>
    </x:row>
    <x:row r="88" ht="25" customHeight="1">
      <x:c r="A88" t="str">
        <x:v>Less: terminal reinvestment</x:v>
      </x:c>
      <x:c r="B88" s="34" t="n">
        <x:f>-B87*'Assumptions'!$D$12/'Assumptions'!$E$12</x:f>
        <x:v>-45.16791361231576</x:v>
      </x:c>
      <x:c r="D88" s="24" t="str">
        <x:v>This is an operating scenario, not a statistical confidence interval. Terminal growth requires reinvestment. Latest-quarter capital structure is not a complete September roll-forward. See company decision notes for remaining unknowns. MOD scenarios assume the transaction closes; WINA core revenue excludes offsetting fee programs.</x:v>
      </x:c>
      <x:c r="E88" s="24"/>
      <x:c r="F88" s="24"/>
      <x:c r="G88" s="24"/>
      <x:c r="H88" s="24"/>
      <x:c r="I88" s="24"/>
      <x:c r="J88" s="24"/>
      <x:c r="K88" s="24"/>
    </x:row>
    <x:row r="89" ht="25" customHeight="1">
      <x:c r="A89" t="str">
        <x:v>Terminal cash flow</x:v>
      </x:c>
      <x:c r="B89" s="34" t="n">
        <x:f>SUM(B87:B88)</x:f>
        <x:v>481.7910785313681</x:v>
      </x:c>
      <x:c r="D89" s="24"/>
      <x:c r="E89" s="24"/>
      <x:c r="F89" s="24"/>
      <x:c r="G89" s="24"/>
      <x:c r="H89" s="24"/>
      <x:c r="I89" s="24"/>
      <x:c r="J89" s="24"/>
      <x:c r="K89" s="24"/>
    </x:row>
    <x:row r="90" ht="25" customHeight="1">
      <x:c r="A90" t="str">
        <x:v>Terminal operating value</x:v>
      </x:c>
      <x:c r="B90" s="34" t="n">
        <x:f>B89/('Assumptions'!$C$12-'Assumptions'!$D$12)</x:f>
        <x:v>6882.729693305258</x:v>
      </x:c>
      <x:c r="D90" s="24"/>
      <x:c r="E90" s="24"/>
      <x:c r="F90" s="24"/>
      <x:c r="G90" s="24"/>
      <x:c r="H90" s="24"/>
      <x:c r="I90" s="24"/>
      <x:c r="J90" s="24"/>
      <x:c r="K90" s="24"/>
    </x:row>
    <x:row r="91" ht="25" customHeight="1">
      <x:c r="A91" t="str">
        <x:v>PV terminal value</x:v>
      </x:c>
      <x:c r="B91" s="34" t="n">
        <x:f>B90*K83</x:f>
        <x:v>2653.5902462112194</x:v>
      </x:c>
      <x:c r="D91" s="24"/>
      <x:c r="E91" s="24"/>
      <x:c r="F91" s="24"/>
      <x:c r="G91" s="24"/>
      <x:c r="H91" s="24"/>
      <x:c r="I91" s="24"/>
      <x:c r="J91" s="24"/>
      <x:c r="K91" s="24"/>
    </x:row>
    <x:row r="92" ht="25" customHeight="1">
      <x:c r="A92" t="str">
        <x:v>PV explicit forecast</x:v>
      </x:c>
      <x:c r="B92" s="34" t="n">
        <x:f>SUM(B84:K84)</x:f>
        <x:v>2099.596348314358</x:v>
      </x:c>
      <x:c r="D92" s="24"/>
      <x:c r="E92" s="24"/>
      <x:c r="F92" s="24"/>
      <x:c r="G92" s="24"/>
      <x:c r="H92" s="24"/>
      <x:c r="I92" s="24"/>
      <x:c r="J92" s="24"/>
      <x:c r="K92" s="24"/>
    </x:row>
    <x:row r="93" ht="25" customHeight="1">
      <x:c r="A93" s="84" t="str">
        <x:v>Operating enterprise value</x:v>
      </x:c>
      <x:c r="B93" s="85" t="n">
        <x:f>SUM(B91:B92)</x:f>
        <x:v>4753.186594525578</x:v>
      </x:c>
      <x:c r="D93" s="24"/>
      <x:c r="E93" s="24"/>
      <x:c r="F93" s="24"/>
      <x:c r="G93" s="24"/>
      <x:c r="H93" s="24"/>
      <x:c r="I93" s="24"/>
      <x:c r="J93" s="24"/>
      <x:c r="K93" s="24"/>
    </x:row>
    <x:row r="94" ht="25" customHeight="1">
      <x:c r="A94" t="str">
        <x:v>Cash / claims / transaction bridge</x:v>
      </x:c>
      <x:c r="B94" s="34" t="n">
        <x:f>'Inputs'!$E$6-'Inputs'!$E$7-'Inputs'!$E$9-'Inputs'!$E$10-'Inputs'!$E$11+'Inputs'!$E$12*'Inputs'!$E$13</x:f>
        <x:v>171.685</x:v>
      </x:c>
      <x:c r="D94" s="24"/>
      <x:c r="E94" s="24"/>
      <x:c r="F94" s="24"/>
      <x:c r="G94" s="24"/>
      <x:c r="H94" s="24"/>
      <x:c r="I94" s="24"/>
      <x:c r="J94" s="24"/>
      <x:c r="K94" s="24"/>
    </x:row>
    <x:row r="95" ht="25" customHeight="1">
      <x:c r="A95" s="84" t="str">
        <x:v>Common equity value</x:v>
      </x:c>
      <x:c r="B95" s="85" t="n">
        <x:f>SUM(B93:B94)</x:f>
        <x:v>4924.871594525578</x:v>
      </x:c>
      <x:c r="D95" s="24"/>
      <x:c r="E95" s="24"/>
      <x:c r="F95" s="24"/>
      <x:c r="G95" s="24"/>
      <x:c r="H95" s="24"/>
      <x:c r="I95" s="24"/>
      <x:c r="J95" s="24"/>
      <x:c r="K95" s="24"/>
    </x:row>
    <x:row r="96" ht="25" customHeight="1">
      <x:c r="A96" t="str">
        <x:v>Value / share: debt endpoint</x:v>
      </x:c>
      <x:c r="B96" s="42" t="n">
        <x:f>B95/'Inputs'!$E$8</x:f>
        <x:v>136.8019887368216</x:v>
      </x:c>
    </x:row>
    <x:row r="97" ht="25" customHeight="1">
      <x:c r="A97" t="str">
        <x:v>Value / share: if-converted endpoint</x:v>
      </x:c>
      <x:c r="B97" s="42" t="n">
        <x:f>B96</x:f>
        <x:v>136.8019887368216</x:v>
      </x:c>
    </x:row>
    <x:row r="98" ht="25" customHeight="1">
      <x:c r="A98" s="88" t="str">
        <x:v>Conditional intrinsic value / share</x:v>
      </x:c>
      <x:c r="B98" s="89" t="n">
        <x:f>B96</x:f>
        <x:v>136.8019887368216</x:v>
      </x:c>
    </x:row>
    <x:row r="99" ht="25" customHeight="1">
      <x:c r="A99" t="str">
        <x:v>Value versus quote</x:v>
      </x:c>
      <x:c r="B99" s="22" t="n">
        <x:f>B98/'Inputs'!$E$5-1</x:f>
        <x:v>-0.36157369452668653</x:v>
      </x:c>
    </x:row>
    <x:row r="100" ht="25" customHeight="1">
      <x:c r="A100" t="str">
        <x:v>Terminal share of operating EV</x:v>
      </x:c>
      <x:c r="B100" s="22" t="n">
        <x:f>B91/B93</x:f>
        <x:v>0.5582760519579556</x:v>
      </x:c>
    </x:row>
    <x:row r="101" ht="25" customHeight="1">
      <x:c r="A101" t="str">
        <x:v>Value at 12% enterprise discount</x:v>
      </x:c>
      <x:c r="B101" s="42" t="n">
        <x:f>(SUMPRODUCT(B82:K82,B85:K85)+B89/('Controls'!$B$3-'Assumptions'!$D$12)*K85+B94)/'Inputs'!$E$8</x:f>
        <x:v>105.46753860752783</x:v>
      </x:c>
    </x:row>
    <x:row r="102" ht="25" customHeight="1">
      <x:c r="A102" t="str">
        <x:v>Price-implied operating EV</x:v>
      </x:c>
      <x:c r="B102" s="34" t="n">
        <x:f>'Inputs'!$E$5*'Inputs'!$E$8-B94</x:f>
        <x:v>7542.3949999999995</x:v>
      </x:c>
    </x:row>
    <x:row r="106" ht="29" customHeight="1">
      <x:c r="A106" s="27" t="str">
        <x:v>BULL | conditional operating path, not probability band</x:v>
      </x:c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</x:row>
    <x:row r="108">
      <x:c r="A108" t="str">
        <x:v>Discount rate</x:v>
      </x:c>
      <x:c r="B108" s="22" t="n">
        <x:f>'Assumptions'!$C$13</x:f>
        <x:v>0.1</x:v>
      </x:c>
      <x:c r="C108" t="str">
        <x:v>Terminal growth</x:v>
      </x:c>
      <x:c r="D108" s="22" t="n">
        <x:f>'Assumptions'!$D$13</x:f>
        <x:v>0.03</x:v>
      </x:c>
      <x:c r="E108" t="str">
        <x:v>Tax</x:v>
      </x:c>
      <x:c r="F108" s="22" t="n">
        <x:f>'Assumptions'!$F$13</x:f>
        <x:v>0.24</x:v>
      </x:c>
      <x:c r="G108" t="str">
        <x:v>Terminal ROIC</x:v>
      </x:c>
      <x:c r="H108" s="22" t="n">
        <x:f>'Assumptions'!$E$13</x:f>
        <x:v>0.4</x:v>
      </x:c>
      <x:c r="I108"/>
      <x:c r="J108"/>
      <x:c r="K108"/>
    </x:row>
    <x:row r="110" ht="24" customHeight="1">
      <x:c r="A110" s="31" t="str">
        <x:v>Economic year</x:v>
      </x:c>
      <x:c r="B110" s="31" t="n">
        <x:v>1</x:v>
      </x:c>
      <x:c r="C110" s="31" t="n">
        <x:v>2</x:v>
      </x:c>
      <x:c r="D110" s="31" t="n">
        <x:v>3</x:v>
      </x:c>
      <x:c r="E110" s="31" t="n">
        <x:v>4</x:v>
      </x:c>
      <x:c r="F110" s="31" t="n">
        <x:v>5</x:v>
      </x:c>
      <x:c r="G110" s="31" t="n">
        <x:v>6</x:v>
      </x:c>
      <x:c r="H110" s="31" t="n">
        <x:v>7</x:v>
      </x:c>
      <x:c r="I110" s="31" t="n">
        <x:v>8</x:v>
      </x:c>
      <x:c r="J110" s="31" t="n">
        <x:v>9</x:v>
      </x:c>
      <x:c r="K110" s="31" t="n">
        <x:v>10</x:v>
      </x:c>
    </x:row>
    <x:row r="111" ht="23" customHeight="1">
      <x:c r="A111" t="str">
        <x:v>Primary revenue growth</x:v>
      </x:c>
      <x:c r="B111" s="36" t="n">
        <x:f>'Assumptions'!$O$13</x:f>
        <x:v>0.2</x:v>
      </x:c>
      <x:c r="C111" s="36" t="n">
        <x:f>'Assumptions'!$P$13</x:f>
        <x:v>0.19</x:v>
      </x:c>
      <x:c r="D111" s="36" t="n">
        <x:f>'Assumptions'!$Q$13</x:f>
        <x:v>0.18</x:v>
      </x:c>
      <x:c r="E111" s="36" t="n">
        <x:f>'Assumptions'!$R$13</x:f>
        <x:v>0.17</x:v>
      </x:c>
      <x:c r="F111" s="36" t="n">
        <x:f>'Assumptions'!$S$13</x:f>
        <x:v>0.15</x:v>
      </x:c>
      <x:c r="G111" s="22" t="n">
        <x:f>$F$121+('Assumptions'!$D$13-$F$121)*(G$110-$F$110)/($K$110-$F$110)</x:f>
        <x:v>0.12599999999999992</x:v>
      </x:c>
      <x:c r="H111" s="22" t="n">
        <x:f>$F$121+('Assumptions'!$D$13-$F$121)*(H$110-$F$110)/($K$110-$F$110)</x:f>
        <x:v>0.10199999999999995</x:v>
      </x:c>
      <x:c r="I111" s="22" t="n">
        <x:f>$F$121+('Assumptions'!$D$13-$F$121)*(I$110-$F$110)/($K$110-$F$110)</x:f>
        <x:v>0.07799999999999996</x:v>
      </x:c>
      <x:c r="J111" s="22" t="n">
        <x:f>$F$121+('Assumptions'!$D$13-$F$121)*(J$110-$F$110)/($K$110-$F$110)</x:f>
        <x:v>0.05399999999999998</x:v>
      </x:c>
      <x:c r="K111" s="22" t="n">
        <x:f>$F$121+('Assumptions'!$D$13-$F$121)*(K$110-$F$110)/($K$110-$F$110)</x:f>
        <x:v>0.03</x:v>
      </x:c>
    </x:row>
    <x:row r="112" ht="23" customHeight="1">
      <x:c r="A112" t="str">
        <x:v>Secondary revenue growth</x:v>
      </x:c>
      <x:c r="B112" s="36" t="n">
        <x:f>'Assumptions'!$T$13</x:f>
        <x:v>0</x:v>
      </x:c>
      <x:c r="C112" s="36" t="n">
        <x:f>'Assumptions'!$U$13</x:f>
        <x:v>0</x:v>
      </x:c>
      <x:c r="D112" s="36" t="n">
        <x:f>'Assumptions'!$V$13</x:f>
        <x:v>0</x:v>
      </x:c>
      <x:c r="E112" s="36" t="n">
        <x:f>'Assumptions'!$W$13</x:f>
        <x:v>0</x:v>
      </x:c>
      <x:c r="F112" s="36" t="n">
        <x:f>'Assumptions'!$X$13</x:f>
        <x:v>0</x:v>
      </x:c>
      <x:c r="G112" s="22" t="n">
        <x:f>$F$121+('Assumptions'!$D$13-$F$121)*(G$110-$F$110)/($K$110-$F$110)</x:f>
        <x:v>0.12599999999999992</x:v>
      </x:c>
      <x:c r="H112" s="22" t="n">
        <x:f>$F$121+('Assumptions'!$D$13-$F$121)*(H$110-$F$110)/($K$110-$F$110)</x:f>
        <x:v>0.10199999999999995</x:v>
      </x:c>
      <x:c r="I112" s="22" t="n">
        <x:f>$F$121+('Assumptions'!$D$13-$F$121)*(I$110-$F$110)/($K$110-$F$110)</x:f>
        <x:v>0.07799999999999996</x:v>
      </x:c>
      <x:c r="J112" s="22" t="n">
        <x:f>$F$121+('Assumptions'!$D$13-$F$121)*(J$110-$F$110)/($K$110-$F$110)</x:f>
        <x:v>0.05399999999999998</x:v>
      </x:c>
      <x:c r="K112" s="22" t="n">
        <x:f>$F$121+('Assumptions'!$D$13-$F$121)*(K$110-$F$110)/($K$110-$F$110)</x:f>
        <x:v>0.03</x:v>
      </x:c>
    </x:row>
    <x:row r="113" ht="23" customHeight="1">
      <x:c r="A113" t="str">
        <x:v>Primary margin</x:v>
      </x:c>
      <x:c r="B113" s="36" t="n">
        <x:f>'Assumptions'!$Y$13</x:f>
        <x:v>0.22</x:v>
      </x:c>
      <x:c r="C113" s="36" t="n">
        <x:f>'Assumptions'!$Z$13</x:f>
        <x:v>0.24</x:v>
      </x:c>
      <x:c r="D113" s="36" t="n">
        <x:f>'Assumptions'!$AA$13</x:f>
        <x:v>0.26</x:v>
      </x:c>
      <x:c r="E113" s="36" t="n">
        <x:f>'Assumptions'!$AB$13</x:f>
        <x:v>0.28</x:v>
      </x:c>
      <x:c r="F113" s="36" t="n">
        <x:f>'Assumptions'!$AC$13</x:f>
        <x:v>0.29</x:v>
      </x:c>
      <x:c r="G113" s="22" t="n">
        <x:f>$F$113</x:f>
        <x:v>0.29</x:v>
      </x:c>
      <x:c r="H113" s="22" t="n">
        <x:f>$F$113</x:f>
        <x:v>0.29</x:v>
      </x:c>
      <x:c r="I113" s="22" t="n">
        <x:f>$F$113</x:f>
        <x:v>0.29</x:v>
      </x:c>
      <x:c r="J113" s="22" t="n">
        <x:f>$F$113</x:f>
        <x:v>0.29</x:v>
      </x:c>
      <x:c r="K113" s="22" t="n">
        <x:f>$F$113</x:f>
        <x:v>0.29</x:v>
      </x:c>
    </x:row>
    <x:row r="114" ht="23" customHeight="1">
      <x:c r="A114" t="str">
        <x:v>Secondary margin</x:v>
      </x:c>
      <x:c r="B114" s="36" t="n">
        <x:f>'Assumptions'!$AD$13</x:f>
        <x:v>0</x:v>
      </x:c>
      <x:c r="C114" s="36" t="n">
        <x:f>'Assumptions'!$AE$13</x:f>
        <x:v>0</x:v>
      </x:c>
      <x:c r="D114" s="36" t="n">
        <x:f>'Assumptions'!$AF$13</x:f>
        <x:v>0</x:v>
      </x:c>
      <x:c r="E114" s="36" t="n">
        <x:f>'Assumptions'!$AG$13</x:f>
        <x:v>0</x:v>
      </x:c>
      <x:c r="F114" s="36" t="n">
        <x:f>'Assumptions'!$AH$13</x:f>
        <x:v>0</x:v>
      </x:c>
      <x:c r="G114" s="22" t="n">
        <x:f>$F$114</x:f>
        <x:v>0</x:v>
      </x:c>
      <x:c r="H114" s="22" t="n">
        <x:f>$F$114</x:f>
        <x:v>0</x:v>
      </x:c>
      <x:c r="I114" s="22" t="n">
        <x:f>$F$114</x:f>
        <x:v>0</x:v>
      </x:c>
      <x:c r="J114" s="22" t="n">
        <x:f>$F$114</x:f>
        <x:v>0</x:v>
      </x:c>
      <x:c r="K114" s="22" t="n">
        <x:f>$F$114</x:f>
        <x:v>0</x:v>
      </x:c>
    </x:row>
    <x:row r="115" ht="23" customHeight="1">
      <x:c r="A115" t="str">
        <x:v>Overhead growth</x:v>
      </x:c>
      <x:c r="B115" s="36" t="n">
        <x:f>'Assumptions'!$AI$13</x:f>
        <x:v>0</x:v>
      </x:c>
      <x:c r="C115" s="36" t="n">
        <x:f>'Assumptions'!$AJ$13</x:f>
        <x:v>0</x:v>
      </x:c>
      <x:c r="D115" s="36" t="n">
        <x:f>'Assumptions'!$AK$13</x:f>
        <x:v>0</x:v>
      </x:c>
      <x:c r="E115" s="36" t="n">
        <x:f>'Assumptions'!$AL$13</x:f>
        <x:v>0</x:v>
      </x:c>
      <x:c r="F115" s="36" t="n">
        <x:f>'Assumptions'!$AM$13</x:f>
        <x:v>0</x:v>
      </x:c>
      <x:c r="G115" s="22" t="n">
        <x:f>$F$121+('Assumptions'!$D$13-$F$121)*(G$110-$F$110)/($K$110-$F$110)</x:f>
        <x:v>0.12599999999999992</x:v>
      </x:c>
      <x:c r="H115" s="22" t="n">
        <x:f>$F$121+('Assumptions'!$D$13-$F$121)*(H$110-$F$110)/($K$110-$F$110)</x:f>
        <x:v>0.10199999999999995</x:v>
      </x:c>
      <x:c r="I115" s="22" t="n">
        <x:f>$F$121+('Assumptions'!$D$13-$F$121)*(I$110-$F$110)/($K$110-$F$110)</x:f>
        <x:v>0.07799999999999996</x:v>
      </x:c>
      <x:c r="J115" s="22" t="n">
        <x:f>$F$121+('Assumptions'!$D$13-$F$121)*(J$110-$F$110)/($K$110-$F$110)</x:f>
        <x:v>0.05399999999999998</x:v>
      </x:c>
      <x:c r="K115" s="22" t="n">
        <x:f>$F$121+('Assumptions'!$D$13-$F$121)*(K$110-$F$110)/($K$110-$F$110)</x:f>
        <x:v>0.03</x:v>
      </x:c>
    </x:row>
    <x:row r="116" ht="23" customHeight="1">
      <x:c r="A116" t="str">
        <x:v>Capex / revenue</x:v>
      </x:c>
      <x:c r="B116" s="36" t="n">
        <x:f>'Assumptions'!$AN$13</x:f>
        <x:v>0.015</x:v>
      </x:c>
      <x:c r="C116" s="36" t="n">
        <x:f>'Assumptions'!$AO$13</x:f>
        <x:v>0.015</x:v>
      </x:c>
      <x:c r="D116" s="36" t="n">
        <x:f>'Assumptions'!$AP$13</x:f>
        <x:v>0.015</x:v>
      </x:c>
      <x:c r="E116" s="36" t="n">
        <x:f>'Assumptions'!$AQ$13</x:f>
        <x:v>0.015</x:v>
      </x:c>
      <x:c r="F116" s="36" t="n">
        <x:f>'Assumptions'!$AR$13</x:f>
        <x:v>0.015</x:v>
      </x:c>
      <x:c r="G116" s="22" t="n">
        <x:f>$F$116</x:f>
        <x:v>0.015</x:v>
      </x:c>
      <x:c r="H116" s="22" t="n">
        <x:f>$F$116</x:f>
        <x:v>0.015</x:v>
      </x:c>
      <x:c r="I116" s="22" t="n">
        <x:f>$F$116</x:f>
        <x:v>0.015</x:v>
      </x:c>
      <x:c r="J116" s="22" t="n">
        <x:f>$F$116</x:f>
        <x:v>0.015</x:v>
      </x:c>
      <x:c r="K116" s="22" t="n">
        <x:f>$F$116</x:f>
        <x:v>0.015</x:v>
      </x:c>
    </x:row>
    <x:row r="117" ht="23" customHeight="1">
      <x:c r="B117" s="34"/>
      <x:c r="C117" s="34"/>
      <x:c r="D117" s="34"/>
      <x:c r="E117" s="34"/>
      <x:c r="F117" s="34"/>
      <x:c r="G117" s="34"/>
      <x:c r="H117" s="34"/>
      <x:c r="I117" s="34"/>
      <x:c r="J117" s="34"/>
      <x:c r="K117" s="34"/>
    </x:row>
    <x:row r="118" ht="23" customHeight="1">
      <x:c r="A118" t="str">
        <x:v>Primary revenue</x:v>
      </x:c>
      <x:c r="B118" s="34" t="n">
        <x:f>'Inputs'!$E$14*(1+B111)</x:f>
        <x:v>1346.3999999999999</x:v>
      </x:c>
      <x:c r="C118" s="34" t="n">
        <x:f>B118*(1+C111)</x:f>
        <x:v>1602.2159999999997</x:v>
      </x:c>
      <x:c r="D118" s="34" t="n">
        <x:f>C118*(1+D111)</x:f>
        <x:v>1890.6148799999994</x:v>
      </x:c>
      <x:c r="E118" s="34" t="n">
        <x:f>D118*(1+E111)</x:f>
        <x:v>2212.019409599999</x:v>
      </x:c>
      <x:c r="F118" s="34" t="n">
        <x:f>E118*(1+F111)</x:f>
        <x:v>2543.8223210399988</x:v>
      </x:c>
      <x:c r="G118" s="34" t="n">
        <x:f>F118*(1+G111)</x:f>
        <x:v>2864.343933491038</x:v>
      </x:c>
      <x:c r="H118" s="34" t="n">
        <x:f>G118*(1+H111)</x:f>
        <x:v>3156.5070147071237</x:v>
      </x:c>
      <x:c r="I118" s="34" t="n">
        <x:f>H118*(1+I111)</x:f>
        <x:v>3402.714561854279</x:v>
      </x:c>
      <x:c r="J118" s="34" t="n">
        <x:f>I118*(1+J111)</x:f>
        <x:v>3586.4611481944103</x:v>
      </x:c>
      <x:c r="K118" s="34" t="n">
        <x:f>J118*(1+K111)</x:f>
        <x:v>3694.0549826402425</x:v>
      </x:c>
    </x:row>
    <x:row r="119" ht="23" customHeight="1">
      <x:c r="A119" t="str">
        <x:v>Secondary revenue</x:v>
      </x:c>
      <x:c r="B119" s="34" t="n">
        <x:f>0</x:f>
        <x:v>0</x:v>
      </x:c>
      <x:c r="C119" s="34" t="n">
        <x:f>B119*(1+C112)</x:f>
        <x:v>0</x:v>
      </x:c>
      <x:c r="D119" s="34" t="n">
        <x:f>C119*(1+D112)</x:f>
        <x:v>0</x:v>
      </x:c>
      <x:c r="E119" s="34" t="n">
        <x:f>D119*(1+E112)</x:f>
        <x:v>0</x:v>
      </x:c>
      <x:c r="F119" s="34" t="n">
        <x:f>E119*(1+F112)</x:f>
        <x:v>0</x:v>
      </x:c>
      <x:c r="G119" s="34" t="n">
        <x:f>F119*(1+G112)</x:f>
        <x:v>0</x:v>
      </x:c>
      <x:c r="H119" s="34" t="n">
        <x:f>G119*(1+H112)</x:f>
        <x:v>0</x:v>
      </x:c>
      <x:c r="I119" s="34" t="n">
        <x:f>H119*(1+I112)</x:f>
        <x:v>0</x:v>
      </x:c>
      <x:c r="J119" s="34" t="n">
        <x:f>I119*(1+J112)</x:f>
        <x:v>0</x:v>
      </x:c>
      <x:c r="K119" s="34" t="n">
        <x:f>J119*(1+K112)</x:f>
        <x:v>0</x:v>
      </x:c>
    </x:row>
    <x:row r="120" ht="23" customHeight="1">
      <x:c r="A120" s="31" t="str">
        <x:v>Total economic revenue</x:v>
      </x:c>
      <x:c r="B120" s="40" t="n">
        <x:f>SUM(B118:B119)</x:f>
        <x:v>1346.3999999999999</x:v>
      </x:c>
      <x:c r="C120" s="40" t="n">
        <x:f>SUM(C118:C119)</x:f>
        <x:v>1602.2159999999997</x:v>
      </x:c>
      <x:c r="D120" s="40" t="n">
        <x:f>SUM(D118:D119)</x:f>
        <x:v>1890.6148799999994</x:v>
      </x:c>
      <x:c r="E120" s="40" t="n">
        <x:f>SUM(E118:E119)</x:f>
        <x:v>2212.019409599999</x:v>
      </x:c>
      <x:c r="F120" s="40" t="n">
        <x:f>SUM(F118:F119)</x:f>
        <x:v>2543.8223210399988</x:v>
      </x:c>
      <x:c r="G120" s="40" t="n">
        <x:f>SUM(G118:G119)</x:f>
        <x:v>2864.343933491038</x:v>
      </x:c>
      <x:c r="H120" s="40" t="n">
        <x:f>SUM(H118:H119)</x:f>
        <x:v>3156.5070147071237</x:v>
      </x:c>
      <x:c r="I120" s="40" t="n">
        <x:f>SUM(I118:I119)</x:f>
        <x:v>3402.714561854279</x:v>
      </x:c>
      <x:c r="J120" s="40" t="n">
        <x:f>SUM(J118:J119)</x:f>
        <x:v>3586.4611481944103</x:v>
      </x:c>
      <x:c r="K120" s="40" t="n">
        <x:f>SUM(K118:K119)</x:f>
        <x:v>3694.0549826402425</x:v>
      </x:c>
    </x:row>
    <x:row r="121" ht="23" customHeight="1">
      <x:c r="A121" t="str">
        <x:v>Revenue growth</x:v>
      </x:c>
      <x:c r="B121" s="22" t="n">
        <x:f>B120/'Inputs'!$E$14-1</x:f>
        <x:v>0.19999999999999996</x:v>
      </x:c>
      <x:c r="C121" s="22" t="n">
        <x:f>C120/B120-1</x:f>
        <x:v>0.18999999999999995</x:v>
      </x:c>
      <x:c r="D121" s="22" t="n">
        <x:f>D120/C120-1</x:f>
        <x:v>0.17999999999999994</x:v>
      </x:c>
      <x:c r="E121" s="22" t="n">
        <x:f>E120/D120-1</x:f>
        <x:v>0.16999999999999993</x:v>
      </x:c>
      <x:c r="F121" s="22" t="n">
        <x:f>F120/E120-1</x:f>
        <x:v>0.1499999999999999</x:v>
      </x:c>
      <x:c r="G121" s="22" t="n">
        <x:f>G120/F120-1</x:f>
        <x:v>0.1259999999999999</x:v>
      </x:c>
      <x:c r="H121" s="22" t="n">
        <x:f>H120/G120-1</x:f>
        <x:v>0.10199999999999987</x:v>
      </x:c>
      <x:c r="I121" s="22" t="n">
        <x:f>I120/H120-1</x:f>
        <x:v>0.07799999999999985</x:v>
      </x:c>
      <x:c r="J121" s="22" t="n">
        <x:f>J120/I120-1</x:f>
        <x:v>0.05400000000000005</x:v>
      </x:c>
      <x:c r="K121" s="22" t="n">
        <x:f>K120/J120-1</x:f>
        <x:v>0.030000000000000027</x:v>
      </x:c>
    </x:row>
    <x:row r="122" ht="23" customHeight="1">
      <x:c r="A122" t="str">
        <x:v>Primary profit pool</x:v>
      </x:c>
      <x:c r="B122" s="34" t="n">
        <x:f>B118*B113</x:f>
        <x:v>296.20799999999997</x:v>
      </x:c>
      <x:c r="C122" s="34" t="n">
        <x:f>C118*C113</x:f>
        <x:v>384.53183999999993</x:v>
      </x:c>
      <x:c r="D122" s="34" t="n">
        <x:f>D118*D113</x:f>
        <x:v>491.55986879999983</x:v>
      </x:c>
      <x:c r="E122" s="34" t="n">
        <x:f>E118*E113</x:f>
        <x:v>619.3654346879998</x:v>
      </x:c>
      <x:c r="F122" s="34" t="n">
        <x:f>F118*F113</x:f>
        <x:v>737.7084731015996</x:v>
      </x:c>
      <x:c r="G122" s="34" t="n">
        <x:f>G118*G113</x:f>
        <x:v>830.659740712401</x:v>
      </x:c>
      <x:c r="H122" s="34" t="n">
        <x:f>H118*H113</x:f>
        <x:v>915.3870342650658</x:v>
      </x:c>
      <x:c r="I122" s="34" t="n">
        <x:f>I118*I113</x:f>
        <x:v>986.7872229377408</x:v>
      </x:c>
      <x:c r="J122" s="34" t="n">
        <x:f>J118*J113</x:f>
        <x:v>1040.073732976379</x:v>
      </x:c>
      <x:c r="K122" s="34" t="n">
        <x:f>K118*K113</x:f>
        <x:v>1071.2759449656703</x:v>
      </x:c>
    </x:row>
    <x:row r="123" ht="23" customHeight="1">
      <x:c r="A123" t="str">
        <x:v>Secondary profit pool</x:v>
      </x:c>
      <x:c r="B123" s="34" t="n">
        <x:f>B119*B114</x:f>
        <x:v>0</x:v>
      </x:c>
      <x:c r="C123" s="34" t="n">
        <x:f>C119*C114</x:f>
        <x:v>0</x:v>
      </x:c>
      <x:c r="D123" s="34" t="n">
        <x:f>D119*D114</x:f>
        <x:v>0</x:v>
      </x:c>
      <x:c r="E123" s="34" t="n">
        <x:f>E119*E114</x:f>
        <x:v>0</x:v>
      </x:c>
      <x:c r="F123" s="34" t="n">
        <x:f>F119*F114</x:f>
        <x:v>0</x:v>
      </x:c>
      <x:c r="G123" s="34" t="n">
        <x:f>G119*G114</x:f>
        <x:v>0</x:v>
      </x:c>
      <x:c r="H123" s="34" t="n">
        <x:f>H119*H114</x:f>
        <x:v>0</x:v>
      </x:c>
      <x:c r="I123" s="34" t="n">
        <x:f>I119*I114</x:f>
        <x:v>0</x:v>
      </x:c>
      <x:c r="J123" s="34" t="n">
        <x:f>J119*J114</x:f>
        <x:v>0</x:v>
      </x:c>
      <x:c r="K123" s="34" t="n">
        <x:f>K119*K114</x:f>
        <x:v>0</x:v>
      </x:c>
    </x:row>
    <x:row r="124" ht="23" customHeight="1">
      <x:c r="A124" t="str">
        <x:v>Less: overhead / corporate</x:v>
      </x:c>
      <x:c r="B124" s="34" t="n">
        <x:f>0</x:f>
        <x:v>0</x:v>
      </x:c>
      <x:c r="C124" s="34" t="n">
        <x:f>B124*(1+C115)</x:f>
        <x:v>0</x:v>
      </x:c>
      <x:c r="D124" s="34" t="n">
        <x:f>C124*(1+D115)</x:f>
        <x:v>0</x:v>
      </x:c>
      <x:c r="E124" s="34" t="n">
        <x:f>D124*(1+E115)</x:f>
        <x:v>0</x:v>
      </x:c>
      <x:c r="F124" s="34" t="n">
        <x:f>E124*(1+F115)</x:f>
        <x:v>0</x:v>
      </x:c>
      <x:c r="G124" s="34" t="n">
        <x:f>F124*(1+G115)</x:f>
        <x:v>0</x:v>
      </x:c>
      <x:c r="H124" s="34" t="n">
        <x:f>G124*(1+H115)</x:f>
        <x:v>0</x:v>
      </x:c>
      <x:c r="I124" s="34" t="n">
        <x:f>H124*(1+I115)</x:f>
        <x:v>0</x:v>
      </x:c>
      <x:c r="J124" s="34" t="n">
        <x:f>I124*(1+J115)</x:f>
        <x:v>0</x:v>
      </x:c>
      <x:c r="K124" s="34" t="n">
        <x:f>J124*(1+K115)</x:f>
        <x:v>0</x:v>
      </x:c>
    </x:row>
    <x:row r="125" ht="23" customHeight="1">
      <x:c r="A125" t="str">
        <x:v>Additional fee profit</x:v>
      </x:c>
      <x:c r="B125" s="34" t="n">
        <x:f>0</x:f>
        <x:v>0</x:v>
      </x:c>
      <x:c r="C125" s="34" t="n">
        <x:f>0</x:f>
        <x:v>0</x:v>
      </x:c>
      <x:c r="D125" s="34" t="n">
        <x:f>0</x:f>
        <x:v>0</x:v>
      </x:c>
      <x:c r="E125" s="34" t="n">
        <x:f>0</x:f>
        <x:v>0</x:v>
      </x:c>
      <x:c r="F125" s="34" t="n">
        <x:f>0</x:f>
        <x:v>0</x:v>
      </x:c>
      <x:c r="G125" s="34" t="n">
        <x:f>0</x:f>
        <x:v>0</x:v>
      </x:c>
      <x:c r="H125" s="34" t="n">
        <x:f>0</x:f>
        <x:v>0</x:v>
      </x:c>
      <x:c r="I125" s="34" t="n">
        <x:f>0</x:f>
        <x:v>0</x:v>
      </x:c>
      <x:c r="J125" s="34" t="n">
        <x:f>0</x:f>
        <x:v>0</x:v>
      </x:c>
      <x:c r="K125" s="34" t="n">
        <x:f>0</x:f>
        <x:v>0</x:v>
      </x:c>
    </x:row>
    <x:row r="126" ht="23" customHeight="1">
      <x:c r="A126" s="31" t="str">
        <x:v>Operating income after recurring SBC</x:v>
      </x:c>
      <x:c r="B126" s="40" t="n">
        <x:f>SUM(B122:B125)</x:f>
        <x:v>296.20799999999997</x:v>
      </x:c>
      <x:c r="C126" s="40" t="n">
        <x:f>SUM(C122:C125)</x:f>
        <x:v>384.53183999999993</x:v>
      </x:c>
      <x:c r="D126" s="40" t="n">
        <x:f>SUM(D122:D125)</x:f>
        <x:v>491.55986879999983</x:v>
      </x:c>
      <x:c r="E126" s="40" t="n">
        <x:f>SUM(E122:E125)</x:f>
        <x:v>619.3654346879998</x:v>
      </x:c>
      <x:c r="F126" s="40" t="n">
        <x:f>SUM(F122:F125)</x:f>
        <x:v>737.7084731015996</x:v>
      </x:c>
      <x:c r="G126" s="40" t="n">
        <x:f>SUM(G122:G125)</x:f>
        <x:v>830.659740712401</x:v>
      </x:c>
      <x:c r="H126" s="40" t="n">
        <x:f>SUM(H122:H125)</x:f>
        <x:v>915.3870342650658</x:v>
      </x:c>
      <x:c r="I126" s="40" t="n">
        <x:f>SUM(I122:I125)</x:f>
        <x:v>986.7872229377408</x:v>
      </x:c>
      <x:c r="J126" s="40" t="n">
        <x:f>SUM(J122:J125)</x:f>
        <x:v>1040.073732976379</x:v>
      </x:c>
      <x:c r="K126" s="40" t="n">
        <x:f>SUM(K122:K125)</x:f>
        <x:v>1071.2759449656703</x:v>
      </x:c>
    </x:row>
    <x:row r="127" ht="23" customHeight="1">
      <x:c r="A127" t="str">
        <x:v>Operating margin</x:v>
      </x:c>
      <x:c r="B127" s="22" t="n">
        <x:f>B126/B120</x:f>
        <x:v>0.22</x:v>
      </x:c>
      <x:c r="C127" s="22" t="n">
        <x:f>C126/C120</x:f>
        <x:v>0.24000000000000002</x:v>
      </x:c>
      <x:c r="D127" s="22" t="n">
        <x:f>D126/D120</x:f>
        <x:v>0.26</x:v>
      </x:c>
      <x:c r="E127" s="22" t="n">
        <x:f>E126/E120</x:f>
        <x:v>0.28</x:v>
      </x:c>
      <x:c r="F127" s="22" t="n">
        <x:f>F126/F120</x:f>
        <x:v>0.29</x:v>
      </x:c>
      <x:c r="G127" s="22" t="n">
        <x:f>G126/G120</x:f>
        <x:v>0.29</x:v>
      </x:c>
      <x:c r="H127" s="22" t="n">
        <x:f>H126/H120</x:f>
        <x:v>0.29</x:v>
      </x:c>
      <x:c r="I127" s="22" t="n">
        <x:f>I126/I120</x:f>
        <x:v>0.29</x:v>
      </x:c>
      <x:c r="J127" s="22" t="n">
        <x:f>J126/J120</x:f>
        <x:v>0.29</x:v>
      </x:c>
      <x:c r="K127" s="22" t="n">
        <x:f>K126/K120</x:f>
        <x:v>0.29</x:v>
      </x:c>
    </x:row>
    <x:row r="128" ht="23" customHeight="1">
      <x:c r="A128" t="str">
        <x:v>After-tax operating profit</x:v>
      </x:c>
      <x:c r="B128" s="34" t="n">
        <x:f>B126*(1-'Assumptions'!$F$13)</x:f>
        <x:v>225.11808</x:v>
      </x:c>
      <x:c r="C128" s="34" t="n">
        <x:f>C126*(1-'Assumptions'!$F$13)</x:f>
        <x:v>292.24419839999996</x:v>
      </x:c>
      <x:c r="D128" s="34" t="n">
        <x:f>D126*(1-'Assumptions'!$F$13)</x:f>
        <x:v>373.5855002879999</x:v>
      </x:c>
      <x:c r="E128" s="34" t="n">
        <x:f>E126*(1-'Assumptions'!$F$13)</x:f>
        <x:v>470.7177303628799</x:v>
      </x:c>
      <x:c r="F128" s="34" t="n">
        <x:f>F126*(1-'Assumptions'!$F$13)</x:f>
        <x:v>560.6584395572157</x:v>
      </x:c>
      <x:c r="G128" s="34" t="n">
        <x:f>G126*(1-'Assumptions'!$F$13)</x:f>
        <x:v>631.3014029414247</x:v>
      </x:c>
      <x:c r="H128" s="34" t="n">
        <x:f>H126*(1-'Assumptions'!$F$13)</x:f>
        <x:v>695.69414604145</x:v>
      </x:c>
      <x:c r="I128" s="34" t="n">
        <x:f>I126*(1-'Assumptions'!$F$13)</x:f>
        <x:v>749.958289432683</x:v>
      </x:c>
      <x:c r="J128" s="34" t="n">
        <x:f>J126*(1-'Assumptions'!$F$13)</x:f>
        <x:v>790.456037062048</x:v>
      </x:c>
      <x:c r="K128" s="34" t="n">
        <x:f>K126*(1-'Assumptions'!$F$13)</x:f>
        <x:v>814.1697181739095</x:v>
      </x:c>
    </x:row>
    <x:row r="129" ht="23" customHeight="1">
      <x:c r="A129" t="str">
        <x:v>Add: depreciation &amp; amortization</x:v>
      </x:c>
      <x:c r="B129" s="34" t="n">
        <x:f>B120*'Assumptions'!$G$13</x:f>
        <x:v>16.156799999999997</x:v>
      </x:c>
      <x:c r="C129" s="34" t="n">
        <x:f>C120*'Assumptions'!$G$13</x:f>
        <x:v>19.226591999999997</x:v>
      </x:c>
      <x:c r="D129" s="34" t="n">
        <x:f>D120*'Assumptions'!$G$13</x:f>
        <x:v>22.687378559999992</x:v>
      </x:c>
      <x:c r="E129" s="34" t="n">
        <x:f>E120*'Assumptions'!$G$13</x:f>
        <x:v>26.54423291519999</x:v>
      </x:c>
      <x:c r="F129" s="34" t="n">
        <x:f>F120*'Assumptions'!$G$13</x:f>
        <x:v>30.525867852479987</x:v>
      </x:c>
      <x:c r="G129" s="34" t="n">
        <x:f>G120*'Assumptions'!$G$13</x:f>
        <x:v>34.37212720189246</x:v>
      </x:c>
      <x:c r="H129" s="34" t="n">
        <x:f>H120*'Assumptions'!$G$13</x:f>
        <x:v>37.87808417648549</x:v>
      </x:c>
      <x:c r="I129" s="34" t="n">
        <x:f>I120*'Assumptions'!$G$13</x:f>
        <x:v>40.83257474225135</x:v>
      </x:c>
      <x:c r="J129" s="34" t="n">
        <x:f>J120*'Assumptions'!$G$13</x:f>
        <x:v>43.03753377833292</x:v>
      </x:c>
      <x:c r="K129" s="34" t="n">
        <x:f>K120*'Assumptions'!$G$13</x:f>
        <x:v>44.32865979168291</x:v>
      </x:c>
    </x:row>
    <x:row r="130" ht="23" customHeight="1">
      <x:c r="A130" t="str">
        <x:v>Less: investment incl. software</x:v>
      </x:c>
      <x:c r="B130" s="34" t="n">
        <x:f>-B120*B116</x:f>
        <x:v>-20.195999999999998</x:v>
      </x:c>
      <x:c r="C130" s="34" t="n">
        <x:f>-C120*C116</x:f>
        <x:v>-24.033239999999996</x:v>
      </x:c>
      <x:c r="D130" s="34" t="n">
        <x:f>-D120*D116</x:f>
        <x:v>-28.35922319999999</x:v>
      </x:c>
      <x:c r="E130" s="34" t="n">
        <x:f>-E120*E116</x:f>
        <x:v>-33.18029114399999</x:v>
      </x:c>
      <x:c r="F130" s="34" t="n">
        <x:f>-F120*F116</x:f>
        <x:v>-38.15733481559998</x:v>
      </x:c>
      <x:c r="G130" s="34" t="n">
        <x:f>-G120*G116</x:f>
        <x:v>-42.96515900236557</x:v>
      </x:c>
      <x:c r="H130" s="34" t="n">
        <x:f>-H120*H116</x:f>
        <x:v>-47.34760522060685</x:v>
      </x:c>
      <x:c r="I130" s="34" t="n">
        <x:f>-I120*I116</x:f>
        <x:v>-51.040718427814184</x:v>
      </x:c>
      <x:c r="J130" s="34" t="n">
        <x:f>-J120*J116</x:f>
        <x:v>-53.79691722291615</x:v>
      </x:c>
      <x:c r="K130" s="34" t="n">
        <x:f>-K120*K116</x:f>
        <x:v>-55.41082473960363</x:v>
      </x:c>
    </x:row>
    <x:row r="131" ht="23" customHeight="1">
      <x:c r="A131" t="str">
        <x:v>Less: incremental working capital</x:v>
      </x:c>
      <x:c r="B131" s="34" t="n">
        <x:f>-(B120-'Inputs'!$E$14)*'Assumptions'!$H$13</x:f>
        <x:v>-7.853999999999996</x:v>
      </x:c>
      <x:c r="C131" s="34" t="n">
        <x:f>-(C120-B120)*'Assumptions'!$H$13</x:f>
        <x:v>-8.953559999999994</x:v>
      </x:c>
      <x:c r="D131" s="34" t="n">
        <x:f>-(D120-C120)*'Assumptions'!$H$13</x:f>
        <x:v>-10.093960799999993</x:v>
      </x:c>
      <x:c r="E131" s="34" t="n">
        <x:f>-(E120-D120)*'Assumptions'!$H$13</x:f>
        <x:v>-11.24915853599999</x:v>
      </x:c>
      <x:c r="F131" s="34" t="n">
        <x:f>-(F120-E120)*'Assumptions'!$H$13</x:f>
        <x:v>-11.61310190039999</x:v>
      </x:c>
      <x:c r="G131" s="34" t="n">
        <x:f>-(G120-F120)*'Assumptions'!$H$13</x:f>
        <x:v>-11.218256435786378</x:v>
      </x:c>
      <x:c r="H131" s="34" t="n">
        <x:f>-(H120-G120)*'Assumptions'!$H$13</x:f>
        <x:v>-10.225707842562999</x:v>
      </x:c>
      <x:c r="I131" s="34" t="n">
        <x:f>-(I120-H120)*'Assumptions'!$H$13</x:f>
        <x:v>-8.617264150150437</x:v>
      </x:c>
      <x:c r="J131" s="34" t="n">
        <x:f>-(J120-I120)*'Assumptions'!$H$13</x:f>
        <x:v>-6.431130521904593</x:v>
      </x:c>
      <x:c r="K131" s="34" t="n">
        <x:f>-(K120-J120)*'Assumptions'!$H$13</x:f>
        <x:v>-3.7657842056041297</x:v>
      </x:c>
    </x:row>
    <x:row r="132" ht="23" customHeight="1">
      <x:c r="A132" t="str">
        <x:v>Less: specified cash shock</x:v>
      </x:c>
      <x:c r="B132" s="34" t="n">
        <x:f>-'Assumptions'!$I$13</x:f>
        <x:v>0</x:v>
      </x:c>
      <x:c r="C132" s="34" t="n">
        <x:f>0</x:f>
        <x:v>0</x:v>
      </x:c>
      <x:c r="D132" s="34" t="n">
        <x:f>0</x:f>
        <x:v>0</x:v>
      </x:c>
      <x:c r="E132" s="34" t="n">
        <x:f>0</x:f>
        <x:v>0</x:v>
      </x:c>
      <x:c r="F132" s="34" t="n">
        <x:f>0</x:f>
        <x:v>0</x:v>
      </x:c>
      <x:c r="G132" s="34" t="n">
        <x:f>0</x:f>
        <x:v>0</x:v>
      </x:c>
      <x:c r="H132" s="34" t="n">
        <x:f>0</x:f>
        <x:v>0</x:v>
      </x:c>
      <x:c r="I132" s="34" t="n">
        <x:f>0</x:f>
        <x:v>0</x:v>
      </x:c>
      <x:c r="J132" s="34" t="n">
        <x:f>0</x:f>
        <x:v>0</x:v>
      </x:c>
      <x:c r="K132" s="34" t="n">
        <x:f>0</x:f>
        <x:v>0</x:v>
      </x:c>
    </x:row>
    <x:row r="133" ht="23" customHeight="1">
      <x:c r="A133" s="31" t="str">
        <x:v>Owner-economic unlevered cash flow</x:v>
      </x:c>
      <x:c r="B133" s="40" t="n">
        <x:f>SUM(B128:B132)</x:f>
        <x:v>213.22488</x:v>
      </x:c>
      <x:c r="C133" s="40" t="n">
        <x:f>SUM(C128:C132)</x:f>
        <x:v>278.4839904</x:v>
      </x:c>
      <x:c r="D133" s="40" t="n">
        <x:f>SUM(D128:D132)</x:f>
        <x:v>357.8196948479999</x:v>
      </x:c>
      <x:c r="E133" s="40" t="n">
        <x:f>SUM(E128:E132)</x:f>
        <x:v>452.8325135980799</x:v>
      </x:c>
      <x:c r="F133" s="40" t="n">
        <x:f>SUM(F128:F132)</x:f>
        <x:v>541.4138706936958</x:v>
      </x:c>
      <x:c r="G133" s="40" t="n">
        <x:f>SUM(G128:G132)</x:f>
        <x:v>611.4901147051652</x:v>
      </x:c>
      <x:c r="H133" s="40" t="n">
        <x:f>SUM(H128:H132)</x:f>
        <x:v>675.9989171547656</x:v>
      </x:c>
      <x:c r="I133" s="40" t="n">
        <x:f>SUM(I128:I132)</x:f>
        <x:v>731.1328815969698</x:v>
      </x:c>
      <x:c r="J133" s="40" t="n">
        <x:f>SUM(J128:J132)</x:f>
        <x:v>773.2655230955602</x:v>
      </x:c>
      <x:c r="K133" s="40" t="n">
        <x:f>SUM(K128:K132)</x:f>
        <x:v>799.3217690203845</x:v>
      </x:c>
    </x:row>
    <x:row r="134" ht="23" customHeight="1">
      <x:c r="A134" t="str">
        <x:v>Discount factor</x:v>
      </x:c>
      <x:c r="B134" s="22" t="n">
        <x:f>1/(1+'Assumptions'!$C$13)^B$110</x:f>
        <x:v>0.9090909090909091</x:v>
      </x:c>
      <x:c r="C134" s="22" t="n">
        <x:f>1/(1+'Assumptions'!$C$13)^C$110</x:f>
        <x:v>0.8264462809917354</x:v>
      </x:c>
      <x:c r="D134" s="22" t="n">
        <x:f>1/(1+'Assumptions'!$C$13)^D$110</x:f>
        <x:v>0.7513148009015775</x:v>
      </x:c>
      <x:c r="E134" s="22" t="n">
        <x:f>1/(1+'Assumptions'!$C$13)^E$110</x:f>
        <x:v>0.6830134553650705</x:v>
      </x:c>
      <x:c r="F134" s="22" t="n">
        <x:f>1/(1+'Assumptions'!$C$13)^F$110</x:f>
        <x:v>0.6209213230591549</x:v>
      </x:c>
      <x:c r="G134" s="22" t="n">
        <x:f>1/(1+'Assumptions'!$C$13)^G$110</x:f>
        <x:v>0.5644739300537772</x:v>
      </x:c>
      <x:c r="H134" s="22" t="n">
        <x:f>1/(1+'Assumptions'!$C$13)^H$110</x:f>
        <x:v>0.5131581182307065</x:v>
      </x:c>
      <x:c r="I134" s="22" t="n">
        <x:f>1/(1+'Assumptions'!$C$13)^I$110</x:f>
        <x:v>0.46650738020973315</x:v>
      </x:c>
      <x:c r="J134" s="22" t="n">
        <x:f>1/(1+'Assumptions'!$C$13)^J$110</x:f>
        <x:v>0.42409761837248466</x:v>
      </x:c>
      <x:c r="K134" s="22" t="n">
        <x:f>1/(1+'Assumptions'!$C$13)^K$110</x:f>
        <x:v>0.3855432894295315</x:v>
      </x:c>
    </x:row>
    <x:row r="135" ht="23" customHeight="1">
      <x:c r="A135" s="31" t="str">
        <x:v>Present value</x:v>
      </x:c>
      <x:c r="B135" s="40" t="n">
        <x:f>B133*B134</x:f>
        <x:v>193.8408</x:v>
      </x:c>
      <x:c r="C135" s="40" t="n">
        <x:f>C133*C134</x:f>
        <x:v>230.15205818181815</x:v>
      </x:c>
      <x:c r="D135" s="40" t="n">
        <x:f>D133*D134</x:f>
        <x:v>268.8352327933883</x:v>
      </x:c>
      <x:c r="E135" s="40" t="n">
        <x:f>E133*E134</x:f>
        <x:v>309.29069981427483</x:v>
      </x:c>
      <x:c r="F135" s="40" t="n">
        <x:f>F133*F134</x:f>
        <x:v>336.1754169137078</x:v>
      </x:c>
      <x:c r="G135" s="40" t="n">
        <x:f>G133*G134</x:f>
        <x:v>345.1702282366596</x:v>
      </x:c>
      <x:c r="H135" s="40" t="n">
        <x:f>H133*H134</x:f>
        <x:v>346.8943322531348</x:v>
      </x:c>
      <x:c r="I135" s="40" t="n">
        <x:f>I133*I134</x:f>
        <x:v>341.0788851789954</x:v>
      </x:c>
      <x:c r="J135" s="40" t="n">
        <x:f>J133*J134</x:f>
        <x:v>327.94006671438063</x:v>
      </x:c>
      <x:c r="K135" s="40" t="n">
        <x:f>K133*K134</x:f>
        <x:v>308.1731441407512</x:v>
      </x:c>
    </x:row>
    <x:row r="136" ht="23" customHeight="1">
      <x:c r="A136" t="str">
        <x:v>Discount factor at 12%</x:v>
      </x:c>
      <x:c r="B136" s="22" t="n">
        <x:f>1/(1+'Controls'!$B$3)^B$110</x:f>
        <x:v>0.8928571428571428</x:v>
      </x:c>
      <x:c r="C136" s="22" t="n">
        <x:f>1/(1+'Controls'!$B$3)^C$110</x:f>
        <x:v>0.7971938775510203</x:v>
      </x:c>
      <x:c r="D136" s="22" t="n">
        <x:f>1/(1+'Controls'!$B$3)^D$110</x:f>
        <x:v>0.7117802478134109</x:v>
      </x:c>
      <x:c r="E136" s="22" t="n">
        <x:f>1/(1+'Controls'!$B$3)^E$110</x:f>
        <x:v>0.6355180784048312</x:v>
      </x:c>
      <x:c r="F136" s="22" t="n">
        <x:f>1/(1+'Controls'!$B$3)^F$110</x:f>
        <x:v>0.5674268557185992</x:v>
      </x:c>
      <x:c r="G136" s="22" t="n">
        <x:f>1/(1+'Controls'!$B$3)^G$110</x:f>
        <x:v>0.5066311211773207</x:v>
      </x:c>
      <x:c r="H136" s="22" t="n">
        <x:f>1/(1+'Controls'!$B$3)^H$110</x:f>
        <x:v>0.45234921533689343</x:v>
      </x:c>
      <x:c r="I136" s="22" t="n">
        <x:f>1/(1+'Controls'!$B$3)^I$110</x:f>
        <x:v>0.4038832279793691</x:v>
      </x:c>
      <x:c r="J136" s="22" t="n">
        <x:f>1/(1+'Controls'!$B$3)^J$110</x:f>
        <x:v>0.36061002498157957</x:v>
      </x:c>
      <x:c r="K136" s="22" t="n">
        <x:f>1/(1+'Controls'!$B$3)^K$110</x:f>
        <x:v>0.321973236590696</x:v>
      </x:c>
    </x:row>
    <x:row r="138" ht="25" customHeight="1">
      <x:c r="A138" t="str">
        <x:v>Year 11 after-tax operating profit</x:v>
      </x:c>
      <x:c r="B138" s="34" t="n">
        <x:f>K128*(1+'Assumptions'!$D$13)</x:f>
        <x:v>838.5948097191268</x:v>
      </x:c>
    </x:row>
    <x:row r="139" ht="25" customHeight="1">
      <x:c r="A139" t="str">
        <x:v>Less: terminal reinvestment</x:v>
      </x:c>
      <x:c r="B139" s="34" t="n">
        <x:f>-B138*'Assumptions'!$D$13/'Assumptions'!$E$13</x:f>
        <x:v>-62.8946107289345</x:v>
      </x:c>
      <x:c r="D139" s="24" t="str">
        <x:v>This is an operating scenario, not a statistical confidence interval. Terminal growth requires reinvestment. Latest-quarter capital structure is not a complete September roll-forward. See company decision notes for remaining unknowns. MOD scenarios assume the transaction closes; WINA core revenue excludes offsetting fee programs.</x:v>
      </x:c>
      <x:c r="E139" s="24"/>
      <x:c r="F139" s="24"/>
      <x:c r="G139" s="24"/>
      <x:c r="H139" s="24"/>
      <x:c r="I139" s="24"/>
      <x:c r="J139" s="24"/>
      <x:c r="K139" s="24"/>
    </x:row>
    <x:row r="140" ht="25" customHeight="1">
      <x:c r="A140" t="str">
        <x:v>Terminal cash flow</x:v>
      </x:c>
      <x:c r="B140" s="34" t="n">
        <x:f>SUM(B138:B139)</x:f>
        <x:v>775.7001989901923</x:v>
      </x:c>
      <x:c r="D140" s="24"/>
      <x:c r="E140" s="24"/>
      <x:c r="F140" s="24"/>
      <x:c r="G140" s="24"/>
      <x:c r="H140" s="24"/>
      <x:c r="I140" s="24"/>
      <x:c r="J140" s="24"/>
      <x:c r="K140" s="24"/>
    </x:row>
    <x:row r="141" ht="25" customHeight="1">
      <x:c r="A141" t="str">
        <x:v>Terminal operating value</x:v>
      </x:c>
      <x:c r="B141" s="34" t="n">
        <x:f>B140/('Assumptions'!$C$13-'Assumptions'!$D$13)</x:f>
        <x:v>11081.431414145603</x:v>
      </x:c>
      <x:c r="D141" s="24"/>
      <x:c r="E141" s="24"/>
      <x:c r="F141" s="24"/>
      <x:c r="G141" s="24"/>
      <x:c r="H141" s="24"/>
      <x:c r="I141" s="24"/>
      <x:c r="J141" s="24"/>
      <x:c r="K141" s="24"/>
    </x:row>
    <x:row r="142" ht="25" customHeight="1">
      <x:c r="A142" t="str">
        <x:v>PV terminal value</x:v>
      </x:c>
      <x:c r="B142" s="34" t="n">
        <x:f>B141*K134</x:f>
        <x:v>4272.371518997441</x:v>
      </x:c>
      <x:c r="D142" s="24"/>
      <x:c r="E142" s="24"/>
      <x:c r="F142" s="24"/>
      <x:c r="G142" s="24"/>
      <x:c r="H142" s="24"/>
      <x:c r="I142" s="24"/>
      <x:c r="J142" s="24"/>
      <x:c r="K142" s="24"/>
    </x:row>
    <x:row r="143" ht="25" customHeight="1">
      <x:c r="A143" t="str">
        <x:v>PV explicit forecast</x:v>
      </x:c>
      <x:c r="B143" s="34" t="n">
        <x:f>SUM(B135:K135)</x:f>
        <x:v>3007.5508642271107</x:v>
      </x:c>
      <x:c r="D143" s="24"/>
      <x:c r="E143" s="24"/>
      <x:c r="F143" s="24"/>
      <x:c r="G143" s="24"/>
      <x:c r="H143" s="24"/>
      <x:c r="I143" s="24"/>
      <x:c r="J143" s="24"/>
      <x:c r="K143" s="24"/>
    </x:row>
    <x:row r="144" ht="25" customHeight="1">
      <x:c r="A144" s="84" t="str">
        <x:v>Operating enterprise value</x:v>
      </x:c>
      <x:c r="B144" s="85" t="n">
        <x:f>SUM(B142:B143)</x:f>
        <x:v>7279.922383224552</x:v>
      </x:c>
      <x:c r="D144" s="24"/>
      <x:c r="E144" s="24"/>
      <x:c r="F144" s="24"/>
      <x:c r="G144" s="24"/>
      <x:c r="H144" s="24"/>
      <x:c r="I144" s="24"/>
      <x:c r="J144" s="24"/>
      <x:c r="K144" s="24"/>
    </x:row>
    <x:row r="145" ht="25" customHeight="1">
      <x:c r="A145" t="str">
        <x:v>Cash / claims / transaction bridge</x:v>
      </x:c>
      <x:c r="B145" s="34" t="n">
        <x:f>'Inputs'!$E$6-'Inputs'!$E$7-'Inputs'!$E$9-'Inputs'!$E$10-'Inputs'!$E$11+'Inputs'!$E$12*'Inputs'!$E$13</x:f>
        <x:v>171.685</x:v>
      </x:c>
      <x:c r="D145" s="24"/>
      <x:c r="E145" s="24"/>
      <x:c r="F145" s="24"/>
      <x:c r="G145" s="24"/>
      <x:c r="H145" s="24"/>
      <x:c r="I145" s="24"/>
      <x:c r="J145" s="24"/>
      <x:c r="K145" s="24"/>
    </x:row>
    <x:row r="146" ht="25" customHeight="1">
      <x:c r="A146" s="84" t="str">
        <x:v>Common equity value</x:v>
      </x:c>
      <x:c r="B146" s="85" t="n">
        <x:f>SUM(B144:B145)</x:f>
        <x:v>7451.607383224552</x:v>
      </x:c>
      <x:c r="D146" s="24"/>
      <x:c r="E146" s="24"/>
      <x:c r="F146" s="24"/>
      <x:c r="G146" s="24"/>
      <x:c r="H146" s="24"/>
      <x:c r="I146" s="24"/>
      <x:c r="J146" s="24"/>
      <x:c r="K146" s="24"/>
    </x:row>
    <x:row r="147" ht="25" customHeight="1">
      <x:c r="A147" t="str">
        <x:v>Value / share: debt endpoint</x:v>
      </x:c>
      <x:c r="B147" s="42" t="n">
        <x:f>B146/'Inputs'!$E$8</x:f>
        <x:v>206.98909397845978</x:v>
      </x:c>
    </x:row>
    <x:row r="148" ht="25" customHeight="1">
      <x:c r="A148" t="str">
        <x:v>Value / share: if-converted endpoint</x:v>
      </x:c>
      <x:c r="B148" s="42" t="n">
        <x:f>B147</x:f>
        <x:v>206.98909397845978</x:v>
      </x:c>
    </x:row>
    <x:row r="149" ht="25" customHeight="1">
      <x:c r="A149" s="88" t="str">
        <x:v>Conditional intrinsic value / share</x:v>
      </x:c>
      <x:c r="B149" s="89" t="n">
        <x:f>B147</x:f>
        <x:v>206.98909397845978</x:v>
      </x:c>
    </x:row>
    <x:row r="150" ht="25" customHeight="1">
      <x:c r="A150" t="str">
        <x:v>Value versus quote</x:v>
      </x:c>
      <x:c r="B150" s="22" t="n">
        <x:f>B149/'Inputs'!$E$5-1</x:f>
        <x:v>-0.03402513543746599</x:v>
      </x:c>
    </x:row>
    <x:row r="151" ht="25" customHeight="1">
      <x:c r="A151" t="str">
        <x:v>Terminal share of operating EV</x:v>
      </x:c>
      <x:c r="B151" s="22" t="n">
        <x:f>B142/B144</x:f>
        <x:v>0.5868704766471764</x:v>
      </x:c>
    </x:row>
    <x:row r="152" ht="25" customHeight="1">
      <x:c r="A152" t="str">
        <x:v>Value at 12% enterprise discount</x:v>
      </x:c>
      <x:c r="B152" s="42" t="n">
        <x:f>(SUMPRODUCT(B133:K133,B136:K136)+B140/('Controls'!$B$3-'Assumptions'!$D$13)*K136+B145)/'Inputs'!$E$8</x:f>
        <x:v>157.10818582998712</x:v>
      </x:c>
    </x:row>
    <x:row r="153" ht="25" customHeight="1">
      <x:c r="A153" t="str">
        <x:v>Price-implied operating EV</x:v>
      </x:c>
      <x:c r="B153" s="34" t="n">
        <x:f>'Inputs'!$E$5*'Inputs'!$E$8-B145</x:f>
        <x:v>7542.3949999999995</x:v>
      </x:c>
    </x:row>
  </x:sheetData>
  <x:mergeCells>
    <x:mergeCell ref="A1:K1"/>
    <x:mergeCell ref="A2:K2"/>
    <x:mergeCell ref="A4:K4"/>
    <x:mergeCell ref="D37:K44"/>
    <x:mergeCell ref="A55:K55"/>
    <x:mergeCell ref="D88:K95"/>
    <x:mergeCell ref="A106:K106"/>
    <x:mergeCell ref="D139:K14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9" customHeight="1">
      <x:c r="A1" s="18" t="str">
        <x:v>MOD | NORMALIZED CASH FLOW | 10 forward economic years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</x:row>
    <x:row r="2" ht="31" customHeight="1">
      <x:c r="A2" s="24" t="str">
        <x:v>USD millions. Blue assumptions on Assumptions tab; recurring SBC stays expensed. Not a precisely fiscal-aligned earnings forecast.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</x:row>
    <x:row r="4" ht="29" customHeight="1">
      <x:c r="A4" s="27" t="str">
        <x:v>BEAR | conditional operating path, not probability band</x:v>
      </x:c>
      <x:c r="B4" s="27"/>
      <x:c r="C4" s="27"/>
      <x:c r="D4" s="27"/>
      <x:c r="E4" s="27"/>
      <x:c r="F4" s="27"/>
      <x:c r="G4" s="27"/>
      <x:c r="H4" s="27"/>
      <x:c r="I4" s="27"/>
      <x:c r="J4" s="27"/>
      <x:c r="K4" s="27"/>
    </x:row>
    <x:row r="6">
      <x:c r="A6" t="str">
        <x:v>Discount rate</x:v>
      </x:c>
      <x:c r="B6" s="22" t="n">
        <x:f>'Assumptions'!$C$14</x:f>
        <x:v>0.105</x:v>
      </x:c>
      <x:c r="C6" t="str">
        <x:v>Terminal growth</x:v>
      </x:c>
      <x:c r="D6" s="22" t="n">
        <x:f>'Assumptions'!$D$14</x:f>
        <x:v>0.03</x:v>
      </x:c>
      <x:c r="E6" t="str">
        <x:v>Tax</x:v>
      </x:c>
      <x:c r="F6" s="22" t="n">
        <x:f>'Assumptions'!$F$14</x:f>
        <x:v>0.26</x:v>
      </x:c>
      <x:c r="G6" t="str">
        <x:v>Terminal ROIC</x:v>
      </x:c>
      <x:c r="H6" s="22" t="n">
        <x:f>'Assumptions'!$E$14</x:f>
        <x:v>0.15</x:v>
      </x:c>
      <x:c r="I6"/>
      <x:c r="J6"/>
      <x:c r="K6"/>
    </x:row>
    <x:row r="8" ht="24" customHeight="1">
      <x:c r="A8" s="31" t="str">
        <x:v>Economic year</x:v>
      </x:c>
      <x:c r="B8" s="31" t="n">
        <x:v>1</x:v>
      </x:c>
      <x:c r="C8" s="31" t="n">
        <x:v>2</x:v>
      </x:c>
      <x:c r="D8" s="31" t="n">
        <x:v>3</x:v>
      </x:c>
      <x:c r="E8" s="31" t="n">
        <x:v>4</x:v>
      </x:c>
      <x:c r="F8" s="31" t="n">
        <x:v>5</x:v>
      </x:c>
      <x:c r="G8" s="31" t="n">
        <x:v>6</x:v>
      </x:c>
      <x:c r="H8" s="31" t="n">
        <x:v>7</x:v>
      </x:c>
      <x:c r="I8" s="31" t="n">
        <x:v>8</x:v>
      </x:c>
      <x:c r="J8" s="31" t="n">
        <x:v>9</x:v>
      </x:c>
      <x:c r="K8" s="31" t="n">
        <x:v>10</x:v>
      </x:c>
    </x:row>
    <x:row r="9" ht="23" customHeight="1">
      <x:c r="A9" t="str">
        <x:v>Primary revenue growth</x:v>
      </x:c>
      <x:c r="B9" s="36" t="n">
        <x:f>'Assumptions'!$O$14</x:f>
        <x:v>0.2</x:v>
      </x:c>
      <x:c r="C9" s="36" t="n">
        <x:f>'Assumptions'!$P$14</x:f>
        <x:v>0.15</x:v>
      </x:c>
      <x:c r="D9" s="36" t="n">
        <x:f>'Assumptions'!$Q$14</x:f>
        <x:v>0.1</x:v>
      </x:c>
      <x:c r="E9" s="36" t="n">
        <x:f>'Assumptions'!$R$14</x:f>
        <x:v>0.08</x:v>
      </x:c>
      <x:c r="F9" s="36" t="n">
        <x:f>'Assumptions'!$S$14</x:f>
        <x:v>0.06</x:v>
      </x:c>
      <x:c r="G9" s="22" t="n">
        <x:f>$F$19+('Assumptions'!$D$14-$F$19)*(G$8-$F$8)/($K$8-$F$8)</x:f>
        <x:v>0.04583964350847504</x:v>
      </x:c>
      <x:c r="H9" s="22" t="n">
        <x:f>$F$19+('Assumptions'!$D$14-$F$19)*(H$8-$F$8)/($K$8-$F$8)</x:f>
        <x:v>0.04187973263135628</x:v>
      </x:c>
      <x:c r="I9" s="22" t="n">
        <x:f>$F$19+('Assumptions'!$D$14-$F$19)*(I$8-$F$8)/($K$8-$F$8)</x:f>
        <x:v>0.03791982175423752</x:v>
      </x:c>
      <x:c r="J9" s="22" t="n">
        <x:f>$F$19+('Assumptions'!$D$14-$F$19)*(J$8-$F$8)/($K$8-$F$8)</x:f>
        <x:v>0.03395991087711876</x:v>
      </x:c>
      <x:c r="K9" s="22" t="n">
        <x:f>$F$19+('Assumptions'!$D$14-$F$19)*(K$8-$F$8)/($K$8-$F$8)</x:f>
        <x:v>0.03</x:v>
      </x:c>
    </x:row>
    <x:row r="10" ht="23" customHeight="1">
      <x:c r="A10" t="str">
        <x:v>Secondary revenue growth</x:v>
      </x:c>
      <x:c r="B10" s="36" t="n">
        <x:f>'Assumptions'!$T$14</x:f>
        <x:v>0.03</x:v>
      </x:c>
      <x:c r="C10" s="36" t="n">
        <x:f>'Assumptions'!$U$14</x:f>
        <x:v>0.03</x:v>
      </x:c>
      <x:c r="D10" s="36" t="n">
        <x:f>'Assumptions'!$V$14</x:f>
        <x:v>0.03</x:v>
      </x:c>
      <x:c r="E10" s="36" t="n">
        <x:f>'Assumptions'!$W$14</x:f>
        <x:v>0.03</x:v>
      </x:c>
      <x:c r="F10" s="36" t="n">
        <x:f>'Assumptions'!$X$14</x:f>
        <x:v>0.03</x:v>
      </x:c>
      <x:c r="G10" s="22" t="n">
        <x:f>$F$19+('Assumptions'!$D$14-$F$19)*(G$8-$F$8)/($K$8-$F$8)</x:f>
        <x:v>0.04583964350847504</x:v>
      </x:c>
      <x:c r="H10" s="22" t="n">
        <x:f>$F$19+('Assumptions'!$D$14-$F$19)*(H$8-$F$8)/($K$8-$F$8)</x:f>
        <x:v>0.04187973263135628</x:v>
      </x:c>
      <x:c r="I10" s="22" t="n">
        <x:f>$F$19+('Assumptions'!$D$14-$F$19)*(I$8-$F$8)/($K$8-$F$8)</x:f>
        <x:v>0.03791982175423752</x:v>
      </x:c>
      <x:c r="J10" s="22" t="n">
        <x:f>$F$19+('Assumptions'!$D$14-$F$19)*(J$8-$F$8)/($K$8-$F$8)</x:f>
        <x:v>0.03395991087711876</x:v>
      </x:c>
      <x:c r="K10" s="22" t="n">
        <x:f>$F$19+('Assumptions'!$D$14-$F$19)*(K$8-$F$8)/($K$8-$F$8)</x:f>
        <x:v>0.03</x:v>
      </x:c>
    </x:row>
    <x:row r="11" ht="23" customHeight="1">
      <x:c r="A11" t="str">
        <x:v>Primary margin</x:v>
      </x:c>
      <x:c r="B11" s="36" t="n">
        <x:f>'Assumptions'!$Y$14</x:f>
        <x:v>0.14</x:v>
      </x:c>
      <x:c r="C11" s="36" t="n">
        <x:f>'Assumptions'!$Z$14</x:f>
        <x:v>0.15</x:v>
      </x:c>
      <x:c r="D11" s="36" t="n">
        <x:f>'Assumptions'!$AA$14</x:f>
        <x:v>0.15</x:v>
      </x:c>
      <x:c r="E11" s="36" t="n">
        <x:f>'Assumptions'!$AB$14</x:f>
        <x:v>0.15</x:v>
      </x:c>
      <x:c r="F11" s="36" t="n">
        <x:f>'Assumptions'!$AC$14</x:f>
        <x:v>0.15</x:v>
      </x:c>
      <x:c r="G11" s="22" t="n">
        <x:f>$F$11</x:f>
        <x:v>0.15</x:v>
      </x:c>
      <x:c r="H11" s="22" t="n">
        <x:f>$F$11</x:f>
        <x:v>0.15</x:v>
      </x:c>
      <x:c r="I11" s="22" t="n">
        <x:f>$F$11</x:f>
        <x:v>0.15</x:v>
      </x:c>
      <x:c r="J11" s="22" t="n">
        <x:f>$F$11</x:f>
        <x:v>0.15</x:v>
      </x:c>
      <x:c r="K11" s="22" t="n">
        <x:f>$F$11</x:f>
        <x:v>0.15</x:v>
      </x:c>
    </x:row>
    <x:row r="12" ht="23" customHeight="1">
      <x:c r="A12" t="str">
        <x:v>Secondary margin</x:v>
      </x:c>
      <x:c r="B12" s="36" t="n">
        <x:f>'Assumptions'!$AD$14</x:f>
        <x:v>0.115</x:v>
      </x:c>
      <x:c r="C12" s="36" t="n">
        <x:f>'Assumptions'!$AE$14</x:f>
        <x:v>0.115</x:v>
      </x:c>
      <x:c r="D12" s="36" t="n">
        <x:f>'Assumptions'!$AF$14</x:f>
        <x:v>0.115</x:v>
      </x:c>
      <x:c r="E12" s="36" t="n">
        <x:f>'Assumptions'!$AG$14</x:f>
        <x:v>0.115</x:v>
      </x:c>
      <x:c r="F12" s="36" t="n">
        <x:f>'Assumptions'!$AH$14</x:f>
        <x:v>0.115</x:v>
      </x:c>
      <x:c r="G12" s="22" t="n">
        <x:f>$F$12</x:f>
        <x:v>0.115</x:v>
      </x:c>
      <x:c r="H12" s="22" t="n">
        <x:f>$F$12</x:f>
        <x:v>0.115</x:v>
      </x:c>
      <x:c r="I12" s="22" t="n">
        <x:f>$F$12</x:f>
        <x:v>0.115</x:v>
      </x:c>
      <x:c r="J12" s="22" t="n">
        <x:f>$F$12</x:f>
        <x:v>0.115</x:v>
      </x:c>
      <x:c r="K12" s="22" t="n">
        <x:f>$F$12</x:f>
        <x:v>0.115</x:v>
      </x:c>
    </x:row>
    <x:row r="13" ht="23" customHeight="1">
      <x:c r="A13" t="str">
        <x:v>Overhead growth</x:v>
      </x:c>
      <x:c r="B13" s="36" t="n">
        <x:f>'Assumptions'!$AI$14</x:f>
        <x:v>0.05</x:v>
      </x:c>
      <x:c r="C13" s="36" t="n">
        <x:f>'Assumptions'!$AJ$14</x:f>
        <x:v>0.05</x:v>
      </x:c>
      <x:c r="D13" s="36" t="n">
        <x:f>'Assumptions'!$AK$14</x:f>
        <x:v>0.05</x:v>
      </x:c>
      <x:c r="E13" s="36" t="n">
        <x:f>'Assumptions'!$AL$14</x:f>
        <x:v>0.05</x:v>
      </x:c>
      <x:c r="F13" s="36" t="n">
        <x:f>'Assumptions'!$AM$14</x:f>
        <x:v>0.05</x:v>
      </x:c>
      <x:c r="G13" s="22" t="n">
        <x:f>$F$19+('Assumptions'!$D$14-$F$19)*(G$8-$F$8)/($K$8-$F$8)</x:f>
        <x:v>0.04583964350847504</x:v>
      </x:c>
      <x:c r="H13" s="22" t="n">
        <x:f>$F$19+('Assumptions'!$D$14-$F$19)*(H$8-$F$8)/($K$8-$F$8)</x:f>
        <x:v>0.04187973263135628</x:v>
      </x:c>
      <x:c r="I13" s="22" t="n">
        <x:f>$F$19+('Assumptions'!$D$14-$F$19)*(I$8-$F$8)/($K$8-$F$8)</x:f>
        <x:v>0.03791982175423752</x:v>
      </x:c>
      <x:c r="J13" s="22" t="n">
        <x:f>$F$19+('Assumptions'!$D$14-$F$19)*(J$8-$F$8)/($K$8-$F$8)</x:f>
        <x:v>0.03395991087711876</x:v>
      </x:c>
      <x:c r="K13" s="22" t="n">
        <x:f>$F$19+('Assumptions'!$D$14-$F$19)*(K$8-$F$8)/($K$8-$F$8)</x:f>
        <x:v>0.03</x:v>
      </x:c>
    </x:row>
    <x:row r="14" ht="23" customHeight="1">
      <x:c r="A14" t="str">
        <x:v>Capex / revenue</x:v>
      </x:c>
      <x:c r="B14" s="36" t="n">
        <x:f>'Assumptions'!$AN$14</x:f>
        <x:v>0.07</x:v>
      </x:c>
      <x:c r="C14" s="36" t="n">
        <x:f>'Assumptions'!$AO$14</x:f>
        <x:v>0.065</x:v>
      </x:c>
      <x:c r="D14" s="36" t="n">
        <x:f>'Assumptions'!$AP$14</x:f>
        <x:v>0.055</x:v>
      </x:c>
      <x:c r="E14" s="36" t="n">
        <x:f>'Assumptions'!$AQ$14</x:f>
        <x:v>0.05</x:v>
      </x:c>
      <x:c r="F14" s="36" t="n">
        <x:f>'Assumptions'!$AR$14</x:f>
        <x:v>0.05</x:v>
      </x:c>
      <x:c r="G14" s="22" t="n">
        <x:f>$F$14</x:f>
        <x:v>0.05</x:v>
      </x:c>
      <x:c r="H14" s="22" t="n">
        <x:f>$F$14</x:f>
        <x:v>0.05</x:v>
      </x:c>
      <x:c r="I14" s="22" t="n">
        <x:f>$F$14</x:f>
        <x:v>0.05</x:v>
      </x:c>
      <x:c r="J14" s="22" t="n">
        <x:f>$F$14</x:f>
        <x:v>0.05</x:v>
      </x:c>
      <x:c r="K14" s="22" t="n">
        <x:f>$F$14</x:f>
        <x:v>0.05</x:v>
      </x:c>
    </x:row>
    <x:row r="15" ht="23" customHeight="1"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</x:row>
    <x:row r="16" ht="23" customHeight="1">
      <x:c r="A16" t="str">
        <x:v>Primary revenue</x:v>
      </x:c>
      <x:c r="B16" s="34" t="n">
        <x:f>'Inputs'!$F$24*(1+B9)</x:f>
        <x:v>1673.28</x:v>
      </x:c>
      <x:c r="C16" s="34" t="n">
        <x:f>B16*(1+C9)</x:f>
        <x:v>1924.2719999999997</x:v>
      </x:c>
      <x:c r="D16" s="34" t="n">
        <x:f>C16*(1+D9)</x:f>
        <x:v>2116.6992</x:v>
      </x:c>
      <x:c r="E16" s="34" t="n">
        <x:f>D16*(1+E9)</x:f>
        <x:v>2286.035136</x:v>
      </x:c>
      <x:c r="F16" s="34" t="n">
        <x:f>E16*(1+F9)</x:f>
        <x:v>2423.19724416</x:v>
      </x:c>
      <x:c r="G16" s="34" t="n">
        <x:f>F16*(1+G9)</x:f>
        <x:v>2534.275741983014</x:v>
      </x:c>
      <x:c r="H16" s="34" t="n">
        <x:f>G16*(1+H9)</x:f>
        <x:v>2640.4105324713946</x:v>
      </x:c>
      <x:c r="I16" s="34" t="n">
        <x:f>H16*(1+I9)</x:f>
        <x:v>2740.5344292207214</x:v>
      </x:c>
      <x:c r="J16" s="34" t="n">
        <x:f>I16*(1+J9)</x:f>
        <x:v>2833.6027341927324</x:v>
      </x:c>
      <x:c r="K16" s="34" t="n">
        <x:f>J16*(1+K9)</x:f>
        <x:v>2918.6108162185146</x:v>
      </x:c>
    </x:row>
    <x:row r="17" ht="23" customHeight="1">
      <x:c r="A17" t="str">
        <x:v>Secondary revenue</x:v>
      </x:c>
      <x:c r="B17" s="34" t="n">
        <x:f>'Inputs'!$F$25*(1+B10)</x:f>
        <x:v>1077.7920000000001</x:v>
      </x:c>
      <x:c r="C17" s="34" t="n">
        <x:f>B17*(1+C10)</x:f>
        <x:v>1110.1257600000001</x:v>
      </x:c>
      <x:c r="D17" s="34" t="n">
        <x:f>C17*(1+D10)</x:f>
        <x:v>1143.4295328</x:v>
      </x:c>
      <x:c r="E17" s="34" t="n">
        <x:f>D17*(1+E10)</x:f>
        <x:v>1177.7324187840002</x:v>
      </x:c>
      <x:c r="F17" s="34" t="n">
        <x:f>E17*(1+F10)</x:f>
        <x:v>1213.0643913475203</x:v>
      </x:c>
      <x:c r="G17" s="34" t="n">
        <x:f>F17*(1+G10)</x:f>
        <x:v>1268.670830599716</x:v>
      </x:c>
      <x:c r="H17" s="34" t="n">
        <x:f>G17*(1+H10)</x:f>
        <x:v>1321.802425782433</x:v>
      </x:c>
      <x:c r="I17" s="34" t="n">
        <x:f>H17*(1+I10)</x:f>
        <x:v>1371.9249381624215</x:v>
      </x:c>
      <x:c r="J17" s="34" t="n">
        <x:f>I17*(1+J10)</x:f>
        <x:v>1418.515386792514</x:v>
      </x:c>
      <x:c r="K17" s="34" t="n">
        <x:f>J17*(1+K10)</x:f>
        <x:v>1461.0708483962894</x:v>
      </x:c>
    </x:row>
    <x:row r="18" ht="23" customHeight="1">
      <x:c r="A18" s="31" t="str">
        <x:v>Total economic revenue</x:v>
      </x:c>
      <x:c r="B18" s="40" t="n">
        <x:f>SUM(B16:B17)</x:f>
        <x:v>2751.072</x:v>
      </x:c>
      <x:c r="C18" s="40" t="n">
        <x:f>SUM(C16:C17)</x:f>
        <x:v>3034.39776</x:v>
      </x:c>
      <x:c r="D18" s="40" t="n">
        <x:f>SUM(D16:D17)</x:f>
        <x:v>3260.1287328</x:v>
      </x:c>
      <x:c r="E18" s="40" t="n">
        <x:f>SUM(E16:E17)</x:f>
        <x:v>3463.767554784</x:v>
      </x:c>
      <x:c r="F18" s="40" t="n">
        <x:f>SUM(F16:F17)</x:f>
        <x:v>3636.2616355075206</x:v>
      </x:c>
      <x:c r="G18" s="40" t="n">
        <x:f>SUM(G16:G17)</x:f>
        <x:v>3802.9465725827304</x:v>
      </x:c>
      <x:c r="H18" s="40" t="n">
        <x:f>SUM(H16:H17)</x:f>
        <x:v>3962.2129582538273</x:v>
      </x:c>
      <x:c r="I18" s="40" t="n">
        <x:f>SUM(I16:I17)</x:f>
        <x:v>4112.459367383143</x:v>
      </x:c>
      <x:c r="J18" s="40" t="n">
        <x:f>SUM(J16:J17)</x:f>
        <x:v>4252.118120985247</x:v>
      </x:c>
      <x:c r="K18" s="40" t="n">
        <x:f>SUM(K16:K17)</x:f>
        <x:v>4379.681664614804</x:v>
      </x:c>
    </x:row>
    <x:row r="19" ht="23" customHeight="1">
      <x:c r="A19" t="str">
        <x:v>Revenue growth</x:v>
      </x:c>
      <x:c r="B19" s="22" t="n">
        <x:f>B18/'Inputs'!$F$14-1</x:f>
        <x:v>0.1271189773844641</x:v>
      </x:c>
      <x:c r="C19" s="22" t="n">
        <x:f>C18/B18-1</x:f>
        <x:v>0.10298740272882712</x:v>
      </x:c>
      <x:c r="D19" s="22" t="n">
        <x:f>D18/C18-1</x:f>
        <x:v>0.07439069978749258</x:v>
      </x:c>
      <x:c r="E19" s="22" t="n">
        <x:f>E18/D18-1</x:f>
        <x:v>0.06246342972140928</x:v>
      </x:c>
      <x:c r="F19" s="22" t="n">
        <x:f>F18/E18-1</x:f>
        <x:v>0.0497995543855938</x:v>
      </x:c>
      <x:c r="G19" s="22" t="n">
        <x:f>G18/F18-1</x:f>
        <x:v>0.045839643508475136</x:v>
      </x:c>
      <x:c r="H19" s="22" t="n">
        <x:f>H18/G18-1</x:f>
        <x:v>0.041879732631356026</x:v>
      </x:c>
      <x:c r="I19" s="22" t="n">
        <x:f>I18/H18-1</x:f>
        <x:v>0.03791982175423758</x:v>
      </x:c>
      <x:c r="J19" s="22" t="n">
        <x:f>J18/I18-1</x:f>
        <x:v>0.03395991087711869</x:v>
      </x:c>
      <x:c r="K19" s="22" t="n">
        <x:f>K18/J18-1</x:f>
        <x:v>0.029999999999999805</x:v>
      </x:c>
    </x:row>
    <x:row r="20" ht="23" customHeight="1">
      <x:c r="A20" t="str">
        <x:v>Primary profit pool</x:v>
      </x:c>
      <x:c r="B20" s="34" t="n">
        <x:f>B16*B11</x:f>
        <x:v>234.25920000000002</x:v>
      </x:c>
      <x:c r="C20" s="34" t="n">
        <x:f>C16*C11</x:f>
        <x:v>288.64079999999996</x:v>
      </x:c>
      <x:c r="D20" s="34" t="n">
        <x:f>D16*D11</x:f>
        <x:v>317.50488</x:v>
      </x:c>
      <x:c r="E20" s="34" t="n">
        <x:f>E16*E11</x:f>
        <x:v>342.9052704</x:v>
      </x:c>
      <x:c r="F20" s="34" t="n">
        <x:f>F16*F11</x:f>
        <x:v>363.479586624</x:v>
      </x:c>
      <x:c r="G20" s="34" t="n">
        <x:f>G16*G11</x:f>
        <x:v>380.1413612974521</x:v>
      </x:c>
      <x:c r="H20" s="34" t="n">
        <x:f>H16*H11</x:f>
        <x:v>396.0615798707092</x:v>
      </x:c>
      <x:c r="I20" s="34" t="n">
        <x:f>I16*I11</x:f>
        <x:v>411.0801643831082</x:v>
      </x:c>
      <x:c r="J20" s="34" t="n">
        <x:f>J16*J11</x:f>
        <x:v>425.04041012890985</x:v>
      </x:c>
      <x:c r="K20" s="34" t="n">
        <x:f>K16*K11</x:f>
        <x:v>437.79162243277716</x:v>
      </x:c>
    </x:row>
    <x:row r="21" ht="23" customHeight="1">
      <x:c r="A21" t="str">
        <x:v>Secondary profit pool</x:v>
      </x:c>
      <x:c r="B21" s="34" t="n">
        <x:f>B17*B12</x:f>
        <x:v>123.94608000000002</x:v>
      </x:c>
      <x:c r="C21" s="34" t="n">
        <x:f>C17*C12</x:f>
        <x:v>127.66446240000002</x:v>
      </x:c>
      <x:c r="D21" s="34" t="n">
        <x:f>D17*D12</x:f>
        <x:v>131.49439627200002</x:v>
      </x:c>
      <x:c r="E21" s="34" t="n">
        <x:f>E17*E12</x:f>
        <x:v>135.43922816016</x:v>
      </x:c>
      <x:c r="F21" s="34" t="n">
        <x:f>F17*F12</x:f>
        <x:v>139.50240500496483</x:v>
      </x:c>
      <x:c r="G21" s="34" t="n">
        <x:f>G17*G12</x:f>
        <x:v>145.89714551896736</x:v>
      </x:c>
      <x:c r="H21" s="34" t="n">
        <x:f>H17*H12</x:f>
        <x:v>152.0072789649798</x:v>
      </x:c>
      <x:c r="I21" s="34" t="n">
        <x:f>I17*I12</x:f>
        <x:v>157.7713678886785</x:v>
      </x:c>
      <x:c r="J21" s="34" t="n">
        <x:f>J17*J12</x:f>
        <x:v>163.12926948113912</x:v>
      </x:c>
      <x:c r="K21" s="34" t="n">
        <x:f>K17*K12</x:f>
        <x:v>168.02314756557328</x:v>
      </x:c>
    </x:row>
    <x:row r="22" ht="23" customHeight="1">
      <x:c r="A22" t="str">
        <x:v>Less: overhead / corporate</x:v>
      </x:c>
      <x:c r="B22" s="34" t="n">
        <x:f>-'Inputs'!$F$26*(1+B13)</x:f>
        <x:v>-96.60000000000001</x:v>
      </x:c>
      <x:c r="C22" s="34" t="n">
        <x:f>B22*(1+C13)</x:f>
        <x:v>-101.43</x:v>
      </x:c>
      <x:c r="D22" s="34" t="n">
        <x:f>C22*(1+D13)</x:f>
        <x:v>-106.50150000000001</x:v>
      </x:c>
      <x:c r="E22" s="34" t="n">
        <x:f>D22*(1+E13)</x:f>
        <x:v>-111.826575</x:v>
      </x:c>
      <x:c r="F22" s="34" t="n">
        <x:f>E22*(1+F13)</x:f>
        <x:v>-117.41790375000001</x:v>
      </x:c>
      <x:c r="G22" s="34" t="n">
        <x:f>F22*(1+G13)</x:f>
        <x:v>-122.80029859941246</x:v>
      </x:c>
      <x:c r="H22" s="34" t="n">
        <x:f>G22*(1+H13)</x:f>
        <x:v>-127.94314227180656</x:v>
      </x:c>
      <x:c r="I22" s="34" t="n">
        <x:f>H22*(1+I13)</x:f>
        <x:v>-132.79472342143052</x:v>
      </x:c>
      <x:c r="J22" s="34" t="n">
        <x:f>I22*(1+J13)</x:f>
        <x:v>-137.30442039377394</x:v>
      </x:c>
      <x:c r="K22" s="34" t="n">
        <x:f>J22*(1+K13)</x:f>
        <x:v>-141.42355300558717</x:v>
      </x:c>
    </x:row>
    <x:row r="23" ht="23" customHeight="1">
      <x:c r="A23" t="str">
        <x:v>Additional fee profit</x:v>
      </x:c>
      <x:c r="B23" s="34" t="n">
        <x:f>0</x:f>
        <x:v>0</x:v>
      </x:c>
      <x:c r="C23" s="34" t="n">
        <x:f>0</x:f>
        <x:v>0</x:v>
      </x:c>
      <x:c r="D23" s="34" t="n">
        <x:f>0</x:f>
        <x:v>0</x:v>
      </x:c>
      <x:c r="E23" s="34" t="n">
        <x:f>0</x:f>
        <x:v>0</x:v>
      </x:c>
      <x:c r="F23" s="34" t="n">
        <x:f>0</x:f>
        <x:v>0</x:v>
      </x:c>
      <x:c r="G23" s="34" t="n">
        <x:f>0</x:f>
        <x:v>0</x:v>
      </x:c>
      <x:c r="H23" s="34" t="n">
        <x:f>0</x:f>
        <x:v>0</x:v>
      </x:c>
      <x:c r="I23" s="34" t="n">
        <x:f>0</x:f>
        <x:v>0</x:v>
      </x:c>
      <x:c r="J23" s="34" t="n">
        <x:f>0</x:f>
        <x:v>0</x:v>
      </x:c>
      <x:c r="K23" s="34" t="n">
        <x:f>0</x:f>
        <x:v>0</x:v>
      </x:c>
    </x:row>
    <x:row r="24" ht="23" customHeight="1">
      <x:c r="A24" s="31" t="str">
        <x:v>Operating income after recurring SBC</x:v>
      </x:c>
      <x:c r="B24" s="40" t="n">
        <x:f>SUM(B20:B23)</x:f>
        <x:v>261.60528</x:v>
      </x:c>
      <x:c r="C24" s="40" t="n">
        <x:f>SUM(C20:C23)</x:f>
        <x:v>314.87526239999994</x:v>
      </x:c>
      <x:c r="D24" s="40" t="n">
        <x:f>SUM(D20:D23)</x:f>
        <x:v>342.497776272</x:v>
      </x:c>
      <x:c r="E24" s="40" t="n">
        <x:f>SUM(E20:E23)</x:f>
        <x:v>366.51792356016</x:v>
      </x:c>
      <x:c r="F24" s="40" t="n">
        <x:f>SUM(F20:F23)</x:f>
        <x:v>385.5640878789648</x:v>
      </x:c>
      <x:c r="G24" s="40" t="n">
        <x:f>SUM(G20:G23)</x:f>
        <x:v>403.2382082170069</x:v>
      </x:c>
      <x:c r="H24" s="40" t="n">
        <x:f>SUM(H20:H23)</x:f>
        <x:v>420.1257165638824</x:v>
      </x:c>
      <x:c r="I24" s="40" t="n">
        <x:f>SUM(I20:I23)</x:f>
        <x:v>436.0568088503562</x:v>
      </x:c>
      <x:c r="J24" s="40" t="n">
        <x:f>SUM(J20:J23)</x:f>
        <x:v>450.86525921627504</x:v>
      </x:c>
      <x:c r="K24" s="40" t="n">
        <x:f>SUM(K20:K23)</x:f>
        <x:v>464.3912169927633</x:v>
      </x:c>
    </x:row>
    <x:row r="25" ht="23" customHeight="1">
      <x:c r="A25" t="str">
        <x:v>Operating margin</x:v>
      </x:c>
      <x:c r="B25" s="22" t="n">
        <x:f>B24/B18</x:f>
        <x:v>0.09509212408835536</x:v>
      </x:c>
      <x:c r="C25" s="22" t="n">
        <x:f>C24/C18</x:f>
        <x:v>0.10376861812605608</x:v>
      </x:c>
      <x:c r="D25" s="22" t="n">
        <x:f>D24/D18</x:f>
        <x:v>0.10505651903440076</x:v>
      </x:c>
      <x:c r="E25" s="22" t="n">
        <x:f>E24/E18</x:f>
        <x:v>0.10581481515811936</x:v>
      </x:c>
      <x:c r="F25" s="22" t="n">
        <x:f>F24/F18</x:f>
        <x:v>0.10603309842008957</x:v>
      </x:c>
      <x:c r="G25" s="22" t="n">
        <x:f>G24/G18</x:f>
        <x:v>0.10603309842008955</x:v>
      </x:c>
      <x:c r="H25" s="22" t="n">
        <x:f>H24/H18</x:f>
        <x:v>0.1060330984200896</x:v>
      </x:c>
      <x:c r="I25" s="22" t="n">
        <x:f>I24/I18</x:f>
        <x:v>0.1060330984200896</x:v>
      </x:c>
      <x:c r="J25" s="22" t="n">
        <x:f>J24/J18</x:f>
        <x:v>0.10603309842008958</x:v>
      </x:c>
      <x:c r="K25" s="22" t="n">
        <x:f>K24/K18</x:f>
        <x:v>0.1060330984200896</x:v>
      </x:c>
    </x:row>
    <x:row r="26" ht="23" customHeight="1">
      <x:c r="A26" t="str">
        <x:v>After-tax operating profit</x:v>
      </x:c>
      <x:c r="B26" s="34" t="n">
        <x:f>B24*(1-'Assumptions'!$F$14)</x:f>
        <x:v>193.5879072</x:v>
      </x:c>
      <x:c r="C26" s="34" t="n">
        <x:f>C24*(1-'Assumptions'!$F$14)</x:f>
        <x:v>233.00769417599994</x:v>
      </x:c>
      <x:c r="D26" s="34" t="n">
        <x:f>D24*(1-'Assumptions'!$F$14)</x:f>
        <x:v>253.44835444128</x:v>
      </x:c>
      <x:c r="E26" s="34" t="n">
        <x:f>E24*(1-'Assumptions'!$F$14)</x:f>
        <x:v>271.2232634345184</x:v>
      </x:c>
      <x:c r="F26" s="34" t="n">
        <x:f>F24*(1-'Assumptions'!$F$14)</x:f>
        <x:v>285.317425030434</x:v>
      </x:c>
      <x:c r="G26" s="34" t="n">
        <x:f>G24*(1-'Assumptions'!$F$14)</x:f>
        <x:v>298.3962740805851</x:v>
      </x:c>
      <x:c r="H26" s="34" t="n">
        <x:f>H24*(1-'Assumptions'!$F$14)</x:f>
        <x:v>310.893030257273</x:v>
      </x:c>
      <x:c r="I26" s="34" t="n">
        <x:f>I24*(1-'Assumptions'!$F$14)</x:f>
        <x:v>322.6820385492636</x:v>
      </x:c>
      <x:c r="J26" s="34" t="n">
        <x:f>J24*(1-'Assumptions'!$F$14)</x:f>
        <x:v>333.6402918200435</x:v>
      </x:c>
      <x:c r="K26" s="34" t="n">
        <x:f>K24*(1-'Assumptions'!$F$14)</x:f>
        <x:v>343.64950057464483</x:v>
      </x:c>
    </x:row>
    <x:row r="27" ht="23" customHeight="1">
      <x:c r="A27" t="str">
        <x:v>Add: depreciation &amp; amortization</x:v>
      </x:c>
      <x:c r="B27" s="34" t="n">
        <x:f>B18*'Assumptions'!$G$14</x:f>
        <x:v>82.53216</x:v>
      </x:c>
      <x:c r="C27" s="34" t="n">
        <x:f>C18*'Assumptions'!$G$14</x:f>
        <x:v>91.03193279999999</x:v>
      </x:c>
      <x:c r="D27" s="34" t="n">
        <x:f>D18*'Assumptions'!$G$14</x:f>
        <x:v>97.803861984</x:v>
      </x:c>
      <x:c r="E27" s="34" t="n">
        <x:f>E18*'Assumptions'!$G$14</x:f>
        <x:v>103.91302664352</x:v>
      </x:c>
      <x:c r="F27" s="34" t="n">
        <x:f>F18*'Assumptions'!$G$14</x:f>
        <x:v>109.08784906522561</x:v>
      </x:c>
      <x:c r="G27" s="34" t="n">
        <x:f>G18*'Assumptions'!$G$14</x:f>
        <x:v>114.08839717748191</x:v>
      </x:c>
      <x:c r="H27" s="34" t="n">
        <x:f>H18*'Assumptions'!$G$14</x:f>
        <x:v>118.86638874761482</x:v>
      </x:c>
      <x:c r="I27" s="34" t="n">
        <x:f>I18*'Assumptions'!$G$14</x:f>
        <x:v>123.3737810214943</x:v>
      </x:c>
      <x:c r="J27" s="34" t="n">
        <x:f>J18*'Assumptions'!$G$14</x:f>
        <x:v>127.56354362955739</x:v>
      </x:c>
      <x:c r="K27" s="34" t="n">
        <x:f>K18*'Assumptions'!$G$14</x:f>
        <x:v>131.3904499384441</x:v>
      </x:c>
    </x:row>
    <x:row r="28" ht="23" customHeight="1">
      <x:c r="A28" t="str">
        <x:v>Less: investment incl. software</x:v>
      </x:c>
      <x:c r="B28" s="34" t="n">
        <x:f>-B18*B14</x:f>
        <x:v>-192.57504000000003</x:v>
      </x:c>
      <x:c r="C28" s="34" t="n">
        <x:f>-C18*C14</x:f>
        <x:v>-197.2358544</x:v>
      </x:c>
      <x:c r="D28" s="34" t="n">
        <x:f>-D18*D14</x:f>
        <x:v>-179.30708030399998</x:v>
      </x:c>
      <x:c r="E28" s="34" t="n">
        <x:f>-E18*E14</x:f>
        <x:v>-173.1883777392</x:v>
      </x:c>
      <x:c r="F28" s="34" t="n">
        <x:f>-F18*F14</x:f>
        <x:v>-181.81308177537605</x:v>
      </x:c>
      <x:c r="G28" s="34" t="n">
        <x:f>-G18*G14</x:f>
        <x:v>-190.14732862913652</x:v>
      </x:c>
      <x:c r="H28" s="34" t="n">
        <x:f>-H18*H14</x:f>
        <x:v>-198.11064791269138</x:v>
      </x:c>
      <x:c r="I28" s="34" t="n">
        <x:f>-I18*I14</x:f>
        <x:v>-205.62296836915718</x:v>
      </x:c>
      <x:c r="J28" s="34" t="n">
        <x:f>-J18*J14</x:f>
        <x:v>-212.60590604926233</x:v>
      </x:c>
      <x:c r="K28" s="34" t="n">
        <x:f>-K18*K14</x:f>
        <x:v>-218.9840832307402</x:v>
      </x:c>
    </x:row>
    <x:row r="29" ht="23" customHeight="1">
      <x:c r="A29" t="str">
        <x:v>Less: incremental working capital</x:v>
      </x:c>
      <x:c r="B29" s="34" t="n">
        <x:f>-(B18-'Inputs'!$F$14)*'Assumptions'!$H$14</x:f>
        <x:v>-55.848959999999984</x:v>
      </x:c>
      <x:c r="C29" s="34" t="n">
        <x:f>-(C18-B18)*'Assumptions'!$H$14</x:f>
        <x:v>-50.99863679999995</x:v>
      </x:c>
      <x:c r="D29" s="34" t="n">
        <x:f>-(D18-C18)*'Assumptions'!$H$14</x:f>
        <x:v>-40.631575104</x:v>
      </x:c>
      <x:c r="E29" s="34" t="n">
        <x:f>-(E18-D18)*'Assumptions'!$H$14</x:f>
        <x:v>-36.65498795712001</x:v>
      </x:c>
      <x:c r="F29" s="34" t="n">
        <x:f>-(F18-E18)*'Assumptions'!$H$14</x:f>
        <x:v>-31.048934530233726</x:v>
      </x:c>
      <x:c r="G29" s="34" t="n">
        <x:f>-(G18-F18)*'Assumptions'!$H$14</x:f>
        <x:v>-30.003288673537753</x:v>
      </x:c>
      <x:c r="H29" s="34" t="n">
        <x:f>-(H18-G18)*'Assumptions'!$H$14</x:f>
        <x:v>-28.66794942079745</x:v>
      </x:c>
      <x:c r="I29" s="34" t="n">
        <x:f>-(I18-H18)*'Assumptions'!$H$14</x:f>
        <x:v>-27.044353643276864</x:v>
      </x:c>
      <x:c r="J29" s="34" t="n">
        <x:f>-(J18-I18)*'Assumptions'!$H$14</x:f>
        <x:v>-25.13857564837861</x:v>
      </x:c>
      <x:c r="K29" s="34" t="n">
        <x:f>-(K18-J18)*'Assumptions'!$H$14</x:f>
        <x:v>-22.961437853320255</x:v>
      </x:c>
    </x:row>
    <x:row r="30" ht="23" customHeight="1">
      <x:c r="A30" t="str">
        <x:v>Less: specified cash shock</x:v>
      </x:c>
      <x:c r="B30" s="34" t="n">
        <x:f>-'Assumptions'!$I$14</x:f>
        <x:v>-15</x:v>
      </x:c>
      <x:c r="C30" s="34" t="n">
        <x:f>0</x:f>
        <x:v>0</x:v>
      </x:c>
      <x:c r="D30" s="34" t="n">
        <x:f>0</x:f>
        <x:v>0</x:v>
      </x:c>
      <x:c r="E30" s="34" t="n">
        <x:f>0</x:f>
        <x:v>0</x:v>
      </x:c>
      <x:c r="F30" s="34" t="n">
        <x:f>0</x:f>
        <x:v>0</x:v>
      </x:c>
      <x:c r="G30" s="34" t="n">
        <x:f>0</x:f>
        <x:v>0</x:v>
      </x:c>
      <x:c r="H30" s="34" t="n">
        <x:f>0</x:f>
        <x:v>0</x:v>
      </x:c>
      <x:c r="I30" s="34" t="n">
        <x:f>0</x:f>
        <x:v>0</x:v>
      </x:c>
      <x:c r="J30" s="34" t="n">
        <x:f>0</x:f>
        <x:v>0</x:v>
      </x:c>
      <x:c r="K30" s="34" t="n">
        <x:f>0</x:f>
        <x:v>0</x:v>
      </x:c>
    </x:row>
    <x:row r="31" ht="23" customHeight="1">
      <x:c r="A31" s="31" t="str">
        <x:v>Owner-economic unlevered cash flow</x:v>
      </x:c>
      <x:c r="B31" s="40" t="n">
        <x:f>SUM(B26:B30)</x:f>
        <x:v>12.69606719999998</x:v>
      </x:c>
      <x:c r="C31" s="40" t="n">
        <x:f>SUM(C26:C30)</x:f>
        <x:v>75.80513577599996</x:v>
      </x:c>
      <x:c r="D31" s="40" t="n">
        <x:f>SUM(D26:D30)</x:f>
        <x:v>131.31356101728</x:v>
      </x:c>
      <x:c r="E31" s="40" t="n">
        <x:f>SUM(E26:E30)</x:f>
        <x:v>165.29292438171842</x:v>
      </x:c>
      <x:c r="F31" s="40" t="n">
        <x:f>SUM(F26:F30)</x:f>
        <x:v>181.5432577900498</x:v>
      </x:c>
      <x:c r="G31" s="40" t="n">
        <x:f>SUM(G26:G30)</x:f>
        <x:v>192.33405395539273</x:v>
      </x:c>
      <x:c r="H31" s="40" t="n">
        <x:f>SUM(H26:H30)</x:f>
        <x:v>202.980821671399</x:v>
      </x:c>
      <x:c r="I31" s="40" t="n">
        <x:f>SUM(I26:I30)</x:f>
        <x:v>213.38849755832382</x:v>
      </x:c>
      <x:c r="J31" s="40" t="n">
        <x:f>SUM(J26:J30)</x:f>
        <x:v>223.45935375195995</x:v>
      </x:c>
      <x:c r="K31" s="40" t="n">
        <x:f>SUM(K26:K30)</x:f>
        <x:v>233.09442942902842</x:v>
      </x:c>
    </x:row>
    <x:row r="32" ht="23" customHeight="1">
      <x:c r="A32" t="str">
        <x:v>Discount factor</x:v>
      </x:c>
      <x:c r="B32" s="22" t="n">
        <x:f>1/(1+'Assumptions'!$C$14)^B$8</x:f>
        <x:v>0.9049773755656109</x:v>
      </x:c>
      <x:c r="C32" s="22" t="n">
        <x:f>1/(1+'Assumptions'!$C$14)^C$8</x:f>
        <x:v>0.8189840502856207</x:v>
      </x:c>
      <x:c r="D32" s="22" t="n">
        <x:f>1/(1+'Assumptions'!$C$14)^D$8</x:f>
        <x:v>0.7411620364575753</x:v>
      </x:c>
      <x:c r="E32" s="22" t="n">
        <x:f>1/(1+'Assumptions'!$C$14)^E$8</x:f>
        <x:v>0.67073487462224</x:v>
      </x:c>
      <x:c r="F32" s="22" t="n">
        <x:f>1/(1+'Assumptions'!$C$14)^F$8</x:f>
        <x:v>0.6069998865359638</x:v>
      </x:c>
      <x:c r="G32" s="22" t="n">
        <x:f>1/(1+'Assumptions'!$C$14)^G$8</x:f>
        <x:v>0.54932116428594</x:v>
      </x:c>
      <x:c r="H32" s="22" t="n">
        <x:f>1/(1+'Assumptions'!$C$14)^H$8</x:f>
        <x:v>0.4971232255981358</x:v>
      </x:c>
      <x:c r="I32" s="22" t="n">
        <x:f>1/(1+'Assumptions'!$C$14)^I$8</x:f>
        <x:v>0.44988527203451206</x:v>
      </x:c>
      <x:c r="J32" s="22" t="n">
        <x:f>1/(1+'Assumptions'!$C$14)^J$8</x:f>
        <x:v>0.40713599279141366</x:v>
      </x:c>
      <x:c r="K32" s="22" t="n">
        <x:f>1/(1+'Assumptions'!$C$14)^K$8</x:f>
        <x:v>0.36844886225467294</x:v>
      </x:c>
    </x:row>
    <x:row r="33" ht="23" customHeight="1">
      <x:c r="A33" s="31" t="str">
        <x:v>Present value</x:v>
      </x:c>
      <x:c r="B33" s="40" t="n">
        <x:f>B31*B32</x:f>
        <x:v>11.489653574660617</x:v>
      </x:c>
      <x:c r="C33" s="40" t="n">
        <x:f>C31*C32</x:f>
        <x:v>62.083197130279856</x:v>
      </x:c>
      <x:c r="D33" s="40" t="n">
        <x:f>D31*D32</x:f>
        <x:v>97.32462629806331</x:v>
      </x:c>
      <x:c r="E33" s="40" t="n">
        <x:f>E31*E32</x:f>
        <x:v>110.86772891111531</x:v>
      </x:c>
      <x:c r="F33" s="40" t="n">
        <x:f>F31*F32</x:f>
        <x:v>110.19673687992946</x:v>
      </x:c>
      <x:c r="G33" s="40" t="n">
        <x:f>G31*G32</x:f>
        <x:v>105.65316645061114</x:v>
      </x:c>
      <x:c r="H33" s="40" t="n">
        <x:f>H31*H32</x:f>
        <x:v>100.90648080384587</x:v>
      </x:c>
      <x:c r="I33" s="40" t="n">
        <x:f>I31*I32</x:f>
        <x:v>96.00034227306233</x:v>
      </x:c>
      <x:c r="J33" s="40" t="n">
        <x:f>J31*J32</x:f>
        <x:v>90.97834583833192</x:v>
      </x:c>
      <x:c r="K33" s="40" t="n">
        <x:f>K31*K32</x:f>
        <x:v>85.88337732102768</x:v>
      </x:c>
    </x:row>
    <x:row r="34" ht="23" customHeight="1">
      <x:c r="A34" t="str">
        <x:v>Discount factor at 12%</x:v>
      </x:c>
      <x:c r="B34" s="22" t="n">
        <x:f>1/(1+'Controls'!$B$3)^B$8</x:f>
        <x:v>0.8928571428571428</x:v>
      </x:c>
      <x:c r="C34" s="22" t="n">
        <x:f>1/(1+'Controls'!$B$3)^C$8</x:f>
        <x:v>0.7971938775510203</x:v>
      </x:c>
      <x:c r="D34" s="22" t="n">
        <x:f>1/(1+'Controls'!$B$3)^D$8</x:f>
        <x:v>0.7117802478134109</x:v>
      </x:c>
      <x:c r="E34" s="22" t="n">
        <x:f>1/(1+'Controls'!$B$3)^E$8</x:f>
        <x:v>0.6355180784048312</x:v>
      </x:c>
      <x:c r="F34" s="22" t="n">
        <x:f>1/(1+'Controls'!$B$3)^F$8</x:f>
        <x:v>0.5674268557185992</x:v>
      </x:c>
      <x:c r="G34" s="22" t="n">
        <x:f>1/(1+'Controls'!$B$3)^G$8</x:f>
        <x:v>0.5066311211773207</x:v>
      </x:c>
      <x:c r="H34" s="22" t="n">
        <x:f>1/(1+'Controls'!$B$3)^H$8</x:f>
        <x:v>0.45234921533689343</x:v>
      </x:c>
      <x:c r="I34" s="22" t="n">
        <x:f>1/(1+'Controls'!$B$3)^I$8</x:f>
        <x:v>0.4038832279793691</x:v>
      </x:c>
      <x:c r="J34" s="22" t="n">
        <x:f>1/(1+'Controls'!$B$3)^J$8</x:f>
        <x:v>0.36061002498157957</x:v>
      </x:c>
      <x:c r="K34" s="22" t="n">
        <x:f>1/(1+'Controls'!$B$3)^K$8</x:f>
        <x:v>0.321973236590696</x:v>
      </x:c>
    </x:row>
    <x:row r="36" ht="25" customHeight="1">
      <x:c r="A36" t="str">
        <x:v>Year 11 after-tax operating profit</x:v>
      </x:c>
      <x:c r="B36" s="34" t="n">
        <x:f>K26*(1+'Assumptions'!$D$14)</x:f>
        <x:v>353.9589855918842</x:v>
      </x:c>
    </x:row>
    <x:row r="37" ht="25" customHeight="1">
      <x:c r="A37" t="str">
        <x:v>Less: terminal reinvestment</x:v>
      </x:c>
      <x:c r="B37" s="34" t="n">
        <x:f>-B36*'Assumptions'!$D$14/'Assumptions'!$E$14</x:f>
        <x:v>-70.79179711837683</x:v>
      </x:c>
      <x:c r="D37" s="24" t="str">
        <x:v>This is an operating scenario, not a statistical confidence interval. Terminal growth requires reinvestment. Latest-quarter capital structure is not a complete September roll-forward. See company decision notes for remaining unknowns. MOD scenarios assume the transaction closes; WINA core revenue excludes offsetting fee programs.</x:v>
      </x:c>
      <x:c r="E37" s="24"/>
      <x:c r="F37" s="24"/>
      <x:c r="G37" s="24"/>
      <x:c r="H37" s="24"/>
      <x:c r="I37" s="24"/>
      <x:c r="J37" s="24"/>
      <x:c r="K37" s="24"/>
    </x:row>
    <x:row r="38" ht="25" customHeight="1">
      <x:c r="A38" t="str">
        <x:v>Terminal cash flow</x:v>
      </x:c>
      <x:c r="B38" s="34" t="n">
        <x:f>SUM(B36:B37)</x:f>
        <x:v>283.16718847350734</x:v>
      </x:c>
      <x:c r="D38" s="24"/>
      <x:c r="E38" s="24"/>
      <x:c r="F38" s="24"/>
      <x:c r="G38" s="24"/>
      <x:c r="H38" s="24"/>
      <x:c r="I38" s="24"/>
      <x:c r="J38" s="24"/>
      <x:c r="K38" s="24"/>
    </x:row>
    <x:row r="39" ht="25" customHeight="1">
      <x:c r="A39" t="str">
        <x:v>Terminal operating value</x:v>
      </x:c>
      <x:c r="B39" s="34" t="n">
        <x:f>B38/('Assumptions'!$C$14-'Assumptions'!$D$14)</x:f>
        <x:v>3775.562512980098</x:v>
      </x:c>
      <x:c r="D39" s="24"/>
      <x:c r="E39" s="24"/>
      <x:c r="F39" s="24"/>
      <x:c r="G39" s="24"/>
      <x:c r="H39" s="24"/>
      <x:c r="I39" s="24"/>
      <x:c r="J39" s="24"/>
      <x:c r="K39" s="24"/>
    </x:row>
    <x:row r="40" ht="25" customHeight="1">
      <x:c r="A40" t="str">
        <x:v>PV terminal value</x:v>
      </x:c>
      <x:c r="B40" s="34" t="n">
        <x:f>B39*K32</x:f>
        <x:v>1391.1017122789108</x:v>
      </x:c>
      <x:c r="D40" s="24"/>
      <x:c r="E40" s="24"/>
      <x:c r="F40" s="24"/>
      <x:c r="G40" s="24"/>
      <x:c r="H40" s="24"/>
      <x:c r="I40" s="24"/>
      <x:c r="J40" s="24"/>
      <x:c r="K40" s="24"/>
    </x:row>
    <x:row r="41" ht="25" customHeight="1">
      <x:c r="A41" t="str">
        <x:v>PV explicit forecast</x:v>
      </x:c>
      <x:c r="B41" s="34" t="n">
        <x:f>SUM(B33:K33)</x:f>
        <x:v>871.3836554809275</x:v>
      </x:c>
      <x:c r="D41" s="24"/>
      <x:c r="E41" s="24"/>
      <x:c r="F41" s="24"/>
      <x:c r="G41" s="24"/>
      <x:c r="H41" s="24"/>
      <x:c r="I41" s="24"/>
      <x:c r="J41" s="24"/>
      <x:c r="K41" s="24"/>
    </x:row>
    <x:row r="42" ht="25" customHeight="1">
      <x:c r="A42" s="84" t="str">
        <x:v>Operating enterprise value</x:v>
      </x:c>
      <x:c r="B42" s="85" t="n">
        <x:f>SUM(B40:B41)</x:f>
        <x:v>2262.4853677598385</x:v>
      </x:c>
      <x:c r="D42" s="24"/>
      <x:c r="E42" s="24"/>
      <x:c r="F42" s="24"/>
      <x:c r="G42" s="24"/>
      <x:c r="H42" s="24"/>
      <x:c r="I42" s="24"/>
      <x:c r="J42" s="24"/>
      <x:c r="K42" s="24"/>
    </x:row>
    <x:row r="43" ht="25" customHeight="1">
      <x:c r="A43" t="str">
        <x:v>Cash / claims / transaction bridge</x:v>
      </x:c>
      <x:c r="B43" s="34" t="n">
        <x:f>'Inputs'!$F$6-'Inputs'!$F$7-'Inputs'!$F$9-'Inputs'!$F$10-'Inputs'!$F$11+'Inputs'!$F$12*'Inputs'!$F$13+'Inputs'!$F$27+'Inputs'!$F$28*'Inputs'!$F$29*'Assumptions'!$K$14-'Inputs'!$F$30</x:f>
        <x:v>297.0899999999999</x:v>
      </x:c>
      <x:c r="D43" s="24"/>
      <x:c r="E43" s="24"/>
      <x:c r="F43" s="24"/>
      <x:c r="G43" s="24"/>
      <x:c r="H43" s="24"/>
      <x:c r="I43" s="24"/>
      <x:c r="J43" s="24"/>
      <x:c r="K43" s="24"/>
    </x:row>
    <x:row r="44" ht="25" customHeight="1">
      <x:c r="A44" s="84" t="str">
        <x:v>Common equity value</x:v>
      </x:c>
      <x:c r="B44" s="85" t="n">
        <x:f>SUM(B42:B43)</x:f>
        <x:v>2559.5753677598386</x:v>
      </x:c>
      <x:c r="D44" s="24"/>
      <x:c r="E44" s="24"/>
      <x:c r="F44" s="24"/>
      <x:c r="G44" s="24"/>
      <x:c r="H44" s="24"/>
      <x:c r="I44" s="24"/>
      <x:c r="J44" s="24"/>
      <x:c r="K44" s="24"/>
    </x:row>
    <x:row r="45" ht="25" customHeight="1">
      <x:c r="A45" t="str">
        <x:v>Value / share: debt endpoint</x:v>
      </x:c>
      <x:c r="B45" s="42" t="n">
        <x:f>B44/'Inputs'!$F$8</x:f>
        <x:v>47.399543847404416</x:v>
      </x:c>
    </x:row>
    <x:row r="46" ht="25" customHeight="1">
      <x:c r="A46" t="str">
        <x:v>Value / share: if-converted endpoint</x:v>
      </x:c>
      <x:c r="B46" s="42" t="n">
        <x:f>B45</x:f>
        <x:v>47.399543847404416</x:v>
      </x:c>
    </x:row>
    <x:row r="47" ht="25" customHeight="1">
      <x:c r="A47" s="88" t="str">
        <x:v>Conditional intrinsic value / share</x:v>
      </x:c>
      <x:c r="B47" s="89" t="n">
        <x:f>B45</x:f>
        <x:v>47.399543847404416</x:v>
      </x:c>
    </x:row>
    <x:row r="48" ht="25" customHeight="1">
      <x:c r="A48" t="str">
        <x:v>Value versus quote</x:v>
      </x:c>
      <x:c r="B48" s="22" t="n">
        <x:f>B47/'Inputs'!$F$5-1</x:f>
        <x:v>-0.7565008535528387</x:v>
      </x:c>
    </x:row>
    <x:row r="49" ht="25" customHeight="1">
      <x:c r="A49" t="str">
        <x:v>Terminal share of operating EV</x:v>
      </x:c>
      <x:c r="B49" s="22" t="n">
        <x:f>B40/B42</x:f>
        <x:v>0.6148555619859264</x:v>
      </x:c>
    </x:row>
    <x:row r="50" ht="25" customHeight="1">
      <x:c r="A50" t="str">
        <x:v>Value at 12% enterprise discount</x:v>
      </x:c>
      <x:c r="B50" s="42" t="n">
        <x:f>(SUMPRODUCT(B31:K31,B34:K34)+B38/('Controls'!$B$3-'Assumptions'!$D$14)*K34+B43)/'Inputs'!$F$8</x:f>
        <x:v>39.15711690020561</x:v>
      </x:c>
    </x:row>
    <x:row r="51" ht="25" customHeight="1">
      <x:c r="A51" t="str">
        <x:v>Price-implied operating EV</x:v>
      </x:c>
      <x:c r="B51" s="34" t="n">
        <x:f>'Inputs'!$F$5*'Inputs'!$F$8-B43</x:f>
        <x:v>10214.55</x:v>
      </x:c>
    </x:row>
    <x:row r="55" ht="29" customHeight="1">
      <x:c r="A55" s="27" t="str">
        <x:v>BASE | conditional operating path, not probability band</x:v>
      </x:c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</x:row>
    <x:row r="57">
      <x:c r="A57" t="str">
        <x:v>Discount rate</x:v>
      </x:c>
      <x:c r="B57" s="22" t="n">
        <x:f>'Assumptions'!$C$15</x:f>
        <x:v>0.105</x:v>
      </x:c>
      <x:c r="C57" t="str">
        <x:v>Terminal growth</x:v>
      </x:c>
      <x:c r="D57" s="22" t="n">
        <x:f>'Assumptions'!$D$15</x:f>
        <x:v>0.03</x:v>
      </x:c>
      <x:c r="E57" t="str">
        <x:v>Tax</x:v>
      </x:c>
      <x:c r="F57" s="22" t="n">
        <x:f>'Assumptions'!$F$15</x:f>
        <x:v>0.25</x:v>
      </x:c>
      <x:c r="G57" t="str">
        <x:v>Terminal ROIC</x:v>
      </x:c>
      <x:c r="H57" s="22" t="n">
        <x:f>'Assumptions'!$E$15</x:f>
        <x:v>0.22</x:v>
      </x:c>
      <x:c r="I57"/>
      <x:c r="J57"/>
      <x:c r="K57"/>
    </x:row>
    <x:row r="59" ht="24" customHeight="1">
      <x:c r="A59" s="31" t="str">
        <x:v>Economic year</x:v>
      </x:c>
      <x:c r="B59" s="31" t="n">
        <x:v>1</x:v>
      </x:c>
      <x:c r="C59" s="31" t="n">
        <x:v>2</x:v>
      </x:c>
      <x:c r="D59" s="31" t="n">
        <x:v>3</x:v>
      </x:c>
      <x:c r="E59" s="31" t="n">
        <x:v>4</x:v>
      </x:c>
      <x:c r="F59" s="31" t="n">
        <x:v>5</x:v>
      </x:c>
      <x:c r="G59" s="31" t="n">
        <x:v>6</x:v>
      </x:c>
      <x:c r="H59" s="31" t="n">
        <x:v>7</x:v>
      </x:c>
      <x:c r="I59" s="31" t="n">
        <x:v>8</x:v>
      </x:c>
      <x:c r="J59" s="31" t="n">
        <x:v>9</x:v>
      </x:c>
      <x:c r="K59" s="31" t="n">
        <x:v>10</x:v>
      </x:c>
    </x:row>
    <x:row r="60" ht="23" customHeight="1">
      <x:c r="A60" t="str">
        <x:v>Primary revenue growth</x:v>
      </x:c>
      <x:c r="B60" s="36" t="n">
        <x:f>'Assumptions'!$O$15</x:f>
        <x:v>0.43</x:v>
      </x:c>
      <x:c r="C60" s="36" t="n">
        <x:f>'Assumptions'!$P$15</x:f>
        <x:v>0.28</x:v>
      </x:c>
      <x:c r="D60" s="36" t="n">
        <x:f>'Assumptions'!$Q$15</x:f>
        <x:v>0.23</x:v>
      </x:c>
      <x:c r="E60" s="36" t="n">
        <x:f>'Assumptions'!$R$15</x:f>
        <x:v>0.18</x:v>
      </x:c>
      <x:c r="F60" s="36" t="n">
        <x:f>'Assumptions'!$S$15</x:f>
        <x:v>0.15</x:v>
      </x:c>
      <x:c r="G60" s="22" t="n">
        <x:f>$F$70+('Assumptions'!$D$15-$F$70)*(G$59-$F$59)/($K$59-$F$59)</x:f>
        <x:v>0.10255761250773604</x:v>
      </x:c>
      <x:c r="H60" s="22" t="n">
        <x:f>$F$70+('Assumptions'!$D$15-$F$70)*(H$59-$F$59)/($K$59-$F$59)</x:f>
        <x:v>0.08441820938080204</x:v>
      </x:c>
      <x:c r="I60" s="22" t="n">
        <x:f>$F$70+('Assumptions'!$D$15-$F$70)*(I$59-$F$59)/($K$59-$F$59)</x:f>
        <x:v>0.06627880625386802</x:v>
      </x:c>
      <x:c r="J60" s="22" t="n">
        <x:f>$F$70+('Assumptions'!$D$15-$F$70)*(J$59-$F$59)/($K$59-$F$59)</x:f>
        <x:v>0.048139403126934016</x:v>
      </x:c>
      <x:c r="K60" s="22" t="n">
        <x:f>$F$70+('Assumptions'!$D$15-$F$70)*(K$59-$F$59)/($K$59-$F$59)</x:f>
        <x:v>0.03</x:v>
      </x:c>
    </x:row>
    <x:row r="61" ht="23" customHeight="1">
      <x:c r="A61" t="str">
        <x:v>Secondary revenue growth</x:v>
      </x:c>
      <x:c r="B61" s="36" t="n">
        <x:f>'Assumptions'!$T$15</x:f>
        <x:v>0.1</x:v>
      </x:c>
      <x:c r="C61" s="36" t="n">
        <x:f>'Assumptions'!$U$15</x:f>
        <x:v>0.06</x:v>
      </x:c>
      <x:c r="D61" s="36" t="n">
        <x:f>'Assumptions'!$V$15</x:f>
        <x:v>0.05</x:v>
      </x:c>
      <x:c r="E61" s="36" t="n">
        <x:f>'Assumptions'!$W$15</x:f>
        <x:v>0.05</x:v>
      </x:c>
      <x:c r="F61" s="36" t="n">
        <x:f>'Assumptions'!$X$15</x:f>
        <x:v>0.04</x:v>
      </x:c>
      <x:c r="G61" s="22" t="n">
        <x:f>$F$70+('Assumptions'!$D$15-$F$70)*(G$59-$F$59)/($K$59-$F$59)</x:f>
        <x:v>0.10255761250773604</x:v>
      </x:c>
      <x:c r="H61" s="22" t="n">
        <x:f>$F$70+('Assumptions'!$D$15-$F$70)*(H$59-$F$59)/($K$59-$F$59)</x:f>
        <x:v>0.08441820938080204</x:v>
      </x:c>
      <x:c r="I61" s="22" t="n">
        <x:f>$F$70+('Assumptions'!$D$15-$F$70)*(I$59-$F$59)/($K$59-$F$59)</x:f>
        <x:v>0.06627880625386802</x:v>
      </x:c>
      <x:c r="J61" s="22" t="n">
        <x:f>$F$70+('Assumptions'!$D$15-$F$70)*(J$59-$F$59)/($K$59-$F$59)</x:f>
        <x:v>0.048139403126934016</x:v>
      </x:c>
      <x:c r="K61" s="22" t="n">
        <x:f>$F$70+('Assumptions'!$D$15-$F$70)*(K$59-$F$59)/($K$59-$F$59)</x:f>
        <x:v>0.03</x:v>
      </x:c>
    </x:row>
    <x:row r="62" ht="23" customHeight="1">
      <x:c r="A62" t="str">
        <x:v>Primary margin</x:v>
      </x:c>
      <x:c r="B62" s="36" t="n">
        <x:f>'Assumptions'!$Y$15</x:f>
        <x:v>0.18</x:v>
      </x:c>
      <x:c r="C62" s="36" t="n">
        <x:f>'Assumptions'!$Z$15</x:f>
        <x:v>0.2</x:v>
      </x:c>
      <x:c r="D62" s="36" t="n">
        <x:f>'Assumptions'!$AA$15</x:f>
        <x:v>0.215</x:v>
      </x:c>
      <x:c r="E62" s="36" t="n">
        <x:f>'Assumptions'!$AB$15</x:f>
        <x:v>0.22</x:v>
      </x:c>
      <x:c r="F62" s="36" t="n">
        <x:f>'Assumptions'!$AC$15</x:f>
        <x:v>0.22</x:v>
      </x:c>
      <x:c r="G62" s="22" t="n">
        <x:f>$F$62</x:f>
        <x:v>0.22</x:v>
      </x:c>
      <x:c r="H62" s="22" t="n">
        <x:f>$F$62</x:f>
        <x:v>0.22</x:v>
      </x:c>
      <x:c r="I62" s="22" t="n">
        <x:f>$F$62</x:f>
        <x:v>0.22</x:v>
      </x:c>
      <x:c r="J62" s="22" t="n">
        <x:f>$F$62</x:f>
        <x:v>0.22</x:v>
      </x:c>
      <x:c r="K62" s="22" t="n">
        <x:f>$F$62</x:f>
        <x:v>0.22</x:v>
      </x:c>
    </x:row>
    <x:row r="63" ht="23" customHeight="1">
      <x:c r="A63" t="str">
        <x:v>Secondary margin</x:v>
      </x:c>
      <x:c r="B63" s="36" t="n">
        <x:f>'Assumptions'!$AD$15</x:f>
        <x:v>0.14</x:v>
      </x:c>
      <x:c r="C63" s="36" t="n">
        <x:f>'Assumptions'!$AE$15</x:f>
        <x:v>0.145</x:v>
      </x:c>
      <x:c r="D63" s="36" t="n">
        <x:f>'Assumptions'!$AF$15</x:f>
        <x:v>0.15</x:v>
      </x:c>
      <x:c r="E63" s="36" t="n">
        <x:f>'Assumptions'!$AG$15</x:f>
        <x:v>0.15</x:v>
      </x:c>
      <x:c r="F63" s="36" t="n">
        <x:f>'Assumptions'!$AH$15</x:f>
        <x:v>0.15</x:v>
      </x:c>
      <x:c r="G63" s="22" t="n">
        <x:f>$F$63</x:f>
        <x:v>0.15</x:v>
      </x:c>
      <x:c r="H63" s="22" t="n">
        <x:f>$F$63</x:f>
        <x:v>0.15</x:v>
      </x:c>
      <x:c r="I63" s="22" t="n">
        <x:f>$F$63</x:f>
        <x:v>0.15</x:v>
      </x:c>
      <x:c r="J63" s="22" t="n">
        <x:f>$F$63</x:f>
        <x:v>0.15</x:v>
      </x:c>
      <x:c r="K63" s="22" t="n">
        <x:f>$F$63</x:f>
        <x:v>0.15</x:v>
      </x:c>
    </x:row>
    <x:row r="64" ht="23" customHeight="1">
      <x:c r="A64" t="str">
        <x:v>Overhead growth</x:v>
      </x:c>
      <x:c r="B64" s="36" t="n">
        <x:f>'Assumptions'!$AI$15</x:f>
        <x:v>0.05</x:v>
      </x:c>
      <x:c r="C64" s="36" t="n">
        <x:f>'Assumptions'!$AJ$15</x:f>
        <x:v>0.05</x:v>
      </x:c>
      <x:c r="D64" s="36" t="n">
        <x:f>'Assumptions'!$AK$15</x:f>
        <x:v>0.05</x:v>
      </x:c>
      <x:c r="E64" s="36" t="n">
        <x:f>'Assumptions'!$AL$15</x:f>
        <x:v>0.05</x:v>
      </x:c>
      <x:c r="F64" s="36" t="n">
        <x:f>'Assumptions'!$AM$15</x:f>
        <x:v>0.05</x:v>
      </x:c>
      <x:c r="G64" s="22" t="n">
        <x:f>$F$70+('Assumptions'!$D$15-$F$70)*(G$59-$F$59)/($K$59-$F$59)</x:f>
        <x:v>0.10255761250773604</x:v>
      </x:c>
      <x:c r="H64" s="22" t="n">
        <x:f>$F$70+('Assumptions'!$D$15-$F$70)*(H$59-$F$59)/($K$59-$F$59)</x:f>
        <x:v>0.08441820938080204</x:v>
      </x:c>
      <x:c r="I64" s="22" t="n">
        <x:f>$F$70+('Assumptions'!$D$15-$F$70)*(I$59-$F$59)/($K$59-$F$59)</x:f>
        <x:v>0.06627880625386802</x:v>
      </x:c>
      <x:c r="J64" s="22" t="n">
        <x:f>$F$70+('Assumptions'!$D$15-$F$70)*(J$59-$F$59)/($K$59-$F$59)</x:f>
        <x:v>0.048139403126934016</x:v>
      </x:c>
      <x:c r="K64" s="22" t="n">
        <x:f>$F$70+('Assumptions'!$D$15-$F$70)*(K$59-$F$59)/($K$59-$F$59)</x:f>
        <x:v>0.03</x:v>
      </x:c>
    </x:row>
    <x:row r="65" ht="23" customHeight="1">
      <x:c r="A65" t="str">
        <x:v>Capex / revenue</x:v>
      </x:c>
      <x:c r="B65" s="36" t="n">
        <x:f>'Assumptions'!$AN$15</x:f>
        <x:v>0.065</x:v>
      </x:c>
      <x:c r="C65" s="36" t="n">
        <x:f>'Assumptions'!$AO$15</x:f>
        <x:v>0.06</x:v>
      </x:c>
      <x:c r="D65" s="36" t="n">
        <x:f>'Assumptions'!$AP$15</x:f>
        <x:v>0.055</x:v>
      </x:c>
      <x:c r="E65" s="36" t="n">
        <x:f>'Assumptions'!$AQ$15</x:f>
        <x:v>0.05</x:v>
      </x:c>
      <x:c r="F65" s="36" t="n">
        <x:f>'Assumptions'!$AR$15</x:f>
        <x:v>0.045</x:v>
      </x:c>
      <x:c r="G65" s="22" t="n">
        <x:f>$F$65</x:f>
        <x:v>0.045</x:v>
      </x:c>
      <x:c r="H65" s="22" t="n">
        <x:f>$F$65</x:f>
        <x:v>0.045</x:v>
      </x:c>
      <x:c r="I65" s="22" t="n">
        <x:f>$F$65</x:f>
        <x:v>0.045</x:v>
      </x:c>
      <x:c r="J65" s="22" t="n">
        <x:f>$F$65</x:f>
        <x:v>0.045</x:v>
      </x:c>
      <x:c r="K65" s="22" t="n">
        <x:f>$F$65</x:f>
        <x:v>0.045</x:v>
      </x:c>
    </x:row>
    <x:row r="66" ht="23" customHeight="1"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</x:row>
    <x:row r="67" ht="23" customHeight="1">
      <x:c r="A67" t="str">
        <x:v>Primary revenue</x:v>
      </x:c>
      <x:c r="B67" s="34" t="n">
        <x:f>'Inputs'!$F$24*(1+B60)</x:f>
        <x:v>1993.992</x:v>
      </x:c>
      <x:c r="C67" s="34" t="n">
        <x:f>B67*(1+C60)</x:f>
        <x:v>2552.30976</x:v>
      </x:c>
      <x:c r="D67" s="34" t="n">
        <x:f>C67*(1+D60)</x:f>
        <x:v>3139.3410048</x:v>
      </x:c>
      <x:c r="E67" s="34" t="n">
        <x:f>D67*(1+E60)</x:f>
        <x:v>3704.422385664</x:v>
      </x:c>
      <x:c r="F67" s="34" t="n">
        <x:f>E67*(1+F60)</x:f>
        <x:v>4260.0857435135995</x:v>
      </x:c>
      <x:c r="G67" s="34" t="n">
        <x:f>F67*(1+G60)</x:f>
        <x:v>4696.989966446598</x:v>
      </x:c>
      <x:c r="H67" s="34" t="n">
        <x:f>G67*(1+H60)</x:f>
        <x:v>5093.501448893614</x:v>
      </x:c>
      <x:c r="I67" s="34" t="n">
        <x:f>H67*(1+I60)</x:f>
        <x:v>5431.09264457863</x:v>
      </x:c>
      <x:c r="J67" s="34" t="n">
        <x:f>I67*(1+J60)</x:f>
        <x:v>5692.542202815726</x:v>
      </x:c>
      <x:c r="K67" s="34" t="n">
        <x:f>J67*(1+K60)</x:f>
        <x:v>5863.318468900198</x:v>
      </x:c>
    </x:row>
    <x:row r="68" ht="23" customHeight="1">
      <x:c r="A68" t="str">
        <x:v>Secondary revenue</x:v>
      </x:c>
      <x:c r="B68" s="34" t="n">
        <x:f>'Inputs'!$F$25*(1+B61)</x:f>
        <x:v>1151.0400000000002</x:v>
      </x:c>
      <x:c r="C68" s="34" t="n">
        <x:f>B68*(1+C61)</x:f>
        <x:v>1220.1024000000002</x:v>
      </x:c>
      <x:c r="D68" s="34" t="n">
        <x:f>C68*(1+D61)</x:f>
        <x:v>1281.1075200000002</x:v>
      </x:c>
      <x:c r="E68" s="34" t="n">
        <x:f>D68*(1+E61)</x:f>
        <x:v>1345.1628960000003</x:v>
      </x:c>
      <x:c r="F68" s="34" t="n">
        <x:f>E68*(1+F61)</x:f>
        <x:v>1398.9694118400002</x:v>
      </x:c>
      <x:c r="G68" s="34" t="n">
        <x:f>F68*(1+G61)</x:f>
        <x:v>1542.4443746896625</x:v>
      </x:c>
      <x:c r="H68" s="34" t="n">
        <x:f>G68*(1+H61)</x:f>
        <x:v>1672.6547668704548</x:v>
      </x:c>
      <x:c r="I68" s="34" t="n">
        <x:f>H68*(1+I61)</x:f>
        <x:v>1783.5163280934703</x:v>
      </x:c>
      <x:c r="J68" s="34" t="n">
        <x:f>I68*(1+J61)</x:f>
        <x:v>1869.3737395950309</x:v>
      </x:c>
      <x:c r="K68" s="34" t="n">
        <x:f>J68*(1+K61)</x:f>
        <x:v>1925.4549517828818</x:v>
      </x:c>
    </x:row>
    <x:row r="69" ht="23" customHeight="1">
      <x:c r="A69" s="31" t="str">
        <x:v>Total economic revenue</x:v>
      </x:c>
      <x:c r="B69" s="40" t="n">
        <x:f>SUM(B67:B68)</x:f>
        <x:v>3145.032</x:v>
      </x:c>
      <x:c r="C69" s="40" t="n">
        <x:f>SUM(C67:C68)</x:f>
        <x:v>3772.4121600000003</x:v>
      </x:c>
      <x:c r="D69" s="40" t="n">
        <x:f>SUM(D67:D68)</x:f>
        <x:v>4420.4485248</x:v>
      </x:c>
      <x:c r="E69" s="40" t="n">
        <x:f>SUM(E67:E68)</x:f>
        <x:v>5049.585281664</x:v>
      </x:c>
      <x:c r="F69" s="40" t="n">
        <x:f>SUM(F67:F68)</x:f>
        <x:v>5659.0551553536</x:v>
      </x:c>
      <x:c r="G69" s="40" t="n">
        <x:f>SUM(G67:G68)</x:f>
        <x:v>6239.434341136261</x:v>
      </x:c>
      <x:c r="H69" s="40" t="n">
        <x:f>SUM(H67:H68)</x:f>
        <x:v>6766.156215764069</x:v>
      </x:c>
      <x:c r="I69" s="40" t="n">
        <x:f>SUM(I67:I68)</x:f>
        <x:v>7214.6089726721</x:v>
      </x:c>
      <x:c r="J69" s="40" t="n">
        <x:f>SUM(J67:J68)</x:f>
        <x:v>7561.915942410757</x:v>
      </x:c>
      <x:c r="K69" s="40" t="n">
        <x:f>SUM(K67:K68)</x:f>
        <x:v>7788.77342068308</x:v>
      </x:c>
    </x:row>
    <x:row r="70" ht="23" customHeight="1">
      <x:c r="A70" t="str">
        <x:v>Revenue growth</x:v>
      </x:c>
      <x:c r="B70" s="22" t="n">
        <x:f>B69/'Inputs'!$F$14-1</x:f>
        <x:v>0.28852507374631275</x:v>
      </x:c>
      <x:c r="C70" s="22" t="n">
        <x:f>C69/B69-1</x:f>
        <x:v>0.1994829178208679</x:v>
      </x:c>
      <x:c r="D70" s="22" t="n">
        <x:f>D69/C69-1</x:f>
        <x:v>0.17178302298760473</x:v>
      </x:c>
      <x:c r="E70" s="22" t="n">
        <x:f>E69/D69-1</x:f>
        <x:v>0.142324190256794</x:v>
      </x:c>
      <x:c r="F70" s="22" t="n">
        <x:f>F69/E69-1</x:f>
        <x:v>0.12069701563467006</x:v>
      </x:c>
      <x:c r="G70" s="22" t="n">
        <x:f>G69/F69-1</x:f>
        <x:v>0.1025576125077361</x:v>
      </x:c>
      <x:c r="H70" s="22" t="n">
        <x:f>H69/G69-1</x:f>
        <x:v>0.08441820938080213</x:v>
      </x:c>
      <x:c r="I70" s="22" t="n">
        <x:f>I69/H69-1</x:f>
        <x:v>0.06627880625386795</x:v>
      </x:c>
      <x:c r="J70" s="22" t="n">
        <x:f>J69/I69-1</x:f>
        <x:v>0.04813940312693399</x:v>
      </x:c>
      <x:c r="K70" s="22" t="n">
        <x:f>K69/J69-1</x:f>
        <x:v>0.030000000000000027</x:v>
      </x:c>
    </x:row>
    <x:row r="71" ht="23" customHeight="1">
      <x:c r="A71" t="str">
        <x:v>Primary profit pool</x:v>
      </x:c>
      <x:c r="B71" s="34" t="n">
        <x:f>B67*B62</x:f>
        <x:v>358.91855999999996</x:v>
      </x:c>
      <x:c r="C71" s="34" t="n">
        <x:f>C67*C62</x:f>
        <x:v>510.46195200000005</x:v>
      </x:c>
      <x:c r="D71" s="34" t="n">
        <x:f>D67*D62</x:f>
        <x:v>674.958316032</x:v>
      </x:c>
      <x:c r="E71" s="34" t="n">
        <x:f>E67*E62</x:f>
        <x:v>814.97292484608</x:v>
      </x:c>
      <x:c r="F71" s="34" t="n">
        <x:f>F67*F62</x:f>
        <x:v>937.2188635729918</x:v>
      </x:c>
      <x:c r="G71" s="34" t="n">
        <x:f>G67*G62</x:f>
        <x:v>1033.3377926182516</x:v>
      </x:c>
      <x:c r="H71" s="34" t="n">
        <x:f>H67*H62</x:f>
        <x:v>1120.570318756595</x:v>
      </x:c>
      <x:c r="I71" s="34" t="n">
        <x:f>I67*I62</x:f>
        <x:v>1194.8403818072986</x:v>
      </x:c>
      <x:c r="J71" s="34" t="n">
        <x:f>J67*J62</x:f>
        <x:v>1252.35928461946</x:v>
      </x:c>
      <x:c r="K71" s="34" t="n">
        <x:f>K67*K62</x:f>
        <x:v>1289.9300631580436</x:v>
      </x:c>
    </x:row>
    <x:row r="72" ht="23" customHeight="1">
      <x:c r="A72" t="str">
        <x:v>Secondary profit pool</x:v>
      </x:c>
      <x:c r="B72" s="34" t="n">
        <x:f>B68*B63</x:f>
        <x:v>161.14560000000003</x:v>
      </x:c>
      <x:c r="C72" s="34" t="n">
        <x:f>C68*C63</x:f>
        <x:v>176.914848</x:v>
      </x:c>
      <x:c r="D72" s="34" t="n">
        <x:f>D68*D63</x:f>
        <x:v>192.16612800000004</x:v>
      </x:c>
      <x:c r="E72" s="34" t="n">
        <x:f>E68*E63</x:f>
        <x:v>201.77443440000005</x:v>
      </x:c>
      <x:c r="F72" s="34" t="n">
        <x:f>F68*F63</x:f>
        <x:v>209.84541177600002</x:v>
      </x:c>
      <x:c r="G72" s="34" t="n">
        <x:f>G68*G63</x:f>
        <x:v>231.36665620344937</x:v>
      </x:c>
      <x:c r="H72" s="34" t="n">
        <x:f>H68*H63</x:f>
        <x:v>250.8982150305682</x:v>
      </x:c>
      <x:c r="I72" s="34" t="n">
        <x:f>I68*I63</x:f>
        <x:v>267.5274492140205</x:v>
      </x:c>
      <x:c r="J72" s="34" t="n">
        <x:f>J68*J63</x:f>
        <x:v>280.40606093925464</x:v>
      </x:c>
      <x:c r="K72" s="34" t="n">
        <x:f>K68*K63</x:f>
        <x:v>288.81824276743225</x:v>
      </x:c>
    </x:row>
    <x:row r="73" ht="23" customHeight="1">
      <x:c r="A73" t="str">
        <x:v>Less: overhead / corporate</x:v>
      </x:c>
      <x:c r="B73" s="34" t="n">
        <x:f>-'Inputs'!$F$26*(1+B64)</x:f>
        <x:v>-96.60000000000001</x:v>
      </x:c>
      <x:c r="C73" s="34" t="n">
        <x:f>B73*(1+C64)</x:f>
        <x:v>-101.43</x:v>
      </x:c>
      <x:c r="D73" s="34" t="n">
        <x:f>C73*(1+D64)</x:f>
        <x:v>-106.50150000000001</x:v>
      </x:c>
      <x:c r="E73" s="34" t="n">
        <x:f>D73*(1+E64)</x:f>
        <x:v>-111.826575</x:v>
      </x:c>
      <x:c r="F73" s="34" t="n">
        <x:f>E73*(1+F64)</x:f>
        <x:v>-117.41790375000001</x:v>
      </x:c>
      <x:c r="G73" s="34" t="n">
        <x:f>F73*(1+G64)</x:f>
        <x:v>-129.46000362426315</x:v>
      </x:c>
      <x:c r="H73" s="34" t="n">
        <x:f>G73*(1+H64)</x:f>
        <x:v>-140.3887853166556</x:v>
      </x:c>
      <x:c r="I73" s="34" t="n">
        <x:f>H73*(1+I64)</x:f>
        <x:v>-149.69358641887408</x:v>
      </x:c>
      <x:c r="J73" s="34" t="n">
        <x:f>I73*(1+J64)</x:f>
        <x:v>-156.8997463210088</x:v>
      </x:c>
      <x:c r="K73" s="34" t="n">
        <x:f>J73*(1+K64)</x:f>
        <x:v>-161.60673871063906</x:v>
      </x:c>
    </x:row>
    <x:row r="74" ht="23" customHeight="1">
      <x:c r="A74" t="str">
        <x:v>Additional fee profit</x:v>
      </x:c>
      <x:c r="B74" s="34" t="n">
        <x:f>0</x:f>
        <x:v>0</x:v>
      </x:c>
      <x:c r="C74" s="34" t="n">
        <x:f>0</x:f>
        <x:v>0</x:v>
      </x:c>
      <x:c r="D74" s="34" t="n">
        <x:f>0</x:f>
        <x:v>0</x:v>
      </x:c>
      <x:c r="E74" s="34" t="n">
        <x:f>0</x:f>
        <x:v>0</x:v>
      </x:c>
      <x:c r="F74" s="34" t="n">
        <x:f>0</x:f>
        <x:v>0</x:v>
      </x:c>
      <x:c r="G74" s="34" t="n">
        <x:f>0</x:f>
        <x:v>0</x:v>
      </x:c>
      <x:c r="H74" s="34" t="n">
        <x:f>0</x:f>
        <x:v>0</x:v>
      </x:c>
      <x:c r="I74" s="34" t="n">
        <x:f>0</x:f>
        <x:v>0</x:v>
      </x:c>
      <x:c r="J74" s="34" t="n">
        <x:f>0</x:f>
        <x:v>0</x:v>
      </x:c>
      <x:c r="K74" s="34" t="n">
        <x:f>0</x:f>
        <x:v>0</x:v>
      </x:c>
    </x:row>
    <x:row r="75" ht="23" customHeight="1">
      <x:c r="A75" s="31" t="str">
        <x:v>Operating income after recurring SBC</x:v>
      </x:c>
      <x:c r="B75" s="40" t="n">
        <x:f>SUM(B71:B74)</x:f>
        <x:v>423.46416</x:v>
      </x:c>
      <x:c r="C75" s="40" t="n">
        <x:f>SUM(C71:C74)</x:f>
        <x:v>585.9467999999999</x:v>
      </x:c>
      <x:c r="D75" s="40" t="n">
        <x:f>SUM(D71:D74)</x:f>
        <x:v>760.6229440320001</x:v>
      </x:c>
      <x:c r="E75" s="40" t="n">
        <x:f>SUM(E71:E74)</x:f>
        <x:v>904.92078424608</x:v>
      </x:c>
      <x:c r="F75" s="40" t="n">
        <x:f>SUM(F71:F74)</x:f>
        <x:v>1029.646371598992</x:v>
      </x:c>
      <x:c r="G75" s="40" t="n">
        <x:f>SUM(G71:G74)</x:f>
        <x:v>1135.2444451974377</x:v>
      </x:c>
      <x:c r="H75" s="40" t="n">
        <x:f>SUM(H71:H74)</x:f>
        <x:v>1231.0797484705076</x:v>
      </x:c>
      <x:c r="I75" s="40" t="n">
        <x:f>SUM(I71:I74)</x:f>
        <x:v>1312.674244602445</x:v>
      </x:c>
      <x:c r="J75" s="40" t="n">
        <x:f>SUM(J71:J74)</x:f>
        <x:v>1375.865599237706</x:v>
      </x:c>
      <x:c r="K75" s="40" t="n">
        <x:f>SUM(K71:K74)</x:f>
        <x:v>1417.1415672148369</x:v>
      </x:c>
    </x:row>
    <x:row r="76" ht="23" customHeight="1">
      <x:c r="A76" t="str">
        <x:v>Operating margin</x:v>
      </x:c>
      <x:c r="B76" s="22" t="n">
        <x:f>B75/B69</x:f>
        <x:v>0.13464542173179794</x:v>
      </x:c>
      <x:c r="C76" s="22" t="n">
        <x:f>C75/C69</x:f>
        <x:v>0.15532417327379197</x:v>
      </x:c>
      <x:c r="D76" s="22" t="n">
        <x:f>D75/D69</x:f>
        <x:v>0.17206917799510263</x:v>
      </x:c>
      <x:c r="E76" s="22" t="n">
        <x:f>E75/E69</x:f>
        <x:v>0.17920695141678636</x:v>
      </x:c>
      <x:c r="F76" s="22" t="n">
        <x:f>F75/F69</x:f>
        <x:v>0.1819466931021024</x:v>
      </x:c>
      <x:c r="G76" s="22" t="n">
        <x:f>G75/G69</x:f>
        <x:v>0.1819466931021024</x:v>
      </x:c>
      <x:c r="H76" s="22" t="n">
        <x:f>H75/H69</x:f>
        <x:v>0.1819466931021024</x:v>
      </x:c>
      <x:c r="I76" s="22" t="n">
        <x:f>I75/I69</x:f>
        <x:v>0.1819466931021024</x:v>
      </x:c>
      <x:c r="J76" s="22" t="n">
        <x:f>J75/J69</x:f>
        <x:v>0.18194669310210246</x:v>
      </x:c>
      <x:c r="K76" s="22" t="n">
        <x:f>K75/K69</x:f>
        <x:v>0.18194669310210243</x:v>
      </x:c>
    </x:row>
    <x:row r="77" ht="23" customHeight="1">
      <x:c r="A77" t="str">
        <x:v>After-tax operating profit</x:v>
      </x:c>
      <x:c r="B77" s="34" t="n">
        <x:f>B75*(1-'Assumptions'!$F$15)</x:f>
        <x:v>317.59812</x:v>
      </x:c>
      <x:c r="C77" s="34" t="n">
        <x:f>C75*(1-'Assumptions'!$F$15)</x:f>
        <x:v>439.46009999999995</x:v>
      </x:c>
      <x:c r="D77" s="34" t="n">
        <x:f>D75*(1-'Assumptions'!$F$15)</x:f>
        <x:v>570.467208024</x:v>
      </x:c>
      <x:c r="E77" s="34" t="n">
        <x:f>E75*(1-'Assumptions'!$F$15)</x:f>
        <x:v>678.6905881845599</x:v>
      </x:c>
      <x:c r="F77" s="34" t="n">
        <x:f>F75*(1-'Assumptions'!$F$15)</x:f>
        <x:v>772.2347786992439</x:v>
      </x:c>
      <x:c r="G77" s="34" t="n">
        <x:f>G75*(1-'Assumptions'!$F$15)</x:f>
        <x:v>851.4333338980782</x:v>
      </x:c>
      <x:c r="H77" s="34" t="n">
        <x:f>H75*(1-'Assumptions'!$F$15)</x:f>
        <x:v>923.3098113528807</x:v>
      </x:c>
      <x:c r="I77" s="34" t="n">
        <x:f>I75*(1-'Assumptions'!$F$15)</x:f>
        <x:v>984.5056834518338</x:v>
      </x:c>
      <x:c r="J77" s="34" t="n">
        <x:f>J75*(1-'Assumptions'!$F$15)</x:f>
        <x:v>1031.8991994282794</x:v>
      </x:c>
      <x:c r="K77" s="34" t="n">
        <x:f>K75*(1-'Assumptions'!$F$15)</x:f>
        <x:v>1062.8561754111277</x:v>
      </x:c>
    </x:row>
    <x:row r="78" ht="23" customHeight="1">
      <x:c r="A78" t="str">
        <x:v>Add: depreciation &amp; amortization</x:v>
      </x:c>
      <x:c r="B78" s="34" t="n">
        <x:f>B69*'Assumptions'!$G$15</x:f>
        <x:v>94.35096</x:v>
      </x:c>
      <x:c r="C78" s="34" t="n">
        <x:f>C69*'Assumptions'!$G$15</x:f>
        <x:v>113.17236480000001</x:v>
      </x:c>
      <x:c r="D78" s="34" t="n">
        <x:f>D69*'Assumptions'!$G$15</x:f>
        <x:v>132.613455744</x:v>
      </x:c>
      <x:c r="E78" s="34" t="n">
        <x:f>E69*'Assumptions'!$G$15</x:f>
        <x:v>151.48755844992</x:v>
      </x:c>
      <x:c r="F78" s="34" t="n">
        <x:f>F69*'Assumptions'!$G$15</x:f>
        <x:v>169.771654660608</x:v>
      </x:c>
      <x:c r="G78" s="34" t="n">
        <x:f>G69*'Assumptions'!$G$15</x:f>
        <x:v>187.18303023408782</x:v>
      </x:c>
      <x:c r="H78" s="34" t="n">
        <x:f>H69*'Assumptions'!$G$15</x:f>
        <x:v>202.98468647292208</x:v>
      </x:c>
      <x:c r="I78" s="34" t="n">
        <x:f>I69*'Assumptions'!$G$15</x:f>
        <x:v>216.438269180163</x:v>
      </x:c>
      <x:c r="J78" s="34" t="n">
        <x:f>J69*'Assumptions'!$G$15</x:f>
        <x:v>226.8574782723227</x:v>
      </x:c>
      <x:c r="K78" s="34" t="n">
        <x:f>K69*'Assumptions'!$G$15</x:f>
        <x:v>233.6632026204924</x:v>
      </x:c>
    </x:row>
    <x:row r="79" ht="23" customHeight="1">
      <x:c r="A79" t="str">
        <x:v>Less: investment incl. software</x:v>
      </x:c>
      <x:c r="B79" s="34" t="n">
        <x:f>-B69*B65</x:f>
        <x:v>-204.42708000000002</x:v>
      </x:c>
      <x:c r="C79" s="34" t="n">
        <x:f>-C69*C65</x:f>
        <x:v>-226.34472960000002</x:v>
      </x:c>
      <x:c r="D79" s="34" t="n">
        <x:f>-D69*D65</x:f>
        <x:v>-243.124668864</x:v>
      </x:c>
      <x:c r="E79" s="34" t="n">
        <x:f>-E69*E65</x:f>
        <x:v>-252.4792640832</x:v>
      </x:c>
      <x:c r="F79" s="34" t="n">
        <x:f>-F69*F65</x:f>
        <x:v>-254.65748199091198</x:v>
      </x:c>
      <x:c r="G79" s="34" t="n">
        <x:f>-G69*G65</x:f>
        <x:v>-280.77454535113174</x:v>
      </x:c>
      <x:c r="H79" s="34" t="n">
        <x:f>-H69*H65</x:f>
        <x:v>-304.4770297093831</x:v>
      </x:c>
      <x:c r="I79" s="34" t="n">
        <x:f>-I69*I65</x:f>
        <x:v>-324.6574037702445</x:v>
      </x:c>
      <x:c r="J79" s="34" t="n">
        <x:f>-J69*J65</x:f>
        <x:v>-340.28621740848405</x:v>
      </x:c>
      <x:c r="K79" s="34" t="n">
        <x:f>-K69*K65</x:f>
        <x:v>-350.4948039307386</x:v>
      </x:c>
    </x:row>
    <x:row r="80" ht="23" customHeight="1">
      <x:c r="A80" t="str">
        <x:v>Less: incremental working capital</x:v>
      </x:c>
      <x:c r="B80" s="34" t="n">
        <x:f>-(B69-'Inputs'!$F$14)*'Assumptions'!$H$15</x:f>
        <x:v>-105.6348</x:v>
      </x:c>
      <x:c r="C80" s="34" t="n">
        <x:f>-(C69-B69)*'Assumptions'!$H$15</x:f>
        <x:v>-94.10702400000002</x:v>
      </x:c>
      <x:c r="D80" s="34" t="n">
        <x:f>-(D69-C69)*'Assumptions'!$H$15</x:f>
        <x:v>-97.20545471999996</x:v>
      </x:c>
      <x:c r="E80" s="34" t="n">
        <x:f>-(E69-D69)*'Assumptions'!$H$15</x:f>
        <x:v>-94.37051352959998</x:v>
      </x:c>
      <x:c r="F80" s="34" t="n">
        <x:f>-(F69-E69)*'Assumptions'!$H$15</x:f>
        <x:v>-91.42048105343997</x:v>
      </x:c>
      <x:c r="G80" s="34" t="n">
        <x:f>-(G69-F69)*'Assumptions'!$H$15</x:f>
        <x:v>-87.05687786739914</x:v>
      </x:c>
      <x:c r="H80" s="34" t="n">
        <x:f>-(H69-G69)*'Assumptions'!$H$15</x:f>
        <x:v>-79.00828119417129</x:v>
      </x:c>
      <x:c r="I80" s="34" t="n">
        <x:f>-(I69-H69)*'Assumptions'!$H$15</x:f>
        <x:v>-67.26791353620465</x:v>
      </x:c>
      <x:c r="J80" s="34" t="n">
        <x:f>-(J69-I69)*'Assumptions'!$H$15</x:f>
        <x:v>-52.096045460798585</x:v>
      </x:c>
      <x:c r="K80" s="34" t="n">
        <x:f>-(K69-J69)*'Assumptions'!$H$15</x:f>
        <x:v>-34.02862174084839</x:v>
      </x:c>
    </x:row>
    <x:row r="81" ht="23" customHeight="1">
      <x:c r="A81" t="str">
        <x:v>Less: specified cash shock</x:v>
      </x:c>
      <x:c r="B81" s="34" t="n">
        <x:f>-'Assumptions'!$I$15</x:f>
        <x:v>0</x:v>
      </x:c>
      <x:c r="C81" s="34" t="n">
        <x:f>0</x:f>
        <x:v>0</x:v>
      </x:c>
      <x:c r="D81" s="34" t="n">
        <x:f>0</x:f>
        <x:v>0</x:v>
      </x:c>
      <x:c r="E81" s="34" t="n">
        <x:f>0</x:f>
        <x:v>0</x:v>
      </x:c>
      <x:c r="F81" s="34" t="n">
        <x:f>0</x:f>
        <x:v>0</x:v>
      </x:c>
      <x:c r="G81" s="34" t="n">
        <x:f>0</x:f>
        <x:v>0</x:v>
      </x:c>
      <x:c r="H81" s="34" t="n">
        <x:f>0</x:f>
        <x:v>0</x:v>
      </x:c>
      <x:c r="I81" s="34" t="n">
        <x:f>0</x:f>
        <x:v>0</x:v>
      </x:c>
      <x:c r="J81" s="34" t="n">
        <x:f>0</x:f>
        <x:v>0</x:v>
      </x:c>
      <x:c r="K81" s="34" t="n">
        <x:f>0</x:f>
        <x:v>0</x:v>
      </x:c>
    </x:row>
    <x:row r="82" ht="23" customHeight="1">
      <x:c r="A82" s="31" t="str">
        <x:v>Owner-economic unlevered cash flow</x:v>
      </x:c>
      <x:c r="B82" s="40" t="n">
        <x:f>SUM(B77:B81)</x:f>
        <x:v>101.88719999999996</x:v>
      </x:c>
      <x:c r="C82" s="40" t="n">
        <x:f>SUM(C77:C81)</x:f>
        <x:v>232.1807111999999</x:v>
      </x:c>
      <x:c r="D82" s="40" t="n">
        <x:f>SUM(D77:D81)</x:f>
        <x:v>362.75054018400004</x:v>
      </x:c>
      <x:c r="E82" s="40" t="n">
        <x:f>SUM(E77:E81)</x:f>
        <x:v>483.3283690216799</x:v>
      </x:c>
      <x:c r="F82" s="40" t="n">
        <x:f>SUM(F77:F81)</x:f>
        <x:v>595.9284703154999</x:v>
      </x:c>
      <x:c r="G82" s="40" t="n">
        <x:f>SUM(G77:G81)</x:f>
        <x:v>670.784940913635</x:v>
      </x:c>
      <x:c r="H82" s="40" t="n">
        <x:f>SUM(H77:H81)</x:f>
        <x:v>742.8091869222485</x:v>
      </x:c>
      <x:c r="I82" s="40" t="n">
        <x:f>SUM(I77:I81)</x:f>
        <x:v>809.0186353255476</x:v>
      </x:c>
      <x:c r="J82" s="40" t="n">
        <x:f>SUM(J77:J81)</x:f>
        <x:v>866.3744148313194</x:v>
      </x:c>
      <x:c r="K82" s="40" t="n">
        <x:f>SUM(K77:K81)</x:f>
        <x:v>911.9959523600331</x:v>
      </x:c>
    </x:row>
    <x:row r="83" ht="23" customHeight="1">
      <x:c r="A83" t="str">
        <x:v>Discount factor</x:v>
      </x:c>
      <x:c r="B83" s="22" t="n">
        <x:f>1/(1+'Assumptions'!$C$15)^B$59</x:f>
        <x:v>0.9049773755656109</x:v>
      </x:c>
      <x:c r="C83" s="22" t="n">
        <x:f>1/(1+'Assumptions'!$C$15)^C$59</x:f>
        <x:v>0.8189840502856207</x:v>
      </x:c>
      <x:c r="D83" s="22" t="n">
        <x:f>1/(1+'Assumptions'!$C$15)^D$59</x:f>
        <x:v>0.7411620364575753</x:v>
      </x:c>
      <x:c r="E83" s="22" t="n">
        <x:f>1/(1+'Assumptions'!$C$15)^E$59</x:f>
        <x:v>0.67073487462224</x:v>
      </x:c>
      <x:c r="F83" s="22" t="n">
        <x:f>1/(1+'Assumptions'!$C$15)^F$59</x:f>
        <x:v>0.6069998865359638</x:v>
      </x:c>
      <x:c r="G83" s="22" t="n">
        <x:f>1/(1+'Assumptions'!$C$15)^G$59</x:f>
        <x:v>0.54932116428594</x:v>
      </x:c>
      <x:c r="H83" s="22" t="n">
        <x:f>1/(1+'Assumptions'!$C$15)^H$59</x:f>
        <x:v>0.4971232255981358</x:v>
      </x:c>
      <x:c r="I83" s="22" t="n">
        <x:f>1/(1+'Assumptions'!$C$15)^I$59</x:f>
        <x:v>0.44988527203451206</x:v>
      </x:c>
      <x:c r="J83" s="22" t="n">
        <x:f>1/(1+'Assumptions'!$C$15)^J$59</x:f>
        <x:v>0.40713599279141366</x:v>
      </x:c>
      <x:c r="K83" s="22" t="n">
        <x:f>1/(1+'Assumptions'!$C$15)^K$59</x:f>
        <x:v>0.36844886225467294</x:v>
      </x:c>
    </x:row>
    <x:row r="84" ht="23" customHeight="1">
      <x:c r="A84" s="31" t="str">
        <x:v>Present value</x:v>
      </x:c>
      <x:c r="B84" s="40" t="n">
        <x:f>B82*B83</x:f>
        <x:v>92.20561085972848</x:v>
      </x:c>
      <x:c r="C84" s="40" t="n">
        <x:f>C82*C83</x:f>
        <x:v>190.1522992567719</x:v>
      </x:c>
      <x:c r="D84" s="40" t="n">
        <x:f>D82*D83</x:f>
        <x:v>268.856929088859</x:v>
      </x:c>
      <x:c r="E84" s="40" t="n">
        <x:f>E82*E83</x:f>
        <x:v>324.18519299712824</x:v>
      </x:c>
      <x:c r="F84" s="40" t="n">
        <x:f>F82*F83</x:f>
        <x:v>361.7285138650589</x:v>
      </x:c>
      <x:c r="G84" s="40" t="n">
        <x:f>G82*G83</x:f>
        <x:v>368.47636472815344</x:v>
      </x:c>
      <x:c r="H84" s="40" t="n">
        <x:f>H82*H83</x:f>
        <x:v>369.2676990067168</x:v>
      </x:c>
      <x:c r="I84" s="40" t="n">
        <x:f>I82*I83</x:f>
        <x:v>363.9655688344237</x:v>
      </x:c>
      <x:c r="J84" s="40" t="n">
        <x:f>J82*J83</x:f>
        <x:v>352.7322075114293</x:v>
      </x:c>
      <x:c r="K84" s="40" t="n">
        <x:f>K82*K83</x:f>
        <x:v>336.02387102792113</x:v>
      </x:c>
    </x:row>
    <x:row r="85" ht="23" customHeight="1">
      <x:c r="A85" t="str">
        <x:v>Discount factor at 12%</x:v>
      </x:c>
      <x:c r="B85" s="22" t="n">
        <x:f>1/(1+'Controls'!$B$3)^B$59</x:f>
        <x:v>0.8928571428571428</x:v>
      </x:c>
      <x:c r="C85" s="22" t="n">
        <x:f>1/(1+'Controls'!$B$3)^C$59</x:f>
        <x:v>0.7971938775510203</x:v>
      </x:c>
      <x:c r="D85" s="22" t="n">
        <x:f>1/(1+'Controls'!$B$3)^D$59</x:f>
        <x:v>0.7117802478134109</x:v>
      </x:c>
      <x:c r="E85" s="22" t="n">
        <x:f>1/(1+'Controls'!$B$3)^E$59</x:f>
        <x:v>0.6355180784048312</x:v>
      </x:c>
      <x:c r="F85" s="22" t="n">
        <x:f>1/(1+'Controls'!$B$3)^F$59</x:f>
        <x:v>0.5674268557185992</x:v>
      </x:c>
      <x:c r="G85" s="22" t="n">
        <x:f>1/(1+'Controls'!$B$3)^G$59</x:f>
        <x:v>0.5066311211773207</x:v>
      </x:c>
      <x:c r="H85" s="22" t="n">
        <x:f>1/(1+'Controls'!$B$3)^H$59</x:f>
        <x:v>0.45234921533689343</x:v>
      </x:c>
      <x:c r="I85" s="22" t="n">
        <x:f>1/(1+'Controls'!$B$3)^I$59</x:f>
        <x:v>0.4038832279793691</x:v>
      </x:c>
      <x:c r="J85" s="22" t="n">
        <x:f>1/(1+'Controls'!$B$3)^J$59</x:f>
        <x:v>0.36061002498157957</x:v>
      </x:c>
      <x:c r="K85" s="22" t="n">
        <x:f>1/(1+'Controls'!$B$3)^K$59</x:f>
        <x:v>0.321973236590696</x:v>
      </x:c>
    </x:row>
    <x:row r="87" ht="25" customHeight="1">
      <x:c r="A87" t="str">
        <x:v>Year 11 after-tax operating profit</x:v>
      </x:c>
      <x:c r="B87" s="34" t="n">
        <x:f>K77*(1+'Assumptions'!$D$15)</x:f>
        <x:v>1094.7418606734616</x:v>
      </x:c>
    </x:row>
    <x:row r="88" ht="25" customHeight="1">
      <x:c r="A88" t="str">
        <x:v>Less: terminal reinvestment</x:v>
      </x:c>
      <x:c r="B88" s="34" t="n">
        <x:f>-B87*'Assumptions'!$D$15/'Assumptions'!$E$15</x:f>
        <x:v>-149.28298100092658</x:v>
      </x:c>
      <x:c r="D88" s="24" t="str">
        <x:v>This is an operating scenario, not a statistical confidence interval. Terminal growth requires reinvestment. Latest-quarter capital structure is not a complete September roll-forward. See company decision notes for remaining unknowns. MOD scenarios assume the transaction closes; WINA core revenue excludes offsetting fee programs.</x:v>
      </x:c>
      <x:c r="E88" s="24"/>
      <x:c r="F88" s="24"/>
      <x:c r="G88" s="24"/>
      <x:c r="H88" s="24"/>
      <x:c r="I88" s="24"/>
      <x:c r="J88" s="24"/>
      <x:c r="K88" s="24"/>
    </x:row>
    <x:row r="89" ht="25" customHeight="1">
      <x:c r="A89" t="str">
        <x:v>Terminal cash flow</x:v>
      </x:c>
      <x:c r="B89" s="34" t="n">
        <x:f>SUM(B87:B88)</x:f>
        <x:v>945.458879672535</x:v>
      </x:c>
      <x:c r="D89" s="24"/>
      <x:c r="E89" s="24"/>
      <x:c r="F89" s="24"/>
      <x:c r="G89" s="24"/>
      <x:c r="H89" s="24"/>
      <x:c r="I89" s="24"/>
      <x:c r="J89" s="24"/>
      <x:c r="K89" s="24"/>
    </x:row>
    <x:row r="90" ht="25" customHeight="1">
      <x:c r="A90" t="str">
        <x:v>Terminal operating value</x:v>
      </x:c>
      <x:c r="B90" s="34" t="n">
        <x:f>B89/('Assumptions'!$C$15-'Assumptions'!$D$15)</x:f>
        <x:v>12606.1183956338</x:v>
      </x:c>
      <x:c r="D90" s="24"/>
      <x:c r="E90" s="24"/>
      <x:c r="F90" s="24"/>
      <x:c r="G90" s="24"/>
      <x:c r="H90" s="24"/>
      <x:c r="I90" s="24"/>
      <x:c r="J90" s="24"/>
      <x:c r="K90" s="24"/>
    </x:row>
    <x:row r="91" ht="25" customHeight="1">
      <x:c r="A91" t="str">
        <x:v>PV terminal value</x:v>
      </x:c>
      <x:c r="B91" s="34" t="n">
        <x:f>B90*K83</x:f>
        <x:v>4644.709980318977</x:v>
      </x:c>
      <x:c r="D91" s="24"/>
      <x:c r="E91" s="24"/>
      <x:c r="F91" s="24"/>
      <x:c r="G91" s="24"/>
      <x:c r="H91" s="24"/>
      <x:c r="I91" s="24"/>
      <x:c r="J91" s="24"/>
      <x:c r="K91" s="24"/>
    </x:row>
    <x:row r="92" ht="25" customHeight="1">
      <x:c r="A92" t="str">
        <x:v>PV explicit forecast</x:v>
      </x:c>
      <x:c r="B92" s="34" t="n">
        <x:f>SUM(B84:K84)</x:f>
        <x:v>3027.5942571761907</x:v>
      </x:c>
      <x:c r="D92" s="24"/>
      <x:c r="E92" s="24"/>
      <x:c r="F92" s="24"/>
      <x:c r="G92" s="24"/>
      <x:c r="H92" s="24"/>
      <x:c r="I92" s="24"/>
      <x:c r="J92" s="24"/>
      <x:c r="K92" s="24"/>
    </x:row>
    <x:row r="93" ht="25" customHeight="1">
      <x:c r="A93" s="84" t="str">
        <x:v>Operating enterprise value</x:v>
      </x:c>
      <x:c r="B93" s="85" t="n">
        <x:f>SUM(B91:B92)</x:f>
        <x:v>7672.304237495167</x:v>
      </x:c>
      <x:c r="D93" s="24"/>
      <x:c r="E93" s="24"/>
      <x:c r="F93" s="24"/>
      <x:c r="G93" s="24"/>
      <x:c r="H93" s="24"/>
      <x:c r="I93" s="24"/>
      <x:c r="J93" s="24"/>
      <x:c r="K93" s="24"/>
    </x:row>
    <x:row r="94" ht="25" customHeight="1">
      <x:c r="A94" t="str">
        <x:v>Cash / claims / transaction bridge</x:v>
      </x:c>
      <x:c r="B94" s="34" t="n">
        <x:f>'Inputs'!$F$6-'Inputs'!$F$7-'Inputs'!$F$9-'Inputs'!$F$10-'Inputs'!$F$11+'Inputs'!$F$12*'Inputs'!$F$13+'Inputs'!$F$27+'Inputs'!$F$28*'Inputs'!$F$29*'Assumptions'!$K$15-'Inputs'!$F$30</x:f>
        <x:v>553.5</x:v>
      </x:c>
      <x:c r="D94" s="24"/>
      <x:c r="E94" s="24"/>
      <x:c r="F94" s="24"/>
      <x:c r="G94" s="24"/>
      <x:c r="H94" s="24"/>
      <x:c r="I94" s="24"/>
      <x:c r="J94" s="24"/>
      <x:c r="K94" s="24"/>
    </x:row>
    <x:row r="95" ht="25" customHeight="1">
      <x:c r="A95" s="84" t="str">
        <x:v>Common equity value</x:v>
      </x:c>
      <x:c r="B95" s="85" t="n">
        <x:f>SUM(B93:B94)</x:f>
        <x:v>8225.804237495167</x:v>
      </x:c>
      <x:c r="D95" s="24"/>
      <x:c r="E95" s="24"/>
      <x:c r="F95" s="24"/>
      <x:c r="G95" s="24"/>
      <x:c r="H95" s="24"/>
      <x:c r="I95" s="24"/>
      <x:c r="J95" s="24"/>
      <x:c r="K95" s="24"/>
    </x:row>
    <x:row r="96" ht="25" customHeight="1">
      <x:c r="A96" t="str">
        <x:v>Value / share: debt endpoint</x:v>
      </x:c>
      <x:c r="B96" s="42" t="n">
        <x:f>B95/'Inputs'!$F$8</x:f>
        <x:v>152.32970810176235</x:v>
      </x:c>
    </x:row>
    <x:row r="97" ht="25" customHeight="1">
      <x:c r="A97" t="str">
        <x:v>Value / share: if-converted endpoint</x:v>
      </x:c>
      <x:c r="B97" s="42" t="n">
        <x:f>B96</x:f>
        <x:v>152.32970810176235</x:v>
      </x:c>
    </x:row>
    <x:row r="98" ht="25" customHeight="1">
      <x:c r="A98" s="88" t="str">
        <x:v>Conditional intrinsic value / share</x:v>
      </x:c>
      <x:c r="B98" s="89" t="n">
        <x:f>B96</x:f>
        <x:v>152.32970810176235</x:v>
      </x:c>
    </x:row>
    <x:row r="99" ht="25" customHeight="1">
      <x:c r="A99" t="str">
        <x:v>Value versus quote</x:v>
      </x:c>
      <x:c r="B99" s="22" t="n">
        <x:f>B98/'Inputs'!$F$5-1</x:f>
        <x:v>-0.2174575767915219</x:v>
      </x:c>
    </x:row>
    <x:row r="100" ht="25" customHeight="1">
      <x:c r="A100" t="str">
        <x:v>Terminal share of operating EV</x:v>
      </x:c>
      <x:c r="B100" s="22" t="n">
        <x:f>B91/B93</x:f>
        <x:v>0.6053865744296095</x:v>
      </x:c>
    </x:row>
    <x:row r="101" ht="25" customHeight="1">
      <x:c r="A101" t="str">
        <x:v>Value at 12% enterprise discount</x:v>
      </x:c>
      <x:c r="B101" s="42" t="n">
        <x:f>(SUMPRODUCT(B82:K82,B85:K85)+B89/('Controls'!$B$3-'Assumptions'!$D$15)*K85+B94)/'Inputs'!$F$8</x:f>
        <x:v>124.52024263348886</x:v>
      </x:c>
    </x:row>
    <x:row r="102" ht="25" customHeight="1">
      <x:c r="A102" t="str">
        <x:v>Price-implied operating EV</x:v>
      </x:c>
      <x:c r="B102" s="34" t="n">
        <x:f>'Inputs'!$F$5*'Inputs'!$F$8-B94</x:f>
        <x:v>9958.14</x:v>
      </x:c>
    </x:row>
    <x:row r="106" ht="29" customHeight="1">
      <x:c r="A106" s="27" t="str">
        <x:v>BULL | conditional operating path, not probability band</x:v>
      </x:c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</x:row>
    <x:row r="108">
      <x:c r="A108" t="str">
        <x:v>Discount rate</x:v>
      </x:c>
      <x:c r="B108" s="22" t="n">
        <x:f>'Assumptions'!$C$16</x:f>
        <x:v>0.105</x:v>
      </x:c>
      <x:c r="C108" t="str">
        <x:v>Terminal growth</x:v>
      </x:c>
      <x:c r="D108" s="22" t="n">
        <x:f>'Assumptions'!$D$16</x:f>
        <x:v>0.03</x:v>
      </x:c>
      <x:c r="E108" t="str">
        <x:v>Tax</x:v>
      </x:c>
      <x:c r="F108" s="22" t="n">
        <x:f>'Assumptions'!$F$16</x:f>
        <x:v>0.24</x:v>
      </x:c>
      <x:c r="G108" t="str">
        <x:v>Terminal ROIC</x:v>
      </x:c>
      <x:c r="H108" s="22" t="n">
        <x:f>'Assumptions'!$E$16</x:f>
        <x:v>0.27</x:v>
      </x:c>
      <x:c r="I108"/>
      <x:c r="J108"/>
      <x:c r="K108"/>
    </x:row>
    <x:row r="110" ht="24" customHeight="1">
      <x:c r="A110" s="31" t="str">
        <x:v>Economic year</x:v>
      </x:c>
      <x:c r="B110" s="31" t="n">
        <x:v>1</x:v>
      </x:c>
      <x:c r="C110" s="31" t="n">
        <x:v>2</x:v>
      </x:c>
      <x:c r="D110" s="31" t="n">
        <x:v>3</x:v>
      </x:c>
      <x:c r="E110" s="31" t="n">
        <x:v>4</x:v>
      </x:c>
      <x:c r="F110" s="31" t="n">
        <x:v>5</x:v>
      </x:c>
      <x:c r="G110" s="31" t="n">
        <x:v>6</x:v>
      </x:c>
      <x:c r="H110" s="31" t="n">
        <x:v>7</x:v>
      </x:c>
      <x:c r="I110" s="31" t="n">
        <x:v>8</x:v>
      </x:c>
      <x:c r="J110" s="31" t="n">
        <x:v>9</x:v>
      </x:c>
      <x:c r="K110" s="31" t="n">
        <x:v>10</x:v>
      </x:c>
    </x:row>
    <x:row r="111" ht="23" customHeight="1">
      <x:c r="A111" t="str">
        <x:v>Primary revenue growth</x:v>
      </x:c>
      <x:c r="B111" s="36" t="n">
        <x:f>'Assumptions'!$O$16</x:f>
        <x:v>0.6</x:v>
      </x:c>
      <x:c r="C111" s="36" t="n">
        <x:f>'Assumptions'!$P$16</x:f>
        <x:v>0.35</x:v>
      </x:c>
      <x:c r="D111" s="36" t="n">
        <x:f>'Assumptions'!$Q$16</x:f>
        <x:v>0.3</x:v>
      </x:c>
      <x:c r="E111" s="36" t="n">
        <x:f>'Assumptions'!$R$16</x:f>
        <x:v>0.25</x:v>
      </x:c>
      <x:c r="F111" s="36" t="n">
        <x:f>'Assumptions'!$S$16</x:f>
        <x:v>0.2</x:v>
      </x:c>
      <x:c r="G111" s="22" t="n">
        <x:f>$F$121+('Assumptions'!$D$16-$F$121)*(G$110-$F$110)/($K$110-$F$110)</x:f>
        <x:v>0.13937303437791732</x:v>
      </x:c>
      <x:c r="H111" s="22" t="n">
        <x:f>$F$121+('Assumptions'!$D$16-$F$121)*(H$110-$F$110)/($K$110-$F$110)</x:f>
        <x:v>0.112029775783438</x:v>
      </x:c>
      <x:c r="I111" s="22" t="n">
        <x:f>$F$121+('Assumptions'!$D$16-$F$121)*(I$110-$F$110)/($K$110-$F$110)</x:f>
        <x:v>0.08468651718895866</x:v>
      </x:c>
      <x:c r="J111" s="22" t="n">
        <x:f>$F$121+('Assumptions'!$D$16-$F$121)*(J$110-$F$110)/($K$110-$F$110)</x:f>
        <x:v>0.057343258594479335</x:v>
      </x:c>
      <x:c r="K111" s="22" t="n">
        <x:f>$F$121+('Assumptions'!$D$16-$F$121)*(K$110-$F$110)/($K$110-$F$110)</x:f>
        <x:v>0.03</x:v>
      </x:c>
    </x:row>
    <x:row r="112" ht="23" customHeight="1">
      <x:c r="A112" t="str">
        <x:v>Secondary revenue growth</x:v>
      </x:c>
      <x:c r="B112" s="36" t="n">
        <x:f>'Assumptions'!$T$16</x:f>
        <x:v>0.12</x:v>
      </x:c>
      <x:c r="C112" s="36" t="n">
        <x:f>'Assumptions'!$U$16</x:f>
        <x:v>0.07</x:v>
      </x:c>
      <x:c r="D112" s="36" t="n">
        <x:f>'Assumptions'!$V$16</x:f>
        <x:v>0.06</x:v>
      </x:c>
      <x:c r="E112" s="36" t="n">
        <x:f>'Assumptions'!$W$16</x:f>
        <x:v>0.05</x:v>
      </x:c>
      <x:c r="F112" s="36" t="n">
        <x:f>'Assumptions'!$X$16</x:f>
        <x:v>0.05</x:v>
      </x:c>
      <x:c r="G112" s="22" t="n">
        <x:f>$F$121+('Assumptions'!$D$16-$F$121)*(G$110-$F$110)/($K$110-$F$110)</x:f>
        <x:v>0.13937303437791732</x:v>
      </x:c>
      <x:c r="H112" s="22" t="n">
        <x:f>$F$121+('Assumptions'!$D$16-$F$121)*(H$110-$F$110)/($K$110-$F$110)</x:f>
        <x:v>0.112029775783438</x:v>
      </x:c>
      <x:c r="I112" s="22" t="n">
        <x:f>$F$121+('Assumptions'!$D$16-$F$121)*(I$110-$F$110)/($K$110-$F$110)</x:f>
        <x:v>0.08468651718895866</x:v>
      </x:c>
      <x:c r="J112" s="22" t="n">
        <x:f>$F$121+('Assumptions'!$D$16-$F$121)*(J$110-$F$110)/($K$110-$F$110)</x:f>
        <x:v>0.057343258594479335</x:v>
      </x:c>
      <x:c r="K112" s="22" t="n">
        <x:f>$F$121+('Assumptions'!$D$16-$F$121)*(K$110-$F$110)/($K$110-$F$110)</x:f>
        <x:v>0.03</x:v>
      </x:c>
    </x:row>
    <x:row r="113" ht="23" customHeight="1">
      <x:c r="A113" t="str">
        <x:v>Primary margin</x:v>
      </x:c>
      <x:c r="B113" s="36" t="n">
        <x:f>'Assumptions'!$Y$16</x:f>
        <x:v>0.21</x:v>
      </x:c>
      <x:c r="C113" s="36" t="n">
        <x:f>'Assumptions'!$Z$16</x:f>
        <x:v>0.23</x:v>
      </x:c>
      <x:c r="D113" s="36" t="n">
        <x:f>'Assumptions'!$AA$16</x:f>
        <x:v>0.245</x:v>
      </x:c>
      <x:c r="E113" s="36" t="n">
        <x:f>'Assumptions'!$AB$16</x:f>
        <x:v>0.25</x:v>
      </x:c>
      <x:c r="F113" s="36" t="n">
        <x:f>'Assumptions'!$AC$16</x:f>
        <x:v>0.25</x:v>
      </x:c>
      <x:c r="G113" s="22" t="n">
        <x:f>$F$113</x:f>
        <x:v>0.25</x:v>
      </x:c>
      <x:c r="H113" s="22" t="n">
        <x:f>$F$113</x:f>
        <x:v>0.25</x:v>
      </x:c>
      <x:c r="I113" s="22" t="n">
        <x:f>$F$113</x:f>
        <x:v>0.25</x:v>
      </x:c>
      <x:c r="J113" s="22" t="n">
        <x:f>$F$113</x:f>
        <x:v>0.25</x:v>
      </x:c>
      <x:c r="K113" s="22" t="n">
        <x:f>$F$113</x:f>
        <x:v>0.25</x:v>
      </x:c>
    </x:row>
    <x:row r="114" ht="23" customHeight="1">
      <x:c r="A114" t="str">
        <x:v>Secondary margin</x:v>
      </x:c>
      <x:c r="B114" s="36" t="n">
        <x:f>'Assumptions'!$AD$16</x:f>
        <x:v>0.15</x:v>
      </x:c>
      <x:c r="C114" s="36" t="n">
        <x:f>'Assumptions'!$AE$16</x:f>
        <x:v>0.155</x:v>
      </x:c>
      <x:c r="D114" s="36" t="n">
        <x:f>'Assumptions'!$AF$16</x:f>
        <x:v>0.16</x:v>
      </x:c>
      <x:c r="E114" s="36" t="n">
        <x:f>'Assumptions'!$AG$16</x:f>
        <x:v>0.16</x:v>
      </x:c>
      <x:c r="F114" s="36" t="n">
        <x:f>'Assumptions'!$AH$16</x:f>
        <x:v>0.16</x:v>
      </x:c>
      <x:c r="G114" s="22" t="n">
        <x:f>$F$114</x:f>
        <x:v>0.16</x:v>
      </x:c>
      <x:c r="H114" s="22" t="n">
        <x:f>$F$114</x:f>
        <x:v>0.16</x:v>
      </x:c>
      <x:c r="I114" s="22" t="n">
        <x:f>$F$114</x:f>
        <x:v>0.16</x:v>
      </x:c>
      <x:c r="J114" s="22" t="n">
        <x:f>$F$114</x:f>
        <x:v>0.16</x:v>
      </x:c>
      <x:c r="K114" s="22" t="n">
        <x:f>$F$114</x:f>
        <x:v>0.16</x:v>
      </x:c>
    </x:row>
    <x:row r="115" ht="23" customHeight="1">
      <x:c r="A115" t="str">
        <x:v>Overhead growth</x:v>
      </x:c>
      <x:c r="B115" s="36" t="n">
        <x:f>'Assumptions'!$AI$16</x:f>
        <x:v>0.05</x:v>
      </x:c>
      <x:c r="C115" s="36" t="n">
        <x:f>'Assumptions'!$AJ$16</x:f>
        <x:v>0.05</x:v>
      </x:c>
      <x:c r="D115" s="36" t="n">
        <x:f>'Assumptions'!$AK$16</x:f>
        <x:v>0.05</x:v>
      </x:c>
      <x:c r="E115" s="36" t="n">
        <x:f>'Assumptions'!$AL$16</x:f>
        <x:v>0.05</x:v>
      </x:c>
      <x:c r="F115" s="36" t="n">
        <x:f>'Assumptions'!$AM$16</x:f>
        <x:v>0.05</x:v>
      </x:c>
      <x:c r="G115" s="22" t="n">
        <x:f>$F$121+('Assumptions'!$D$16-$F$121)*(G$110-$F$110)/($K$110-$F$110)</x:f>
        <x:v>0.13937303437791732</x:v>
      </x:c>
      <x:c r="H115" s="22" t="n">
        <x:f>$F$121+('Assumptions'!$D$16-$F$121)*(H$110-$F$110)/($K$110-$F$110)</x:f>
        <x:v>0.112029775783438</x:v>
      </x:c>
      <x:c r="I115" s="22" t="n">
        <x:f>$F$121+('Assumptions'!$D$16-$F$121)*(I$110-$F$110)/($K$110-$F$110)</x:f>
        <x:v>0.08468651718895866</x:v>
      </x:c>
      <x:c r="J115" s="22" t="n">
        <x:f>$F$121+('Assumptions'!$D$16-$F$121)*(J$110-$F$110)/($K$110-$F$110)</x:f>
        <x:v>0.057343258594479335</x:v>
      </x:c>
      <x:c r="K115" s="22" t="n">
        <x:f>$F$121+('Assumptions'!$D$16-$F$121)*(K$110-$F$110)/($K$110-$F$110)</x:f>
        <x:v>0.03</x:v>
      </x:c>
    </x:row>
    <x:row r="116" ht="23" customHeight="1">
      <x:c r="A116" t="str">
        <x:v>Capex / revenue</x:v>
      </x:c>
      <x:c r="B116" s="36" t="n">
        <x:f>'Assumptions'!$AN$16</x:f>
        <x:v>0.065</x:v>
      </x:c>
      <x:c r="C116" s="36" t="n">
        <x:f>'Assumptions'!$AO$16</x:f>
        <x:v>0.06</x:v>
      </x:c>
      <x:c r="D116" s="36" t="n">
        <x:f>'Assumptions'!$AP$16</x:f>
        <x:v>0.055</x:v>
      </x:c>
      <x:c r="E116" s="36" t="n">
        <x:f>'Assumptions'!$AQ$16</x:f>
        <x:v>0.05</x:v>
      </x:c>
      <x:c r="F116" s="36" t="n">
        <x:f>'Assumptions'!$AR$16</x:f>
        <x:v>0.045</x:v>
      </x:c>
      <x:c r="G116" s="22" t="n">
        <x:f>$F$116</x:f>
        <x:v>0.045</x:v>
      </x:c>
      <x:c r="H116" s="22" t="n">
        <x:f>$F$116</x:f>
        <x:v>0.045</x:v>
      </x:c>
      <x:c r="I116" s="22" t="n">
        <x:f>$F$116</x:f>
        <x:v>0.045</x:v>
      </x:c>
      <x:c r="J116" s="22" t="n">
        <x:f>$F$116</x:f>
        <x:v>0.045</x:v>
      </x:c>
      <x:c r="K116" s="22" t="n">
        <x:f>$F$116</x:f>
        <x:v>0.045</x:v>
      </x:c>
    </x:row>
    <x:row r="117" ht="23" customHeight="1">
      <x:c r="B117" s="34"/>
      <x:c r="C117" s="34"/>
      <x:c r="D117" s="34"/>
      <x:c r="E117" s="34"/>
      <x:c r="F117" s="34"/>
      <x:c r="G117" s="34"/>
      <x:c r="H117" s="34"/>
      <x:c r="I117" s="34"/>
      <x:c r="J117" s="34"/>
      <x:c r="K117" s="34"/>
    </x:row>
    <x:row r="118" ht="23" customHeight="1">
      <x:c r="A118" t="str">
        <x:v>Primary revenue</x:v>
      </x:c>
      <x:c r="B118" s="34" t="n">
        <x:f>'Inputs'!$F$24*(1+B111)</x:f>
        <x:v>2231.0400000000004</x:v>
      </x:c>
      <x:c r="C118" s="34" t="n">
        <x:f>B118*(1+C111)</x:f>
        <x:v>3011.904000000001</x:v>
      </x:c>
      <x:c r="D118" s="34" t="n">
        <x:f>C118*(1+D111)</x:f>
        <x:v>3915.475200000001</x:v>
      </x:c>
      <x:c r="E118" s="34" t="n">
        <x:f>D118*(1+E111)</x:f>
        <x:v>4894.344000000002</x:v>
      </x:c>
      <x:c r="F118" s="34" t="n">
        <x:f>E118*(1+F111)</x:f>
        <x:v>5873.212800000002</x:v>
      </x:c>
      <x:c r="G118" s="34" t="n">
        <x:f>F118*(1+G111)</x:f>
        <x:v>6691.780289483227</x:v>
      </x:c>
      <x:c r="H118" s="34" t="n">
        <x:f>G118*(1+H111)</x:f>
        <x:v>7441.4589349060625</x:v>
      </x:c>
      <x:c r="I118" s="34" t="n">
        <x:f>H118*(1+I111)</x:f>
        <x:v>8071.650174907914</x:v>
      </x:c>
      <x:c r="J118" s="34" t="n">
        <x:f>I118*(1+J111)</x:f>
        <x:v>8534.504898171834</x:v>
      </x:c>
      <x:c r="K118" s="34" t="n">
        <x:f>J118*(1+K111)</x:f>
        <x:v>8790.540045116988</x:v>
      </x:c>
    </x:row>
    <x:row r="119" ht="23" customHeight="1">
      <x:c r="A119" t="str">
        <x:v>Secondary revenue</x:v>
      </x:c>
      <x:c r="B119" s="34" t="n">
        <x:f>'Inputs'!$F$25*(1+B112)</x:f>
        <x:v>1171.9680000000003</x:v>
      </x:c>
      <x:c r="C119" s="34" t="n">
        <x:f>B119*(1+C112)</x:f>
        <x:v>1254.0057600000005</x:v>
      </x:c>
      <x:c r="D119" s="34" t="n">
        <x:f>C119*(1+D112)</x:f>
        <x:v>1329.2461056000006</x:v>
      </x:c>
      <x:c r="E119" s="34" t="n">
        <x:f>D119*(1+E112)</x:f>
        <x:v>1395.7084108800007</x:v>
      </x:c>
      <x:c r="F119" s="34" t="n">
        <x:f>E119*(1+F112)</x:f>
        <x:v>1465.4938314240007</x:v>
      </x:c>
      <x:c r="G119" s="34" t="n">
        <x:f>F119*(1+G112)</x:f>
        <x:v>1669.744153571684</x:v>
      </x:c>
      <x:c r="H119" s="34" t="n">
        <x:f>G119*(1+H112)</x:f>
        <x:v>1856.8052167120263</x:v>
      </x:c>
      <x:c r="I119" s="34" t="n">
        <x:f>H119*(1+I112)</x:f>
        <x:v>2014.0515836136574</x:v>
      </x:c>
      <x:c r="J119" s="34" t="n">
        <x:f>I119*(1+J112)</x:f>
        <x:v>2129.543864395436</x:v>
      </x:c>
      <x:c r="K119" s="34" t="n">
        <x:f>J119*(1+K112)</x:f>
        <x:v>2193.430180327299</x:v>
      </x:c>
    </x:row>
    <x:row r="120" ht="23" customHeight="1">
      <x:c r="A120" s="31" t="str">
        <x:v>Total economic revenue</x:v>
      </x:c>
      <x:c r="B120" s="40" t="n">
        <x:f>SUM(B118:B119)</x:f>
        <x:v>3403.0080000000007</x:v>
      </x:c>
      <x:c r="C120" s="40" t="n">
        <x:f>SUM(C118:C119)</x:f>
        <x:v>4265.909760000001</x:v>
      </x:c>
      <x:c r="D120" s="40" t="n">
        <x:f>SUM(D118:D119)</x:f>
        <x:v>5244.721305600002</x:v>
      </x:c>
      <x:c r="E120" s="40" t="n">
        <x:f>SUM(E118:E119)</x:f>
        <x:v>6290.052410880003</x:v>
      </x:c>
      <x:c r="F120" s="40" t="n">
        <x:f>SUM(F118:F119)</x:f>
        <x:v>7338.706631424003</x:v>
      </x:c>
      <x:c r="G120" s="40" t="n">
        <x:f>SUM(G118:G119)</x:f>
        <x:v>8361.52444305491</x:v>
      </x:c>
      <x:c r="H120" s="40" t="n">
        <x:f>SUM(H118:H119)</x:f>
        <x:v>9298.264151618088</x:v>
      </x:c>
      <x:c r="I120" s="40" t="n">
        <x:f>SUM(I118:I119)</x:f>
        <x:v>10085.701758521573</x:v>
      </x:c>
      <x:c r="J120" s="40" t="n">
        <x:f>SUM(J118:J119)</x:f>
        <x:v>10664.048762567269</x:v>
      </x:c>
      <x:c r="K120" s="40" t="n">
        <x:f>SUM(K118:K119)</x:f>
        <x:v>10983.970225444287</x:v>
      </x:c>
    </x:row>
    <x:row r="121" ht="23" customHeight="1">
      <x:c r="A121" t="str">
        <x:v>Revenue growth</x:v>
      </x:c>
      <x:c r="B121" s="22" t="n">
        <x:f>B120/'Inputs'!$F$14-1</x:f>
        <x:v>0.3942182890855459</x:v>
      </x:c>
      <x:c r="C121" s="22" t="n">
        <x:f>C120/B120-1</x:f>
        <x:v>0.2535703001579781</x:v>
      </x:c>
      <x:c r="D121" s="22" t="n">
        <x:f>D120/C120-1</x:f>
        <x:v>0.22944966036974956</x:v>
      </x:c>
      <x:c r="E121" s="22" t="n">
        <x:f>E120/D120-1</x:f>
        <x:v>0.19931108716183998</x:v>
      </x:c>
      <x:c r="F121" s="22" t="n">
        <x:f>F120/E120-1</x:f>
        <x:v>0.16671629297239665</x:v>
      </x:c>
      <x:c r="G121" s="22" t="n">
        <x:f>G120/F120-1</x:f>
        <x:v>0.13937303437791737</x:v>
      </x:c>
      <x:c r="H121" s="22" t="n">
        <x:f>H120/G120-1</x:f>
        <x:v>0.11202977578343809</x:v>
      </x:c>
      <x:c r="I121" s="22" t="n">
        <x:f>I120/H120-1</x:f>
        <x:v>0.08468651718895881</x:v>
      </x:c>
      <x:c r="J121" s="22" t="n">
        <x:f>J120/I120-1</x:f>
        <x:v>0.057343258594479085</x:v>
      </x:c>
      <x:c r="K121" s="22" t="n">
        <x:f>K120/J120-1</x:f>
        <x:v>0.030000000000000027</x:v>
      </x:c>
    </x:row>
    <x:row r="122" ht="23" customHeight="1">
      <x:c r="A122" t="str">
        <x:v>Primary profit pool</x:v>
      </x:c>
      <x:c r="B122" s="34" t="n">
        <x:f>B118*B113</x:f>
        <x:v>468.51840000000004</x:v>
      </x:c>
      <x:c r="C122" s="34" t="n">
        <x:f>C118*C113</x:f>
        <x:v>692.7379200000003</x:v>
      </x:c>
      <x:c r="D122" s="34" t="n">
        <x:f>D118*D113</x:f>
        <x:v>959.2914240000002</x:v>
      </x:c>
      <x:c r="E122" s="34" t="n">
        <x:f>E118*E113</x:f>
        <x:v>1223.5860000000005</x:v>
      </x:c>
      <x:c r="F122" s="34" t="n">
        <x:f>F118*F113</x:f>
        <x:v>1468.3032000000005</x:v>
      </x:c>
      <x:c r="G122" s="34" t="n">
        <x:f>G118*G113</x:f>
        <x:v>1672.9450723708067</x:v>
      </x:c>
      <x:c r="H122" s="34" t="n">
        <x:f>H118*H113</x:f>
        <x:v>1860.3647337265156</x:v>
      </x:c>
      <x:c r="I122" s="34" t="n">
        <x:f>I118*I113</x:f>
        <x:v>2017.9125437269786</x:v>
      </x:c>
      <x:c r="J122" s="34" t="n">
        <x:f>J118*J113</x:f>
        <x:v>2133.6262245429584</x:v>
      </x:c>
      <x:c r="K122" s="34" t="n">
        <x:f>K118*K113</x:f>
        <x:v>2197.635011279247</x:v>
      </x:c>
    </x:row>
    <x:row r="123" ht="23" customHeight="1">
      <x:c r="A123" t="str">
        <x:v>Secondary profit pool</x:v>
      </x:c>
      <x:c r="B123" s="34" t="n">
        <x:f>B119*B114</x:f>
        <x:v>175.79520000000005</x:v>
      </x:c>
      <x:c r="C123" s="34" t="n">
        <x:f>C119*C114</x:f>
        <x:v>194.37089280000006</x:v>
      </x:c>
      <x:c r="D123" s="34" t="n">
        <x:f>D119*D114</x:f>
        <x:v>212.67937689600012</x:v>
      </x:c>
      <x:c r="E123" s="34" t="n">
        <x:f>E119*E114</x:f>
        <x:v>223.31334574080012</x:v>
      </x:c>
      <x:c r="F123" s="34" t="n">
        <x:f>F119*F114</x:f>
        <x:v>234.47901302784013</x:v>
      </x:c>
      <x:c r="G123" s="34" t="n">
        <x:f>G119*G114</x:f>
        <x:v>267.15906457146946</x:v>
      </x:c>
      <x:c r="H123" s="34" t="n">
        <x:f>H119*H114</x:f>
        <x:v>297.0888346739242</x:v>
      </x:c>
      <x:c r="I123" s="34" t="n">
        <x:f>I119*I114</x:f>
        <x:v>322.2482533781852</x:v>
      </x:c>
      <x:c r="J123" s="34" t="n">
        <x:f>J119*J114</x:f>
        <x:v>340.72701830326974</x:v>
      </x:c>
      <x:c r="K123" s="34" t="n">
        <x:f>K119*K114</x:f>
        <x:v>350.9488288523678</x:v>
      </x:c>
    </x:row>
    <x:row r="124" ht="23" customHeight="1">
      <x:c r="A124" t="str">
        <x:v>Less: overhead / corporate</x:v>
      </x:c>
      <x:c r="B124" s="34" t="n">
        <x:f>-'Inputs'!$F$26*(1+B115)</x:f>
        <x:v>-96.60000000000001</x:v>
      </x:c>
      <x:c r="C124" s="34" t="n">
        <x:f>B124*(1+C115)</x:f>
        <x:v>-101.43</x:v>
      </x:c>
      <x:c r="D124" s="34" t="n">
        <x:f>C124*(1+D115)</x:f>
        <x:v>-106.50150000000001</x:v>
      </x:c>
      <x:c r="E124" s="34" t="n">
        <x:f>D124*(1+E115)</x:f>
        <x:v>-111.826575</x:v>
      </x:c>
      <x:c r="F124" s="34" t="n">
        <x:f>E124*(1+F115)</x:f>
        <x:v>-117.41790375000001</x:v>
      </x:c>
      <x:c r="G124" s="34" t="n">
        <x:f>F124*(1+G115)</x:f>
        <x:v>-133.78279328593175</x:v>
      </x:c>
      <x:c r="H124" s="34" t="n">
        <x:f>G124*(1+H115)</x:f>
        <x:v>-148.77044962143674</x:v>
      </x:c>
      <x:c r="I124" s="34" t="n">
        <x:f>H124*(1+I115)</x:f>
        <x:v>-161.36930086051163</x:v>
      </x:c>
      <x:c r="J124" s="34" t="n">
        <x:f>I124*(1+J115)</x:f>
        <x:v>-170.62274240896627</x:v>
      </x:c>
      <x:c r="K124" s="34" t="n">
        <x:f>J124*(1+K115)</x:f>
        <x:v>-175.74142468123526</x:v>
      </x:c>
    </x:row>
    <x:row r="125" ht="23" customHeight="1">
      <x:c r="A125" t="str">
        <x:v>Additional fee profit</x:v>
      </x:c>
      <x:c r="B125" s="34" t="n">
        <x:f>0</x:f>
        <x:v>0</x:v>
      </x:c>
      <x:c r="C125" s="34" t="n">
        <x:f>0</x:f>
        <x:v>0</x:v>
      </x:c>
      <x:c r="D125" s="34" t="n">
        <x:f>0</x:f>
        <x:v>0</x:v>
      </x:c>
      <x:c r="E125" s="34" t="n">
        <x:f>0</x:f>
        <x:v>0</x:v>
      </x:c>
      <x:c r="F125" s="34" t="n">
        <x:f>0</x:f>
        <x:v>0</x:v>
      </x:c>
      <x:c r="G125" s="34" t="n">
        <x:f>0</x:f>
        <x:v>0</x:v>
      </x:c>
      <x:c r="H125" s="34" t="n">
        <x:f>0</x:f>
        <x:v>0</x:v>
      </x:c>
      <x:c r="I125" s="34" t="n">
        <x:f>0</x:f>
        <x:v>0</x:v>
      </x:c>
      <x:c r="J125" s="34" t="n">
        <x:f>0</x:f>
        <x:v>0</x:v>
      </x:c>
      <x:c r="K125" s="34" t="n">
        <x:f>0</x:f>
        <x:v>0</x:v>
      </x:c>
    </x:row>
    <x:row r="126" ht="23" customHeight="1">
      <x:c r="A126" s="31" t="str">
        <x:v>Operating income after recurring SBC</x:v>
      </x:c>
      <x:c r="B126" s="40" t="n">
        <x:f>SUM(B122:B125)</x:f>
        <x:v>547.7136</x:v>
      </x:c>
      <x:c r="C126" s="40" t="n">
        <x:f>SUM(C122:C125)</x:f>
        <x:v>785.6788128000003</x:v>
      </x:c>
      <x:c r="D126" s="40" t="n">
        <x:f>SUM(D122:D125)</x:f>
        <x:v>1065.4693008960003</x:v>
      </x:c>
      <x:c r="E126" s="40" t="n">
        <x:f>SUM(E122:E125)</x:f>
        <x:v>1335.0727707408005</x:v>
      </x:c>
      <x:c r="F126" s="40" t="n">
        <x:f>SUM(F122:F125)</x:f>
        <x:v>1585.3643092778407</x:v>
      </x:c>
      <x:c r="G126" s="40" t="n">
        <x:f>SUM(G122:G125)</x:f>
        <x:v>1806.3213436563442</x:v>
      </x:c>
      <x:c r="H126" s="40" t="n">
        <x:f>SUM(H122:H125)</x:f>
        <x:v>2008.6831187790033</x:v>
      </x:c>
      <x:c r="I126" s="40" t="n">
        <x:f>SUM(I122:I125)</x:f>
        <x:v>2178.7914962446525</x:v>
      </x:c>
      <x:c r="J126" s="40" t="n">
        <x:f>SUM(J122:J125)</x:f>
        <x:v>2303.730500437262</x:v>
      </x:c>
      <x:c r="K126" s="40" t="n">
        <x:f>SUM(K122:K125)</x:f>
        <x:v>2372.8424154503796</x:v>
      </x:c>
    </x:row>
    <x:row r="127" ht="23" customHeight="1">
      <x:c r="A127" t="str">
        <x:v>Operating margin</x:v>
      </x:c>
      <x:c r="B127" s="22" t="n">
        <x:f>B126/B120</x:f>
        <x:v>0.16094984202211687</x:v>
      </x:c>
      <x:c r="C127" s="22" t="n">
        <x:f>C126/C120</x:f>
        <x:v>0.1841761445980517</x:v>
      </x:c>
      <x:c r="D127" s="22" t="n">
        <x:f>D126/D120</x:f>
        <x:v>0.2031507946396228</x:v>
      </x:c>
      <x:c r="E127" s="22" t="n">
        <x:f>E126/E120</x:f>
        <x:v>0.21225145412644003</x:v>
      </x:c>
      <x:c r="F127" s="22" t="n">
        <x:f>F126/F120</x:f>
        <x:v>0.21602775378557632</x:v>
      </x:c>
      <x:c r="G127" s="22" t="n">
        <x:f>G126/G120</x:f>
        <x:v>0.21602775378557632</x:v>
      </x:c>
      <x:c r="H127" s="22" t="n">
        <x:f>H126/H120</x:f>
        <x:v>0.21602775378557634</x:v>
      </x:c>
      <x:c r="I127" s="22" t="n">
        <x:f>I126/I120</x:f>
        <x:v>0.21602775378557634</x:v>
      </x:c>
      <x:c r="J127" s="22" t="n">
        <x:f>J126/J120</x:f>
        <x:v>0.21602775378557634</x:v>
      </x:c>
      <x:c r="K127" s="22" t="n">
        <x:f>K126/K120</x:f>
        <x:v>0.21602775378557632</x:v>
      </x:c>
    </x:row>
    <x:row r="128" ht="23" customHeight="1">
      <x:c r="A128" t="str">
        <x:v>After-tax operating profit</x:v>
      </x:c>
      <x:c r="B128" s="34" t="n">
        <x:f>B126*(1-'Assumptions'!$F$16)</x:f>
        <x:v>416.26233600000006</x:v>
      </x:c>
      <x:c r="C128" s="34" t="n">
        <x:f>C126*(1-'Assumptions'!$F$16)</x:f>
        <x:v>597.1158977280003</x:v>
      </x:c>
      <x:c r="D128" s="34" t="n">
        <x:f>D126*(1-'Assumptions'!$F$16)</x:f>
        <x:v>809.7566686809603</x:v>
      </x:c>
      <x:c r="E128" s="34" t="n">
        <x:f>E126*(1-'Assumptions'!$F$16)</x:f>
        <x:v>1014.6553057630084</x:v>
      </x:c>
      <x:c r="F128" s="34" t="n">
        <x:f>F126*(1-'Assumptions'!$F$16)</x:f>
        <x:v>1204.876875051159</x:v>
      </x:c>
      <x:c r="G128" s="34" t="n">
        <x:f>G126*(1-'Assumptions'!$F$16)</x:f>
        <x:v>1372.8042211788215</x:v>
      </x:c>
      <x:c r="H128" s="34" t="n">
        <x:f>H126*(1-'Assumptions'!$F$16)</x:f>
        <x:v>1526.5991702720426</x:v>
      </x:c>
      <x:c r="I128" s="34" t="n">
        <x:f>I126*(1-'Assumptions'!$F$16)</x:f>
        <x:v>1655.881537145936</x:v>
      </x:c>
      <x:c r="J128" s="34" t="n">
        <x:f>J126*(1-'Assumptions'!$F$16)</x:f>
        <x:v>1750.8351803323192</x:v>
      </x:c>
      <x:c r="K128" s="34" t="n">
        <x:f>K126*(1-'Assumptions'!$F$16)</x:f>
        <x:v>1803.3602357422885</x:v>
      </x:c>
    </x:row>
    <x:row r="129" ht="23" customHeight="1">
      <x:c r="A129" t="str">
        <x:v>Add: depreciation &amp; amortization</x:v>
      </x:c>
      <x:c r="B129" s="34" t="n">
        <x:f>B120*'Assumptions'!$G$16</x:f>
        <x:v>102.09024000000002</x:v>
      </x:c>
      <x:c r="C129" s="34" t="n">
        <x:f>C120*'Assumptions'!$G$16</x:f>
        <x:v>127.97729280000004</x:v>
      </x:c>
      <x:c r="D129" s="34" t="n">
        <x:f>D120*'Assumptions'!$G$16</x:f>
        <x:v>157.34163916800006</x:v>
      </x:c>
      <x:c r="E129" s="34" t="n">
        <x:f>E120*'Assumptions'!$G$16</x:f>
        <x:v>188.70157232640008</x:v>
      </x:c>
      <x:c r="F129" s="34" t="n">
        <x:f>F120*'Assumptions'!$G$16</x:f>
        <x:v>220.16119894272006</x:v>
      </x:c>
      <x:c r="G129" s="34" t="n">
        <x:f>G120*'Assumptions'!$G$16</x:f>
        <x:v>250.8457332916473</x:v>
      </x:c>
      <x:c r="H129" s="34" t="n">
        <x:f>H120*'Assumptions'!$G$16</x:f>
        <x:v>278.94792454854263</x:v>
      </x:c>
      <x:c r="I129" s="34" t="n">
        <x:f>I120*'Assumptions'!$G$16</x:f>
        <x:v>302.57105275564714</x:v>
      </x:c>
      <x:c r="J129" s="34" t="n">
        <x:f>J120*'Assumptions'!$G$16</x:f>
        <x:v>319.92146287701803</x:v>
      </x:c>
      <x:c r="K129" s="34" t="n">
        <x:f>K120*'Assumptions'!$G$16</x:f>
        <x:v>329.5191067633286</x:v>
      </x:c>
    </x:row>
    <x:row r="130" ht="23" customHeight="1">
      <x:c r="A130" t="str">
        <x:v>Less: investment incl. software</x:v>
      </x:c>
      <x:c r="B130" s="34" t="n">
        <x:f>-B120*B116</x:f>
        <x:v>-221.19552000000004</x:v>
      </x:c>
      <x:c r="C130" s="34" t="n">
        <x:f>-C120*C116</x:f>
        <x:v>-255.9545856000001</x:v>
      </x:c>
      <x:c r="D130" s="34" t="n">
        <x:f>-D120*D116</x:f>
        <x:v>-288.4596718080001</x:v>
      </x:c>
      <x:c r="E130" s="34" t="n">
        <x:f>-E120*E116</x:f>
        <x:v>-314.50262054400014</x:v>
      </x:c>
      <x:c r="F130" s="34" t="n">
        <x:f>-F120*F116</x:f>
        <x:v>-330.2417984140801</x:v>
      </x:c>
      <x:c r="G130" s="34" t="n">
        <x:f>-G120*G116</x:f>
        <x:v>-376.2685999374709</x:v>
      </x:c>
      <x:c r="H130" s="34" t="n">
        <x:f>-H120*H116</x:f>
        <x:v>-418.421886822814</x:v>
      </x:c>
      <x:c r="I130" s="34" t="n">
        <x:f>-I120*I116</x:f>
        <x:v>-453.85657913347075</x:v>
      </x:c>
      <x:c r="J130" s="34" t="n">
        <x:f>-J120*J116</x:f>
        <x:v>-479.88219431552704</x:v>
      </x:c>
      <x:c r="K130" s="34" t="n">
        <x:f>-K120*K116</x:f>
        <x:v>-494.2786601449929</x:v>
      </x:c>
    </x:row>
    <x:row r="131" ht="23" customHeight="1">
      <x:c r="A131" t="str">
        <x:v>Less: incremental working capital</x:v>
      </x:c>
      <x:c r="B131" s="34" t="n">
        <x:f>-(B120-'Inputs'!$F$14)*'Assumptions'!$H$16</x:f>
        <x:v>-115.46496000000006</x:v>
      </x:c>
      <x:c r="C131" s="34" t="n">
        <x:f>-(C120-B120)*'Assumptions'!$H$16</x:f>
        <x:v>-103.54821120000007</x:v>
      </x:c>
      <x:c r="D131" s="34" t="n">
        <x:f>-(D120-C120)*'Assumptions'!$H$16</x:f>
        <x:v>-117.45738547200006</x:v>
      </x:c>
      <x:c r="E131" s="34" t="n">
        <x:f>-(E120-D120)*'Assumptions'!$H$16</x:f>
        <x:v>-125.4397326336001</x:v>
      </x:c>
      <x:c r="F131" s="34" t="n">
        <x:f>-(F120-E120)*'Assumptions'!$H$16</x:f>
        <x:v>-125.83850646528</x:v>
      </x:c>
      <x:c r="G131" s="34" t="n">
        <x:f>-(G120-F120)*'Assumptions'!$H$16</x:f>
        <x:v>-122.73813739570886</x:v>
      </x:c>
      <x:c r="H131" s="34" t="n">
        <x:f>-(H120-G120)*'Assumptions'!$H$16</x:f>
        <x:v>-112.4087650275814</x:v>
      </x:c>
      <x:c r="I131" s="34" t="n">
        <x:f>-(I120-H120)*'Assumptions'!$H$16</x:f>
        <x:v>-94.49251282841811</x:v>
      </x:c>
      <x:c r="J131" s="34" t="n">
        <x:f>-(J120-I120)*'Assumptions'!$H$16</x:f>
        <x:v>-69.40164048548351</x:v>
      </x:c>
      <x:c r="K131" s="34" t="n">
        <x:f>-(K120-J120)*'Assumptions'!$H$16</x:f>
        <x:v>-38.39057554524224</x:v>
      </x:c>
    </x:row>
    <x:row r="132" ht="23" customHeight="1">
      <x:c r="A132" t="str">
        <x:v>Less: specified cash shock</x:v>
      </x:c>
      <x:c r="B132" s="34" t="n">
        <x:f>-'Assumptions'!$I$16</x:f>
        <x:v>0</x:v>
      </x:c>
      <x:c r="C132" s="34" t="n">
        <x:f>0</x:f>
        <x:v>0</x:v>
      </x:c>
      <x:c r="D132" s="34" t="n">
        <x:f>0</x:f>
        <x:v>0</x:v>
      </x:c>
      <x:c r="E132" s="34" t="n">
        <x:f>0</x:f>
        <x:v>0</x:v>
      </x:c>
      <x:c r="F132" s="34" t="n">
        <x:f>0</x:f>
        <x:v>0</x:v>
      </x:c>
      <x:c r="G132" s="34" t="n">
        <x:f>0</x:f>
        <x:v>0</x:v>
      </x:c>
      <x:c r="H132" s="34" t="n">
        <x:f>0</x:f>
        <x:v>0</x:v>
      </x:c>
      <x:c r="I132" s="34" t="n">
        <x:f>0</x:f>
        <x:v>0</x:v>
      </x:c>
      <x:c r="J132" s="34" t="n">
        <x:f>0</x:f>
        <x:v>0</x:v>
      </x:c>
      <x:c r="K132" s="34" t="n">
        <x:f>0</x:f>
        <x:v>0</x:v>
      </x:c>
    </x:row>
    <x:row r="133" ht="23" customHeight="1">
      <x:c r="A133" s="31" t="str">
        <x:v>Owner-economic unlevered cash flow</x:v>
      </x:c>
      <x:c r="B133" s="40" t="n">
        <x:f>SUM(B128:B132)</x:f>
        <x:v>181.692096</x:v>
      </x:c>
      <x:c r="C133" s="40" t="n">
        <x:f>SUM(C128:C132)</x:f>
        <x:v>365.5903937280002</x:v>
      </x:c>
      <x:c r="D133" s="40" t="n">
        <x:f>SUM(D128:D132)</x:f>
        <x:v>561.1812505689601</x:v>
      </x:c>
      <x:c r="E133" s="40" t="n">
        <x:f>SUM(E128:E132)</x:f>
        <x:v>763.4145249118081</x:v>
      </x:c>
      <x:c r="F133" s="40" t="n">
        <x:f>SUM(F128:F132)</x:f>
        <x:v>968.9577691145189</x:v>
      </x:c>
      <x:c r="G133" s="40" t="n">
        <x:f>SUM(G128:G132)</x:f>
        <x:v>1124.643217137289</x:v>
      </x:c>
      <x:c r="H133" s="40" t="n">
        <x:f>SUM(H128:H132)</x:f>
        <x:v>1274.7164429701897</x:v>
      </x:c>
      <x:c r="I133" s="40" t="n">
        <x:f>SUM(I128:I132)</x:f>
        <x:v>1410.103497939694</x:v>
      </x:c>
      <x:c r="J133" s="40" t="n">
        <x:f>SUM(J128:J132)</x:f>
        <x:v>1521.4728084083265</x:v>
      </x:c>
      <x:c r="K133" s="40" t="n">
        <x:f>SUM(K128:K132)</x:f>
        <x:v>1600.2101068153818</x:v>
      </x:c>
    </x:row>
    <x:row r="134" ht="23" customHeight="1">
      <x:c r="A134" t="str">
        <x:v>Discount factor</x:v>
      </x:c>
      <x:c r="B134" s="22" t="n">
        <x:f>1/(1+'Assumptions'!$C$16)^B$110</x:f>
        <x:v>0.9049773755656109</x:v>
      </x:c>
      <x:c r="C134" s="22" t="n">
        <x:f>1/(1+'Assumptions'!$C$16)^C$110</x:f>
        <x:v>0.8189840502856207</x:v>
      </x:c>
      <x:c r="D134" s="22" t="n">
        <x:f>1/(1+'Assumptions'!$C$16)^D$110</x:f>
        <x:v>0.7411620364575753</x:v>
      </x:c>
      <x:c r="E134" s="22" t="n">
        <x:f>1/(1+'Assumptions'!$C$16)^E$110</x:f>
        <x:v>0.67073487462224</x:v>
      </x:c>
      <x:c r="F134" s="22" t="n">
        <x:f>1/(1+'Assumptions'!$C$16)^F$110</x:f>
        <x:v>0.6069998865359638</x:v>
      </x:c>
      <x:c r="G134" s="22" t="n">
        <x:f>1/(1+'Assumptions'!$C$16)^G$110</x:f>
        <x:v>0.54932116428594</x:v>
      </x:c>
      <x:c r="H134" s="22" t="n">
        <x:f>1/(1+'Assumptions'!$C$16)^H$110</x:f>
        <x:v>0.4971232255981358</x:v>
      </x:c>
      <x:c r="I134" s="22" t="n">
        <x:f>1/(1+'Assumptions'!$C$16)^I$110</x:f>
        <x:v>0.44988527203451206</x:v>
      </x:c>
      <x:c r="J134" s="22" t="n">
        <x:f>1/(1+'Assumptions'!$C$16)^J$110</x:f>
        <x:v>0.40713599279141366</x:v>
      </x:c>
      <x:c r="K134" s="22" t="n">
        <x:f>1/(1+'Assumptions'!$C$16)^K$110</x:f>
        <x:v>0.36844886225467294</x:v>
      </x:c>
    </x:row>
    <x:row r="135" ht="23" customHeight="1">
      <x:c r="A135" s="31" t="str">
        <x:v>Present value</x:v>
      </x:c>
      <x:c r="B135" s="40" t="n">
        <x:f>B133*B134</x:f>
        <x:v>164.427236199095</x:v>
      </x:c>
      <x:c r="C135" s="40" t="n">
        <x:f>C133*C134</x:f>
        <x:v>299.4127014008724</x:v>
      </x:c>
      <x:c r="D135" s="40" t="n">
        <x:f>D133*D134</x:f>
        <x:v>415.9262384934993</x:v>
      </x:c>
      <x:c r="E135" s="40" t="n">
        <x:f>E133*E134</x:f>
        <x:v>512.0487456515185</x:v>
      </x:c>
      <x:c r="F135" s="40" t="n">
        <x:f>F133*F134</x:f>
        <x:v>588.1572559106536</x:v>
      </x:c>
      <x:c r="G135" s="40" t="n">
        <x:f>G133*G134</x:f>
        <x:v>617.7903214441408</x:v>
      </x:c>
      <x:c r="H135" s="40" t="n">
        <x:f>H133*H134</x:f>
        <x:v>633.6911498523228</x:v>
      </x:c>
      <x:c r="I135" s="40" t="n">
        <x:f>I133*I134</x:f>
        <x:v>634.3847957674163</x:v>
      </x:c>
      <x:c r="J135" s="40" t="n">
        <x:f>J133*J134</x:f>
        <x:v>619.4463423564644</x:v>
      </x:c>
      <x:c r="K135" s="40" t="n">
        <x:f>K133*K134</x:f>
        <x:v>589.5955932245561</x:v>
      </x:c>
    </x:row>
    <x:row r="136" ht="23" customHeight="1">
      <x:c r="A136" t="str">
        <x:v>Discount factor at 12%</x:v>
      </x:c>
      <x:c r="B136" s="22" t="n">
        <x:f>1/(1+'Controls'!$B$3)^B$110</x:f>
        <x:v>0.8928571428571428</x:v>
      </x:c>
      <x:c r="C136" s="22" t="n">
        <x:f>1/(1+'Controls'!$B$3)^C$110</x:f>
        <x:v>0.7971938775510203</x:v>
      </x:c>
      <x:c r="D136" s="22" t="n">
        <x:f>1/(1+'Controls'!$B$3)^D$110</x:f>
        <x:v>0.7117802478134109</x:v>
      </x:c>
      <x:c r="E136" s="22" t="n">
        <x:f>1/(1+'Controls'!$B$3)^E$110</x:f>
        <x:v>0.6355180784048312</x:v>
      </x:c>
      <x:c r="F136" s="22" t="n">
        <x:f>1/(1+'Controls'!$B$3)^F$110</x:f>
        <x:v>0.5674268557185992</x:v>
      </x:c>
      <x:c r="G136" s="22" t="n">
        <x:f>1/(1+'Controls'!$B$3)^G$110</x:f>
        <x:v>0.5066311211773207</x:v>
      </x:c>
      <x:c r="H136" s="22" t="n">
        <x:f>1/(1+'Controls'!$B$3)^H$110</x:f>
        <x:v>0.45234921533689343</x:v>
      </x:c>
      <x:c r="I136" s="22" t="n">
        <x:f>1/(1+'Controls'!$B$3)^I$110</x:f>
        <x:v>0.4038832279793691</x:v>
      </x:c>
      <x:c r="J136" s="22" t="n">
        <x:f>1/(1+'Controls'!$B$3)^J$110</x:f>
        <x:v>0.36061002498157957</x:v>
      </x:c>
      <x:c r="K136" s="22" t="n">
        <x:f>1/(1+'Controls'!$B$3)^K$110</x:f>
        <x:v>0.321973236590696</x:v>
      </x:c>
    </x:row>
    <x:row r="138" ht="25" customHeight="1">
      <x:c r="A138" t="str">
        <x:v>Year 11 after-tax operating profit</x:v>
      </x:c>
      <x:c r="B138" s="34" t="n">
        <x:f>K128*(1+'Assumptions'!$D$16)</x:f>
        <x:v>1857.4610428145572</x:v>
      </x:c>
    </x:row>
    <x:row r="139" ht="25" customHeight="1">
      <x:c r="A139" t="str">
        <x:v>Less: terminal reinvestment</x:v>
      </x:c>
      <x:c r="B139" s="34" t="n">
        <x:f>-B138*'Assumptions'!$D$16/'Assumptions'!$E$16</x:f>
        <x:v>-206.38456031272855</x:v>
      </x:c>
      <x:c r="D139" s="24" t="str">
        <x:v>This is an operating scenario, not a statistical confidence interval. Terminal growth requires reinvestment. Latest-quarter capital structure is not a complete September roll-forward. See company decision notes for remaining unknowns. MOD scenarios assume the transaction closes; WINA core revenue excludes offsetting fee programs.</x:v>
      </x:c>
      <x:c r="E139" s="24"/>
      <x:c r="F139" s="24"/>
      <x:c r="G139" s="24"/>
      <x:c r="H139" s="24"/>
      <x:c r="I139" s="24"/>
      <x:c r="J139" s="24"/>
      <x:c r="K139" s="24"/>
    </x:row>
    <x:row r="140" ht="25" customHeight="1">
      <x:c r="A140" t="str">
        <x:v>Terminal cash flow</x:v>
      </x:c>
      <x:c r="B140" s="34" t="n">
        <x:f>SUM(B138:B139)</x:f>
        <x:v>1651.0764825018287</x:v>
      </x:c>
      <x:c r="D140" s="24"/>
      <x:c r="E140" s="24"/>
      <x:c r="F140" s="24"/>
      <x:c r="G140" s="24"/>
      <x:c r="H140" s="24"/>
      <x:c r="I140" s="24"/>
      <x:c r="J140" s="24"/>
      <x:c r="K140" s="24"/>
    </x:row>
    <x:row r="141" ht="25" customHeight="1">
      <x:c r="A141" t="str">
        <x:v>Terminal operating value</x:v>
      </x:c>
      <x:c r="B141" s="34" t="n">
        <x:f>B140/('Assumptions'!$C$16-'Assumptions'!$D$16)</x:f>
        <x:v>22014.353100024382</x:v>
      </x:c>
      <x:c r="D141" s="24"/>
      <x:c r="E141" s="24"/>
      <x:c r="F141" s="24"/>
      <x:c r="G141" s="24"/>
      <x:c r="H141" s="24"/>
      <x:c r="I141" s="24"/>
      <x:c r="J141" s="24"/>
      <x:c r="K141" s="24"/>
    </x:row>
    <x:row r="142" ht="25" customHeight="1">
      <x:c r="A142" t="str">
        <x:v>PV terminal value</x:v>
      </x:c>
      <x:c r="B142" s="34" t="n">
        <x:f>B141*K134</x:f>
        <x:v>8111.163352976616</x:v>
      </x:c>
      <x:c r="D142" s="24"/>
      <x:c r="E142" s="24"/>
      <x:c r="F142" s="24"/>
      <x:c r="G142" s="24"/>
      <x:c r="H142" s="24"/>
      <x:c r="I142" s="24"/>
      <x:c r="J142" s="24"/>
      <x:c r="K142" s="24"/>
    </x:row>
    <x:row r="143" ht="25" customHeight="1">
      <x:c r="A143" t="str">
        <x:v>PV explicit forecast</x:v>
      </x:c>
      <x:c r="B143" s="34" t="n">
        <x:f>SUM(B135:K135)</x:f>
        <x:v>5074.880380300539</x:v>
      </x:c>
      <x:c r="D143" s="24"/>
      <x:c r="E143" s="24"/>
      <x:c r="F143" s="24"/>
      <x:c r="G143" s="24"/>
      <x:c r="H143" s="24"/>
      <x:c r="I143" s="24"/>
      <x:c r="J143" s="24"/>
      <x:c r="K143" s="24"/>
    </x:row>
    <x:row r="144" ht="25" customHeight="1">
      <x:c r="A144" s="84" t="str">
        <x:v>Operating enterprise value</x:v>
      </x:c>
      <x:c r="B144" s="85" t="n">
        <x:f>SUM(B142:B143)</x:f>
        <x:v>13186.043733277154</x:v>
      </x:c>
      <x:c r="D144" s="24"/>
      <x:c r="E144" s="24"/>
      <x:c r="F144" s="24"/>
      <x:c r="G144" s="24"/>
      <x:c r="H144" s="24"/>
      <x:c r="I144" s="24"/>
      <x:c r="J144" s="24"/>
      <x:c r="K144" s="24"/>
    </x:row>
    <x:row r="145" ht="25" customHeight="1">
      <x:c r="A145" t="str">
        <x:v>Cash / claims / transaction bridge</x:v>
      </x:c>
      <x:c r="B145" s="34" t="n">
        <x:f>'Inputs'!$F$6-'Inputs'!$F$7-'Inputs'!$F$9-'Inputs'!$F$10-'Inputs'!$F$11+'Inputs'!$F$12*'Inputs'!$F$13+'Inputs'!$F$27+'Inputs'!$F$28*'Inputs'!$F$29*'Assumptions'!$K$16-'Inputs'!$F$30</x:f>
        <x:v>638.97</x:v>
      </x:c>
      <x:c r="D145" s="24"/>
      <x:c r="E145" s="24"/>
      <x:c r="F145" s="24"/>
      <x:c r="G145" s="24"/>
      <x:c r="H145" s="24"/>
      <x:c r="I145" s="24"/>
      <x:c r="J145" s="24"/>
      <x:c r="K145" s="24"/>
    </x:row>
    <x:row r="146" ht="25" customHeight="1">
      <x:c r="A146" s="84" t="str">
        <x:v>Common equity value</x:v>
      </x:c>
      <x:c r="B146" s="85" t="n">
        <x:f>SUM(B144:B145)</x:f>
        <x:v>13825.013733277154</x:v>
      </x:c>
      <x:c r="D146" s="24"/>
      <x:c r="E146" s="24"/>
      <x:c r="F146" s="24"/>
      <x:c r="G146" s="24"/>
      <x:c r="H146" s="24"/>
      <x:c r="I146" s="24"/>
      <x:c r="J146" s="24"/>
      <x:c r="K146" s="24"/>
    </x:row>
    <x:row r="147" ht="25" customHeight="1">
      <x:c r="A147" t="str">
        <x:v>Value / share: debt endpoint</x:v>
      </x:c>
      <x:c r="B147" s="42" t="n">
        <x:f>B146/'Inputs'!$F$8</x:f>
        <x:v>256.0187728384658</x:v>
      </x:c>
    </x:row>
    <x:row r="148" ht="25" customHeight="1">
      <x:c r="A148" t="str">
        <x:v>Value / share: if-converted endpoint</x:v>
      </x:c>
      <x:c r="B148" s="42" t="n">
        <x:f>B147</x:f>
        <x:v>256.0187728384658</x:v>
      </x:c>
    </x:row>
    <x:row r="149" ht="25" customHeight="1">
      <x:c r="A149" s="88" t="str">
        <x:v>Conditional intrinsic value / share</x:v>
      </x:c>
      <x:c r="B149" s="89" t="n">
        <x:f>B147</x:f>
        <x:v>256.0187728384658</x:v>
      </x:c>
    </x:row>
    <x:row r="150" ht="25" customHeight="1">
      <x:c r="A150" t="str">
        <x:v>Value versus quote</x:v>
      </x:c>
      <x:c r="B150" s="22" t="n">
        <x:f>B149/'Inputs'!$F$5-1</x:f>
        <x:v>0.3152099704020641</x:v>
      </x:c>
    </x:row>
    <x:row r="151" ht="25" customHeight="1">
      <x:c r="A151" t="str">
        <x:v>Terminal share of operating EV</x:v>
      </x:c>
      <x:c r="B151" s="22" t="n">
        <x:f>B142/B144</x:f>
        <x:v>0.615132447385015</x:v>
      </x:c>
    </x:row>
    <x:row r="152" ht="25" customHeight="1">
      <x:c r="A152" t="str">
        <x:v>Value at 12% enterprise discount</x:v>
      </x:c>
      <x:c r="B152" s="42" t="n">
        <x:f>(SUMPRODUCT(B133:K133,B136:K136)+B140/('Controls'!$B$3-'Assumptions'!$D$16)*K136+B145)/'Inputs'!$F$8</x:f>
        <x:v>207.65825853700622</x:v>
      </x:c>
    </x:row>
    <x:row r="153" ht="25" customHeight="1">
      <x:c r="A153" t="str">
        <x:v>Price-implied operating EV</x:v>
      </x:c>
      <x:c r="B153" s="34" t="n">
        <x:f>'Inputs'!$F$5*'Inputs'!$F$8-B145</x:f>
        <x:v>9872.67</x:v>
      </x:c>
    </x:row>
  </x:sheetData>
  <x:mergeCells>
    <x:mergeCell ref="A1:K1"/>
    <x:mergeCell ref="A2:K2"/>
    <x:mergeCell ref="A4:K4"/>
    <x:mergeCell ref="D37:K44"/>
    <x:mergeCell ref="A55:K55"/>
    <x:mergeCell ref="D88:K95"/>
    <x:mergeCell ref="A106:K106"/>
    <x:mergeCell ref="D139:K14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9" customHeight="1">
      <x:c r="A1" s="18" t="str">
        <x:v>POWL | NORMALIZED CASH FLOW | 10 forward economic years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</x:row>
    <x:row r="2" ht="31" customHeight="1">
      <x:c r="A2" s="24" t="str">
        <x:v>USD millions. Blue assumptions on Assumptions tab; recurring SBC stays expensed. Not a precisely fiscal-aligned earnings forecast.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</x:row>
    <x:row r="4" ht="29" customHeight="1">
      <x:c r="A4" s="27" t="str">
        <x:v>BEAR | conditional operating path, not probability band</x:v>
      </x:c>
      <x:c r="B4" s="27"/>
      <x:c r="C4" s="27"/>
      <x:c r="D4" s="27"/>
      <x:c r="E4" s="27"/>
      <x:c r="F4" s="27"/>
      <x:c r="G4" s="27"/>
      <x:c r="H4" s="27"/>
      <x:c r="I4" s="27"/>
      <x:c r="J4" s="27"/>
      <x:c r="K4" s="27"/>
    </x:row>
    <x:row r="6">
      <x:c r="A6" t="str">
        <x:v>Discount rate</x:v>
      </x:c>
      <x:c r="B6" s="22" t="n">
        <x:f>'Assumptions'!$C$17</x:f>
        <x:v>0.105</x:v>
      </x:c>
      <x:c r="C6" t="str">
        <x:v>Terminal growth</x:v>
      </x:c>
      <x:c r="D6" s="22" t="n">
        <x:f>'Assumptions'!$D$17</x:f>
        <x:v>0.03</x:v>
      </x:c>
      <x:c r="E6" t="str">
        <x:v>Tax</x:v>
      </x:c>
      <x:c r="F6" s="22" t="n">
        <x:f>'Assumptions'!$F$17</x:f>
        <x:v>0.25</x:v>
      </x:c>
      <x:c r="G6" t="str">
        <x:v>Terminal ROIC</x:v>
      </x:c>
      <x:c r="H6" s="22" t="n">
        <x:f>'Assumptions'!$E$17</x:f>
        <x:v>0.18</x:v>
      </x:c>
      <x:c r="I6"/>
      <x:c r="J6"/>
      <x:c r="K6"/>
    </x:row>
    <x:row r="8" ht="24" customHeight="1">
      <x:c r="A8" s="31" t="str">
        <x:v>Economic year</x:v>
      </x:c>
      <x:c r="B8" s="31" t="n">
        <x:v>1</x:v>
      </x:c>
      <x:c r="C8" s="31" t="n">
        <x:v>2</x:v>
      </x:c>
      <x:c r="D8" s="31" t="n">
        <x:v>3</x:v>
      </x:c>
      <x:c r="E8" s="31" t="n">
        <x:v>4</x:v>
      </x:c>
      <x:c r="F8" s="31" t="n">
        <x:v>5</x:v>
      </x:c>
      <x:c r="G8" s="31" t="n">
        <x:v>6</x:v>
      </x:c>
      <x:c r="H8" s="31" t="n">
        <x:v>7</x:v>
      </x:c>
      <x:c r="I8" s="31" t="n">
        <x:v>8</x:v>
      </x:c>
      <x:c r="J8" s="31" t="n">
        <x:v>9</x:v>
      </x:c>
      <x:c r="K8" s="31" t="n">
        <x:v>10</x:v>
      </x:c>
    </x:row>
    <x:row r="9" ht="23" customHeight="1">
      <x:c r="A9" t="str">
        <x:v>Primary revenue growth</x:v>
      </x:c>
      <x:c r="B9" s="36" t="n">
        <x:f>'Assumptions'!$O$17</x:f>
        <x:v>0</x:v>
      </x:c>
      <x:c r="C9" s="36" t="n">
        <x:f>'Assumptions'!$P$17</x:f>
        <x:v>0.03</x:v>
      </x:c>
      <x:c r="D9" s="36" t="n">
        <x:f>'Assumptions'!$Q$17</x:f>
        <x:v>0.03</x:v>
      </x:c>
      <x:c r="E9" s="36" t="n">
        <x:f>'Assumptions'!$R$17</x:f>
        <x:v>0.03</x:v>
      </x:c>
      <x:c r="F9" s="36" t="n">
        <x:f>'Assumptions'!$S$17</x:f>
        <x:v>0.03</x:v>
      </x:c>
      <x:c r="G9" s="22" t="n">
        <x:f>$F$19+('Assumptions'!$D$17-$F$19)*(G$8-$F$8)/($K$8-$F$8)</x:f>
        <x:v>0.03000000000000002</x:v>
      </x:c>
      <x:c r="H9" s="22" t="n">
        <x:f>$F$19+('Assumptions'!$D$17-$F$19)*(H$8-$F$8)/($K$8-$F$8)</x:f>
        <x:v>0.030000000000000016</x:v>
      </x:c>
      <x:c r="I9" s="22" t="n">
        <x:f>$F$19+('Assumptions'!$D$17-$F$19)*(I$8-$F$8)/($K$8-$F$8)</x:f>
        <x:v>0.03000000000000001</x:v>
      </x:c>
      <x:c r="J9" s="22" t="n">
        <x:f>$F$19+('Assumptions'!$D$17-$F$19)*(J$8-$F$8)/($K$8-$F$8)</x:f>
        <x:v>0.030000000000000006</x:v>
      </x:c>
      <x:c r="K9" s="22" t="n">
        <x:f>$F$19+('Assumptions'!$D$17-$F$19)*(K$8-$F$8)/($K$8-$F$8)</x:f>
        <x:v>0.03</x:v>
      </x:c>
    </x:row>
    <x:row r="10" ht="23" customHeight="1">
      <x:c r="A10" t="str">
        <x:v>Secondary revenue growth</x:v>
      </x:c>
      <x:c r="B10" s="36" t="n">
        <x:f>'Assumptions'!$T$17</x:f>
        <x:v>0</x:v>
      </x:c>
      <x:c r="C10" s="36" t="n">
        <x:f>'Assumptions'!$U$17</x:f>
        <x:v>0</x:v>
      </x:c>
      <x:c r="D10" s="36" t="n">
        <x:f>'Assumptions'!$V$17</x:f>
        <x:v>0</x:v>
      </x:c>
      <x:c r="E10" s="36" t="n">
        <x:f>'Assumptions'!$W$17</x:f>
        <x:v>0</x:v>
      </x:c>
      <x:c r="F10" s="36" t="n">
        <x:f>'Assumptions'!$X$17</x:f>
        <x:v>0</x:v>
      </x:c>
      <x:c r="G10" s="22" t="n">
        <x:f>$F$19+('Assumptions'!$D$17-$F$19)*(G$8-$F$8)/($K$8-$F$8)</x:f>
        <x:v>0.03000000000000002</x:v>
      </x:c>
      <x:c r="H10" s="22" t="n">
        <x:f>$F$19+('Assumptions'!$D$17-$F$19)*(H$8-$F$8)/($K$8-$F$8)</x:f>
        <x:v>0.030000000000000016</x:v>
      </x:c>
      <x:c r="I10" s="22" t="n">
        <x:f>$F$19+('Assumptions'!$D$17-$F$19)*(I$8-$F$8)/($K$8-$F$8)</x:f>
        <x:v>0.03000000000000001</x:v>
      </x:c>
      <x:c r="J10" s="22" t="n">
        <x:f>$F$19+('Assumptions'!$D$17-$F$19)*(J$8-$F$8)/($K$8-$F$8)</x:f>
        <x:v>0.030000000000000006</x:v>
      </x:c>
      <x:c r="K10" s="22" t="n">
        <x:f>$F$19+('Assumptions'!$D$17-$F$19)*(K$8-$F$8)/($K$8-$F$8)</x:f>
        <x:v>0.03</x:v>
      </x:c>
    </x:row>
    <x:row r="11" ht="23" customHeight="1">
      <x:c r="A11" t="str">
        <x:v>Primary margin</x:v>
      </x:c>
      <x:c r="B11" s="36" t="n">
        <x:f>'Assumptions'!$Y$17</x:f>
        <x:v>0.185</x:v>
      </x:c>
      <x:c r="C11" s="36" t="n">
        <x:f>'Assumptions'!$Z$17</x:f>
        <x:v>0.18</x:v>
      </x:c>
      <x:c r="D11" s="36" t="n">
        <x:f>'Assumptions'!$AA$17</x:f>
        <x:v>0.18</x:v>
      </x:c>
      <x:c r="E11" s="36" t="n">
        <x:f>'Assumptions'!$AB$17</x:f>
        <x:v>0.18</x:v>
      </x:c>
      <x:c r="F11" s="36" t="n">
        <x:f>'Assumptions'!$AC$17</x:f>
        <x:v>0.18</x:v>
      </x:c>
      <x:c r="G11" s="22" t="n">
        <x:f>$F$11</x:f>
        <x:v>0.18</x:v>
      </x:c>
      <x:c r="H11" s="22" t="n">
        <x:f>$F$11</x:f>
        <x:v>0.18</x:v>
      </x:c>
      <x:c r="I11" s="22" t="n">
        <x:f>$F$11</x:f>
        <x:v>0.18</x:v>
      </x:c>
      <x:c r="J11" s="22" t="n">
        <x:f>$F$11</x:f>
        <x:v>0.18</x:v>
      </x:c>
      <x:c r="K11" s="22" t="n">
        <x:f>$F$11</x:f>
        <x:v>0.18</x:v>
      </x:c>
    </x:row>
    <x:row r="12" ht="23" customHeight="1">
      <x:c r="A12" t="str">
        <x:v>Secondary margin</x:v>
      </x:c>
      <x:c r="B12" s="36" t="n">
        <x:f>'Assumptions'!$AD$17</x:f>
        <x:v>0</x:v>
      </x:c>
      <x:c r="C12" s="36" t="n">
        <x:f>'Assumptions'!$AE$17</x:f>
        <x:v>0</x:v>
      </x:c>
      <x:c r="D12" s="36" t="n">
        <x:f>'Assumptions'!$AF$17</x:f>
        <x:v>0</x:v>
      </x:c>
      <x:c r="E12" s="36" t="n">
        <x:f>'Assumptions'!$AG$17</x:f>
        <x:v>0</x:v>
      </x:c>
      <x:c r="F12" s="36" t="n">
        <x:f>'Assumptions'!$AH$17</x:f>
        <x:v>0</x:v>
      </x:c>
      <x:c r="G12" s="22" t="n">
        <x:f>$F$12</x:f>
        <x:v>0</x:v>
      </x:c>
      <x:c r="H12" s="22" t="n">
        <x:f>$F$12</x:f>
        <x:v>0</x:v>
      </x:c>
      <x:c r="I12" s="22" t="n">
        <x:f>$F$12</x:f>
        <x:v>0</x:v>
      </x:c>
      <x:c r="J12" s="22" t="n">
        <x:f>$F$12</x:f>
        <x:v>0</x:v>
      </x:c>
      <x:c r="K12" s="22" t="n">
        <x:f>$F$12</x:f>
        <x:v>0</x:v>
      </x:c>
    </x:row>
    <x:row r="13" ht="23" customHeight="1">
      <x:c r="A13" t="str">
        <x:v>Overhead growth</x:v>
      </x:c>
      <x:c r="B13" s="36" t="n">
        <x:f>'Assumptions'!$AI$17</x:f>
        <x:v>0</x:v>
      </x:c>
      <x:c r="C13" s="36" t="n">
        <x:f>'Assumptions'!$AJ$17</x:f>
        <x:v>0</x:v>
      </x:c>
      <x:c r="D13" s="36" t="n">
        <x:f>'Assumptions'!$AK$17</x:f>
        <x:v>0</x:v>
      </x:c>
      <x:c r="E13" s="36" t="n">
        <x:f>'Assumptions'!$AL$17</x:f>
        <x:v>0</x:v>
      </x:c>
      <x:c r="F13" s="36" t="n">
        <x:f>'Assumptions'!$AM$17</x:f>
        <x:v>0</x:v>
      </x:c>
      <x:c r="G13" s="22" t="n">
        <x:f>$F$19+('Assumptions'!$D$17-$F$19)*(G$8-$F$8)/($K$8-$F$8)</x:f>
        <x:v>0.03000000000000002</x:v>
      </x:c>
      <x:c r="H13" s="22" t="n">
        <x:f>$F$19+('Assumptions'!$D$17-$F$19)*(H$8-$F$8)/($K$8-$F$8)</x:f>
        <x:v>0.030000000000000016</x:v>
      </x:c>
      <x:c r="I13" s="22" t="n">
        <x:f>$F$19+('Assumptions'!$D$17-$F$19)*(I$8-$F$8)/($K$8-$F$8)</x:f>
        <x:v>0.03000000000000001</x:v>
      </x:c>
      <x:c r="J13" s="22" t="n">
        <x:f>$F$19+('Assumptions'!$D$17-$F$19)*(J$8-$F$8)/($K$8-$F$8)</x:f>
        <x:v>0.030000000000000006</x:v>
      </x:c>
      <x:c r="K13" s="22" t="n">
        <x:f>$F$19+('Assumptions'!$D$17-$F$19)*(K$8-$F$8)/($K$8-$F$8)</x:f>
        <x:v>0.03</x:v>
      </x:c>
    </x:row>
    <x:row r="14" ht="23" customHeight="1">
      <x:c r="A14" t="str">
        <x:v>Capex / revenue</x:v>
      </x:c>
      <x:c r="B14" s="36" t="n">
        <x:f>'Assumptions'!$AN$17</x:f>
        <x:v>0.025</x:v>
      </x:c>
      <x:c r="C14" s="36" t="n">
        <x:f>'Assumptions'!$AO$17</x:f>
        <x:v>0.025</x:v>
      </x:c>
      <x:c r="D14" s="36" t="n">
        <x:f>'Assumptions'!$AP$17</x:f>
        <x:v>0.025</x:v>
      </x:c>
      <x:c r="E14" s="36" t="n">
        <x:f>'Assumptions'!$AQ$17</x:f>
        <x:v>0.025</x:v>
      </x:c>
      <x:c r="F14" s="36" t="n">
        <x:f>'Assumptions'!$AR$17</x:f>
        <x:v>0.025</x:v>
      </x:c>
      <x:c r="G14" s="22" t="n">
        <x:f>$F$14</x:f>
        <x:v>0.025</x:v>
      </x:c>
      <x:c r="H14" s="22" t="n">
        <x:f>$F$14</x:f>
        <x:v>0.025</x:v>
      </x:c>
      <x:c r="I14" s="22" t="n">
        <x:f>$F$14</x:f>
        <x:v>0.025</x:v>
      </x:c>
      <x:c r="J14" s="22" t="n">
        <x:f>$F$14</x:f>
        <x:v>0.025</x:v>
      </x:c>
      <x:c r="K14" s="22" t="n">
        <x:f>$F$14</x:f>
        <x:v>0.025</x:v>
      </x:c>
    </x:row>
    <x:row r="15" ht="23" customHeight="1"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</x:row>
    <x:row r="16" ht="23" customHeight="1">
      <x:c r="A16" t="str">
        <x:v>Primary revenue</x:v>
      </x:c>
      <x:c r="B16" s="34" t="n">
        <x:f>'Assumptions'!$M$17+'Assumptions'!$N$17</x:f>
        <x:v>1300</x:v>
      </x:c>
      <x:c r="C16" s="34" t="n">
        <x:f>B16*(1+C9)</x:f>
        <x:v>1339</x:v>
      </x:c>
      <x:c r="D16" s="34" t="n">
        <x:f>C16*(1+D9)</x:f>
        <x:v>1379.17</x:v>
      </x:c>
      <x:c r="E16" s="34" t="n">
        <x:f>D16*(1+E9)</x:f>
        <x:v>1420.5451</x:v>
      </x:c>
      <x:c r="F16" s="34" t="n">
        <x:f>E16*(1+F9)</x:f>
        <x:v>1463.1614530000002</x:v>
      </x:c>
      <x:c r="G16" s="34" t="n">
        <x:f>F16*(1+G9)</x:f>
        <x:v>1507.05629659</x:v>
      </x:c>
      <x:c r="H16" s="34" t="n">
        <x:f>G16*(1+H9)</x:f>
        <x:v>1552.2679854877001</x:v>
      </x:c>
      <x:c r="I16" s="34" t="n">
        <x:f>H16*(1+I9)</x:f>
        <x:v>1598.8360250523313</x:v>
      </x:c>
      <x:c r="J16" s="34" t="n">
        <x:f>I16*(1+J9)</x:f>
        <x:v>1646.8011058039012</x:v>
      </x:c>
      <x:c r="K16" s="34" t="n">
        <x:f>J16*(1+K9)</x:f>
        <x:v>1696.2051389780183</x:v>
      </x:c>
    </x:row>
    <x:row r="17" ht="23" customHeight="1">
      <x:c r="A17" t="str">
        <x:v>Secondary revenue</x:v>
      </x:c>
      <x:c r="B17" s="34" t="n">
        <x:f>0</x:f>
        <x:v>0</x:v>
      </x:c>
      <x:c r="C17" s="34" t="n">
        <x:f>B17*(1+C10)</x:f>
        <x:v>0</x:v>
      </x:c>
      <x:c r="D17" s="34" t="n">
        <x:f>C17*(1+D10)</x:f>
        <x:v>0</x:v>
      </x:c>
      <x:c r="E17" s="34" t="n">
        <x:f>D17*(1+E10)</x:f>
        <x:v>0</x:v>
      </x:c>
      <x:c r="F17" s="34" t="n">
        <x:f>E17*(1+F10)</x:f>
        <x:v>0</x:v>
      </x:c>
      <x:c r="G17" s="34" t="n">
        <x:f>F17*(1+G10)</x:f>
        <x:v>0</x:v>
      </x:c>
      <x:c r="H17" s="34" t="n">
        <x:f>G17*(1+H10)</x:f>
        <x:v>0</x:v>
      </x:c>
      <x:c r="I17" s="34" t="n">
        <x:f>H17*(1+I10)</x:f>
        <x:v>0</x:v>
      </x:c>
      <x:c r="J17" s="34" t="n">
        <x:f>I17*(1+J10)</x:f>
        <x:v>0</x:v>
      </x:c>
      <x:c r="K17" s="34" t="n">
        <x:f>J17*(1+K10)</x:f>
        <x:v>0</x:v>
      </x:c>
    </x:row>
    <x:row r="18" ht="23" customHeight="1">
      <x:c r="A18" s="31" t="str">
        <x:v>Total economic revenue</x:v>
      </x:c>
      <x:c r="B18" s="40" t="n">
        <x:f>SUM(B16:B17)</x:f>
        <x:v>1300</x:v>
      </x:c>
      <x:c r="C18" s="40" t="n">
        <x:f>SUM(C16:C17)</x:f>
        <x:v>1339</x:v>
      </x:c>
      <x:c r="D18" s="40" t="n">
        <x:f>SUM(D16:D17)</x:f>
        <x:v>1379.17</x:v>
      </x:c>
      <x:c r="E18" s="40" t="n">
        <x:f>SUM(E16:E17)</x:f>
        <x:v>1420.5451</x:v>
      </x:c>
      <x:c r="F18" s="40" t="n">
        <x:f>SUM(F16:F17)</x:f>
        <x:v>1463.1614530000002</x:v>
      </x:c>
      <x:c r="G18" s="40" t="n">
        <x:f>SUM(G16:G17)</x:f>
        <x:v>1507.05629659</x:v>
      </x:c>
      <x:c r="H18" s="40" t="n">
        <x:f>SUM(H16:H17)</x:f>
        <x:v>1552.2679854877001</x:v>
      </x:c>
      <x:c r="I18" s="40" t="n">
        <x:f>SUM(I16:I17)</x:f>
        <x:v>1598.8360250523313</x:v>
      </x:c>
      <x:c r="J18" s="40" t="n">
        <x:f>SUM(J16:J17)</x:f>
        <x:v>1646.8011058039012</x:v>
      </x:c>
      <x:c r="K18" s="40" t="n">
        <x:f>SUM(K16:K17)</x:f>
        <x:v>1696.2051389780183</x:v>
      </x:c>
    </x:row>
    <x:row r="19" ht="23" customHeight="1">
      <x:c r="A19" t="str">
        <x:v>Revenue growth</x:v>
      </x:c>
      <x:c r="B19" s="22" t="n">
        <x:f>B18/'Inputs'!$G$14-1</x:f>
        <x:v>0.08333333333333326</x:v>
      </x:c>
      <x:c r="C19" s="22" t="n">
        <x:f>C18/B18-1</x:f>
        <x:v>0.030000000000000027</x:v>
      </x:c>
      <x:c r="D19" s="22" t="n">
        <x:f>D18/C18-1</x:f>
        <x:v>0.030000000000000027</x:v>
      </x:c>
      <x:c r="E19" s="22" t="n">
        <x:f>E18/D18-1</x:f>
        <x:v>0.030000000000000027</x:v>
      </x:c>
      <x:c r="F19" s="22" t="n">
        <x:f>F18/E18-1</x:f>
        <x:v>0.030000000000000027</x:v>
      </x:c>
      <x:c r="G19" s="22" t="n">
        <x:f>G18/F18-1</x:f>
        <x:v>0.030000000000000027</x:v>
      </x:c>
      <x:c r="H19" s="22" t="n">
        <x:f>H18/G18-1</x:f>
        <x:v>0.030000000000000027</x:v>
      </x:c>
      <x:c r="I19" s="22" t="n">
        <x:f>I18/H18-1</x:f>
        <x:v>0.030000000000000027</x:v>
      </x:c>
      <x:c r="J19" s="22" t="n">
        <x:f>J18/I18-1</x:f>
        <x:v>0.030000000000000027</x:v>
      </x:c>
      <x:c r="K19" s="22" t="n">
        <x:f>K18/J18-1</x:f>
        <x:v>0.030000000000000027</x:v>
      </x:c>
    </x:row>
    <x:row r="20" ht="23" customHeight="1">
      <x:c r="A20" t="str">
        <x:v>Primary profit pool</x:v>
      </x:c>
      <x:c r="B20" s="34" t="n">
        <x:f>B16*B11</x:f>
        <x:v>240.5</x:v>
      </x:c>
      <x:c r="C20" s="34" t="n">
        <x:f>C16*C11</x:f>
        <x:v>241.01999999999998</x:v>
      </x:c>
      <x:c r="D20" s="34" t="n">
        <x:f>D16*D11</x:f>
        <x:v>248.2506</x:v>
      </x:c>
      <x:c r="E20" s="34" t="n">
        <x:f>E16*E11</x:f>
        <x:v>255.698118</x:v>
      </x:c>
      <x:c r="F20" s="34" t="n">
        <x:f>F16*F11</x:f>
        <x:v>263.36906154</x:v>
      </x:c>
      <x:c r="G20" s="34" t="n">
        <x:f>G16*G11</x:f>
        <x:v>271.27013338620003</x:v>
      </x:c>
      <x:c r="H20" s="34" t="n">
        <x:f>H16*H11</x:f>
        <x:v>279.408237387786</x:v>
      </x:c>
      <x:c r="I20" s="34" t="n">
        <x:f>I16*I11</x:f>
        <x:v>287.7904845094196</x:v>
      </x:c>
      <x:c r="J20" s="34" t="n">
        <x:f>J16*J11</x:f>
        <x:v>296.4241990447022</x:v>
      </x:c>
      <x:c r="K20" s="34" t="n">
        <x:f>K16*K11</x:f>
        <x:v>305.3169250160433</x:v>
      </x:c>
    </x:row>
    <x:row r="21" ht="23" customHeight="1">
      <x:c r="A21" t="str">
        <x:v>Secondary profit pool</x:v>
      </x:c>
      <x:c r="B21" s="34" t="n">
        <x:f>B17*B12</x:f>
        <x:v>0</x:v>
      </x:c>
      <x:c r="C21" s="34" t="n">
        <x:f>C17*C12</x:f>
        <x:v>0</x:v>
      </x:c>
      <x:c r="D21" s="34" t="n">
        <x:f>D17*D12</x:f>
        <x:v>0</x:v>
      </x:c>
      <x:c r="E21" s="34" t="n">
        <x:f>E17*E12</x:f>
        <x:v>0</x:v>
      </x:c>
      <x:c r="F21" s="34" t="n">
        <x:f>F17*F12</x:f>
        <x:v>0</x:v>
      </x:c>
      <x:c r="G21" s="34" t="n">
        <x:f>G17*G12</x:f>
        <x:v>0</x:v>
      </x:c>
      <x:c r="H21" s="34" t="n">
        <x:f>H17*H12</x:f>
        <x:v>0</x:v>
      </x:c>
      <x:c r="I21" s="34" t="n">
        <x:f>I17*I12</x:f>
        <x:v>0</x:v>
      </x:c>
      <x:c r="J21" s="34" t="n">
        <x:f>J17*J12</x:f>
        <x:v>0</x:v>
      </x:c>
      <x:c r="K21" s="34" t="n">
        <x:f>K17*K12</x:f>
        <x:v>0</x:v>
      </x:c>
    </x:row>
    <x:row r="22" ht="23" customHeight="1">
      <x:c r="A22" t="str">
        <x:v>Less: overhead / corporate</x:v>
      </x:c>
      <x:c r="B22" s="34" t="n">
        <x:f>0</x:f>
        <x:v>0</x:v>
      </x:c>
      <x:c r="C22" s="34" t="n">
        <x:f>B22*(1+C13)</x:f>
        <x:v>0</x:v>
      </x:c>
      <x:c r="D22" s="34" t="n">
        <x:f>C22*(1+D13)</x:f>
        <x:v>0</x:v>
      </x:c>
      <x:c r="E22" s="34" t="n">
        <x:f>D22*(1+E13)</x:f>
        <x:v>0</x:v>
      </x:c>
      <x:c r="F22" s="34" t="n">
        <x:f>E22*(1+F13)</x:f>
        <x:v>0</x:v>
      </x:c>
      <x:c r="G22" s="34" t="n">
        <x:f>F22*(1+G13)</x:f>
        <x:v>0</x:v>
      </x:c>
      <x:c r="H22" s="34" t="n">
        <x:f>G22*(1+H13)</x:f>
        <x:v>0</x:v>
      </x:c>
      <x:c r="I22" s="34" t="n">
        <x:f>H22*(1+I13)</x:f>
        <x:v>0</x:v>
      </x:c>
      <x:c r="J22" s="34" t="n">
        <x:f>I22*(1+J13)</x:f>
        <x:v>0</x:v>
      </x:c>
      <x:c r="K22" s="34" t="n">
        <x:f>J22*(1+K13)</x:f>
        <x:v>0</x:v>
      </x:c>
    </x:row>
    <x:row r="23" ht="23" customHeight="1">
      <x:c r="A23" t="str">
        <x:v>Additional fee profit</x:v>
      </x:c>
      <x:c r="B23" s="34" t="n">
        <x:f>0</x:f>
        <x:v>0</x:v>
      </x:c>
      <x:c r="C23" s="34" t="n">
        <x:f>0</x:f>
        <x:v>0</x:v>
      </x:c>
      <x:c r="D23" s="34" t="n">
        <x:f>0</x:f>
        <x:v>0</x:v>
      </x:c>
      <x:c r="E23" s="34" t="n">
        <x:f>0</x:f>
        <x:v>0</x:v>
      </x:c>
      <x:c r="F23" s="34" t="n">
        <x:f>0</x:f>
        <x:v>0</x:v>
      </x:c>
      <x:c r="G23" s="34" t="n">
        <x:f>0</x:f>
        <x:v>0</x:v>
      </x:c>
      <x:c r="H23" s="34" t="n">
        <x:f>0</x:f>
        <x:v>0</x:v>
      </x:c>
      <x:c r="I23" s="34" t="n">
        <x:f>0</x:f>
        <x:v>0</x:v>
      </x:c>
      <x:c r="J23" s="34" t="n">
        <x:f>0</x:f>
        <x:v>0</x:v>
      </x:c>
      <x:c r="K23" s="34" t="n">
        <x:f>0</x:f>
        <x:v>0</x:v>
      </x:c>
    </x:row>
    <x:row r="24" ht="23" customHeight="1">
      <x:c r="A24" s="31" t="str">
        <x:v>Operating income after recurring SBC</x:v>
      </x:c>
      <x:c r="B24" s="40" t="n">
        <x:f>SUM(B20:B23)</x:f>
        <x:v>240.5</x:v>
      </x:c>
      <x:c r="C24" s="40" t="n">
        <x:f>SUM(C20:C23)</x:f>
        <x:v>241.01999999999998</x:v>
      </x:c>
      <x:c r="D24" s="40" t="n">
        <x:f>SUM(D20:D23)</x:f>
        <x:v>248.2506</x:v>
      </x:c>
      <x:c r="E24" s="40" t="n">
        <x:f>SUM(E20:E23)</x:f>
        <x:v>255.698118</x:v>
      </x:c>
      <x:c r="F24" s="40" t="n">
        <x:f>SUM(F20:F23)</x:f>
        <x:v>263.36906154</x:v>
      </x:c>
      <x:c r="G24" s="40" t="n">
        <x:f>SUM(G20:G23)</x:f>
        <x:v>271.27013338620003</x:v>
      </x:c>
      <x:c r="H24" s="40" t="n">
        <x:f>SUM(H20:H23)</x:f>
        <x:v>279.408237387786</x:v>
      </x:c>
      <x:c r="I24" s="40" t="n">
        <x:f>SUM(I20:I23)</x:f>
        <x:v>287.7904845094196</x:v>
      </x:c>
      <x:c r="J24" s="40" t="n">
        <x:f>SUM(J20:J23)</x:f>
        <x:v>296.4241990447022</x:v>
      </x:c>
      <x:c r="K24" s="40" t="n">
        <x:f>SUM(K20:K23)</x:f>
        <x:v>305.3169250160433</x:v>
      </x:c>
    </x:row>
    <x:row r="25" ht="23" customHeight="1">
      <x:c r="A25" t="str">
        <x:v>Operating margin</x:v>
      </x:c>
      <x:c r="B25" s="22" t="n">
        <x:f>B24/B18</x:f>
        <x:v>0.185</x:v>
      </x:c>
      <x:c r="C25" s="22" t="n">
        <x:f>C24/C18</x:f>
        <x:v>0.18</x:v>
      </x:c>
      <x:c r="D25" s="22" t="n">
        <x:f>D24/D18</x:f>
        <x:v>0.18</x:v>
      </x:c>
      <x:c r="E25" s="22" t="n">
        <x:f>E24/E18</x:f>
        <x:v>0.18</x:v>
      </x:c>
      <x:c r="F25" s="22" t="n">
        <x:f>F24/F18</x:f>
        <x:v>0.18</x:v>
      </x:c>
      <x:c r="G25" s="22" t="n">
        <x:f>G24/G18</x:f>
        <x:v>0.18000000000000002</x:v>
      </x:c>
      <x:c r="H25" s="22" t="n">
        <x:f>H24/H18</x:f>
        <x:v>0.18</x:v>
      </x:c>
      <x:c r="I25" s="22" t="n">
        <x:f>I24/I18</x:f>
        <x:v>0.18</x:v>
      </x:c>
      <x:c r="J25" s="22" t="n">
        <x:f>J24/J18</x:f>
        <x:v>0.18</x:v>
      </x:c>
      <x:c r="K25" s="22" t="n">
        <x:f>K24/K18</x:f>
        <x:v>0.18</x:v>
      </x:c>
    </x:row>
    <x:row r="26" ht="23" customHeight="1">
      <x:c r="A26" t="str">
        <x:v>After-tax operating profit</x:v>
      </x:c>
      <x:c r="B26" s="34" t="n">
        <x:f>B24*(1-'Assumptions'!$F$17)</x:f>
        <x:v>180.375</x:v>
      </x:c>
      <x:c r="C26" s="34" t="n">
        <x:f>C24*(1-'Assumptions'!$F$17)</x:f>
        <x:v>180.765</x:v>
      </x:c>
      <x:c r="D26" s="34" t="n">
        <x:f>D24*(1-'Assumptions'!$F$17)</x:f>
        <x:v>186.18795</x:v>
      </x:c>
      <x:c r="E26" s="34" t="n">
        <x:f>E24*(1-'Assumptions'!$F$17)</x:f>
        <x:v>191.7735885</x:v>
      </x:c>
      <x:c r="F26" s="34" t="n">
        <x:f>F24*(1-'Assumptions'!$F$17)</x:f>
        <x:v>197.526796155</x:v>
      </x:c>
      <x:c r="G26" s="34" t="n">
        <x:f>G24*(1-'Assumptions'!$F$17)</x:f>
        <x:v>203.45260003965</x:v>
      </x:c>
      <x:c r="H26" s="34" t="n">
        <x:f>H24*(1-'Assumptions'!$F$17)</x:f>
        <x:v>209.5561780408395</x:v>
      </x:c>
      <x:c r="I26" s="34" t="n">
        <x:f>I24*(1-'Assumptions'!$F$17)</x:f>
        <x:v>215.8428633820647</x:v>
      </x:c>
      <x:c r="J26" s="34" t="n">
        <x:f>J24*(1-'Assumptions'!$F$17)</x:f>
        <x:v>222.31814928352668</x:v>
      </x:c>
      <x:c r="K26" s="34" t="n">
        <x:f>K24*(1-'Assumptions'!$F$17)</x:f>
        <x:v>228.98769376203245</x:v>
      </x:c>
    </x:row>
    <x:row r="27" ht="23" customHeight="1">
      <x:c r="A27" t="str">
        <x:v>Add: depreciation &amp; amortization</x:v>
      </x:c>
      <x:c r="B27" s="34" t="n">
        <x:f>B18*'Assumptions'!$G$17</x:f>
        <x:v>10.4</x:v>
      </x:c>
      <x:c r="C27" s="34" t="n">
        <x:f>C18*'Assumptions'!$G$17</x:f>
        <x:v>10.712</x:v>
      </x:c>
      <x:c r="D27" s="34" t="n">
        <x:f>D18*'Assumptions'!$G$17</x:f>
        <x:v>11.03336</x:v>
      </x:c>
      <x:c r="E27" s="34" t="n">
        <x:f>E18*'Assumptions'!$G$17</x:f>
        <x:v>11.3643608</x:v>
      </x:c>
      <x:c r="F27" s="34" t="n">
        <x:f>F18*'Assumptions'!$G$17</x:f>
        <x:v>11.705291624000001</x:v>
      </x:c>
      <x:c r="G27" s="34" t="n">
        <x:f>G18*'Assumptions'!$G$17</x:f>
        <x:v>12.05645037272</x:v>
      </x:c>
      <x:c r="H27" s="34" t="n">
        <x:f>H18*'Assumptions'!$G$17</x:f>
        <x:v>12.418143883901601</x:v>
      </x:c>
      <x:c r="I27" s="34" t="n">
        <x:f>I18*'Assumptions'!$G$17</x:f>
        <x:v>12.79068820041865</x:v>
      </x:c>
      <x:c r="J27" s="34" t="n">
        <x:f>J18*'Assumptions'!$G$17</x:f>
        <x:v>13.174408846431211</x:v>
      </x:c>
      <x:c r="K27" s="34" t="n">
        <x:f>K18*'Assumptions'!$G$17</x:f>
        <x:v>13.569641111824147</x:v>
      </x:c>
    </x:row>
    <x:row r="28" ht="23" customHeight="1">
      <x:c r="A28" t="str">
        <x:v>Less: investment incl. software</x:v>
      </x:c>
      <x:c r="B28" s="34" t="n">
        <x:f>-B18*B14</x:f>
        <x:v>-32.5</x:v>
      </x:c>
      <x:c r="C28" s="34" t="n">
        <x:f>-C18*C14</x:f>
        <x:v>-33.475</x:v>
      </x:c>
      <x:c r="D28" s="34" t="n">
        <x:f>-D18*D14</x:f>
        <x:v>-34.47925</x:v>
      </x:c>
      <x:c r="E28" s="34" t="n">
        <x:f>-E18*E14</x:f>
        <x:v>-35.513627500000005</x:v>
      </x:c>
      <x:c r="F28" s="34" t="n">
        <x:f>-F18*F14</x:f>
        <x:v>-36.579036325000004</x:v>
      </x:c>
      <x:c r="G28" s="34" t="n">
        <x:f>-G18*G14</x:f>
        <x:v>-37.67640741475</x:v>
      </x:c>
      <x:c r="H28" s="34" t="n">
        <x:f>-H18*H14</x:f>
        <x:v>-38.80669963719251</x:v>
      </x:c>
      <x:c r="I28" s="34" t="n">
        <x:f>-I18*I14</x:f>
        <x:v>-39.970900626308286</x:v>
      </x:c>
      <x:c r="J28" s="34" t="n">
        <x:f>-J18*J14</x:f>
        <x:v>-41.170027645097534</x:v>
      </x:c>
      <x:c r="K28" s="34" t="n">
        <x:f>-K18*K14</x:f>
        <x:v>-42.405128474450464</x:v>
      </x:c>
    </x:row>
    <x:row r="29" ht="23" customHeight="1">
      <x:c r="A29" t="str">
        <x:v>Less: incremental working capital</x:v>
      </x:c>
      <x:c r="B29" s="34" t="n">
        <x:f>-(B18-'Inputs'!$G$14)*'Assumptions'!$H$17</x:f>
        <x:v>-12</x:v>
      </x:c>
      <x:c r="C29" s="34" t="n">
        <x:f>-(C18-B18)*'Assumptions'!$H$17</x:f>
        <x:v>-4.68</x:v>
      </x:c>
      <x:c r="D29" s="34" t="n">
        <x:f>-(D18-C18)*'Assumptions'!$H$17</x:f>
        <x:v>-4.820400000000008</x:v>
      </x:c>
      <x:c r="E29" s="34" t="n">
        <x:f>-(E18-D18)*'Assumptions'!$H$17</x:f>
        <x:v>-4.965011999999997</x:v>
      </x:c>
      <x:c r="F29" s="34" t="n">
        <x:f>-(F18-E18)*'Assumptions'!$H$17</x:f>
        <x:v>-5.113962360000014</x:v>
      </x:c>
      <x:c r="G29" s="34" t="n">
        <x:f>-(G18-F18)*'Assumptions'!$H$17</x:f>
        <x:v>-5.267381230799992</x:v>
      </x:c>
      <x:c r="H29" s="34" t="n">
        <x:f>-(H18-G18)*'Assumptions'!$H$17</x:f>
        <x:v>-5.4254026677240015</x:v>
      </x:c>
      <x:c r="I29" s="34" t="n">
        <x:f>-(I18-H18)*'Assumptions'!$H$17</x:f>
        <x:v>-5.588164747755736</x:v>
      </x:c>
      <x:c r="J29" s="34" t="n">
        <x:f>-(J18-I18)*'Assumptions'!$H$17</x:f>
        <x:v>-5.755809690188398</x:v>
      </x:c>
      <x:c r="K29" s="34" t="n">
        <x:f>-(K18-J18)*'Assumptions'!$H$17</x:f>
        <x:v>-5.928483980894052</x:v>
      </x:c>
    </x:row>
    <x:row r="30" ht="23" customHeight="1">
      <x:c r="A30" t="str">
        <x:v>Less: specified cash shock</x:v>
      </x:c>
      <x:c r="B30" s="34" t="n">
        <x:f>-'Assumptions'!$I$17</x:f>
        <x:v>0</x:v>
      </x:c>
      <x:c r="C30" s="34" t="n">
        <x:f>0</x:f>
        <x:v>0</x:v>
      </x:c>
      <x:c r="D30" s="34" t="n">
        <x:f>0</x:f>
        <x:v>0</x:v>
      </x:c>
      <x:c r="E30" s="34" t="n">
        <x:f>0</x:f>
        <x:v>0</x:v>
      </x:c>
      <x:c r="F30" s="34" t="n">
        <x:f>0</x:f>
        <x:v>0</x:v>
      </x:c>
      <x:c r="G30" s="34" t="n">
        <x:f>0</x:f>
        <x:v>0</x:v>
      </x:c>
      <x:c r="H30" s="34" t="n">
        <x:f>0</x:f>
        <x:v>0</x:v>
      </x:c>
      <x:c r="I30" s="34" t="n">
        <x:f>0</x:f>
        <x:v>0</x:v>
      </x:c>
      <x:c r="J30" s="34" t="n">
        <x:f>0</x:f>
        <x:v>0</x:v>
      </x:c>
      <x:c r="K30" s="34" t="n">
        <x:f>0</x:f>
        <x:v>0</x:v>
      </x:c>
    </x:row>
    <x:row r="31" ht="23" customHeight="1">
      <x:c r="A31" s="31" t="str">
        <x:v>Owner-economic unlevered cash flow</x:v>
      </x:c>
      <x:c r="B31" s="40" t="n">
        <x:f>SUM(B26:B30)</x:f>
        <x:v>146.275</x:v>
      </x:c>
      <x:c r="C31" s="40" t="n">
        <x:f>SUM(C26:C30)</x:f>
        <x:v>153.32199999999997</x:v>
      </x:c>
      <x:c r="D31" s="40" t="n">
        <x:f>SUM(D26:D30)</x:f>
        <x:v>157.92165999999997</x:v>
      </x:c>
      <x:c r="E31" s="40" t="n">
        <x:f>SUM(E26:E30)</x:f>
        <x:v>162.6593098</x:v>
      </x:c>
      <x:c r="F31" s="40" t="n">
        <x:f>SUM(F26:F30)</x:f>
        <x:v>167.539089094</x:v>
      </x:c>
      <x:c r="G31" s="40" t="n">
        <x:f>SUM(G26:G30)</x:f>
        <x:v>172.56526176682002</x:v>
      </x:c>
      <x:c r="H31" s="40" t="n">
        <x:f>SUM(H26:H30)</x:f>
        <x:v>177.7422196198246</x:v>
      </x:c>
      <x:c r="I31" s="40" t="n">
        <x:f>SUM(I26:I30)</x:f>
        <x:v>183.07448620841933</x:v>
      </x:c>
      <x:c r="J31" s="40" t="n">
        <x:f>SUM(J26:J30)</x:f>
        <x:v>188.56672079467197</x:v>
      </x:c>
      <x:c r="K31" s="40" t="n">
        <x:f>SUM(K26:K30)</x:f>
        <x:v>194.2237224185121</x:v>
      </x:c>
    </x:row>
    <x:row r="32" ht="23" customHeight="1">
      <x:c r="A32" t="str">
        <x:v>Discount factor</x:v>
      </x:c>
      <x:c r="B32" s="22" t="n">
        <x:f>1/(1+'Assumptions'!$C$17)^B$8</x:f>
        <x:v>0.9049773755656109</x:v>
      </x:c>
      <x:c r="C32" s="22" t="n">
        <x:f>1/(1+'Assumptions'!$C$17)^C$8</x:f>
        <x:v>0.8189840502856207</x:v>
      </x:c>
      <x:c r="D32" s="22" t="n">
        <x:f>1/(1+'Assumptions'!$C$17)^D$8</x:f>
        <x:v>0.7411620364575753</x:v>
      </x:c>
      <x:c r="E32" s="22" t="n">
        <x:f>1/(1+'Assumptions'!$C$17)^E$8</x:f>
        <x:v>0.67073487462224</x:v>
      </x:c>
      <x:c r="F32" s="22" t="n">
        <x:f>1/(1+'Assumptions'!$C$17)^F$8</x:f>
        <x:v>0.6069998865359638</x:v>
      </x:c>
      <x:c r="G32" s="22" t="n">
        <x:f>1/(1+'Assumptions'!$C$17)^G$8</x:f>
        <x:v>0.54932116428594</x:v>
      </x:c>
      <x:c r="H32" s="22" t="n">
        <x:f>1/(1+'Assumptions'!$C$17)^H$8</x:f>
        <x:v>0.4971232255981358</x:v>
      </x:c>
      <x:c r="I32" s="22" t="n">
        <x:f>1/(1+'Assumptions'!$C$17)^I$8</x:f>
        <x:v>0.44988527203451206</x:v>
      </x:c>
      <x:c r="J32" s="22" t="n">
        <x:f>1/(1+'Assumptions'!$C$17)^J$8</x:f>
        <x:v>0.40713599279141366</x:v>
      </x:c>
      <x:c r="K32" s="22" t="n">
        <x:f>1/(1+'Assumptions'!$C$17)^K$8</x:f>
        <x:v>0.36844886225467294</x:v>
      </x:c>
    </x:row>
    <x:row r="33" ht="23" customHeight="1">
      <x:c r="A33" s="31" t="str">
        <x:v>Present value</x:v>
      </x:c>
      <x:c r="B33" s="40" t="n">
        <x:f>B31*B32</x:f>
        <x:v>132.37556561085972</x:v>
      </x:c>
      <x:c r="C33" s="40" t="n">
        <x:f>C31*C32</x:f>
        <x:v>125.56827255789192</x:v>
      </x:c>
      <x:c r="D33" s="40" t="n">
        <x:f>D31*D32</x:f>
        <x:v>117.0455391263608</x:v>
      </x:c>
      <x:c r="E33" s="40" t="n">
        <x:f>E31*E32</x:f>
        <x:v>109.10127176484309</x:v>
      </x:c>
      <x:c r="F33" s="40" t="n">
        <x:f>F31*F32</x:f>
        <x:v>101.69620807039672</x:v>
      </x:c>
      <x:c r="G33" s="40" t="n">
        <x:f>G31*G32</x:f>
        <x:v>94.79375050905759</x:v>
      </x:c>
      <x:c r="H33" s="40" t="n">
        <x:f>H31*H32</x:f>
        <x:v>88.35978554237947</x:v>
      </x:c>
      <x:c r="I33" s="40" t="n">
        <x:f>I31*I32</x:f>
        <x:v>82.36251503045325</x:v>
      </x:c>
      <x:c r="J33" s="40" t="n">
        <x:f>J31*J32</x:f>
        <x:v>76.77229907816007</x:v>
      </x:c>
      <x:c r="K33" s="40" t="n">
        <x:f>K31*K32</x:f>
        <x:v>71.5615095479682</x:v>
      </x:c>
    </x:row>
    <x:row r="34" ht="23" customHeight="1">
      <x:c r="A34" t="str">
        <x:v>Discount factor at 12%</x:v>
      </x:c>
      <x:c r="B34" s="22" t="n">
        <x:f>1/(1+'Controls'!$B$3)^B$8</x:f>
        <x:v>0.8928571428571428</x:v>
      </x:c>
      <x:c r="C34" s="22" t="n">
        <x:f>1/(1+'Controls'!$B$3)^C$8</x:f>
        <x:v>0.7971938775510203</x:v>
      </x:c>
      <x:c r="D34" s="22" t="n">
        <x:f>1/(1+'Controls'!$B$3)^D$8</x:f>
        <x:v>0.7117802478134109</x:v>
      </x:c>
      <x:c r="E34" s="22" t="n">
        <x:f>1/(1+'Controls'!$B$3)^E$8</x:f>
        <x:v>0.6355180784048312</x:v>
      </x:c>
      <x:c r="F34" s="22" t="n">
        <x:f>1/(1+'Controls'!$B$3)^F$8</x:f>
        <x:v>0.5674268557185992</x:v>
      </x:c>
      <x:c r="G34" s="22" t="n">
        <x:f>1/(1+'Controls'!$B$3)^G$8</x:f>
        <x:v>0.5066311211773207</x:v>
      </x:c>
      <x:c r="H34" s="22" t="n">
        <x:f>1/(1+'Controls'!$B$3)^H$8</x:f>
        <x:v>0.45234921533689343</x:v>
      </x:c>
      <x:c r="I34" s="22" t="n">
        <x:f>1/(1+'Controls'!$B$3)^I$8</x:f>
        <x:v>0.4038832279793691</x:v>
      </x:c>
      <x:c r="J34" s="22" t="n">
        <x:f>1/(1+'Controls'!$B$3)^J$8</x:f>
        <x:v>0.36061002498157957</x:v>
      </x:c>
      <x:c r="K34" s="22" t="n">
        <x:f>1/(1+'Controls'!$B$3)^K$8</x:f>
        <x:v>0.321973236590696</x:v>
      </x:c>
    </x:row>
    <x:row r="36" ht="25" customHeight="1">
      <x:c r="A36" t="str">
        <x:v>Year 11 after-tax operating profit</x:v>
      </x:c>
      <x:c r="B36" s="34" t="n">
        <x:f>K26*(1+'Assumptions'!$D$17)</x:f>
        <x:v>235.85732457489343</x:v>
      </x:c>
    </x:row>
    <x:row r="37" ht="25" customHeight="1">
      <x:c r="A37" t="str">
        <x:v>Less: terminal reinvestment</x:v>
      </x:c>
      <x:c r="B37" s="34" t="n">
        <x:f>-B36*'Assumptions'!$D$17/'Assumptions'!$E$17</x:f>
        <x:v>-39.30955409581557</x:v>
      </x:c>
      <x:c r="D37" s="24" t="str">
        <x:v>This is an operating scenario, not a statistical confidence interval. Terminal growth requires reinvestment. Latest-quarter capital structure is not a complete September roll-forward. See company decision notes for remaining unknowns. MOD scenarios assume the transaction closes; WINA core revenue excludes offsetting fee programs.</x:v>
      </x:c>
      <x:c r="E37" s="24"/>
      <x:c r="F37" s="24"/>
      <x:c r="G37" s="24"/>
      <x:c r="H37" s="24"/>
      <x:c r="I37" s="24"/>
      <x:c r="J37" s="24"/>
      <x:c r="K37" s="24"/>
    </x:row>
    <x:row r="38" ht="25" customHeight="1">
      <x:c r="A38" t="str">
        <x:v>Terminal cash flow</x:v>
      </x:c>
      <x:c r="B38" s="34" t="n">
        <x:f>SUM(B36:B37)</x:f>
        <x:v>196.54777047907785</x:v>
      </x:c>
      <x:c r="D38" s="24"/>
      <x:c r="E38" s="24"/>
      <x:c r="F38" s="24"/>
      <x:c r="G38" s="24"/>
      <x:c r="H38" s="24"/>
      <x:c r="I38" s="24"/>
      <x:c r="J38" s="24"/>
      <x:c r="K38" s="24"/>
    </x:row>
    <x:row r="39" ht="25" customHeight="1">
      <x:c r="A39" t="str">
        <x:v>Terminal operating value</x:v>
      </x:c>
      <x:c r="B39" s="34" t="n">
        <x:f>B38/('Assumptions'!$C$17-'Assumptions'!$D$17)</x:f>
        <x:v>2620.6369397210383</x:v>
      </x:c>
      <x:c r="D39" s="24"/>
      <x:c r="E39" s="24"/>
      <x:c r="F39" s="24"/>
      <x:c r="G39" s="24"/>
      <x:c r="H39" s="24"/>
      <x:c r="I39" s="24"/>
      <x:c r="J39" s="24"/>
      <x:c r="K39" s="24"/>
    </x:row>
    <x:row r="40" ht="25" customHeight="1">
      <x:c r="A40" t="str">
        <x:v>PV terminal value</x:v>
      </x:c>
      <x:c r="B40" s="34" t="n">
        <x:f>B39*K32</x:f>
        <x:v>965.5706988227845</x:v>
      </x:c>
      <x:c r="D40" s="24"/>
      <x:c r="E40" s="24"/>
      <x:c r="F40" s="24"/>
      <x:c r="G40" s="24"/>
      <x:c r="H40" s="24"/>
      <x:c r="I40" s="24"/>
      <x:c r="J40" s="24"/>
      <x:c r="K40" s="24"/>
    </x:row>
    <x:row r="41" ht="25" customHeight="1">
      <x:c r="A41" t="str">
        <x:v>PV explicit forecast</x:v>
      </x:c>
      <x:c r="B41" s="34" t="n">
        <x:f>SUM(B33:K33)</x:f>
        <x:v>999.6367168383708</x:v>
      </x:c>
      <x:c r="D41" s="24"/>
      <x:c r="E41" s="24"/>
      <x:c r="F41" s="24"/>
      <x:c r="G41" s="24"/>
      <x:c r="H41" s="24"/>
      <x:c r="I41" s="24"/>
      <x:c r="J41" s="24"/>
      <x:c r="K41" s="24"/>
    </x:row>
    <x:row r="42" ht="25" customHeight="1">
      <x:c r="A42" s="84" t="str">
        <x:v>Operating enterprise value</x:v>
      </x:c>
      <x:c r="B42" s="85" t="n">
        <x:f>SUM(B40:B41)</x:f>
        <x:v>1965.2074156611552</x:v>
      </x:c>
      <x:c r="D42" s="24"/>
      <x:c r="E42" s="24"/>
      <x:c r="F42" s="24"/>
      <x:c r="G42" s="24"/>
      <x:c r="H42" s="24"/>
      <x:c r="I42" s="24"/>
      <x:c r="J42" s="24"/>
      <x:c r="K42" s="24"/>
    </x:row>
    <x:row r="43" ht="25" customHeight="1">
      <x:c r="A43" t="str">
        <x:v>Cash / claims / transaction bridge</x:v>
      </x:c>
      <x:c r="B43" s="34" t="n">
        <x:f>'Inputs'!$G$6-'Inputs'!$G$7-'Inputs'!$G$9-'Inputs'!$G$10-'Inputs'!$G$11+'Inputs'!$G$12*'Inputs'!$G$13-'Inputs'!$G$31*'Assumptions'!$L$17</x:f>
        <x:v>230.812</x:v>
      </x:c>
      <x:c r="D43" s="24"/>
      <x:c r="E43" s="24"/>
      <x:c r="F43" s="24"/>
      <x:c r="G43" s="24"/>
      <x:c r="H43" s="24"/>
      <x:c r="I43" s="24"/>
      <x:c r="J43" s="24"/>
      <x:c r="K43" s="24"/>
    </x:row>
    <x:row r="44" ht="25" customHeight="1">
      <x:c r="A44" s="84" t="str">
        <x:v>Common equity value</x:v>
      </x:c>
      <x:c r="B44" s="85" t="n">
        <x:f>SUM(B42:B43)</x:f>
        <x:v>2196.019415661155</x:v>
      </x:c>
      <x:c r="D44" s="24"/>
      <x:c r="E44" s="24"/>
      <x:c r="F44" s="24"/>
      <x:c r="G44" s="24"/>
      <x:c r="H44" s="24"/>
      <x:c r="I44" s="24"/>
      <x:c r="J44" s="24"/>
      <x:c r="K44" s="24"/>
    </x:row>
    <x:row r="45" ht="25" customHeight="1">
      <x:c r="A45" t="str">
        <x:v>Value / share: debt endpoint</x:v>
      </x:c>
      <x:c r="B45" s="42" t="n">
        <x:f>B44/'Inputs'!$G$8</x:f>
        <x:v>59.99397376410106</x:v>
      </x:c>
    </x:row>
    <x:row r="46" ht="25" customHeight="1">
      <x:c r="A46" t="str">
        <x:v>Value / share: if-converted endpoint</x:v>
      </x:c>
      <x:c r="B46" s="42" t="n">
        <x:f>B45</x:f>
        <x:v>59.99397376410106</x:v>
      </x:c>
    </x:row>
    <x:row r="47" ht="25" customHeight="1">
      <x:c r="A47" s="88" t="str">
        <x:v>Conditional intrinsic value / share</x:v>
      </x:c>
      <x:c r="B47" s="89" t="n">
        <x:f>B45</x:f>
        <x:v>59.99397376410106</x:v>
      </x:c>
    </x:row>
    <x:row r="48" ht="25" customHeight="1">
      <x:c r="A48" t="str">
        <x:v>Value versus quote</x:v>
      </x:c>
      <x:c r="B48" s="22" t="n">
        <x:f>B47/'Inputs'!$G$5-1</x:f>
        <x:v>-0.6688526038300985</x:v>
      </x:c>
    </x:row>
    <x:row r="49" ht="25" customHeight="1">
      <x:c r="A49" t="str">
        <x:v>Terminal share of operating EV</x:v>
      </x:c>
      <x:c r="B49" s="22" t="n">
        <x:f>B40/B42</x:f>
        <x:v>0.49133271690710434</x:v>
      </x:c>
    </x:row>
    <x:row r="50" ht="25" customHeight="1">
      <x:c r="A50" t="str">
        <x:v>Value at 12% enterprise discount</x:v>
      </x:c>
      <x:c r="B50" s="42" t="n">
        <x:f>(SUMPRODUCT(B31:K31,B34:K34)+B38/('Controls'!$B$3-'Assumptions'!$D$17)*K34+B43)/'Inputs'!$G$8</x:f>
        <x:v>51.08555227380451</x:v>
      </x:c>
    </x:row>
    <x:row r="51" ht="25" customHeight="1">
      <x:c r="A51" t="str">
        <x:v>Price-implied operating EV</x:v>
      </x:c>
      <x:c r="B51" s="34" t="n">
        <x:f>'Inputs'!$G$5*'Inputs'!$G$8-B43</x:f>
        <x:v>6400.73468</x:v>
      </x:c>
    </x:row>
    <x:row r="55" ht="29" customHeight="1">
      <x:c r="A55" s="27" t="str">
        <x:v>BASE | conditional operating path, not probability band</x:v>
      </x:c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</x:row>
    <x:row r="57">
      <x:c r="A57" t="str">
        <x:v>Discount rate</x:v>
      </x:c>
      <x:c r="B57" s="22" t="n">
        <x:f>'Assumptions'!$C$18</x:f>
        <x:v>0.105</x:v>
      </x:c>
      <x:c r="C57" t="str">
        <x:v>Terminal growth</x:v>
      </x:c>
      <x:c r="D57" s="22" t="n">
        <x:f>'Assumptions'!$D$18</x:f>
        <x:v>0.03</x:v>
      </x:c>
      <x:c r="E57" t="str">
        <x:v>Tax</x:v>
      </x:c>
      <x:c r="F57" s="22" t="n">
        <x:f>'Assumptions'!$F$18</x:f>
        <x:v>0.24</x:v>
      </x:c>
      <x:c r="G57" t="str">
        <x:v>Terminal ROIC</x:v>
      </x:c>
      <x:c r="H57" s="22" t="n">
        <x:f>'Assumptions'!$E$18</x:f>
        <x:v>0.25</x:v>
      </x:c>
      <x:c r="I57"/>
      <x:c r="J57"/>
      <x:c r="K57"/>
    </x:row>
    <x:row r="59" ht="24" customHeight="1">
      <x:c r="A59" s="31" t="str">
        <x:v>Economic year</x:v>
      </x:c>
      <x:c r="B59" s="31" t="n">
        <x:v>1</x:v>
      </x:c>
      <x:c r="C59" s="31" t="n">
        <x:v>2</x:v>
      </x:c>
      <x:c r="D59" s="31" t="n">
        <x:v>3</x:v>
      </x:c>
      <x:c r="E59" s="31" t="n">
        <x:v>4</x:v>
      </x:c>
      <x:c r="F59" s="31" t="n">
        <x:v>5</x:v>
      </x:c>
      <x:c r="G59" s="31" t="n">
        <x:v>6</x:v>
      </x:c>
      <x:c r="H59" s="31" t="n">
        <x:v>7</x:v>
      </x:c>
      <x:c r="I59" s="31" t="n">
        <x:v>8</x:v>
      </x:c>
      <x:c r="J59" s="31" t="n">
        <x:v>9</x:v>
      </x:c>
      <x:c r="K59" s="31" t="n">
        <x:v>10</x:v>
      </x:c>
    </x:row>
    <x:row r="60" ht="23" customHeight="1">
      <x:c r="A60" t="str">
        <x:v>Primary revenue growth</x:v>
      </x:c>
      <x:c r="B60" s="36" t="n">
        <x:f>'Assumptions'!$O$18</x:f>
        <x:v>0</x:v>
      </x:c>
      <x:c r="C60" s="36" t="n">
        <x:f>'Assumptions'!$P$18</x:f>
        <x:v>0.15</x:v>
      </x:c>
      <x:c r="D60" s="36" t="n">
        <x:f>'Assumptions'!$Q$18</x:f>
        <x:v>0.12</x:v>
      </x:c>
      <x:c r="E60" s="36" t="n">
        <x:f>'Assumptions'!$R$18</x:f>
        <x:v>0.1</x:v>
      </x:c>
      <x:c r="F60" s="36" t="n">
        <x:f>'Assumptions'!$S$18</x:f>
        <x:v>0.08</x:v>
      </x:c>
      <x:c r="G60" s="22" t="n">
        <x:f>$F$70+('Assumptions'!$D$18-$F$70)*(G$59-$F$59)/($K$59-$F$59)</x:f>
        <x:v>0.07000000000000006</x:v>
      </x:c>
      <x:c r="H60" s="22" t="n">
        <x:f>$F$70+('Assumptions'!$D$18-$F$70)*(H$59-$F$59)/($K$59-$F$59)</x:f>
        <x:v>0.06000000000000004</x:v>
      </x:c>
      <x:c r="I60" s="22" t="n">
        <x:f>$F$70+('Assumptions'!$D$18-$F$70)*(I$59-$F$59)/($K$59-$F$59)</x:f>
        <x:v>0.05000000000000003</x:v>
      </x:c>
      <x:c r="J60" s="22" t="n">
        <x:f>$F$70+('Assumptions'!$D$18-$F$70)*(J$59-$F$59)/($K$59-$F$59)</x:f>
        <x:v>0.040000000000000015</x:v>
      </x:c>
      <x:c r="K60" s="22" t="n">
        <x:f>$F$70+('Assumptions'!$D$18-$F$70)*(K$59-$F$59)/($K$59-$F$59)</x:f>
        <x:v>0.030000000000000006</x:v>
      </x:c>
    </x:row>
    <x:row r="61" ht="23" customHeight="1">
      <x:c r="A61" t="str">
        <x:v>Secondary revenue growth</x:v>
      </x:c>
      <x:c r="B61" s="36" t="n">
        <x:f>'Assumptions'!$T$18</x:f>
        <x:v>0</x:v>
      </x:c>
      <x:c r="C61" s="36" t="n">
        <x:f>'Assumptions'!$U$18</x:f>
        <x:v>0</x:v>
      </x:c>
      <x:c r="D61" s="36" t="n">
        <x:f>'Assumptions'!$V$18</x:f>
        <x:v>0</x:v>
      </x:c>
      <x:c r="E61" s="36" t="n">
        <x:f>'Assumptions'!$W$18</x:f>
        <x:v>0</x:v>
      </x:c>
      <x:c r="F61" s="36" t="n">
        <x:f>'Assumptions'!$X$18</x:f>
        <x:v>0</x:v>
      </x:c>
      <x:c r="G61" s="22" t="n">
        <x:f>$F$70+('Assumptions'!$D$18-$F$70)*(G$59-$F$59)/($K$59-$F$59)</x:f>
        <x:v>0.07000000000000006</x:v>
      </x:c>
      <x:c r="H61" s="22" t="n">
        <x:f>$F$70+('Assumptions'!$D$18-$F$70)*(H$59-$F$59)/($K$59-$F$59)</x:f>
        <x:v>0.06000000000000004</x:v>
      </x:c>
      <x:c r="I61" s="22" t="n">
        <x:f>$F$70+('Assumptions'!$D$18-$F$70)*(I$59-$F$59)/($K$59-$F$59)</x:f>
        <x:v>0.05000000000000003</x:v>
      </x:c>
      <x:c r="J61" s="22" t="n">
        <x:f>$F$70+('Assumptions'!$D$18-$F$70)*(J$59-$F$59)/($K$59-$F$59)</x:f>
        <x:v>0.040000000000000015</x:v>
      </x:c>
      <x:c r="K61" s="22" t="n">
        <x:f>$F$70+('Assumptions'!$D$18-$F$70)*(K$59-$F$59)/($K$59-$F$59)</x:f>
        <x:v>0.030000000000000006</x:v>
      </x:c>
    </x:row>
    <x:row r="62" ht="23" customHeight="1">
      <x:c r="A62" t="str">
        <x:v>Primary margin</x:v>
      </x:c>
      <x:c r="B62" s="36" t="n">
        <x:f>'Assumptions'!$Y$18</x:f>
        <x:v>0.21</x:v>
      </x:c>
      <x:c r="C62" s="36" t="n">
        <x:f>'Assumptions'!$Z$18</x:f>
        <x:v>0.22</x:v>
      </x:c>
      <x:c r="D62" s="36" t="n">
        <x:f>'Assumptions'!$AA$18</x:f>
        <x:v>0.22</x:v>
      </x:c>
      <x:c r="E62" s="36" t="n">
        <x:f>'Assumptions'!$AB$18</x:f>
        <x:v>0.215</x:v>
      </x:c>
      <x:c r="F62" s="36" t="n">
        <x:f>'Assumptions'!$AC$18</x:f>
        <x:v>0.21</x:v>
      </x:c>
      <x:c r="G62" s="22" t="n">
        <x:f>$F$62</x:f>
        <x:v>0.21</x:v>
      </x:c>
      <x:c r="H62" s="22" t="n">
        <x:f>$F$62</x:f>
        <x:v>0.21</x:v>
      </x:c>
      <x:c r="I62" s="22" t="n">
        <x:f>$F$62</x:f>
        <x:v>0.21</x:v>
      </x:c>
      <x:c r="J62" s="22" t="n">
        <x:f>$F$62</x:f>
        <x:v>0.21</x:v>
      </x:c>
      <x:c r="K62" s="22" t="n">
        <x:f>$F$62</x:f>
        <x:v>0.21</x:v>
      </x:c>
    </x:row>
    <x:row r="63" ht="23" customHeight="1">
      <x:c r="A63" t="str">
        <x:v>Secondary margin</x:v>
      </x:c>
      <x:c r="B63" s="36" t="n">
        <x:f>'Assumptions'!$AD$18</x:f>
        <x:v>0</x:v>
      </x:c>
      <x:c r="C63" s="36" t="n">
        <x:f>'Assumptions'!$AE$18</x:f>
        <x:v>0</x:v>
      </x:c>
      <x:c r="D63" s="36" t="n">
        <x:f>'Assumptions'!$AF$18</x:f>
        <x:v>0</x:v>
      </x:c>
      <x:c r="E63" s="36" t="n">
        <x:f>'Assumptions'!$AG$18</x:f>
        <x:v>0</x:v>
      </x:c>
      <x:c r="F63" s="36" t="n">
        <x:f>'Assumptions'!$AH$18</x:f>
        <x:v>0</x:v>
      </x:c>
      <x:c r="G63" s="22" t="n">
        <x:f>$F$63</x:f>
        <x:v>0</x:v>
      </x:c>
      <x:c r="H63" s="22" t="n">
        <x:f>$F$63</x:f>
        <x:v>0</x:v>
      </x:c>
      <x:c r="I63" s="22" t="n">
        <x:f>$F$63</x:f>
        <x:v>0</x:v>
      </x:c>
      <x:c r="J63" s="22" t="n">
        <x:f>$F$63</x:f>
        <x:v>0</x:v>
      </x:c>
      <x:c r="K63" s="22" t="n">
        <x:f>$F$63</x:f>
        <x:v>0</x:v>
      </x:c>
    </x:row>
    <x:row r="64" ht="23" customHeight="1">
      <x:c r="A64" t="str">
        <x:v>Overhead growth</x:v>
      </x:c>
      <x:c r="B64" s="36" t="n">
        <x:f>'Assumptions'!$AI$18</x:f>
        <x:v>0</x:v>
      </x:c>
      <x:c r="C64" s="36" t="n">
        <x:f>'Assumptions'!$AJ$18</x:f>
        <x:v>0</x:v>
      </x:c>
      <x:c r="D64" s="36" t="n">
        <x:f>'Assumptions'!$AK$18</x:f>
        <x:v>0</x:v>
      </x:c>
      <x:c r="E64" s="36" t="n">
        <x:f>'Assumptions'!$AL$18</x:f>
        <x:v>0</x:v>
      </x:c>
      <x:c r="F64" s="36" t="n">
        <x:f>'Assumptions'!$AM$18</x:f>
        <x:v>0</x:v>
      </x:c>
      <x:c r="G64" s="22" t="n">
        <x:f>$F$70+('Assumptions'!$D$18-$F$70)*(G$59-$F$59)/($K$59-$F$59)</x:f>
        <x:v>0.07000000000000006</x:v>
      </x:c>
      <x:c r="H64" s="22" t="n">
        <x:f>$F$70+('Assumptions'!$D$18-$F$70)*(H$59-$F$59)/($K$59-$F$59)</x:f>
        <x:v>0.06000000000000004</x:v>
      </x:c>
      <x:c r="I64" s="22" t="n">
        <x:f>$F$70+('Assumptions'!$D$18-$F$70)*(I$59-$F$59)/($K$59-$F$59)</x:f>
        <x:v>0.05000000000000003</x:v>
      </x:c>
      <x:c r="J64" s="22" t="n">
        <x:f>$F$70+('Assumptions'!$D$18-$F$70)*(J$59-$F$59)/($K$59-$F$59)</x:f>
        <x:v>0.040000000000000015</x:v>
      </x:c>
      <x:c r="K64" s="22" t="n">
        <x:f>$F$70+('Assumptions'!$D$18-$F$70)*(K$59-$F$59)/($K$59-$F$59)</x:f>
        <x:v>0.030000000000000006</x:v>
      </x:c>
    </x:row>
    <x:row r="65" ht="23" customHeight="1">
      <x:c r="A65" t="str">
        <x:v>Capex / revenue</x:v>
      </x:c>
      <x:c r="B65" s="36" t="n">
        <x:f>'Assumptions'!$AN$18</x:f>
        <x:v>0.025</x:v>
      </x:c>
      <x:c r="C65" s="36" t="n">
        <x:f>'Assumptions'!$AO$18</x:f>
        <x:v>0.025</x:v>
      </x:c>
      <x:c r="D65" s="36" t="n">
        <x:f>'Assumptions'!$AP$18</x:f>
        <x:v>0.022</x:v>
      </x:c>
      <x:c r="E65" s="36" t="n">
        <x:f>'Assumptions'!$AQ$18</x:f>
        <x:v>0.02</x:v>
      </x:c>
      <x:c r="F65" s="36" t="n">
        <x:f>'Assumptions'!$AR$18</x:f>
        <x:v>0.02</x:v>
      </x:c>
      <x:c r="G65" s="22" t="n">
        <x:f>$F$65</x:f>
        <x:v>0.02</x:v>
      </x:c>
      <x:c r="H65" s="22" t="n">
        <x:f>$F$65</x:f>
        <x:v>0.02</x:v>
      </x:c>
      <x:c r="I65" s="22" t="n">
        <x:f>$F$65</x:f>
        <x:v>0.02</x:v>
      </x:c>
      <x:c r="J65" s="22" t="n">
        <x:f>$F$65</x:f>
        <x:v>0.02</x:v>
      </x:c>
      <x:c r="K65" s="22" t="n">
        <x:f>$F$65</x:f>
        <x:v>0.02</x:v>
      </x:c>
    </x:row>
    <x:row r="66" ht="23" customHeight="1"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</x:row>
    <x:row r="67" ht="23" customHeight="1">
      <x:c r="A67" t="str">
        <x:v>Primary revenue</x:v>
      </x:c>
      <x:c r="B67" s="34" t="n">
        <x:f>'Assumptions'!$M$18+'Assumptions'!$N$18</x:f>
        <x:v>1500</x:v>
      </x:c>
      <x:c r="C67" s="34" t="n">
        <x:f>B67*(1+C60)</x:f>
        <x:v>1724.9999999999998</x:v>
      </x:c>
      <x:c r="D67" s="34" t="n">
        <x:f>C67*(1+D60)</x:f>
        <x:v>1932</x:v>
      </x:c>
      <x:c r="E67" s="34" t="n">
        <x:f>D67*(1+E60)</x:f>
        <x:v>2125.2000000000003</x:v>
      </x:c>
      <x:c r="F67" s="34" t="n">
        <x:f>E67*(1+F60)</x:f>
        <x:v>2295.2160000000003</x:v>
      </x:c>
      <x:c r="G67" s="34" t="n">
        <x:f>F67*(1+G60)</x:f>
        <x:v>2455.8811200000005</x:v>
      </x:c>
      <x:c r="H67" s="34" t="n">
        <x:f>G67*(1+H60)</x:f>
        <x:v>2603.2339872000007</x:v>
      </x:c>
      <x:c r="I67" s="34" t="n">
        <x:f>H67*(1+I60)</x:f>
        <x:v>2733.3956865600007</x:v>
      </x:c>
      <x:c r="J67" s="34" t="n">
        <x:f>I67*(1+J60)</x:f>
        <x:v>2842.731514022401</x:v>
      </x:c>
      <x:c r="K67" s="34" t="n">
        <x:f>J67*(1+K60)</x:f>
        <x:v>2928.013459443073</x:v>
      </x:c>
    </x:row>
    <x:row r="68" ht="23" customHeight="1">
      <x:c r="A68" t="str">
        <x:v>Secondary revenue</x:v>
      </x:c>
      <x:c r="B68" s="34" t="n">
        <x:f>0</x:f>
        <x:v>0</x:v>
      </x:c>
      <x:c r="C68" s="34" t="n">
        <x:f>B68*(1+C61)</x:f>
        <x:v>0</x:v>
      </x:c>
      <x:c r="D68" s="34" t="n">
        <x:f>C68*(1+D61)</x:f>
        <x:v>0</x:v>
      </x:c>
      <x:c r="E68" s="34" t="n">
        <x:f>D68*(1+E61)</x:f>
        <x:v>0</x:v>
      </x:c>
      <x:c r="F68" s="34" t="n">
        <x:f>E68*(1+F61)</x:f>
        <x:v>0</x:v>
      </x:c>
      <x:c r="G68" s="34" t="n">
        <x:f>F68*(1+G61)</x:f>
        <x:v>0</x:v>
      </x:c>
      <x:c r="H68" s="34" t="n">
        <x:f>G68*(1+H61)</x:f>
        <x:v>0</x:v>
      </x:c>
      <x:c r="I68" s="34" t="n">
        <x:f>H68*(1+I61)</x:f>
        <x:v>0</x:v>
      </x:c>
      <x:c r="J68" s="34" t="n">
        <x:f>I68*(1+J61)</x:f>
        <x:v>0</x:v>
      </x:c>
      <x:c r="K68" s="34" t="n">
        <x:f>J68*(1+K61)</x:f>
        <x:v>0</x:v>
      </x:c>
    </x:row>
    <x:row r="69" ht="23" customHeight="1">
      <x:c r="A69" s="31" t="str">
        <x:v>Total economic revenue</x:v>
      </x:c>
      <x:c r="B69" s="40" t="n">
        <x:f>SUM(B67:B68)</x:f>
        <x:v>1500</x:v>
      </x:c>
      <x:c r="C69" s="40" t="n">
        <x:f>SUM(C67:C68)</x:f>
        <x:v>1724.9999999999998</x:v>
      </x:c>
      <x:c r="D69" s="40" t="n">
        <x:f>SUM(D67:D68)</x:f>
        <x:v>1932</x:v>
      </x:c>
      <x:c r="E69" s="40" t="n">
        <x:f>SUM(E67:E68)</x:f>
        <x:v>2125.2000000000003</x:v>
      </x:c>
      <x:c r="F69" s="40" t="n">
        <x:f>SUM(F67:F68)</x:f>
        <x:v>2295.2160000000003</x:v>
      </x:c>
      <x:c r="G69" s="40" t="n">
        <x:f>SUM(G67:G68)</x:f>
        <x:v>2455.8811200000005</x:v>
      </x:c>
      <x:c r="H69" s="40" t="n">
        <x:f>SUM(H67:H68)</x:f>
        <x:v>2603.2339872000007</x:v>
      </x:c>
      <x:c r="I69" s="40" t="n">
        <x:f>SUM(I67:I68)</x:f>
        <x:v>2733.3956865600007</x:v>
      </x:c>
      <x:c r="J69" s="40" t="n">
        <x:f>SUM(J67:J68)</x:f>
        <x:v>2842.731514022401</x:v>
      </x:c>
      <x:c r="K69" s="40" t="n">
        <x:f>SUM(K67:K68)</x:f>
        <x:v>2928.013459443073</x:v>
      </x:c>
    </x:row>
    <x:row r="70" ht="23" customHeight="1">
      <x:c r="A70" t="str">
        <x:v>Revenue growth</x:v>
      </x:c>
      <x:c r="B70" s="22" t="n">
        <x:f>B69/'Inputs'!$G$14-1</x:f>
        <x:v>0.25</x:v>
      </x:c>
      <x:c r="C70" s="22" t="n">
        <x:f>C69/B69-1</x:f>
        <x:v>0.1499999999999999</x:v>
      </x:c>
      <x:c r="D70" s="22" t="n">
        <x:f>D69/C69-1</x:f>
        <x:v>0.1200000000000001</x:v>
      </x:c>
      <x:c r="E70" s="22" t="n">
        <x:f>E69/D69-1</x:f>
        <x:v>0.10000000000000009</x:v>
      </x:c>
      <x:c r="F70" s="22" t="n">
        <x:f>F69/E69-1</x:f>
        <x:v>0.08000000000000007</x:v>
      </x:c>
      <x:c r="G70" s="22" t="n">
        <x:f>G69/F69-1</x:f>
        <x:v>0.07000000000000006</x:v>
      </x:c>
      <x:c r="H70" s="22" t="n">
        <x:f>H69/G69-1</x:f>
        <x:v>0.06000000000000005</x:v>
      </x:c>
      <x:c r="I70" s="22" t="n">
        <x:f>I69/H69-1</x:f>
        <x:v>0.050000000000000044</x:v>
      </x:c>
      <x:c r="J70" s="22" t="n">
        <x:f>J69/I69-1</x:f>
        <x:v>0.040000000000000036</x:v>
      </x:c>
      <x:c r="K70" s="22" t="n">
        <x:f>K69/J69-1</x:f>
        <x:v>0.030000000000000027</x:v>
      </x:c>
    </x:row>
    <x:row r="71" ht="23" customHeight="1">
      <x:c r="A71" t="str">
        <x:v>Primary profit pool</x:v>
      </x:c>
      <x:c r="B71" s="34" t="n">
        <x:f>B67*B62</x:f>
        <x:v>315</x:v>
      </x:c>
      <x:c r="C71" s="34" t="n">
        <x:f>C67*C62</x:f>
        <x:v>379.49999999999994</x:v>
      </x:c>
      <x:c r="D71" s="34" t="n">
        <x:f>D67*D62</x:f>
        <x:v>425.04</x:v>
      </x:c>
      <x:c r="E71" s="34" t="n">
        <x:f>E67*E62</x:f>
        <x:v>456.91800000000006</x:v>
      </x:c>
      <x:c r="F71" s="34" t="n">
        <x:f>F67*F62</x:f>
        <x:v>481.99536000000006</x:v>
      </x:c>
      <x:c r="G71" s="34" t="n">
        <x:f>G67*G62</x:f>
        <x:v>515.7350352000001</x:v>
      </x:c>
      <x:c r="H71" s="34" t="n">
        <x:f>H67*H62</x:f>
        <x:v>546.6791373120001</x:v>
      </x:c>
      <x:c r="I71" s="34" t="n">
        <x:f>I67*I62</x:f>
        <x:v>574.0130941776001</x:v>
      </x:c>
      <x:c r="J71" s="34" t="n">
        <x:f>J67*J62</x:f>
        <x:v>596.9736179447042</x:v>
      </x:c>
      <x:c r="K71" s="34" t="n">
        <x:f>K67*K62</x:f>
        <x:v>614.8828264830453</x:v>
      </x:c>
    </x:row>
    <x:row r="72" ht="23" customHeight="1">
      <x:c r="A72" t="str">
        <x:v>Secondary profit pool</x:v>
      </x:c>
      <x:c r="B72" s="34" t="n">
        <x:f>B68*B63</x:f>
        <x:v>0</x:v>
      </x:c>
      <x:c r="C72" s="34" t="n">
        <x:f>C68*C63</x:f>
        <x:v>0</x:v>
      </x:c>
      <x:c r="D72" s="34" t="n">
        <x:f>D68*D63</x:f>
        <x:v>0</x:v>
      </x:c>
      <x:c r="E72" s="34" t="n">
        <x:f>E68*E63</x:f>
        <x:v>0</x:v>
      </x:c>
      <x:c r="F72" s="34" t="n">
        <x:f>F68*F63</x:f>
        <x:v>0</x:v>
      </x:c>
      <x:c r="G72" s="34" t="n">
        <x:f>G68*G63</x:f>
        <x:v>0</x:v>
      </x:c>
      <x:c r="H72" s="34" t="n">
        <x:f>H68*H63</x:f>
        <x:v>0</x:v>
      </x:c>
      <x:c r="I72" s="34" t="n">
        <x:f>I68*I63</x:f>
        <x:v>0</x:v>
      </x:c>
      <x:c r="J72" s="34" t="n">
        <x:f>J68*J63</x:f>
        <x:v>0</x:v>
      </x:c>
      <x:c r="K72" s="34" t="n">
        <x:f>K68*K63</x:f>
        <x:v>0</x:v>
      </x:c>
    </x:row>
    <x:row r="73" ht="23" customHeight="1">
      <x:c r="A73" t="str">
        <x:v>Less: overhead / corporate</x:v>
      </x:c>
      <x:c r="B73" s="34" t="n">
        <x:f>0</x:f>
        <x:v>0</x:v>
      </x:c>
      <x:c r="C73" s="34" t="n">
        <x:f>B73*(1+C64)</x:f>
        <x:v>0</x:v>
      </x:c>
      <x:c r="D73" s="34" t="n">
        <x:f>C73*(1+D64)</x:f>
        <x:v>0</x:v>
      </x:c>
      <x:c r="E73" s="34" t="n">
        <x:f>D73*(1+E64)</x:f>
        <x:v>0</x:v>
      </x:c>
      <x:c r="F73" s="34" t="n">
        <x:f>E73*(1+F64)</x:f>
        <x:v>0</x:v>
      </x:c>
      <x:c r="G73" s="34" t="n">
        <x:f>F73*(1+G64)</x:f>
        <x:v>0</x:v>
      </x:c>
      <x:c r="H73" s="34" t="n">
        <x:f>G73*(1+H64)</x:f>
        <x:v>0</x:v>
      </x:c>
      <x:c r="I73" s="34" t="n">
        <x:f>H73*(1+I64)</x:f>
        <x:v>0</x:v>
      </x:c>
      <x:c r="J73" s="34" t="n">
        <x:f>I73*(1+J64)</x:f>
        <x:v>0</x:v>
      </x:c>
      <x:c r="K73" s="34" t="n">
        <x:f>J73*(1+K64)</x:f>
        <x:v>0</x:v>
      </x:c>
    </x:row>
    <x:row r="74" ht="23" customHeight="1">
      <x:c r="A74" t="str">
        <x:v>Additional fee profit</x:v>
      </x:c>
      <x:c r="B74" s="34" t="n">
        <x:f>0</x:f>
        <x:v>0</x:v>
      </x:c>
      <x:c r="C74" s="34" t="n">
        <x:f>0</x:f>
        <x:v>0</x:v>
      </x:c>
      <x:c r="D74" s="34" t="n">
        <x:f>0</x:f>
        <x:v>0</x:v>
      </x:c>
      <x:c r="E74" s="34" t="n">
        <x:f>0</x:f>
        <x:v>0</x:v>
      </x:c>
      <x:c r="F74" s="34" t="n">
        <x:f>0</x:f>
        <x:v>0</x:v>
      </x:c>
      <x:c r="G74" s="34" t="n">
        <x:f>0</x:f>
        <x:v>0</x:v>
      </x:c>
      <x:c r="H74" s="34" t="n">
        <x:f>0</x:f>
        <x:v>0</x:v>
      </x:c>
      <x:c r="I74" s="34" t="n">
        <x:f>0</x:f>
        <x:v>0</x:v>
      </x:c>
      <x:c r="J74" s="34" t="n">
        <x:f>0</x:f>
        <x:v>0</x:v>
      </x:c>
      <x:c r="K74" s="34" t="n">
        <x:f>0</x:f>
        <x:v>0</x:v>
      </x:c>
    </x:row>
    <x:row r="75" ht="23" customHeight="1">
      <x:c r="A75" s="31" t="str">
        <x:v>Operating income after recurring SBC</x:v>
      </x:c>
      <x:c r="B75" s="40" t="n">
        <x:f>SUM(B71:B74)</x:f>
        <x:v>315</x:v>
      </x:c>
      <x:c r="C75" s="40" t="n">
        <x:f>SUM(C71:C74)</x:f>
        <x:v>379.49999999999994</x:v>
      </x:c>
      <x:c r="D75" s="40" t="n">
        <x:f>SUM(D71:D74)</x:f>
        <x:v>425.04</x:v>
      </x:c>
      <x:c r="E75" s="40" t="n">
        <x:f>SUM(E71:E74)</x:f>
        <x:v>456.91800000000006</x:v>
      </x:c>
      <x:c r="F75" s="40" t="n">
        <x:f>SUM(F71:F74)</x:f>
        <x:v>481.99536000000006</x:v>
      </x:c>
      <x:c r="G75" s="40" t="n">
        <x:f>SUM(G71:G74)</x:f>
        <x:v>515.7350352000001</x:v>
      </x:c>
      <x:c r="H75" s="40" t="n">
        <x:f>SUM(H71:H74)</x:f>
        <x:v>546.6791373120001</x:v>
      </x:c>
      <x:c r="I75" s="40" t="n">
        <x:f>SUM(I71:I74)</x:f>
        <x:v>574.0130941776001</x:v>
      </x:c>
      <x:c r="J75" s="40" t="n">
        <x:f>SUM(J71:J74)</x:f>
        <x:v>596.9736179447042</x:v>
      </x:c>
      <x:c r="K75" s="40" t="n">
        <x:f>SUM(K71:K74)</x:f>
        <x:v>614.8828264830453</x:v>
      </x:c>
    </x:row>
    <x:row r="76" ht="23" customHeight="1">
      <x:c r="A76" t="str">
        <x:v>Operating margin</x:v>
      </x:c>
      <x:c r="B76" s="22" t="n">
        <x:f>B75/B69</x:f>
        <x:v>0.21</x:v>
      </x:c>
      <x:c r="C76" s="22" t="n">
        <x:f>C75/C69</x:f>
        <x:v>0.22</x:v>
      </x:c>
      <x:c r="D76" s="22" t="n">
        <x:f>D75/D69</x:f>
        <x:v>0.22</x:v>
      </x:c>
      <x:c r="E76" s="22" t="n">
        <x:f>E75/E69</x:f>
        <x:v>0.215</x:v>
      </x:c>
      <x:c r="F76" s="22" t="n">
        <x:f>F75/F69</x:f>
        <x:v>0.21</x:v>
      </x:c>
      <x:c r="G76" s="22" t="n">
        <x:f>G75/G69</x:f>
        <x:v>0.21</x:v>
      </x:c>
      <x:c r="H76" s="22" t="n">
        <x:f>H75/H69</x:f>
        <x:v>0.20999999999999996</x:v>
      </x:c>
      <x:c r="I76" s="22" t="n">
        <x:f>I75/I69</x:f>
        <x:v>0.21</x:v>
      </x:c>
      <x:c r="J76" s="22" t="n">
        <x:f>J75/J69</x:f>
        <x:v>0.21</x:v>
      </x:c>
      <x:c r="K76" s="22" t="n">
        <x:f>K75/K69</x:f>
        <x:v>0.21</x:v>
      </x:c>
    </x:row>
    <x:row r="77" ht="23" customHeight="1">
      <x:c r="A77" t="str">
        <x:v>After-tax operating profit</x:v>
      </x:c>
      <x:c r="B77" s="34" t="n">
        <x:f>B75*(1-'Assumptions'!$F$18)</x:f>
        <x:v>239.4</x:v>
      </x:c>
      <x:c r="C77" s="34" t="n">
        <x:f>C75*(1-'Assumptions'!$F$18)</x:f>
        <x:v>288.41999999999996</x:v>
      </x:c>
      <x:c r="D77" s="34" t="n">
        <x:f>D75*(1-'Assumptions'!$F$18)</x:f>
        <x:v>323.03040000000004</x:v>
      </x:c>
      <x:c r="E77" s="34" t="n">
        <x:f>E75*(1-'Assumptions'!$F$18)</x:f>
        <x:v>347.25768000000005</x:v>
      </x:c>
      <x:c r="F77" s="34" t="n">
        <x:f>F75*(1-'Assumptions'!$F$18)</x:f>
        <x:v>366.31647360000005</x:v>
      </x:c>
      <x:c r="G77" s="34" t="n">
        <x:f>G75*(1-'Assumptions'!$F$18)</x:f>
        <x:v>391.95862675200004</x:v>
      </x:c>
      <x:c r="H77" s="34" t="n">
        <x:f>H75*(1-'Assumptions'!$F$18)</x:f>
        <x:v>415.47614435712006</x:v>
      </x:c>
      <x:c r="I77" s="34" t="n">
        <x:f>I75*(1-'Assumptions'!$F$18)</x:f>
        <x:v>436.2499515749761</x:v>
      </x:c>
      <x:c r="J77" s="34" t="n">
        <x:f>J75*(1-'Assumptions'!$F$18)</x:f>
        <x:v>453.6999496379752</x:v>
      </x:c>
      <x:c r="K77" s="34" t="n">
        <x:f>K75*(1-'Assumptions'!$F$18)</x:f>
        <x:v>467.31094812711444</x:v>
      </x:c>
    </x:row>
    <x:row r="78" ht="23" customHeight="1">
      <x:c r="A78" t="str">
        <x:v>Add: depreciation &amp; amortization</x:v>
      </x:c>
      <x:c r="B78" s="34" t="n">
        <x:f>B69*'Assumptions'!$G$18</x:f>
        <x:v>12</x:v>
      </x:c>
      <x:c r="C78" s="34" t="n">
        <x:f>C69*'Assumptions'!$G$18</x:f>
        <x:v>13.799999999999999</x:v>
      </x:c>
      <x:c r="D78" s="34" t="n">
        <x:f>D69*'Assumptions'!$G$18</x:f>
        <x:v>15.456</x:v>
      </x:c>
      <x:c r="E78" s="34" t="n">
        <x:f>E69*'Assumptions'!$G$18</x:f>
        <x:v>17.001600000000003</x:v>
      </x:c>
      <x:c r="F78" s="34" t="n">
        <x:f>F69*'Assumptions'!$G$18</x:f>
        <x:v>18.361728000000003</x:v>
      </x:c>
      <x:c r="G78" s="34" t="n">
        <x:f>G69*'Assumptions'!$G$18</x:f>
        <x:v>19.647048960000003</x:v>
      </x:c>
      <x:c r="H78" s="34" t="n">
        <x:f>H69*'Assumptions'!$G$18</x:f>
        <x:v>20.825871897600006</x:v>
      </x:c>
      <x:c r="I78" s="34" t="n">
        <x:f>I69*'Assumptions'!$G$18</x:f>
        <x:v>21.867165492480005</x:v>
      </x:c>
      <x:c r="J78" s="34" t="n">
        <x:f>J69*'Assumptions'!$G$18</x:f>
        <x:v>22.741852112179206</x:v>
      </x:c>
      <x:c r="K78" s="34" t="n">
        <x:f>K69*'Assumptions'!$G$18</x:f>
        <x:v>23.424107675544583</x:v>
      </x:c>
    </x:row>
    <x:row r="79" ht="23" customHeight="1">
      <x:c r="A79" t="str">
        <x:v>Less: investment incl. software</x:v>
      </x:c>
      <x:c r="B79" s="34" t="n">
        <x:f>-B69*B65</x:f>
        <x:v>-37.5</x:v>
      </x:c>
      <x:c r="C79" s="34" t="n">
        <x:f>-C69*C65</x:f>
        <x:v>-43.125</x:v>
      </x:c>
      <x:c r="D79" s="34" t="n">
        <x:f>-D69*D65</x:f>
        <x:v>-42.504</x:v>
      </x:c>
      <x:c r="E79" s="34" t="n">
        <x:f>-E69*E65</x:f>
        <x:v>-42.504000000000005</x:v>
      </x:c>
      <x:c r="F79" s="34" t="n">
        <x:f>-F69*F65</x:f>
        <x:v>-45.904320000000006</x:v>
      </x:c>
      <x:c r="G79" s="34" t="n">
        <x:f>-G69*G65</x:f>
        <x:v>-49.11762240000001</x:v>
      </x:c>
      <x:c r="H79" s="34" t="n">
        <x:f>-H69*H65</x:f>
        <x:v>-52.06467974400002</x:v>
      </x:c>
      <x:c r="I79" s="34" t="n">
        <x:f>-I69*I65</x:f>
        <x:v>-54.66791373120002</x:v>
      </x:c>
      <x:c r="J79" s="34" t="n">
        <x:f>-J69*J65</x:f>
        <x:v>-56.85463028044802</x:v>
      </x:c>
      <x:c r="K79" s="34" t="n">
        <x:f>-K69*K65</x:f>
        <x:v>-58.56026918886146</x:v>
      </x:c>
    </x:row>
    <x:row r="80" ht="23" customHeight="1">
      <x:c r="A80" t="str">
        <x:v>Less: incremental working capital</x:v>
      </x:c>
      <x:c r="B80" s="34" t="n">
        <x:f>-(B69-'Inputs'!$G$14)*'Assumptions'!$H$18</x:f>
        <x:v>-30</x:v>
      </x:c>
      <x:c r="C80" s="34" t="n">
        <x:f>-(C69-B69)*'Assumptions'!$H$18</x:f>
        <x:v>-22.49999999999998</x:v>
      </x:c>
      <x:c r="D80" s="34" t="n">
        <x:f>-(D69-C69)*'Assumptions'!$H$18</x:f>
        <x:v>-20.700000000000024</x:v>
      </x:c>
      <x:c r="E80" s="34" t="n">
        <x:f>-(E69-D69)*'Assumptions'!$H$18</x:f>
        <x:v>-19.32000000000003</x:v>
      </x:c>
      <x:c r="F80" s="34" t="n">
        <x:f>-(F69-E69)*'Assumptions'!$H$18</x:f>
        <x:v>-17.001600000000007</x:v>
      </x:c>
      <x:c r="G80" s="34" t="n">
        <x:f>-(G69-F69)*'Assumptions'!$H$18</x:f>
        <x:v>-16.066512000000014</x:v>
      </x:c>
      <x:c r="H80" s="34" t="n">
        <x:f>-(H69-G69)*'Assumptions'!$H$18</x:f>
        <x:v>-14.735286720000023</x:v>
      </x:c>
      <x:c r="I80" s="34" t="n">
        <x:f>-(I69-H69)*'Assumptions'!$H$18</x:f>
        <x:v>-13.016169936000006</x:v>
      </x:c>
      <x:c r="J80" s="34" t="n">
        <x:f>-(J69-I69)*'Assumptions'!$H$18</x:f>
        <x:v>-10.933582746240019</x:v>
      </x:c>
      <x:c r="K80" s="34" t="n">
        <x:f>-(K69-J69)*'Assumptions'!$H$18</x:f>
        <x:v>-8.528194542067196</x:v>
      </x:c>
    </x:row>
    <x:row r="81" ht="23" customHeight="1">
      <x:c r="A81" t="str">
        <x:v>Less: specified cash shock</x:v>
      </x:c>
      <x:c r="B81" s="34" t="n">
        <x:f>-'Assumptions'!$I$18</x:f>
        <x:v>0</x:v>
      </x:c>
      <x:c r="C81" s="34" t="n">
        <x:f>0</x:f>
        <x:v>0</x:v>
      </x:c>
      <x:c r="D81" s="34" t="n">
        <x:f>0</x:f>
        <x:v>0</x:v>
      </x:c>
      <x:c r="E81" s="34" t="n">
        <x:f>0</x:f>
        <x:v>0</x:v>
      </x:c>
      <x:c r="F81" s="34" t="n">
        <x:f>0</x:f>
        <x:v>0</x:v>
      </x:c>
      <x:c r="G81" s="34" t="n">
        <x:f>0</x:f>
        <x:v>0</x:v>
      </x:c>
      <x:c r="H81" s="34" t="n">
        <x:f>0</x:f>
        <x:v>0</x:v>
      </x:c>
      <x:c r="I81" s="34" t="n">
        <x:f>0</x:f>
        <x:v>0</x:v>
      </x:c>
      <x:c r="J81" s="34" t="n">
        <x:f>0</x:f>
        <x:v>0</x:v>
      </x:c>
      <x:c r="K81" s="34" t="n">
        <x:f>0</x:f>
        <x:v>0</x:v>
      </x:c>
    </x:row>
    <x:row r="82" ht="23" customHeight="1">
      <x:c r="A82" s="31" t="str">
        <x:v>Owner-economic unlevered cash flow</x:v>
      </x:c>
      <x:c r="B82" s="40" t="n">
        <x:f>SUM(B77:B81)</x:f>
        <x:v>183.9</x:v>
      </x:c>
      <x:c r="C82" s="40" t="n">
        <x:f>SUM(C77:C81)</x:f>
        <x:v>236.595</x:v>
      </x:c>
      <x:c r="D82" s="40" t="n">
        <x:f>SUM(D77:D81)</x:f>
        <x:v>275.2824</x:v>
      </x:c>
      <x:c r="E82" s="40" t="n">
        <x:f>SUM(E77:E81)</x:f>
        <x:v>302.43528</x:v>
      </x:c>
      <x:c r="F82" s="40" t="n">
        <x:f>SUM(F77:F81)</x:f>
        <x:v>321.7722816000001</x:v>
      </x:c>
      <x:c r="G82" s="40" t="n">
        <x:f>SUM(G77:G81)</x:f>
        <x:v>346.42154131200004</x:v>
      </x:c>
      <x:c r="H82" s="40" t="n">
        <x:f>SUM(H77:H81)</x:f>
        <x:v>369.50204979072004</x:v>
      </x:c>
      <x:c r="I82" s="40" t="n">
        <x:f>SUM(I77:I81)</x:f>
        <x:v>390.4330334002561</x:v>
      </x:c>
      <x:c r="J82" s="40" t="n">
        <x:f>SUM(J77:J81)</x:f>
        <x:v>408.6535887234664</x:v>
      </x:c>
      <x:c r="K82" s="40" t="n">
        <x:f>SUM(K77:K81)</x:f>
        <x:v>423.64659207173037</x:v>
      </x:c>
    </x:row>
    <x:row r="83" ht="23" customHeight="1">
      <x:c r="A83" t="str">
        <x:v>Discount factor</x:v>
      </x:c>
      <x:c r="B83" s="22" t="n">
        <x:f>1/(1+'Assumptions'!$C$18)^B$59</x:f>
        <x:v>0.9049773755656109</x:v>
      </x:c>
      <x:c r="C83" s="22" t="n">
        <x:f>1/(1+'Assumptions'!$C$18)^C$59</x:f>
        <x:v>0.8189840502856207</x:v>
      </x:c>
      <x:c r="D83" s="22" t="n">
        <x:f>1/(1+'Assumptions'!$C$18)^D$59</x:f>
        <x:v>0.7411620364575753</x:v>
      </x:c>
      <x:c r="E83" s="22" t="n">
        <x:f>1/(1+'Assumptions'!$C$18)^E$59</x:f>
        <x:v>0.67073487462224</x:v>
      </x:c>
      <x:c r="F83" s="22" t="n">
        <x:f>1/(1+'Assumptions'!$C$18)^F$59</x:f>
        <x:v>0.6069998865359638</x:v>
      </x:c>
      <x:c r="G83" s="22" t="n">
        <x:f>1/(1+'Assumptions'!$C$18)^G$59</x:f>
        <x:v>0.54932116428594</x:v>
      </x:c>
      <x:c r="H83" s="22" t="n">
        <x:f>1/(1+'Assumptions'!$C$18)^H$59</x:f>
        <x:v>0.4971232255981358</x:v>
      </x:c>
      <x:c r="I83" s="22" t="n">
        <x:f>1/(1+'Assumptions'!$C$18)^I$59</x:f>
        <x:v>0.44988527203451206</x:v>
      </x:c>
      <x:c r="J83" s="22" t="n">
        <x:f>1/(1+'Assumptions'!$C$18)^J$59</x:f>
        <x:v>0.40713599279141366</x:v>
      </x:c>
      <x:c r="K83" s="22" t="n">
        <x:f>1/(1+'Assumptions'!$C$18)^K$59</x:f>
        <x:v>0.36844886225467294</x:v>
      </x:c>
    </x:row>
    <x:row r="84" ht="23" customHeight="1">
      <x:c r="A84" s="31" t="str">
        <x:v>Present value</x:v>
      </x:c>
      <x:c r="B84" s="40" t="n">
        <x:f>B82*B83</x:f>
        <x:v>166.42533936651586</x:v>
      </x:c>
      <x:c r="C84" s="40" t="n">
        <x:f>C82*C83</x:f>
        <x:v>193.76753137732643</x:v>
      </x:c>
      <x:c r="D84" s="40" t="n">
        <x:f>D82*D83</x:f>
        <x:v>204.0288641849288</x:v>
      </x:c>
      <x:c r="E84" s="40" t="n">
        <x:f>E82*E83</x:f>
        <x:v>202.85388961214204</x:v>
      </x:c>
      <x:c r="F84" s="40" t="n">
        <x:f>F82*F83</x:f>
        <x:v>195.31573842161825</x:v>
      </x:c>
      <x:c r="G84" s="40" t="n">
        <x:f>G82*G83</x:f>
        <x:v>190.29668440723773</x:v>
      </x:c>
      <x:c r="H84" s="40" t="n">
        <x:f>H82*H83</x:f>
        <x:v>183.68805085708573</x:v>
      </x:c>
      <x:c r="I84" s="40" t="n">
        <x:f>I82*I83</x:f>
        <x:v>175.65007144253394</x:v>
      </x:c>
      <x:c r="J84" s="40" t="n">
        <x:f>J82*J83</x:f>
        <x:v>166.37758455270253</x:v>
      </x:c>
      <x:c r="K84" s="40" t="n">
        <x:f>K82*K83</x:f>
        <x:v>156.0921048468986</x:v>
      </x:c>
    </x:row>
    <x:row r="85" ht="23" customHeight="1">
      <x:c r="A85" t="str">
        <x:v>Discount factor at 12%</x:v>
      </x:c>
      <x:c r="B85" s="22" t="n">
        <x:f>1/(1+'Controls'!$B$3)^B$59</x:f>
        <x:v>0.8928571428571428</x:v>
      </x:c>
      <x:c r="C85" s="22" t="n">
        <x:f>1/(1+'Controls'!$B$3)^C$59</x:f>
        <x:v>0.7971938775510203</x:v>
      </x:c>
      <x:c r="D85" s="22" t="n">
        <x:f>1/(1+'Controls'!$B$3)^D$59</x:f>
        <x:v>0.7117802478134109</x:v>
      </x:c>
      <x:c r="E85" s="22" t="n">
        <x:f>1/(1+'Controls'!$B$3)^E$59</x:f>
        <x:v>0.6355180784048312</x:v>
      </x:c>
      <x:c r="F85" s="22" t="n">
        <x:f>1/(1+'Controls'!$B$3)^F$59</x:f>
        <x:v>0.5674268557185992</x:v>
      </x:c>
      <x:c r="G85" s="22" t="n">
        <x:f>1/(1+'Controls'!$B$3)^G$59</x:f>
        <x:v>0.5066311211773207</x:v>
      </x:c>
      <x:c r="H85" s="22" t="n">
        <x:f>1/(1+'Controls'!$B$3)^H$59</x:f>
        <x:v>0.45234921533689343</x:v>
      </x:c>
      <x:c r="I85" s="22" t="n">
        <x:f>1/(1+'Controls'!$B$3)^I$59</x:f>
        <x:v>0.4038832279793691</x:v>
      </x:c>
      <x:c r="J85" s="22" t="n">
        <x:f>1/(1+'Controls'!$B$3)^J$59</x:f>
        <x:v>0.36061002498157957</x:v>
      </x:c>
      <x:c r="K85" s="22" t="n">
        <x:f>1/(1+'Controls'!$B$3)^K$59</x:f>
        <x:v>0.321973236590696</x:v>
      </x:c>
    </x:row>
    <x:row r="87" ht="25" customHeight="1">
      <x:c r="A87" t="str">
        <x:v>Year 11 after-tax operating profit</x:v>
      </x:c>
      <x:c r="B87" s="34" t="n">
        <x:f>K77*(1+'Assumptions'!$D$18)</x:f>
        <x:v>481.3302765709279</x:v>
      </x:c>
    </x:row>
    <x:row r="88" ht="25" customHeight="1">
      <x:c r="A88" t="str">
        <x:v>Less: terminal reinvestment</x:v>
      </x:c>
      <x:c r="B88" s="34" t="n">
        <x:f>-B87*'Assumptions'!$D$18/'Assumptions'!$E$18</x:f>
        <x:v>-57.759633188511344</x:v>
      </x:c>
      <x:c r="D88" s="24" t="str">
        <x:v>This is an operating scenario, not a statistical confidence interval. Terminal growth requires reinvestment. Latest-quarter capital structure is not a complete September roll-forward. See company decision notes for remaining unknowns. MOD scenarios assume the transaction closes; WINA core revenue excludes offsetting fee programs.</x:v>
      </x:c>
      <x:c r="E88" s="24"/>
      <x:c r="F88" s="24"/>
      <x:c r="G88" s="24"/>
      <x:c r="H88" s="24"/>
      <x:c r="I88" s="24"/>
      <x:c r="J88" s="24"/>
      <x:c r="K88" s="24"/>
    </x:row>
    <x:row r="89" ht="25" customHeight="1">
      <x:c r="A89" t="str">
        <x:v>Terminal cash flow</x:v>
      </x:c>
      <x:c r="B89" s="34" t="n">
        <x:f>SUM(B87:B88)</x:f>
        <x:v>423.5706433824165</x:v>
      </x:c>
      <x:c r="D89" s="24"/>
      <x:c r="E89" s="24"/>
      <x:c r="F89" s="24"/>
      <x:c r="G89" s="24"/>
      <x:c r="H89" s="24"/>
      <x:c r="I89" s="24"/>
      <x:c r="J89" s="24"/>
      <x:c r="K89" s="24"/>
    </x:row>
    <x:row r="90" ht="25" customHeight="1">
      <x:c r="A90" t="str">
        <x:v>Terminal operating value</x:v>
      </x:c>
      <x:c r="B90" s="34" t="n">
        <x:f>B89/('Assumptions'!$C$18-'Assumptions'!$D$18)</x:f>
        <x:v>5647.60857843222</x:v>
      </x:c>
      <x:c r="D90" s="24"/>
      <x:c r="E90" s="24"/>
      <x:c r="F90" s="24"/>
      <x:c r="G90" s="24"/>
      <x:c r="H90" s="24"/>
      <x:c r="I90" s="24"/>
      <x:c r="J90" s="24"/>
      <x:c r="K90" s="24"/>
    </x:row>
    <x:row r="91" ht="25" customHeight="1">
      <x:c r="A91" t="str">
        <x:v>PV terminal value</x:v>
      </x:c>
      <x:c r="B91" s="34" t="n">
        <x:f>B90*K83</x:f>
        <x:v>2080.8549551830824</x:v>
      </x:c>
      <x:c r="D91" s="24"/>
      <x:c r="E91" s="24"/>
      <x:c r="F91" s="24"/>
      <x:c r="G91" s="24"/>
      <x:c r="H91" s="24"/>
      <x:c r="I91" s="24"/>
      <x:c r="J91" s="24"/>
      <x:c r="K91" s="24"/>
    </x:row>
    <x:row r="92" ht="25" customHeight="1">
      <x:c r="A92" t="str">
        <x:v>PV explicit forecast</x:v>
      </x:c>
      <x:c r="B92" s="34" t="n">
        <x:f>SUM(B84:K84)</x:f>
        <x:v>1834.4958590689898</x:v>
      </x:c>
      <x:c r="D92" s="24"/>
      <x:c r="E92" s="24"/>
      <x:c r="F92" s="24"/>
      <x:c r="G92" s="24"/>
      <x:c r="H92" s="24"/>
      <x:c r="I92" s="24"/>
      <x:c r="J92" s="24"/>
      <x:c r="K92" s="24"/>
    </x:row>
    <x:row r="93" ht="25" customHeight="1">
      <x:c r="A93" s="84" t="str">
        <x:v>Operating enterprise value</x:v>
      </x:c>
      <x:c r="B93" s="85" t="n">
        <x:f>SUM(B91:B92)</x:f>
        <x:v>3915.3508142520723</x:v>
      </x:c>
      <x:c r="D93" s="24"/>
      <x:c r="E93" s="24"/>
      <x:c r="F93" s="24"/>
      <x:c r="G93" s="24"/>
      <x:c r="H93" s="24"/>
      <x:c r="I93" s="24"/>
      <x:c r="J93" s="24"/>
      <x:c r="K93" s="24"/>
    </x:row>
    <x:row r="94" ht="25" customHeight="1">
      <x:c r="A94" t="str">
        <x:v>Cash / claims / transaction bridge</x:v>
      </x:c>
      <x:c r="B94" s="34" t="n">
        <x:f>'Inputs'!$G$6-'Inputs'!$G$7-'Inputs'!$G$9-'Inputs'!$G$10-'Inputs'!$G$11+'Inputs'!$G$12*'Inputs'!$G$13-'Inputs'!$G$31*'Assumptions'!$L$18</x:f>
        <x:v>230.812</x:v>
      </x:c>
      <x:c r="D94" s="24"/>
      <x:c r="E94" s="24"/>
      <x:c r="F94" s="24"/>
      <x:c r="G94" s="24"/>
      <x:c r="H94" s="24"/>
      <x:c r="I94" s="24"/>
      <x:c r="J94" s="24"/>
      <x:c r="K94" s="24"/>
    </x:row>
    <x:row r="95" ht="25" customHeight="1">
      <x:c r="A95" s="84" t="str">
        <x:v>Common equity value</x:v>
      </x:c>
      <x:c r="B95" s="85" t="n">
        <x:f>SUM(B93:B94)</x:f>
        <x:v>4146.162814252072</x:v>
      </x:c>
      <x:c r="D95" s="24"/>
      <x:c r="E95" s="24"/>
      <x:c r="F95" s="24"/>
      <x:c r="G95" s="24"/>
      <x:c r="H95" s="24"/>
      <x:c r="I95" s="24"/>
      <x:c r="J95" s="24"/>
      <x:c r="K95" s="24"/>
    </x:row>
    <x:row r="96" ht="25" customHeight="1">
      <x:c r="A96" t="str">
        <x:v>Value / share: debt endpoint</x:v>
      </x:c>
      <x:c r="B96" s="42" t="n">
        <x:f>B95/'Inputs'!$G$8</x:f>
        <x:v>113.27075768364311</x:v>
      </x:c>
    </x:row>
    <x:row r="97" ht="25" customHeight="1">
      <x:c r="A97" t="str">
        <x:v>Value / share: if-converted endpoint</x:v>
      </x:c>
      <x:c r="B97" s="42" t="n">
        <x:f>B96</x:f>
        <x:v>113.27075768364311</x:v>
      </x:c>
    </x:row>
    <x:row r="98" ht="25" customHeight="1">
      <x:c r="A98" s="88" t="str">
        <x:v>Conditional intrinsic value / share</x:v>
      </x:c>
      <x:c r="B98" s="89" t="n">
        <x:f>B96</x:f>
        <x:v>113.27075768364311</x:v>
      </x:c>
    </x:row>
    <x:row r="99" ht="25" customHeight="1">
      <x:c r="A99" t="str">
        <x:v>Value versus quote</x:v>
      </x:c>
      <x:c r="B99" s="22" t="n">
        <x:f>B98/'Inputs'!$G$5-1</x:f>
        <x:v>-0.37478193032155915</x:v>
      </x:c>
    </x:row>
    <x:row r="100" ht="25" customHeight="1">
      <x:c r="A100" t="str">
        <x:v>Terminal share of operating EV</x:v>
      </x:c>
      <x:c r="B100" s="22" t="n">
        <x:f>B91/B93</x:f>
        <x:v>0.5314606669748894</x:v>
      </x:c>
    </x:row>
    <x:row r="101" ht="25" customHeight="1">
      <x:c r="A101" t="str">
        <x:v>Value at 12% enterprise discount</x:v>
      </x:c>
      <x:c r="B101" s="42" t="n">
        <x:f>(SUMPRODUCT(B82:K82,B85:K85)+B89/('Controls'!$B$3-'Assumptions'!$D$18)*K85+B94)/'Inputs'!$G$8</x:f>
        <x:v>94.35500993528812</x:v>
      </x:c>
    </x:row>
    <x:row r="102" ht="25" customHeight="1">
      <x:c r="A102" t="str">
        <x:v>Price-implied operating EV</x:v>
      </x:c>
      <x:c r="B102" s="34" t="n">
        <x:f>'Inputs'!$G$5*'Inputs'!$G$8-B94</x:f>
        <x:v>6400.73468</x:v>
      </x:c>
    </x:row>
    <x:row r="106" ht="29" customHeight="1">
      <x:c r="A106" s="27" t="str">
        <x:v>BULL | conditional operating path, not probability band</x:v>
      </x:c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</x:row>
    <x:row r="108">
      <x:c r="A108" t="str">
        <x:v>Discount rate</x:v>
      </x:c>
      <x:c r="B108" s="22" t="n">
        <x:f>'Assumptions'!$C$19</x:f>
        <x:v>0.105</x:v>
      </x:c>
      <x:c r="C108" t="str">
        <x:v>Terminal growth</x:v>
      </x:c>
      <x:c r="D108" s="22" t="n">
        <x:f>'Assumptions'!$D$19</x:f>
        <x:v>0.03</x:v>
      </x:c>
      <x:c r="E108" t="str">
        <x:v>Tax</x:v>
      </x:c>
      <x:c r="F108" s="22" t="n">
        <x:f>'Assumptions'!$F$19</x:f>
        <x:v>0.23</x:v>
      </x:c>
      <x:c r="G108" t="str">
        <x:v>Terminal ROIC</x:v>
      </x:c>
      <x:c r="H108" s="22" t="n">
        <x:f>'Assumptions'!$E$19</x:f>
        <x:v>0.3</x:v>
      </x:c>
      <x:c r="I108"/>
      <x:c r="J108"/>
      <x:c r="K108"/>
    </x:row>
    <x:row r="110" ht="24" customHeight="1">
      <x:c r="A110" s="31" t="str">
        <x:v>Economic year</x:v>
      </x:c>
      <x:c r="B110" s="31" t="n">
        <x:v>1</x:v>
      </x:c>
      <x:c r="C110" s="31" t="n">
        <x:v>2</x:v>
      </x:c>
      <x:c r="D110" s="31" t="n">
        <x:v>3</x:v>
      </x:c>
      <x:c r="E110" s="31" t="n">
        <x:v>4</x:v>
      </x:c>
      <x:c r="F110" s="31" t="n">
        <x:v>5</x:v>
      </x:c>
      <x:c r="G110" s="31" t="n">
        <x:v>6</x:v>
      </x:c>
      <x:c r="H110" s="31" t="n">
        <x:v>7</x:v>
      </x:c>
      <x:c r="I110" s="31" t="n">
        <x:v>8</x:v>
      </x:c>
      <x:c r="J110" s="31" t="n">
        <x:v>9</x:v>
      </x:c>
      <x:c r="K110" s="31" t="n">
        <x:v>10</x:v>
      </x:c>
    </x:row>
    <x:row r="111" ht="23" customHeight="1">
      <x:c r="A111" t="str">
        <x:v>Primary revenue growth</x:v>
      </x:c>
      <x:c r="B111" s="36" t="n">
        <x:f>'Assumptions'!$O$19</x:f>
        <x:v>0</x:v>
      </x:c>
      <x:c r="C111" s="36" t="n">
        <x:f>'Assumptions'!$P$19</x:f>
        <x:v>0.2</x:v>
      </x:c>
      <x:c r="D111" s="36" t="n">
        <x:f>'Assumptions'!$Q$19</x:f>
        <x:v>0.17</x:v>
      </x:c>
      <x:c r="E111" s="36" t="n">
        <x:f>'Assumptions'!$R$19</x:f>
        <x:v>0.14</x:v>
      </x:c>
      <x:c r="F111" s="36" t="n">
        <x:f>'Assumptions'!$S$19</x:f>
        <x:v>0.1</x:v>
      </x:c>
      <x:c r="G111" s="22" t="n">
        <x:f>$F$121+('Assumptions'!$D$19-$F$121)*(G$110-$F$110)/($K$110-$F$110)</x:f>
        <x:v>0.08600000000000008</x:v>
      </x:c>
      <x:c r="H111" s="22" t="n">
        <x:f>$F$121+('Assumptions'!$D$19-$F$121)*(H$110-$F$110)/($K$110-$F$110)</x:f>
        <x:v>0.07200000000000005</x:v>
      </x:c>
      <x:c r="I111" s="22" t="n">
        <x:f>$F$121+('Assumptions'!$D$19-$F$121)*(I$110-$F$110)/($K$110-$F$110)</x:f>
        <x:v>0.05800000000000004</x:v>
      </x:c>
      <x:c r="J111" s="22" t="n">
        <x:f>$F$121+('Assumptions'!$D$19-$F$121)*(J$110-$F$110)/($K$110-$F$110)</x:f>
        <x:v>0.04400000000000002</x:v>
      </x:c>
      <x:c r="K111" s="22" t="n">
        <x:f>$F$121+('Assumptions'!$D$19-$F$121)*(K$110-$F$110)/($K$110-$F$110)</x:f>
        <x:v>0.03</x:v>
      </x:c>
    </x:row>
    <x:row r="112" ht="23" customHeight="1">
      <x:c r="A112" t="str">
        <x:v>Secondary revenue growth</x:v>
      </x:c>
      <x:c r="B112" s="36" t="n">
        <x:f>'Assumptions'!$T$19</x:f>
        <x:v>0</x:v>
      </x:c>
      <x:c r="C112" s="36" t="n">
        <x:f>'Assumptions'!$U$19</x:f>
        <x:v>0</x:v>
      </x:c>
      <x:c r="D112" s="36" t="n">
        <x:f>'Assumptions'!$V$19</x:f>
        <x:v>0</x:v>
      </x:c>
      <x:c r="E112" s="36" t="n">
        <x:f>'Assumptions'!$W$19</x:f>
        <x:v>0</x:v>
      </x:c>
      <x:c r="F112" s="36" t="n">
        <x:f>'Assumptions'!$X$19</x:f>
        <x:v>0</x:v>
      </x:c>
      <x:c r="G112" s="22" t="n">
        <x:f>$F$121+('Assumptions'!$D$19-$F$121)*(G$110-$F$110)/($K$110-$F$110)</x:f>
        <x:v>0.08600000000000008</x:v>
      </x:c>
      <x:c r="H112" s="22" t="n">
        <x:f>$F$121+('Assumptions'!$D$19-$F$121)*(H$110-$F$110)/($K$110-$F$110)</x:f>
        <x:v>0.07200000000000005</x:v>
      </x:c>
      <x:c r="I112" s="22" t="n">
        <x:f>$F$121+('Assumptions'!$D$19-$F$121)*(I$110-$F$110)/($K$110-$F$110)</x:f>
        <x:v>0.05800000000000004</x:v>
      </x:c>
      <x:c r="J112" s="22" t="n">
        <x:f>$F$121+('Assumptions'!$D$19-$F$121)*(J$110-$F$110)/($K$110-$F$110)</x:f>
        <x:v>0.04400000000000002</x:v>
      </x:c>
      <x:c r="K112" s="22" t="n">
        <x:f>$F$121+('Assumptions'!$D$19-$F$121)*(K$110-$F$110)/($K$110-$F$110)</x:f>
        <x:v>0.03</x:v>
      </x:c>
    </x:row>
    <x:row r="113" ht="23" customHeight="1">
      <x:c r="A113" t="str">
        <x:v>Primary margin</x:v>
      </x:c>
      <x:c r="B113" s="36" t="n">
        <x:f>'Assumptions'!$Y$19</x:f>
        <x:v>0.225</x:v>
      </x:c>
      <x:c r="C113" s="36" t="n">
        <x:f>'Assumptions'!$Z$19</x:f>
        <x:v>0.24</x:v>
      </x:c>
      <x:c r="D113" s="36" t="n">
        <x:f>'Assumptions'!$AA$19</x:f>
        <x:v>0.245</x:v>
      </x:c>
      <x:c r="E113" s="36" t="n">
        <x:f>'Assumptions'!$AB$19</x:f>
        <x:v>0.245</x:v>
      </x:c>
      <x:c r="F113" s="36" t="n">
        <x:f>'Assumptions'!$AC$19</x:f>
        <x:v>0.24</x:v>
      </x:c>
      <x:c r="G113" s="22" t="n">
        <x:f>$F$113</x:f>
        <x:v>0.24</x:v>
      </x:c>
      <x:c r="H113" s="22" t="n">
        <x:f>$F$113</x:f>
        <x:v>0.24</x:v>
      </x:c>
      <x:c r="I113" s="22" t="n">
        <x:f>$F$113</x:f>
        <x:v>0.24</x:v>
      </x:c>
      <x:c r="J113" s="22" t="n">
        <x:f>$F$113</x:f>
        <x:v>0.24</x:v>
      </x:c>
      <x:c r="K113" s="22" t="n">
        <x:f>$F$113</x:f>
        <x:v>0.24</x:v>
      </x:c>
    </x:row>
    <x:row r="114" ht="23" customHeight="1">
      <x:c r="A114" t="str">
        <x:v>Secondary margin</x:v>
      </x:c>
      <x:c r="B114" s="36" t="n">
        <x:f>'Assumptions'!$AD$19</x:f>
        <x:v>0</x:v>
      </x:c>
      <x:c r="C114" s="36" t="n">
        <x:f>'Assumptions'!$AE$19</x:f>
        <x:v>0</x:v>
      </x:c>
      <x:c r="D114" s="36" t="n">
        <x:f>'Assumptions'!$AF$19</x:f>
        <x:v>0</x:v>
      </x:c>
      <x:c r="E114" s="36" t="n">
        <x:f>'Assumptions'!$AG$19</x:f>
        <x:v>0</x:v>
      </x:c>
      <x:c r="F114" s="36" t="n">
        <x:f>'Assumptions'!$AH$19</x:f>
        <x:v>0</x:v>
      </x:c>
      <x:c r="G114" s="22" t="n">
        <x:f>$F$114</x:f>
        <x:v>0</x:v>
      </x:c>
      <x:c r="H114" s="22" t="n">
        <x:f>$F$114</x:f>
        <x:v>0</x:v>
      </x:c>
      <x:c r="I114" s="22" t="n">
        <x:f>$F$114</x:f>
        <x:v>0</x:v>
      </x:c>
      <x:c r="J114" s="22" t="n">
        <x:f>$F$114</x:f>
        <x:v>0</x:v>
      </x:c>
      <x:c r="K114" s="22" t="n">
        <x:f>$F$114</x:f>
        <x:v>0</x:v>
      </x:c>
    </x:row>
    <x:row r="115" ht="23" customHeight="1">
      <x:c r="A115" t="str">
        <x:v>Overhead growth</x:v>
      </x:c>
      <x:c r="B115" s="36" t="n">
        <x:f>'Assumptions'!$AI$19</x:f>
        <x:v>0</x:v>
      </x:c>
      <x:c r="C115" s="36" t="n">
        <x:f>'Assumptions'!$AJ$19</x:f>
        <x:v>0</x:v>
      </x:c>
      <x:c r="D115" s="36" t="n">
        <x:f>'Assumptions'!$AK$19</x:f>
        <x:v>0</x:v>
      </x:c>
      <x:c r="E115" s="36" t="n">
        <x:f>'Assumptions'!$AL$19</x:f>
        <x:v>0</x:v>
      </x:c>
      <x:c r="F115" s="36" t="n">
        <x:f>'Assumptions'!$AM$19</x:f>
        <x:v>0</x:v>
      </x:c>
      <x:c r="G115" s="22" t="n">
        <x:f>$F$121+('Assumptions'!$D$19-$F$121)*(G$110-$F$110)/($K$110-$F$110)</x:f>
        <x:v>0.08600000000000008</x:v>
      </x:c>
      <x:c r="H115" s="22" t="n">
        <x:f>$F$121+('Assumptions'!$D$19-$F$121)*(H$110-$F$110)/($K$110-$F$110)</x:f>
        <x:v>0.07200000000000005</x:v>
      </x:c>
      <x:c r="I115" s="22" t="n">
        <x:f>$F$121+('Assumptions'!$D$19-$F$121)*(I$110-$F$110)/($K$110-$F$110)</x:f>
        <x:v>0.05800000000000004</x:v>
      </x:c>
      <x:c r="J115" s="22" t="n">
        <x:f>$F$121+('Assumptions'!$D$19-$F$121)*(J$110-$F$110)/($K$110-$F$110)</x:f>
        <x:v>0.04400000000000002</x:v>
      </x:c>
      <x:c r="K115" s="22" t="n">
        <x:f>$F$121+('Assumptions'!$D$19-$F$121)*(K$110-$F$110)/($K$110-$F$110)</x:f>
        <x:v>0.03</x:v>
      </x:c>
    </x:row>
    <x:row r="116" ht="23" customHeight="1">
      <x:c r="A116" t="str">
        <x:v>Capex / revenue</x:v>
      </x:c>
      <x:c r="B116" s="36" t="n">
        <x:f>'Assumptions'!$AN$19</x:f>
        <x:v>0.027</x:v>
      </x:c>
      <x:c r="C116" s="36" t="n">
        <x:f>'Assumptions'!$AO$19</x:f>
        <x:v>0.025</x:v>
      </x:c>
      <x:c r="D116" s="36" t="n">
        <x:f>'Assumptions'!$AP$19</x:f>
        <x:v>0.022</x:v>
      </x:c>
      <x:c r="E116" s="36" t="n">
        <x:f>'Assumptions'!$AQ$19</x:f>
        <x:v>0.02</x:v>
      </x:c>
      <x:c r="F116" s="36" t="n">
        <x:f>'Assumptions'!$AR$19</x:f>
        <x:v>0.02</x:v>
      </x:c>
      <x:c r="G116" s="22" t="n">
        <x:f>$F$116</x:f>
        <x:v>0.02</x:v>
      </x:c>
      <x:c r="H116" s="22" t="n">
        <x:f>$F$116</x:f>
        <x:v>0.02</x:v>
      </x:c>
      <x:c r="I116" s="22" t="n">
        <x:f>$F$116</x:f>
        <x:v>0.02</x:v>
      </x:c>
      <x:c r="J116" s="22" t="n">
        <x:f>$F$116</x:f>
        <x:v>0.02</x:v>
      </x:c>
      <x:c r="K116" s="22" t="n">
        <x:f>$F$116</x:f>
        <x:v>0.02</x:v>
      </x:c>
    </x:row>
    <x:row r="117" ht="23" customHeight="1">
      <x:c r="B117" s="34"/>
      <x:c r="C117" s="34"/>
      <x:c r="D117" s="34"/>
      <x:c r="E117" s="34"/>
      <x:c r="F117" s="34"/>
      <x:c r="G117" s="34"/>
      <x:c r="H117" s="34"/>
      <x:c r="I117" s="34"/>
      <x:c r="J117" s="34"/>
      <x:c r="K117" s="34"/>
    </x:row>
    <x:row r="118" ht="23" customHeight="1">
      <x:c r="A118" t="str">
        <x:v>Primary revenue</x:v>
      </x:c>
      <x:c r="B118" s="34" t="n">
        <x:f>'Assumptions'!$M$19+'Assumptions'!$N$19</x:f>
        <x:v>1730</x:v>
      </x:c>
      <x:c r="C118" s="34" t="n">
        <x:f>B118*(1+C111)</x:f>
        <x:v>2076</x:v>
      </x:c>
      <x:c r="D118" s="34" t="n">
        <x:f>C118*(1+D111)</x:f>
        <x:v>2428.92</x:v>
      </x:c>
      <x:c r="E118" s="34" t="n">
        <x:f>D118*(1+E111)</x:f>
        <x:v>2768.9688000000006</x:v>
      </x:c>
      <x:c r="F118" s="34" t="n">
        <x:f>E118*(1+F111)</x:f>
        <x:v>3045.865680000001</x:v>
      </x:c>
      <x:c r="G118" s="34" t="n">
        <x:f>F118*(1+G111)</x:f>
        <x:v>3307.810128480001</x:v>
      </x:c>
      <x:c r="H118" s="34" t="n">
        <x:f>G118*(1+H111)</x:f>
        <x:v>3545.972457730561</x:v>
      </x:c>
      <x:c r="I118" s="34" t="n">
        <x:f>H118*(1+I111)</x:f>
        <x:v>3751.638860278934</x:v>
      </x:c>
      <x:c r="J118" s="34" t="n">
        <x:f>I118*(1+J111)</x:f>
        <x:v>3916.710970131207</x:v>
      </x:c>
      <x:c r="K118" s="34" t="n">
        <x:f>J118*(1+K111)</x:f>
        <x:v>4034.2122992351433</x:v>
      </x:c>
    </x:row>
    <x:row r="119" ht="23" customHeight="1">
      <x:c r="A119" t="str">
        <x:v>Secondary revenue</x:v>
      </x:c>
      <x:c r="B119" s="34" t="n">
        <x:f>0</x:f>
        <x:v>0</x:v>
      </x:c>
      <x:c r="C119" s="34" t="n">
        <x:f>B119*(1+C112)</x:f>
        <x:v>0</x:v>
      </x:c>
      <x:c r="D119" s="34" t="n">
        <x:f>C119*(1+D112)</x:f>
        <x:v>0</x:v>
      </x:c>
      <x:c r="E119" s="34" t="n">
        <x:f>D119*(1+E112)</x:f>
        <x:v>0</x:v>
      </x:c>
      <x:c r="F119" s="34" t="n">
        <x:f>E119*(1+F112)</x:f>
        <x:v>0</x:v>
      </x:c>
      <x:c r="G119" s="34" t="n">
        <x:f>F119*(1+G112)</x:f>
        <x:v>0</x:v>
      </x:c>
      <x:c r="H119" s="34" t="n">
        <x:f>G119*(1+H112)</x:f>
        <x:v>0</x:v>
      </x:c>
      <x:c r="I119" s="34" t="n">
        <x:f>H119*(1+I112)</x:f>
        <x:v>0</x:v>
      </x:c>
      <x:c r="J119" s="34" t="n">
        <x:f>I119*(1+J112)</x:f>
        <x:v>0</x:v>
      </x:c>
      <x:c r="K119" s="34" t="n">
        <x:f>J119*(1+K112)</x:f>
        <x:v>0</x:v>
      </x:c>
    </x:row>
    <x:row r="120" ht="23" customHeight="1">
      <x:c r="A120" s="31" t="str">
        <x:v>Total economic revenue</x:v>
      </x:c>
      <x:c r="B120" s="40" t="n">
        <x:f>SUM(B118:B119)</x:f>
        <x:v>1730</x:v>
      </x:c>
      <x:c r="C120" s="40" t="n">
        <x:f>SUM(C118:C119)</x:f>
        <x:v>2076</x:v>
      </x:c>
      <x:c r="D120" s="40" t="n">
        <x:f>SUM(D118:D119)</x:f>
        <x:v>2428.92</x:v>
      </x:c>
      <x:c r="E120" s="40" t="n">
        <x:f>SUM(E118:E119)</x:f>
        <x:v>2768.9688000000006</x:v>
      </x:c>
      <x:c r="F120" s="40" t="n">
        <x:f>SUM(F118:F119)</x:f>
        <x:v>3045.865680000001</x:v>
      </x:c>
      <x:c r="G120" s="40" t="n">
        <x:f>SUM(G118:G119)</x:f>
        <x:v>3307.810128480001</x:v>
      </x:c>
      <x:c r="H120" s="40" t="n">
        <x:f>SUM(H118:H119)</x:f>
        <x:v>3545.972457730561</x:v>
      </x:c>
      <x:c r="I120" s="40" t="n">
        <x:f>SUM(I118:I119)</x:f>
        <x:v>3751.638860278934</x:v>
      </x:c>
      <x:c r="J120" s="40" t="n">
        <x:f>SUM(J118:J119)</x:f>
        <x:v>3916.710970131207</x:v>
      </x:c>
      <x:c r="K120" s="40" t="n">
        <x:f>SUM(K118:K119)</x:f>
        <x:v>4034.2122992351433</x:v>
      </x:c>
    </x:row>
    <x:row r="121" ht="23" customHeight="1">
      <x:c r="A121" t="str">
        <x:v>Revenue growth</x:v>
      </x:c>
      <x:c r="B121" s="22" t="n">
        <x:f>B120/'Inputs'!$G$14-1</x:f>
        <x:v>0.44166666666666665</x:v>
      </x:c>
      <x:c r="C121" s="22" t="n">
        <x:f>C120/B120-1</x:f>
        <x:v>0.19999999999999996</x:v>
      </x:c>
      <x:c r="D121" s="22" t="n">
        <x:f>D120/C120-1</x:f>
        <x:v>0.16999999999999993</x:v>
      </x:c>
      <x:c r="E121" s="22" t="n">
        <x:f>E120/D120-1</x:f>
        <x:v>0.14000000000000012</x:v>
      </x:c>
      <x:c r="F121" s="22" t="n">
        <x:f>F120/E120-1</x:f>
        <x:v>0.10000000000000009</x:v>
      </x:c>
      <x:c r="G121" s="22" t="n">
        <x:f>G120/F120-1</x:f>
        <x:v>0.08600000000000008</x:v>
      </x:c>
      <x:c r="H121" s="22" t="n">
        <x:f>H120/G120-1</x:f>
        <x:v>0.07200000000000006</x:v>
      </x:c>
      <x:c r="I121" s="22" t="n">
        <x:f>I120/H120-1</x:f>
        <x:v>0.05800000000000005</x:v>
      </x:c>
      <x:c r="J121" s="22" t="n">
        <x:f>J120/I120-1</x:f>
        <x:v>0.04400000000000004</x:v>
      </x:c>
      <x:c r="K121" s="22" t="n">
        <x:f>K120/J120-1</x:f>
        <x:v>0.030000000000000027</x:v>
      </x:c>
    </x:row>
    <x:row r="122" ht="23" customHeight="1">
      <x:c r="A122" t="str">
        <x:v>Primary profit pool</x:v>
      </x:c>
      <x:c r="B122" s="34" t="n">
        <x:f>B118*B113</x:f>
        <x:v>389.25</x:v>
      </x:c>
      <x:c r="C122" s="34" t="n">
        <x:f>C118*C113</x:f>
        <x:v>498.24</x:v>
      </x:c>
      <x:c r="D122" s="34" t="n">
        <x:f>D118*D113</x:f>
        <x:v>595.0854</x:v>
      </x:c>
      <x:c r="E122" s="34" t="n">
        <x:f>E118*E113</x:f>
        <x:v>678.3973560000002</x:v>
      </x:c>
      <x:c r="F122" s="34" t="n">
        <x:f>F118*F113</x:f>
        <x:v>731.0077632000001</x:v>
      </x:c>
      <x:c r="G122" s="34" t="n">
        <x:f>G118*G113</x:f>
        <x:v>793.8744308352002</x:v>
      </x:c>
      <x:c r="H122" s="34" t="n">
        <x:f>H118*H113</x:f>
        <x:v>851.0333898553346</x:v>
      </x:c>
      <x:c r="I122" s="34" t="n">
        <x:f>I118*I113</x:f>
        <x:v>900.3933264669441</x:v>
      </x:c>
      <x:c r="J122" s="34" t="n">
        <x:f>J118*J113</x:f>
        <x:v>940.0106328314896</x:v>
      </x:c>
      <x:c r="K122" s="34" t="n">
        <x:f>K118*K113</x:f>
        <x:v>968.2109518164343</x:v>
      </x:c>
    </x:row>
    <x:row r="123" ht="23" customHeight="1">
      <x:c r="A123" t="str">
        <x:v>Secondary profit pool</x:v>
      </x:c>
      <x:c r="B123" s="34" t="n">
        <x:f>B119*B114</x:f>
        <x:v>0</x:v>
      </x:c>
      <x:c r="C123" s="34" t="n">
        <x:f>C119*C114</x:f>
        <x:v>0</x:v>
      </x:c>
      <x:c r="D123" s="34" t="n">
        <x:f>D119*D114</x:f>
        <x:v>0</x:v>
      </x:c>
      <x:c r="E123" s="34" t="n">
        <x:f>E119*E114</x:f>
        <x:v>0</x:v>
      </x:c>
      <x:c r="F123" s="34" t="n">
        <x:f>F119*F114</x:f>
        <x:v>0</x:v>
      </x:c>
      <x:c r="G123" s="34" t="n">
        <x:f>G119*G114</x:f>
        <x:v>0</x:v>
      </x:c>
      <x:c r="H123" s="34" t="n">
        <x:f>H119*H114</x:f>
        <x:v>0</x:v>
      </x:c>
      <x:c r="I123" s="34" t="n">
        <x:f>I119*I114</x:f>
        <x:v>0</x:v>
      </x:c>
      <x:c r="J123" s="34" t="n">
        <x:f>J119*J114</x:f>
        <x:v>0</x:v>
      </x:c>
      <x:c r="K123" s="34" t="n">
        <x:f>K119*K114</x:f>
        <x:v>0</x:v>
      </x:c>
    </x:row>
    <x:row r="124" ht="23" customHeight="1">
      <x:c r="A124" t="str">
        <x:v>Less: overhead / corporate</x:v>
      </x:c>
      <x:c r="B124" s="34" t="n">
        <x:f>0</x:f>
        <x:v>0</x:v>
      </x:c>
      <x:c r="C124" s="34" t="n">
        <x:f>B124*(1+C115)</x:f>
        <x:v>0</x:v>
      </x:c>
      <x:c r="D124" s="34" t="n">
        <x:f>C124*(1+D115)</x:f>
        <x:v>0</x:v>
      </x:c>
      <x:c r="E124" s="34" t="n">
        <x:f>D124*(1+E115)</x:f>
        <x:v>0</x:v>
      </x:c>
      <x:c r="F124" s="34" t="n">
        <x:f>E124*(1+F115)</x:f>
        <x:v>0</x:v>
      </x:c>
      <x:c r="G124" s="34" t="n">
        <x:f>F124*(1+G115)</x:f>
        <x:v>0</x:v>
      </x:c>
      <x:c r="H124" s="34" t="n">
        <x:f>G124*(1+H115)</x:f>
        <x:v>0</x:v>
      </x:c>
      <x:c r="I124" s="34" t="n">
        <x:f>H124*(1+I115)</x:f>
        <x:v>0</x:v>
      </x:c>
      <x:c r="J124" s="34" t="n">
        <x:f>I124*(1+J115)</x:f>
        <x:v>0</x:v>
      </x:c>
      <x:c r="K124" s="34" t="n">
        <x:f>J124*(1+K115)</x:f>
        <x:v>0</x:v>
      </x:c>
    </x:row>
    <x:row r="125" ht="23" customHeight="1">
      <x:c r="A125" t="str">
        <x:v>Additional fee profit</x:v>
      </x:c>
      <x:c r="B125" s="34" t="n">
        <x:f>0</x:f>
        <x:v>0</x:v>
      </x:c>
      <x:c r="C125" s="34" t="n">
        <x:f>0</x:f>
        <x:v>0</x:v>
      </x:c>
      <x:c r="D125" s="34" t="n">
        <x:f>0</x:f>
        <x:v>0</x:v>
      </x:c>
      <x:c r="E125" s="34" t="n">
        <x:f>0</x:f>
        <x:v>0</x:v>
      </x:c>
      <x:c r="F125" s="34" t="n">
        <x:f>0</x:f>
        <x:v>0</x:v>
      </x:c>
      <x:c r="G125" s="34" t="n">
        <x:f>0</x:f>
        <x:v>0</x:v>
      </x:c>
      <x:c r="H125" s="34" t="n">
        <x:f>0</x:f>
        <x:v>0</x:v>
      </x:c>
      <x:c r="I125" s="34" t="n">
        <x:f>0</x:f>
        <x:v>0</x:v>
      </x:c>
      <x:c r="J125" s="34" t="n">
        <x:f>0</x:f>
        <x:v>0</x:v>
      </x:c>
      <x:c r="K125" s="34" t="n">
        <x:f>0</x:f>
        <x:v>0</x:v>
      </x:c>
    </x:row>
    <x:row r="126" ht="23" customHeight="1">
      <x:c r="A126" s="31" t="str">
        <x:v>Operating income after recurring SBC</x:v>
      </x:c>
      <x:c r="B126" s="40" t="n">
        <x:f>SUM(B122:B125)</x:f>
        <x:v>389.25</x:v>
      </x:c>
      <x:c r="C126" s="40" t="n">
        <x:f>SUM(C122:C125)</x:f>
        <x:v>498.24</x:v>
      </x:c>
      <x:c r="D126" s="40" t="n">
        <x:f>SUM(D122:D125)</x:f>
        <x:v>595.0854</x:v>
      </x:c>
      <x:c r="E126" s="40" t="n">
        <x:f>SUM(E122:E125)</x:f>
        <x:v>678.3973560000002</x:v>
      </x:c>
      <x:c r="F126" s="40" t="n">
        <x:f>SUM(F122:F125)</x:f>
        <x:v>731.0077632000001</x:v>
      </x:c>
      <x:c r="G126" s="40" t="n">
        <x:f>SUM(G122:G125)</x:f>
        <x:v>793.8744308352002</x:v>
      </x:c>
      <x:c r="H126" s="40" t="n">
        <x:f>SUM(H122:H125)</x:f>
        <x:v>851.0333898553346</x:v>
      </x:c>
      <x:c r="I126" s="40" t="n">
        <x:f>SUM(I122:I125)</x:f>
        <x:v>900.3933264669441</x:v>
      </x:c>
      <x:c r="J126" s="40" t="n">
        <x:f>SUM(J122:J125)</x:f>
        <x:v>940.0106328314896</x:v>
      </x:c>
      <x:c r="K126" s="40" t="n">
        <x:f>SUM(K122:K125)</x:f>
        <x:v>968.2109518164343</x:v>
      </x:c>
    </x:row>
    <x:row r="127" ht="23" customHeight="1">
      <x:c r="A127" t="str">
        <x:v>Operating margin</x:v>
      </x:c>
      <x:c r="B127" s="22" t="n">
        <x:f>B126/B120</x:f>
        <x:v>0.225</x:v>
      </x:c>
      <x:c r="C127" s="22" t="n">
        <x:f>C126/C120</x:f>
        <x:v>0.24</x:v>
      </x:c>
      <x:c r="D127" s="22" t="n">
        <x:f>D126/D120</x:f>
        <x:v>0.24500000000000002</x:v>
      </x:c>
      <x:c r="E127" s="22" t="n">
        <x:f>E126/E120</x:f>
        <x:v>0.24500000000000002</x:v>
      </x:c>
      <x:c r="F127" s="22" t="n">
        <x:f>F126/F120</x:f>
        <x:v>0.23999999999999996</x:v>
      </x:c>
      <x:c r="G127" s="22" t="n">
        <x:f>G126/G120</x:f>
        <x:v>0.24</x:v>
      </x:c>
      <x:c r="H127" s="22" t="n">
        <x:f>H126/H120</x:f>
        <x:v>0.24</x:v>
      </x:c>
      <x:c r="I127" s="22" t="n">
        <x:f>I126/I120</x:f>
        <x:v>0.24</x:v>
      </x:c>
      <x:c r="J127" s="22" t="n">
        <x:f>J126/J120</x:f>
        <x:v>0.24</x:v>
      </x:c>
      <x:c r="K127" s="22" t="n">
        <x:f>K126/K120</x:f>
        <x:v>0.24</x:v>
      </x:c>
    </x:row>
    <x:row r="128" ht="23" customHeight="1">
      <x:c r="A128" t="str">
        <x:v>After-tax operating profit</x:v>
      </x:c>
      <x:c r="B128" s="34" t="n">
        <x:f>B126*(1-'Assumptions'!$F$19)</x:f>
        <x:v>299.7225</x:v>
      </x:c>
      <x:c r="C128" s="34" t="n">
        <x:f>C126*(1-'Assumptions'!$F$19)</x:f>
        <x:v>383.64480000000003</x:v>
      </x:c>
      <x:c r="D128" s="34" t="n">
        <x:f>D126*(1-'Assumptions'!$F$19)</x:f>
        <x:v>458.21575800000005</x:v>
      </x:c>
      <x:c r="E128" s="34" t="n">
        <x:f>E126*(1-'Assumptions'!$F$19)</x:f>
        <x:v>522.3659641200002</x:v>
      </x:c>
      <x:c r="F128" s="34" t="n">
        <x:f>F126*(1-'Assumptions'!$F$19)</x:f>
        <x:v>562.8759776640001</x:v>
      </x:c>
      <x:c r="G128" s="34" t="n">
        <x:f>G126*(1-'Assumptions'!$F$19)</x:f>
        <x:v>611.2833117431042</x:v>
      </x:c>
      <x:c r="H128" s="34" t="n">
        <x:f>H126*(1-'Assumptions'!$F$19)</x:f>
        <x:v>655.2957101886076</x:v>
      </x:c>
      <x:c r="I128" s="34" t="n">
        <x:f>I126*(1-'Assumptions'!$F$19)</x:f>
        <x:v>693.302861379547</x:v>
      </x:c>
      <x:c r="J128" s="34" t="n">
        <x:f>J126*(1-'Assumptions'!$F$19)</x:f>
        <x:v>723.808187280247</x:v>
      </x:c>
      <x:c r="K128" s="34" t="n">
        <x:f>K126*(1-'Assumptions'!$F$19)</x:f>
        <x:v>745.5224328986544</x:v>
      </x:c>
    </x:row>
    <x:row r="129" ht="23" customHeight="1">
      <x:c r="A129" t="str">
        <x:v>Add: depreciation &amp; amortization</x:v>
      </x:c>
      <x:c r="B129" s="34" t="n">
        <x:f>B120*'Assumptions'!$G$19</x:f>
        <x:v>13.84</x:v>
      </x:c>
      <x:c r="C129" s="34" t="n">
        <x:f>C120*'Assumptions'!$G$19</x:f>
        <x:v>16.608</x:v>
      </x:c>
      <x:c r="D129" s="34" t="n">
        <x:f>D120*'Assumptions'!$G$19</x:f>
        <x:v>19.43136</x:v>
      </x:c>
      <x:c r="E129" s="34" t="n">
        <x:f>E120*'Assumptions'!$G$19</x:f>
        <x:v>22.151750400000005</x:v>
      </x:c>
      <x:c r="F129" s="34" t="n">
        <x:f>F120*'Assumptions'!$G$19</x:f>
        <x:v>24.366925440000006</x:v>
      </x:c>
      <x:c r="G129" s="34" t="n">
        <x:f>G120*'Assumptions'!$G$19</x:f>
        <x:v>26.462481027840006</x:v>
      </x:c>
      <x:c r="H129" s="34" t="n">
        <x:f>H120*'Assumptions'!$G$19</x:f>
        <x:v>28.367779661844487</x:v>
      </x:c>
      <x:c r="I129" s="34" t="n">
        <x:f>I120*'Assumptions'!$G$19</x:f>
        <x:v>30.013110882231473</x:v>
      </x:c>
      <x:c r="J129" s="34" t="n">
        <x:f>J120*'Assumptions'!$G$19</x:f>
        <x:v>31.333687761049656</x:v>
      </x:c>
      <x:c r="K129" s="34" t="n">
        <x:f>K120*'Assumptions'!$G$19</x:f>
        <x:v>32.27369839388115</x:v>
      </x:c>
    </x:row>
    <x:row r="130" ht="23" customHeight="1">
      <x:c r="A130" t="str">
        <x:v>Less: investment incl. software</x:v>
      </x:c>
      <x:c r="B130" s="34" t="n">
        <x:f>-B120*B116</x:f>
        <x:v>-46.71</x:v>
      </x:c>
      <x:c r="C130" s="34" t="n">
        <x:f>-C120*C116</x:f>
        <x:v>-51.900000000000006</x:v>
      </x:c>
      <x:c r="D130" s="34" t="n">
        <x:f>-D120*D116</x:f>
        <x:v>-53.43624</x:v>
      </x:c>
      <x:c r="E130" s="34" t="n">
        <x:f>-E120*E116</x:f>
        <x:v>-55.379376000000015</x:v>
      </x:c>
      <x:c r="F130" s="34" t="n">
        <x:f>-F120*F116</x:f>
        <x:v>-60.917313600000014</x:v>
      </x:c>
      <x:c r="G130" s="34" t="n">
        <x:f>-G120*G116</x:f>
        <x:v>-66.15620256960003</x:v>
      </x:c>
      <x:c r="H130" s="34" t="n">
        <x:f>-H120*H116</x:f>
        <x:v>-70.91944915461123</x:v>
      </x:c>
      <x:c r="I130" s="34" t="n">
        <x:f>-I120*I116</x:f>
        <x:v>-75.03277720557868</x:v>
      </x:c>
      <x:c r="J130" s="34" t="n">
        <x:f>-J120*J116</x:f>
        <x:v>-78.33421940262414</x:v>
      </x:c>
      <x:c r="K130" s="34" t="n">
        <x:f>-K120*K116</x:f>
        <x:v>-80.68424598470287</x:v>
      </x:c>
    </x:row>
    <x:row r="131" ht="23" customHeight="1">
      <x:c r="A131" t="str">
        <x:v>Less: incremental working capital</x:v>
      </x:c>
      <x:c r="B131" s="34" t="n">
        <x:f>-(B120-'Inputs'!$G$14)*'Assumptions'!$H$19</x:f>
        <x:v>-42.4</x:v>
      </x:c>
      <x:c r="C131" s="34" t="n">
        <x:f>-(C120-B120)*'Assumptions'!$H$19</x:f>
        <x:v>-27.68</x:v>
      </x:c>
      <x:c r="D131" s="34" t="n">
        <x:f>-(D120-C120)*'Assumptions'!$H$19</x:f>
        <x:v>-28.233600000000006</x:v>
      </x:c>
      <x:c r="E131" s="34" t="n">
        <x:f>-(E120-D120)*'Assumptions'!$H$19</x:f>
        <x:v>-27.20390400000004</x:v>
      </x:c>
      <x:c r="F131" s="34" t="n">
        <x:f>-(F120-E120)*'Assumptions'!$H$19</x:f>
        <x:v>-22.15175040000002</x:v>
      </x:c>
      <x:c r="G131" s="34" t="n">
        <x:f>-(G120-F120)*'Assumptions'!$H$19</x:f>
        <x:v>-20.95555587840001</x:v>
      </x:c>
      <x:c r="H131" s="34" t="n">
        <x:f>-(H120-G120)*'Assumptions'!$H$19</x:f>
        <x:v>-19.052986340044807</x:v>
      </x:c>
      <x:c r="I131" s="34" t="n">
        <x:f>-(I120-H120)*'Assumptions'!$H$19</x:f>
        <x:v>-16.453312203869828</x:v>
      </x:c>
      <x:c r="J131" s="34" t="n">
        <x:f>-(J120-I120)*'Assumptions'!$H$19</x:f>
        <x:v>-13.20576878818185</x:v>
      </x:c>
      <x:c r="K131" s="34" t="n">
        <x:f>-(K120-J120)*'Assumptions'!$H$19</x:f>
        <x:v>-9.400106328314905</x:v>
      </x:c>
    </x:row>
    <x:row r="132" ht="23" customHeight="1">
      <x:c r="A132" t="str">
        <x:v>Less: specified cash shock</x:v>
      </x:c>
      <x:c r="B132" s="34" t="n">
        <x:f>-'Assumptions'!$I$19</x:f>
        <x:v>0</x:v>
      </x:c>
      <x:c r="C132" s="34" t="n">
        <x:f>0</x:f>
        <x:v>0</x:v>
      </x:c>
      <x:c r="D132" s="34" t="n">
        <x:f>0</x:f>
        <x:v>0</x:v>
      </x:c>
      <x:c r="E132" s="34" t="n">
        <x:f>0</x:f>
        <x:v>0</x:v>
      </x:c>
      <x:c r="F132" s="34" t="n">
        <x:f>0</x:f>
        <x:v>0</x:v>
      </x:c>
      <x:c r="G132" s="34" t="n">
        <x:f>0</x:f>
        <x:v>0</x:v>
      </x:c>
      <x:c r="H132" s="34" t="n">
        <x:f>0</x:f>
        <x:v>0</x:v>
      </x:c>
      <x:c r="I132" s="34" t="n">
        <x:f>0</x:f>
        <x:v>0</x:v>
      </x:c>
      <x:c r="J132" s="34" t="n">
        <x:f>0</x:f>
        <x:v>0</x:v>
      </x:c>
      <x:c r="K132" s="34" t="n">
        <x:f>0</x:f>
        <x:v>0</x:v>
      </x:c>
    </x:row>
    <x:row r="133" ht="23" customHeight="1">
      <x:c r="A133" s="31" t="str">
        <x:v>Owner-economic unlevered cash flow</x:v>
      </x:c>
      <x:c r="B133" s="40" t="n">
        <x:f>SUM(B128:B132)</x:f>
        <x:v>224.45250000000001</x:v>
      </x:c>
      <x:c r="C133" s="40" t="n">
        <x:f>SUM(C128:C132)</x:f>
        <x:v>320.6728</x:v>
      </x:c>
      <x:c r="D133" s="40" t="n">
        <x:f>SUM(D128:D132)</x:f>
        <x:v>395.977278</x:v>
      </x:c>
      <x:c r="E133" s="40" t="n">
        <x:f>SUM(E128:E132)</x:f>
        <x:v>461.9344345200001</x:v>
      </x:c>
      <x:c r="F133" s="40" t="n">
        <x:f>SUM(F128:F132)</x:f>
        <x:v>504.173839104</x:v>
      </x:c>
      <x:c r="G133" s="40" t="n">
        <x:f>SUM(G128:G132)</x:f>
        <x:v>550.6340343229441</x:v>
      </x:c>
      <x:c r="H133" s="40" t="n">
        <x:f>SUM(H128:H132)</x:f>
        <x:v>593.691054355796</x:v>
      </x:c>
      <x:c r="I133" s="40" t="n">
        <x:f>SUM(I128:I132)</x:f>
        <x:v>631.82988285233</x:v>
      </x:c>
      <x:c r="J133" s="40" t="n">
        <x:f>SUM(J128:J132)</x:f>
        <x:v>663.6018868504906</x:v>
      </x:c>
      <x:c r="K133" s="40" t="n">
        <x:f>SUM(K128:K132)</x:f>
        <x:v>687.7117789795178</x:v>
      </x:c>
    </x:row>
    <x:row r="134" ht="23" customHeight="1">
      <x:c r="A134" t="str">
        <x:v>Discount factor</x:v>
      </x:c>
      <x:c r="B134" s="22" t="n">
        <x:f>1/(1+'Assumptions'!$C$19)^B$110</x:f>
        <x:v>0.9049773755656109</x:v>
      </x:c>
      <x:c r="C134" s="22" t="n">
        <x:f>1/(1+'Assumptions'!$C$19)^C$110</x:f>
        <x:v>0.8189840502856207</x:v>
      </x:c>
      <x:c r="D134" s="22" t="n">
        <x:f>1/(1+'Assumptions'!$C$19)^D$110</x:f>
        <x:v>0.7411620364575753</x:v>
      </x:c>
      <x:c r="E134" s="22" t="n">
        <x:f>1/(1+'Assumptions'!$C$19)^E$110</x:f>
        <x:v>0.67073487462224</x:v>
      </x:c>
      <x:c r="F134" s="22" t="n">
        <x:f>1/(1+'Assumptions'!$C$19)^F$110</x:f>
        <x:v>0.6069998865359638</x:v>
      </x:c>
      <x:c r="G134" s="22" t="n">
        <x:f>1/(1+'Assumptions'!$C$19)^G$110</x:f>
        <x:v>0.54932116428594</x:v>
      </x:c>
      <x:c r="H134" s="22" t="n">
        <x:f>1/(1+'Assumptions'!$C$19)^H$110</x:f>
        <x:v>0.4971232255981358</x:v>
      </x:c>
      <x:c r="I134" s="22" t="n">
        <x:f>1/(1+'Assumptions'!$C$19)^I$110</x:f>
        <x:v>0.44988527203451206</x:v>
      </x:c>
      <x:c r="J134" s="22" t="n">
        <x:f>1/(1+'Assumptions'!$C$19)^J$110</x:f>
        <x:v>0.40713599279141366</x:v>
      </x:c>
      <x:c r="K134" s="22" t="n">
        <x:f>1/(1+'Assumptions'!$C$19)^K$110</x:f>
        <x:v>0.36844886225467294</x:v>
      </x:c>
    </x:row>
    <x:row r="135" ht="23" customHeight="1">
      <x:c r="A135" s="31" t="str">
        <x:v>Present value</x:v>
      </x:c>
      <x:c r="B135" s="40" t="n">
        <x:f>B133*B134</x:f>
        <x:v>203.12443438914028</x:v>
      </x:c>
      <x:c r="C135" s="40" t="n">
        <x:f>C133*C134</x:f>
        <x:v>262.6259085604308</x:v>
      </x:c>
      <x:c r="D135" s="40" t="n">
        <x:f>D133*D134</x:f>
        <x:v>293.4833257534074</x:v>
      </x:c>
      <x:c r="E135" s="40" t="n">
        <x:f>E133*E134</x:f>
        <x:v>309.8355350214676</x:v>
      </x:c>
      <x:c r="F135" s="40" t="n">
        <x:f>F133*F134</x:f>
        <x:v>306.0334631305293</x:v>
      </x:c>
      <x:c r="G135" s="40" t="n">
        <x:f>G133*G134</x:f>
        <x:v>302.47492882974393</x:v>
      </x:c>
      <x:c r="H135" s="40" t="n">
        <x:f>H133*H134</x:f>
        <x:v>295.13761195011153</x:v>
      </x:c>
      <x:c r="I135" s="40" t="n">
        <x:f>I133*I134</x:f>
        <x:v>284.25095872655436</x:v>
      </x:c>
      <x:c r="J135" s="40" t="n">
        <x:f>J133*J134</x:f>
        <x:v>270.17621302112985</x:v>
      </x:c>
      <x:c r="K135" s="40" t="n">
        <x:f>K133*K134</x:f>
        <x:v>253.38662252414045</x:v>
      </x:c>
    </x:row>
    <x:row r="136" ht="23" customHeight="1">
      <x:c r="A136" t="str">
        <x:v>Discount factor at 12%</x:v>
      </x:c>
      <x:c r="B136" s="22" t="n">
        <x:f>1/(1+'Controls'!$B$3)^B$110</x:f>
        <x:v>0.8928571428571428</x:v>
      </x:c>
      <x:c r="C136" s="22" t="n">
        <x:f>1/(1+'Controls'!$B$3)^C$110</x:f>
        <x:v>0.7971938775510203</x:v>
      </x:c>
      <x:c r="D136" s="22" t="n">
        <x:f>1/(1+'Controls'!$B$3)^D$110</x:f>
        <x:v>0.7117802478134109</x:v>
      </x:c>
      <x:c r="E136" s="22" t="n">
        <x:f>1/(1+'Controls'!$B$3)^E$110</x:f>
        <x:v>0.6355180784048312</x:v>
      </x:c>
      <x:c r="F136" s="22" t="n">
        <x:f>1/(1+'Controls'!$B$3)^F$110</x:f>
        <x:v>0.5674268557185992</x:v>
      </x:c>
      <x:c r="G136" s="22" t="n">
        <x:f>1/(1+'Controls'!$B$3)^G$110</x:f>
        <x:v>0.5066311211773207</x:v>
      </x:c>
      <x:c r="H136" s="22" t="n">
        <x:f>1/(1+'Controls'!$B$3)^H$110</x:f>
        <x:v>0.45234921533689343</x:v>
      </x:c>
      <x:c r="I136" s="22" t="n">
        <x:f>1/(1+'Controls'!$B$3)^I$110</x:f>
        <x:v>0.4038832279793691</x:v>
      </x:c>
      <x:c r="J136" s="22" t="n">
        <x:f>1/(1+'Controls'!$B$3)^J$110</x:f>
        <x:v>0.36061002498157957</x:v>
      </x:c>
      <x:c r="K136" s="22" t="n">
        <x:f>1/(1+'Controls'!$B$3)^K$110</x:f>
        <x:v>0.321973236590696</x:v>
      </x:c>
    </x:row>
    <x:row r="138" ht="25" customHeight="1">
      <x:c r="A138" t="str">
        <x:v>Year 11 after-tax operating profit</x:v>
      </x:c>
      <x:c r="B138" s="34" t="n">
        <x:f>K128*(1+'Assumptions'!$D$19)</x:f>
        <x:v>767.8881058856141</x:v>
      </x:c>
    </x:row>
    <x:row r="139" ht="25" customHeight="1">
      <x:c r="A139" t="str">
        <x:v>Less: terminal reinvestment</x:v>
      </x:c>
      <x:c r="B139" s="34" t="n">
        <x:f>-B138*'Assumptions'!$D$19/'Assumptions'!$E$19</x:f>
        <x:v>-76.7888105885614</x:v>
      </x:c>
      <x:c r="D139" s="24" t="str">
        <x:v>This is an operating scenario, not a statistical confidence interval. Terminal growth requires reinvestment. Latest-quarter capital structure is not a complete September roll-forward. See company decision notes for remaining unknowns. MOD scenarios assume the transaction closes; WINA core revenue excludes offsetting fee programs.</x:v>
      </x:c>
      <x:c r="E139" s="24"/>
      <x:c r="F139" s="24"/>
      <x:c r="G139" s="24"/>
      <x:c r="H139" s="24"/>
      <x:c r="I139" s="24"/>
      <x:c r="J139" s="24"/>
      <x:c r="K139" s="24"/>
    </x:row>
    <x:row r="140" ht="25" customHeight="1">
      <x:c r="A140" t="str">
        <x:v>Terminal cash flow</x:v>
      </x:c>
      <x:c r="B140" s="34" t="n">
        <x:f>SUM(B138:B139)</x:f>
        <x:v>691.0992952970527</x:v>
      </x:c>
      <x:c r="D140" s="24"/>
      <x:c r="E140" s="24"/>
      <x:c r="F140" s="24"/>
      <x:c r="G140" s="24"/>
      <x:c r="H140" s="24"/>
      <x:c r="I140" s="24"/>
      <x:c r="J140" s="24"/>
      <x:c r="K140" s="24"/>
    </x:row>
    <x:row r="141" ht="25" customHeight="1">
      <x:c r="A141" t="str">
        <x:v>Terminal operating value</x:v>
      </x:c>
      <x:c r="B141" s="34" t="n">
        <x:f>B140/('Assumptions'!$C$19-'Assumptions'!$D$19)</x:f>
        <x:v>9214.65727062737</x:v>
      </x:c>
      <x:c r="D141" s="24"/>
      <x:c r="E141" s="24"/>
      <x:c r="F141" s="24"/>
      <x:c r="G141" s="24"/>
      <x:c r="H141" s="24"/>
      <x:c r="I141" s="24"/>
      <x:c r="J141" s="24"/>
      <x:c r="K141" s="24"/>
    </x:row>
    <x:row r="142" ht="25" customHeight="1">
      <x:c r="A142" t="str">
        <x:v>PV terminal value</x:v>
      </x:c>
      <x:c r="B142" s="34" t="n">
        <x:f>B141*K134</x:f>
        <x:v>3395.129987429404</x:v>
      </x:c>
      <x:c r="D142" s="24"/>
      <x:c r="E142" s="24"/>
      <x:c r="F142" s="24"/>
      <x:c r="G142" s="24"/>
      <x:c r="H142" s="24"/>
      <x:c r="I142" s="24"/>
      <x:c r="J142" s="24"/>
      <x:c r="K142" s="24"/>
    </x:row>
    <x:row r="143" ht="25" customHeight="1">
      <x:c r="A143" t="str">
        <x:v>PV explicit forecast</x:v>
      </x:c>
      <x:c r="B143" s="34" t="n">
        <x:f>SUM(B135:K135)</x:f>
        <x:v>2780.5290019066556</x:v>
      </x:c>
      <x:c r="D143" s="24"/>
      <x:c r="E143" s="24"/>
      <x:c r="F143" s="24"/>
      <x:c r="G143" s="24"/>
      <x:c r="H143" s="24"/>
      <x:c r="I143" s="24"/>
      <x:c r="J143" s="24"/>
      <x:c r="K143" s="24"/>
    </x:row>
    <x:row r="144" ht="25" customHeight="1">
      <x:c r="A144" s="84" t="str">
        <x:v>Operating enterprise value</x:v>
      </x:c>
      <x:c r="B144" s="85" t="n">
        <x:f>SUM(B142:B143)</x:f>
        <x:v>6175.65898933606</x:v>
      </x:c>
      <x:c r="D144" s="24"/>
      <x:c r="E144" s="24"/>
      <x:c r="F144" s="24"/>
      <x:c r="G144" s="24"/>
      <x:c r="H144" s="24"/>
      <x:c r="I144" s="24"/>
      <x:c r="J144" s="24"/>
      <x:c r="K144" s="24"/>
    </x:row>
    <x:row r="145" ht="25" customHeight="1">
      <x:c r="A145" t="str">
        <x:v>Cash / claims / transaction bridge</x:v>
      </x:c>
      <x:c r="B145" s="34" t="n">
        <x:f>'Inputs'!$G$6-'Inputs'!$G$7-'Inputs'!$G$9-'Inputs'!$G$10-'Inputs'!$G$11+'Inputs'!$G$12*'Inputs'!$G$13-'Inputs'!$G$31*'Assumptions'!$L$19</x:f>
        <x:v>405.992</x:v>
      </x:c>
      <x:c r="D145" s="24"/>
      <x:c r="E145" s="24"/>
      <x:c r="F145" s="24"/>
      <x:c r="G145" s="24"/>
      <x:c r="H145" s="24"/>
      <x:c r="I145" s="24"/>
      <x:c r="J145" s="24"/>
      <x:c r="K145" s="24"/>
    </x:row>
    <x:row r="146" ht="25" customHeight="1">
      <x:c r="A146" s="84" t="str">
        <x:v>Common equity value</x:v>
      </x:c>
      <x:c r="B146" s="85" t="n">
        <x:f>SUM(B144:B145)</x:f>
        <x:v>6581.65098933606</x:v>
      </x:c>
      <x:c r="D146" s="24"/>
      <x:c r="E146" s="24"/>
      <x:c r="F146" s="24"/>
      <x:c r="G146" s="24"/>
      <x:c r="H146" s="24"/>
      <x:c r="I146" s="24"/>
      <x:c r="J146" s="24"/>
      <x:c r="K146" s="24"/>
    </x:row>
    <x:row r="147" ht="25" customHeight="1">
      <x:c r="A147" t="str">
        <x:v>Value / share: debt endpoint</x:v>
      </x:c>
      <x:c r="B147" s="42" t="n">
        <x:f>B146/'Inputs'!$G$8</x:f>
        <x:v>179.8068787382816</x:v>
      </x:c>
    </x:row>
    <x:row r="148" ht="25" customHeight="1">
      <x:c r="A148" t="str">
        <x:v>Value / share: if-converted endpoint</x:v>
      </x:c>
      <x:c r="B148" s="42" t="n">
        <x:f>B147</x:f>
        <x:v>179.8068787382816</x:v>
      </x:c>
    </x:row>
    <x:row r="149" ht="25" customHeight="1">
      <x:c r="A149" s="88" t="str">
        <x:v>Conditional intrinsic value / share</x:v>
      </x:c>
      <x:c r="B149" s="89" t="n">
        <x:f>B147</x:f>
        <x:v>179.8068787382816</x:v>
      </x:c>
    </x:row>
    <x:row r="150" ht="25" customHeight="1">
      <x:c r="A150" t="str">
        <x:v>Value versus quote</x:v>
      </x:c>
      <x:c r="B150" s="22" t="n">
        <x:f>B149/'Inputs'!$G$5-1</x:f>
        <x:v>-0.007523989963671651</x:v>
      </x:c>
    </x:row>
    <x:row r="151" ht="25" customHeight="1">
      <x:c r="A151" t="str">
        <x:v>Terminal share of operating EV</x:v>
      </x:c>
      <x:c r="B151" s="22" t="n">
        <x:f>B142/B144</x:f>
        <x:v>0.5497599516573067</x:v>
      </x:c>
    </x:row>
    <x:row r="152" ht="25" customHeight="1">
      <x:c r="A152" t="str">
        <x:v>Value at 12% enterprise discount</x:v>
      </x:c>
      <x:c r="B152" s="42" t="n">
        <x:f>(SUMPRODUCT(B133:K133,B136:K136)+B140/('Controls'!$B$3-'Assumptions'!$D$19)*K136+B145)/'Inputs'!$G$8</x:f>
        <x:v>149.14661397165952</x:v>
      </x:c>
    </x:row>
    <x:row r="153" ht="25" customHeight="1">
      <x:c r="A153" t="str">
        <x:v>Price-implied operating EV</x:v>
      </x:c>
      <x:c r="B153" s="34" t="n">
        <x:f>'Inputs'!$G$5*'Inputs'!$G$8-B145</x:f>
        <x:v>6225.554679999999</x:v>
      </x:c>
    </x:row>
  </x:sheetData>
  <x:mergeCells>
    <x:mergeCell ref="A1:K1"/>
    <x:mergeCell ref="A2:K2"/>
    <x:mergeCell ref="A4:K4"/>
    <x:mergeCell ref="D37:K44"/>
    <x:mergeCell ref="A55:K55"/>
    <x:mergeCell ref="D88:K95"/>
    <x:mergeCell ref="A106:K106"/>
    <x:mergeCell ref="D139:K146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90" hidden="0" customWidth="1"/>
    <x:col min="4" max="4" width="50" hidden="0" customWidth="1"/>
  </x:cols>
  <x:sheetData>
    <x:row r="1">
      <x:c r="A1" s="18" t="str">
        <x:v>ID</x:v>
      </x:c>
      <x:c r="B1" s="18" t="str">
        <x:v>Source class</x:v>
      </x:c>
      <x:c r="C1" s="18" t="str">
        <x:v>URL</x:v>
      </x:c>
      <x:c r="D1" s="18" t="str">
        <x:v>Use / limitation</x:v>
      </x:c>
    </x:row>
    <x:row r="2" ht="45" customHeight="1">
      <x:c r="A2" s="24" t="str">
        <x:v>LMAT_Q</x:v>
      </x:c>
      <x:c r="B2" s="24" t="str">
        <x:v>Issuer / regulator primary</x:v>
      </x:c>
      <x:c r="C2" s="24" t="str">
        <x:v>https://www.sec.gov/Archives/edgar/data/1158895/000119312526333762/ck0001158895-20260630.htm</x:v>
      </x:c>
      <x:c r="D2" s="24" t="str">
        <x:v>Retrieved 7 Sep 2026; statements retain their reporting dates. Estimates require fiscal and accounting matching.</x:v>
      </x:c>
    </x:row>
    <x:row r="3" ht="45" customHeight="1">
      <x:c r="A3" s="24" t="str">
        <x:v>LMAT_R</x:v>
      </x:c>
      <x:c r="B3" s="24" t="str">
        <x:v>Issuer / regulator primary</x:v>
      </x:c>
      <x:c r="C3" s="24" t="str">
        <x:v>https://ir.lemaitre.com/news-releases/news-release-details/lemaitre-q2-2026-financial-results</x:v>
      </x:c>
      <x:c r="D3" s="24" t="str">
        <x:v>Retrieved 7 Sep 2026; statements retain their reporting dates. Estimates require fiscal and accounting matching.</x:v>
      </x:c>
    </x:row>
    <x:row r="4" ht="45" customHeight="1">
      <x:c r="A4" s="24" t="str">
        <x:v>LMAT_FDA</x:v>
      </x:c>
      <x:c r="B4" s="24" t="str">
        <x:v>Issuer / regulator primary</x:v>
      </x:c>
      <x:c r="C4" s="24" t="str">
        <x:v>https://www.fda.gov/inspections-compliance-enforcement-and-criminal-investigations/warning-letters/lemaitre-vascular-inc-713502-08112025</x:v>
      </x:c>
      <x:c r="D4" s="24" t="str">
        <x:v>Retrieved 7 Sep 2026; statements retain their reporting dates. Estimates require fiscal and accounting matching.</x:v>
      </x:c>
    </x:row>
    <x:row r="5" ht="45" customHeight="1">
      <x:c r="A5" s="24" t="str">
        <x:v>WINA_Q</x:v>
      </x:c>
      <x:c r="B5" s="24" t="str">
        <x:v>Issuer / regulator primary</x:v>
      </x:c>
      <x:c r="C5" s="24" t="str">
        <x:v>https://www.sec.gov/Archives/edgar/data/908315/000090831526000028/wina-20260627x10q.htm</x:v>
      </x:c>
      <x:c r="D5" s="24" t="str">
        <x:v>Retrieved 7 Sep 2026; statements retain their reporting dates. Estimates require fiscal and accounting matching.</x:v>
      </x:c>
    </x:row>
    <x:row r="6" ht="45" customHeight="1">
      <x:c r="A6" s="24" t="str">
        <x:v>WINA_K</x:v>
      </x:c>
      <x:c r="B6" s="24" t="str">
        <x:v>Issuer / regulator primary</x:v>
      </x:c>
      <x:c r="C6" s="24" t="str">
        <x:v>https://www.sec.gov/Archives/edgar/data/908315/000090831526000007/wina-20251227x10k.htm</x:v>
      </x:c>
      <x:c r="D6" s="24" t="str">
        <x:v>Retrieved 7 Sep 2026; statements retain their reporting dates. Estimates require fiscal and accounting matching.</x:v>
      </x:c>
    </x:row>
    <x:row r="7" ht="45" customHeight="1">
      <x:c r="A7" s="24" t="str">
        <x:v>WINA_FEES</x:v>
      </x:c>
      <x:c r="B7" s="24" t="str">
        <x:v>Issuer / regulator primary</x:v>
      </x:c>
      <x:c r="C7" s="24" t="str">
        <x:v>https://www.sec.gov/Archives/edgar/data/908315/000090831526000012/wina-20260316x8k.htm</x:v>
      </x:c>
      <x:c r="D7" s="24" t="str">
        <x:v>Retrieved 7 Sep 2026; statements retain their reporting dates. Estimates require fiscal and accounting matching.</x:v>
      </x:c>
    </x:row>
    <x:row r="8" ht="45" customHeight="1">
      <x:c r="A8" s="24" t="str">
        <x:v>WINA_STORE</x:v>
      </x:c>
      <x:c r="B8" s="24" t="str">
        <x:v>Issuer / regulator primary</x:v>
      </x:c>
      <x:c r="C8" s="24" t="str">
        <x:v>https://www.winmarkfranchises.com/platos-closet/the-investment/how-much-can-i-make-/</x:v>
      </x:c>
      <x:c r="D8" s="24" t="str">
        <x:v>Retrieved 7 Sep 2026; statements retain their reporting dates. Estimates require fiscal and accounting matching.</x:v>
      </x:c>
    </x:row>
    <x:row r="9" ht="45" customHeight="1">
      <x:c r="A9" s="24" t="str">
        <x:v>NSSC_K</x:v>
      </x:c>
      <x:c r="B9" s="24" t="str">
        <x:v>Issuer / regulator primary</x:v>
      </x:c>
      <x:c r="C9" s="24" t="str">
        <x:v>https://www.sec.gov/Archives/edgar/data/69633/000110465926100081/nssc-20260630x10k.htm</x:v>
      </x:c>
      <x:c r="D9" s="24" t="str">
        <x:v>Retrieved 7 Sep 2026; statements retain their reporting dates. Estimates require fiscal and accounting matching.</x:v>
      </x:c>
    </x:row>
    <x:row r="10" ht="45" customHeight="1">
      <x:c r="A10" s="24" t="str">
        <x:v>NSSC_R</x:v>
      </x:c>
      <x:c r="B10" s="24" t="str">
        <x:v>Issuer / regulator primary</x:v>
      </x:c>
      <x:c r="C10" s="24" t="str">
        <x:v>https://investor.napcosecurity.com/2026-08-24-NAPCO-Security-Technologies,-Inc-Reports-Fiscal-Q4-and-Full-Year-2026-Results</x:v>
      </x:c>
      <x:c r="D10" s="24" t="str">
        <x:v>Retrieved 7 Sep 2026; statements retain their reporting dates. Estimates require fiscal and accounting matching.</x:v>
      </x:c>
    </x:row>
    <x:row r="11" ht="45" customHeight="1">
      <x:c r="A11" s="24" t="str">
        <x:v>NSSC_Q3</x:v>
      </x:c>
      <x:c r="B11" s="24" t="str">
        <x:v>Issuer / regulator primary</x:v>
      </x:c>
      <x:c r="C11" s="24" t="str">
        <x:v>https://investor.napcosecurity.com/2026-05-04-NAPCO-Security-Technologies%2C-Inc-Reports-Fiscal-2026-Q3-Results</x:v>
      </x:c>
      <x:c r="D11" s="24" t="str">
        <x:v>Retrieved 7 Sep 2026; statements retain their reporting dates. Estimates require fiscal and accounting matching.</x:v>
      </x:c>
    </x:row>
    <x:row r="12" ht="45" customHeight="1">
      <x:c r="A12" s="24" t="str">
        <x:v>APPF_Q</x:v>
      </x:c>
      <x:c r="B12" s="24" t="str">
        <x:v>Issuer / regulator primary</x:v>
      </x:c>
      <x:c r="C12" s="24" t="str">
        <x:v>https://www.sec.gov/Archives/edgar/data/1433195/000143319526000058/appf-20260630.htm</x:v>
      </x:c>
      <x:c r="D12" s="24" t="str">
        <x:v>Retrieved 7 Sep 2026; statements retain their reporting dates. Estimates require fiscal and accounting matching.</x:v>
      </x:c>
    </x:row>
    <x:row r="13" ht="45" customHeight="1">
      <x:c r="A13" s="24" t="str">
        <x:v>APPF_R</x:v>
      </x:c>
      <x:c r="B13" s="24" t="str">
        <x:v>Issuer / regulator primary</x:v>
      </x:c>
      <x:c r="C13" s="24" t="str">
        <x:v>https://ir.appfolioinc.com/news-releases/news-release-details/appfolio-inc-announces-second-quarter-2026-financial-results</x:v>
      </x:c>
      <x:c r="D13" s="24" t="str">
        <x:v>Retrieved 7 Sep 2026; statements retain their reporting dates. Estimates require fiscal and accounting matching.</x:v>
      </x:c>
    </x:row>
    <x:row r="14" ht="45" customHeight="1">
      <x:c r="A14" s="24" t="str">
        <x:v>MOD_Q</x:v>
      </x:c>
      <x:c r="B14" s="24" t="str">
        <x:v>Issuer / regulator primary</x:v>
      </x:c>
      <x:c r="C14" s="24" t="str">
        <x:v>https://www.sec.gov/Archives/edgar/data/67347/000110465926088569/mod-20260630x10q.htm</x:v>
      </x:c>
      <x:c r="D14" s="24" t="str">
        <x:v>Retrieved 7 Sep 2026; statements retain their reporting dates. Estimates require fiscal and accounting matching.</x:v>
      </x:c>
    </x:row>
    <x:row r="15" ht="45" customHeight="1">
      <x:c r="A15" s="24" t="str">
        <x:v>MOD_R</x:v>
      </x:c>
      <x:c r="B15" s="24" t="str">
        <x:v>Issuer / regulator primary</x:v>
      </x:c>
      <x:c r="C15" s="24" t="str">
        <x:v>https://investors.modine.com/news/news-details/2026/Modine-Reports-First-Quarter-Fiscal-2027-Results/default.aspx</x:v>
      </x:c>
      <x:c r="D15" s="24" t="str">
        <x:v>Retrieved 7 Sep 2026; statements retain their reporting dates. Estimates require fiscal and accounting matching.</x:v>
      </x:c>
    </x:row>
    <x:row r="16" ht="45" customHeight="1">
      <x:c r="A16" s="24" t="str">
        <x:v>MOD_DEAL</x:v>
      </x:c>
      <x:c r="B16" s="24" t="str">
        <x:v>Issuer / regulator primary</x:v>
      </x:c>
      <x:c r="C16" s="24" t="str">
        <x:v>https://ir.gentherm.com/news-releases/news-release-details/gentherm-and-modines-performance-technologies-business-combine</x:v>
      </x:c>
      <x:c r="D16" s="24" t="str">
        <x:v>Retrieved 7 Sep 2026; statements retain their reporting dates. Estimates require fiscal and accounting matching.</x:v>
      </x:c>
    </x:row>
    <x:row r="17" ht="45" customHeight="1">
      <x:c r="A17" s="24" t="str">
        <x:v>MOD_LTA</x:v>
      </x:c>
      <x:c r="B17" s="24" t="str">
        <x:v>Issuer / regulator primary</x:v>
      </x:c>
      <x:c r="C17" s="24" t="str">
        <x:v>https://investors.modine.com/news/news-details/2026/Modine-Announces-Landmark-4-Billion-Long-Term-Capacity-Agreement-through-2029-with-Strategic-Data-Center-Customer-for-Airedale-by-Modine-Cooling-Solutions/default.aspx</x:v>
      </x:c>
      <x:c r="D17" s="24" t="str">
        <x:v>Retrieved 7 Sep 2026; statements retain their reporting dates. Estimates require fiscal and accounting matching.</x:v>
      </x:c>
    </x:row>
    <x:row r="18" ht="45" customHeight="1">
      <x:c r="A18" s="24" t="str">
        <x:v>POWL_Q</x:v>
      </x:c>
      <x:c r="B18" s="24" t="str">
        <x:v>Issuer / regulator primary</x:v>
      </x:c>
      <x:c r="C18" s="24" t="str">
        <x:v>https://www.sec.gov/Archives/edgar/data/80420/000008042026000107/powl-20260630.htm</x:v>
      </x:c>
      <x:c r="D18" s="24" t="str">
        <x:v>Retrieved 7 Sep 2026; statements retain their reporting dates. Estimates require fiscal and accounting matching.</x:v>
      </x:c>
    </x:row>
    <x:row r="19" ht="45" customHeight="1">
      <x:c r="A19" s="24" t="str">
        <x:v>POWL_R</x:v>
      </x:c>
      <x:c r="B19" s="24" t="str">
        <x:v>Issuer / regulator primary</x:v>
      </x:c>
      <x:c r="C19" s="24" t="str">
        <x:v>https://powellindustriesinc.gcs-web.com/news-releases/news-release-details/powell-industries-announces-third-quarter-fiscal-2026-results</x:v>
      </x:c>
      <x:c r="D19" s="24" t="str">
        <x:v>Retrieved 7 Sep 2026; statements retain their reporting dates. Estimates require fiscal and accounting matching.</x:v>
      </x:c>
    </x:row>
    <x:row r="20" ht="45" customHeight="1">
      <x:c r="A20" s="24" t="str">
        <x:v>LMAT_MW</x:v>
      </x:c>
      <x:c r="B20" s="24" t="str">
        <x:v>Public estimate snapshot</x:v>
      </x:c>
      <x:c r="C20" s="24" t="str">
        <x:v>https://www.marketwatch.com/investing/stock/lmat/analystestimates</x:v>
      </x:c>
      <x:c r="D20" s="24" t="str">
        <x:v>Retrieved 7 Sep 2026; statements retain their reporting dates. Estimates require fiscal and accounting matching.</x:v>
      </x:c>
    </x:row>
    <x:row r="21" ht="45" customHeight="1">
      <x:c r="A21" s="24" t="str">
        <x:v>WINA_MW</x:v>
      </x:c>
      <x:c r="B21" s="24" t="str">
        <x:v>Public estimate snapshot</x:v>
      </x:c>
      <x:c r="C21" s="24" t="str">
        <x:v>https://www.marketwatch.com/investing/stock/wina/analystestimates</x:v>
      </x:c>
      <x:c r="D21" s="24" t="str">
        <x:v>Retrieved 7 Sep 2026; statements retain their reporting dates. Estimates require fiscal and accounting matching.</x:v>
      </x:c>
    </x:row>
    <x:row r="22" ht="45" customHeight="1">
      <x:c r="A22" s="24" t="str">
        <x:v>NSSC_MW</x:v>
      </x:c>
      <x:c r="B22" s="24" t="str">
        <x:v>Public estimate snapshot</x:v>
      </x:c>
      <x:c r="C22" s="24" t="str">
        <x:v>https://www.marketwatch.com/investing/stock/nssc/analystestimates</x:v>
      </x:c>
      <x:c r="D22" s="24" t="str">
        <x:v>Retrieved 7 Sep 2026; statements retain their reporting dates. Estimates require fiscal and accounting matching.</x:v>
      </x:c>
    </x:row>
    <x:row r="23" ht="45" customHeight="1">
      <x:c r="A23" s="24" t="str">
        <x:v>APPF_MW</x:v>
      </x:c>
      <x:c r="B23" s="24" t="str">
        <x:v>Public estimate snapshot</x:v>
      </x:c>
      <x:c r="C23" s="24" t="str">
        <x:v>https://www.marketwatch.com/investing/stock/appf/analystestimates</x:v>
      </x:c>
      <x:c r="D23" s="24" t="str">
        <x:v>Retrieved 7 Sep 2026; statements retain their reporting dates. Estimates require fiscal and accounting matching.</x:v>
      </x:c>
    </x:row>
    <x:row r="24" ht="45" customHeight="1">
      <x:c r="A24" s="24" t="str">
        <x:v>MOD_MW</x:v>
      </x:c>
      <x:c r="B24" s="24" t="str">
        <x:v>Public estimate snapshot</x:v>
      </x:c>
      <x:c r="C24" s="24" t="str">
        <x:v>https://www.marketwatch.com/investing/stock/mod/analystestimates</x:v>
      </x:c>
      <x:c r="D24" s="24" t="str">
        <x:v>Retrieved 7 Sep 2026; statements retain their reporting dates. Estimates require fiscal and accounting matching.</x:v>
      </x:c>
    </x:row>
    <x:row r="25" ht="45" customHeight="1">
      <x:c r="A25" s="24" t="str">
        <x:v>POWL_MW</x:v>
      </x:c>
      <x:c r="B25" s="24" t="str">
        <x:v>Public estimate snapshot</x:v>
      </x:c>
      <x:c r="C25" s="24" t="str">
        <x:v>https://www.marketwatch.com/investing/stock/powl/analystestimates</x:v>
      </x:c>
      <x:c r="D25" s="24" t="str">
        <x:v>Retrieved 7 Sep 2026; statements retain their reporting dates. Estimates require fiscal and accounting matching.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52" hidden="0" customWidth="1"/>
    <x:col min="14" max="14" width="42" hidden="0" customWidth="1"/>
  </x:cols>
  <x:sheetData>
    <x:row r="1" ht="29" customHeight="1">
      <x:c r="A1" s="7" t="str">
        <x:v>PUBLIC MARKET EXPECTATIONS | fiscal-year and accounting-basis controls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</x:row>
    <x:row r="3" ht="40" customHeight="1">
      <x:c r="A3" s="52" t="str">
        <x:v>Ticker</x:v>
      </x:c>
      <x:c r="B3" s="52" t="str">
        <x:v>First fiscal year</x:v>
      </x:c>
      <x:c r="C3" s="52" t="str">
        <x:v>EPS</x:v>
      </x:c>
      <x:c r="D3" s="52" t="str">
        <x:v>Next fiscal year</x:v>
      </x:c>
      <x:c r="E3" s="52" t="str">
        <x:v>EPS</x:v>
      </x:c>
      <x:c r="F3" s="52" t="str">
        <x:v>Third FY</x:v>
      </x:c>
      <x:c r="G3" s="52" t="str">
        <x:v>EPS</x:v>
      </x:c>
      <x:c r="H3" s="52" t="str">
        <x:v>First: month ago</x:v>
      </x:c>
      <x:c r="I3" s="52" t="str">
        <x:v>Next: month ago</x:v>
      </x:c>
      <x:c r="J3" s="52" t="str">
        <x:v>Next EPS growth</x:v>
      </x:c>
      <x:c r="K3" s="52" t="str">
        <x:v>Next EPS revision</x:v>
      </x:c>
      <x:c r="L3" s="52" t="str">
        <x:v>Quote / next EPS</x:v>
      </x:c>
      <x:c r="M3" s="52" t="str">
        <x:v>Critical limitation</x:v>
      </x:c>
      <x:c r="N3" s="52" t="str">
        <x:v>Source</x:v>
      </x:c>
    </x:row>
    <x:row r="4" ht="85" customHeight="1">
      <x:c r="A4" s="24" t="str">
        <x:v>LMAT</x:v>
      </x:c>
      <x:c r="B4" s="24" t="str">
        <x:v>FY2026 Dec</x:v>
      </x:c>
      <x:c r="C4" s="24" t="n">
        <x:v>2.87</x:v>
      </x:c>
      <x:c r="D4" s="24" t="str">
        <x:v>FY2027</x:v>
      </x:c>
      <x:c r="E4" s="24" t="n">
        <x:v>3.18</x:v>
      </x:c>
      <x:c r="F4" s="24" t="str">
        <x:v>FY2028</x:v>
      </x:c>
      <x:c r="G4" s="24" t="n">
        <x:v>3.46</x:v>
      </x:c>
      <x:c r="H4" s="24" t="n">
        <x:v>3</x:v>
      </x:c>
      <x:c r="I4" s="24" t="n">
        <x:v>3.26</x:v>
      </x:c>
      <x:c r="J4" s="54" t="n">
        <x:f>E4/C4-1</x:f>
        <x:v>0.10801393728222997</x:v>
      </x:c>
      <x:c r="K4" s="54" t="n">
        <x:f>E4/I4-1</x:f>
        <x:v>-0.024539877300613355</x:v>
      </x:c>
      <x:c r="L4" s="56" t="n">
        <x:f>'Inputs'!$B$5/E4</x:f>
        <x:v>25.367924528301884</x:v>
      </x:c>
      <x:c r="M4" s="24" t="str">
        <x:v>Quote subpanel stale; actual model quote from finance tool. Alternate provider FY26 $2.88.</x:v>
      </x:c>
      <x:c r="N4" s="24" t="str">
        <x:v>https://www.marketwatch.com/investing/stock/lmat/analystestimates</x:v>
      </x:c>
    </x:row>
    <x:row r="5" ht="85" customHeight="1">
      <x:c r="A5" s="24" t="str">
        <x:v>WINA</x:v>
      </x:c>
      <x:c r="B5" s="24" t="str">
        <x:v>FY2026 Dec</x:v>
      </x:c>
      <x:c r="C5" s="24" t="n">
        <x:v>11.37</x:v>
      </x:c>
      <x:c r="D5" s="24" t="str">
        <x:v>FY2027</x:v>
      </x:c>
      <x:c r="E5" s="24" t="n">
        <x:v>12.49</x:v>
      </x:c>
      <x:c r="F5" s="24" t="str"/>
      <x:c r="G5" s="24"/>
      <x:c r="H5" s="24" t="n">
        <x:v>11.37</x:v>
      </x:c>
      <x:c r="I5" s="24" t="n">
        <x:v>12.49</x:v>
      </x:c>
      <x:c r="J5" s="54" t="n">
        <x:f>E5/C5-1</x:f>
        <x:v>0.09850483729111703</x:v>
      </x:c>
      <x:c r="K5" s="54" t="n">
        <x:f>E5/I5-1</x:f>
        <x:v>0</x:v>
      </x:c>
      <x:c r="L5" s="56" t="n">
        <x:f>'Inputs'!$C$5/E5</x:f>
        <x:v>25.473979183346678</x:v>
      </x:c>
      <x:c r="M5" s="24" t="str">
        <x:v>One analyst: reference estimate, not a broad consensus. New pass-through fees distort revenue comparisons.</x:v>
      </x:c>
      <x:c r="N5" s="24" t="str">
        <x:v>https://www.marketwatch.com/investing/stock/wina/analystestimates</x:v>
      </x:c>
    </x:row>
    <x:row r="6" ht="85" customHeight="1">
      <x:c r="A6" s="24" t="str">
        <x:v>NSSC</x:v>
      </x:c>
      <x:c r="B6" s="24" t="str">
        <x:v>FY2027 June</x:v>
      </x:c>
      <x:c r="C6" s="24" t="n">
        <x:v>1.65</x:v>
      </x:c>
      <x:c r="D6" s="24" t="str">
        <x:v>FY2028</x:v>
      </x:c>
      <x:c r="E6" s="24" t="n">
        <x:v>1.83</x:v>
      </x:c>
      <x:c r="F6" s="24" t="str"/>
      <x:c r="G6" s="24"/>
      <x:c r="H6" s="24" t="n">
        <x:v>1.64</x:v>
      </x:c>
      <x:c r="I6" s="24"/>
      <x:c r="J6" s="54" t="n">
        <x:f>E6/C6-1</x:f>
        <x:v>0.10909090909090913</x:v>
      </x:c>
      <x:c r="K6" s="54" t="str">
        <x:f>""</x:f>
      </x:c>
      <x:c r="L6" s="56" t="n">
        <x:f>'Inputs'!$D$5/E6</x:f>
        <x:v>20.224043715846992</x:v>
      </x:c>
      <x:c r="M6" s="24" t="str">
        <x:v>Alternate source FY27 EPS $1.62 and revenue $219.1m. Normalize litigation, tariff refunds and taxes.</x:v>
      </x:c>
      <x:c r="N6" s="24" t="str">
        <x:v>https://www.marketwatch.com/investing/stock/nssc/analystestimates</x:v>
      </x:c>
    </x:row>
    <x:row r="7" ht="85" customHeight="1">
      <x:c r="A7" s="24" t="str">
        <x:v>APPF</x:v>
      </x:c>
      <x:c r="B7" s="24" t="str">
        <x:v>FY2026 Dec</x:v>
      </x:c>
      <x:c r="C7" s="24" t="n">
        <x:v>6.9</x:v>
      </x:c>
      <x:c r="D7" s="24" t="str">
        <x:v>FY2027</x:v>
      </x:c>
      <x:c r="E7" s="24" t="n">
        <x:v>8.47</x:v>
      </x:c>
      <x:c r="F7" s="24" t="str">
        <x:v>FY2028</x:v>
      </x:c>
      <x:c r="G7" s="24" t="n">
        <x:v>10.9</x:v>
      </x:c>
      <x:c r="H7" s="24" t="n">
        <x:v>6.9</x:v>
      </x:c>
      <x:c r="I7" s="24" t="n">
        <x:v>8.42</x:v>
      </x:c>
      <x:c r="J7" s="54" t="n">
        <x:f>E7/C7-1</x:f>
        <x:v>0.22753623188405792</x:v>
      </x:c>
      <x:c r="K7" s="54" t="n">
        <x:f>E7/I7-1</x:f>
        <x:v>0.005938242280285166</x:v>
      </x:c>
      <x:c r="L7" s="56" t="n">
        <x:f>'Inputs'!$E$5/E7</x:f>
        <x:v>25.298701298701296</x:v>
      </x:c>
      <x:c r="M7" s="24" t="str">
        <x:v>Adjusted EPS is not after-SBC owner cash. Reconcile fiscal period, adjustments and shares.</x:v>
      </x:c>
      <x:c r="N7" s="24" t="str">
        <x:v>https://www.marketwatch.com/investing/stock/appf/analystestimates</x:v>
      </x:c>
    </x:row>
    <x:row r="8" ht="85" customHeight="1">
      <x:c r="A8" s="24" t="str">
        <x:v>MOD</x:v>
      </x:c>
      <x:c r="B8" s="24" t="str">
        <x:v>FY2027 Mar</x:v>
      </x:c>
      <x:c r="C8" s="24" t="n">
        <x:v>7.51</x:v>
      </x:c>
      <x:c r="D8" s="24" t="str">
        <x:v>FY2028</x:v>
      </x:c>
      <x:c r="E8" s="24" t="n">
        <x:v>10.93</x:v>
      </x:c>
      <x:c r="F8" s="24" t="str">
        <x:v>FY2029</x:v>
      </x:c>
      <x:c r="G8" s="24" t="n">
        <x:v>15.51</x:v>
      </x:c>
      <x:c r="H8" s="24" t="n">
        <x:v>7.64</x:v>
      </x:c>
      <x:c r="I8" s="24" t="n">
        <x:v>11.18</x:v>
      </x:c>
      <x:c r="J8" s="54" t="n">
        <x:f>E8/C8-1</x:f>
        <x:v>0.45539280958721706</x:v>
      </x:c>
      <x:c r="K8" s="54" t="n">
        <x:f>E8/I8-1</x:f>
        <x:v>-0.022361359570661876</x:v>
      </x:c>
      <x:c r="L8" s="56" t="n">
        <x:f>'Inputs'!$F$5/E8</x:f>
        <x:v>17.809698078682526</x:v>
      </x:c>
      <x:c r="M8" s="24" t="str">
        <x:v>Separation perimeter unresolved; retained-only DCF cannot be compared directly with consolidated EPS.</x:v>
      </x:c>
      <x:c r="N8" s="24" t="str">
        <x:v>https://www.marketwatch.com/investing/stock/mod/analystestimates</x:v>
      </x:c>
    </x:row>
    <x:row r="9" ht="85" customHeight="1">
      <x:c r="A9" s="24" t="str">
        <x:v>POWL</x:v>
      </x:c>
      <x:c r="B9" s="24" t="str">
        <x:v>FY2026 Sep</x:v>
      </x:c>
      <x:c r="C9" s="24" t="n">
        <x:v>5.38</x:v>
      </x:c>
      <x:c r="D9" s="24" t="str">
        <x:v>FY2027</x:v>
      </x:c>
      <x:c r="E9" s="24" t="n">
        <x:v>6.88</x:v>
      </x:c>
      <x:c r="F9" s="24" t="str">
        <x:v>FY2028</x:v>
      </x:c>
      <x:c r="G9" s="24" t="n">
        <x:v>8.25</x:v>
      </x:c>
      <x:c r="H9" s="24" t="n">
        <x:v>5.4</x:v>
      </x:c>
      <x:c r="I9" s="24" t="n">
        <x:v>6.58</x:v>
      </x:c>
      <x:c r="J9" s="54" t="n">
        <x:f>E9/C9-1</x:f>
        <x:v>0.278810408921933</x:v>
      </x:c>
      <x:c r="K9" s="54" t="n">
        <x:f>E9/I9-1</x:f>
        <x:v>0.045592705167173175</x:v>
      </x:c>
      <x:c r="L9" s="56" t="n">
        <x:f>'Inputs'!$G$5/E9</x:f>
        <x:v>26.3328488372093</x:v>
      </x:c>
      <x:c r="M9" s="24" t="str">
        <x:v>Split-adjusted estimate; June-to-June backlog is not the Oct-to-Sep fiscal year. Alternate FY26 estimate $5.37.</x:v>
      </x:c>
      <x:c r="N9" s="24" t="str">
        <x:v>https://www.marketwatch.com/investing/stock/powl/analystestimates</x:v>
      </x:c>
    </x:row>
    <x:row r="12" ht="29" customHeight="1">
      <x:c r="A12" s="27" t="str">
        <x:v>ANNUAL EPS EQUIVALENTS | cross-checks, not fiscal-matched earnings-surprise forecasts</x:v>
      </x:c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</x:row>
    <x:row r="14">
      <x:c r="A14" t="str">
        <x:v>Ticker</x:v>
      </x:c>
      <x:c r="B14" t="str">
        <x:v>Year 1 EBIT</x:v>
      </x:c>
      <x:c r="C14" t="str">
        <x:v>Assumed interest income</x:v>
      </x:c>
      <x:c r="D14" t="str">
        <x:v>Tax</x:v>
      </x:c>
      <x:c r="E14" t="str">
        <x:v>Diluted claims</x:v>
      </x:c>
      <x:c r="F14" t="str">
        <x:v>EPS equivalent</x:v>
      </x:c>
      <x:c r="G14" t="str">
        <x:v>Public FY27 EPS</x:v>
      </x:c>
    </x:row>
    <x:row r="15" ht="45" customHeight="1">
      <x:c r="A15" s="24" t="str">
        <x:v>NSSC</x:v>
      </x:c>
      <x:c r="B15" s="24" t="n">
        <x:f>'NSSC Model'!B75</x:f>
        <x:v>69.37523883999998</x:v>
      </x:c>
      <x:c r="C15" s="24" t="n">
        <x:v>3.486</x:v>
      </x:c>
      <x:c r="D15" s="54" t="n">
        <x:f>'Assumptions'!F9</x:f>
        <x:v>0.18</x:v>
      </x:c>
      <x:c r="E15" s="24" t="n">
        <x:f>'Inputs'!$D$8</x:f>
        <x:v>35.891</x:v>
      </x:c>
      <x:c r="F15" s="24" t="n">
        <x:f>(B15+C15)*(1-D15)/E15</x:f>
        <x:v>1.6646573193502547</x:v>
      </x:c>
      <x:c r="G15" s="24" t="n">
        <x:v>1.65</x:v>
      </x:c>
      <x:c r="H15" s="24" t="str">
        <x:v>Not a demonstrated beat: period and adjusted/GAAP definitions still need matching. Interest income is a sensitivity assumption, not company guidance.</x:v>
      </x:c>
      <x:c r="I15" s="24"/>
      <x:c r="J15" s="24"/>
      <x:c r="K15" s="24"/>
      <x:c r="L15" s="24"/>
      <x:c r="M15" s="24"/>
      <x:c r="N15" s="24"/>
    </x:row>
    <x:row r="16" ht="45" customHeight="1">
      <x:c r="A16" s="24" t="str">
        <x:v>POWL</x:v>
      </x:c>
      <x:c r="B16" s="24" t="n">
        <x:f>'POWL Model'!B75</x:f>
        <x:v>315</x:v>
      </x:c>
      <x:c r="C16" s="24" t="n">
        <x:v>10</x:v>
      </x:c>
      <x:c r="D16" s="54" t="n">
        <x:f>'Assumptions'!F18</x:f>
        <x:v>0.24</x:v>
      </x:c>
      <x:c r="E16" s="24" t="n">
        <x:f>'Inputs'!$G$8</x:f>
        <x:v>36.604</x:v>
      </x:c>
      <x:c r="F16" s="24" t="n">
        <x:f>(B16+C16)*(1-D16)/E16</x:f>
        <x:v>6.747896404764507</x:v>
      </x:c>
      <x:c r="G16" s="24" t="n">
        <x:v>6.88</x:v>
      </x:c>
      <x:c r="H16" s="24" t="str">
        <x:v>Not a demonstrated beat: period and adjusted/GAAP definitions still need matching. Interest income is a sensitivity assumption, not company guidance.</x:v>
      </x:c>
      <x:c r="I16" s="24"/>
      <x:c r="J16" s="24"/>
      <x:c r="K16" s="24"/>
      <x:c r="L16" s="24"/>
      <x:c r="M16" s="24"/>
      <x:c r="N16" s="24"/>
    </x:row>
  </x:sheetData>
  <x:mergeCells>
    <x:mergeCell ref="A1:N1"/>
    <x:mergeCell ref="A12:N12"/>
    <x:mergeCell ref="H15:N15"/>
    <x:mergeCell ref="H16:N16"/>
  </x:mergeCells>
  <x:pageMargins left="0.7" right="0.7" top="0.75" bottom="0.75" header="0.3" footer="0.3"/>
  <x:legacyDrawing xmlns:r="http://schemas.openxmlformats.org/officeDocument/2006/relationships" r:id="Rb336e28f6dcf4282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  <x:col min="62" max="62" width="12" hidden="0" customWidth="1"/>
    <x:col min="63" max="63" width="12" hidden="0" customWidth="1"/>
    <x:col min="64" max="64" width="12" hidden="0" customWidth="1"/>
    <x:col min="65" max="65" width="12" hidden="0" customWidth="1"/>
    <x:col min="66" max="66" width="12" hidden="0" customWidth="1"/>
    <x:col min="67" max="67" width="12" hidden="0" customWidth="1"/>
    <x:col min="68" max="68" width="12" hidden="0" customWidth="1"/>
  </x:cols>
  <x:sheetData>
    <x:row r="1" ht="42" customHeight="1">
      <x:c r="A1" s="18" t="str">
        <x:v>Ticker</x:v>
      </x:c>
      <x:c r="B1" s="18" t="str">
        <x:v>Trial growth</x:v>
      </x:c>
      <x:c r="C1" s="18" t="str">
        <x:v>Value / share</x:v>
      </x:c>
      <x:c r="D1" s="18" t="str">
        <x:v>Value vs quote</x:v>
      </x:c>
      <x:c r="E1" s="18" t="str">
        <x:v>Primary revenue Y1</x:v>
      </x:c>
      <x:c r="F1" s="18" t="str">
        <x:v>Primary revenue Y2</x:v>
      </x:c>
      <x:c r="G1" s="18" t="str">
        <x:v>Primary revenue Y3</x:v>
      </x:c>
      <x:c r="H1" s="18" t="str">
        <x:v>Primary revenue Y4</x:v>
      </x:c>
      <x:c r="I1" s="18" t="str">
        <x:v>Primary revenue Y5</x:v>
      </x:c>
      <x:c r="J1" s="18" t="str">
        <x:v>Primary revenue Y6</x:v>
      </x:c>
      <x:c r="K1" s="18" t="str">
        <x:v>Primary revenue Y7</x:v>
      </x:c>
      <x:c r="L1" s="18" t="str">
        <x:v>Primary revenue Y8</x:v>
      </x:c>
      <x:c r="M1" s="18" t="str">
        <x:v>Primary revenue Y9</x:v>
      </x:c>
      <x:c r="N1" s="18" t="str">
        <x:v>Primary revenue Y10</x:v>
      </x:c>
      <x:c r="O1" s="18" t="str">
        <x:v>Secondary revenue Y1</x:v>
      </x:c>
      <x:c r="P1" s="18" t="str">
        <x:v>Secondary revenue Y2</x:v>
      </x:c>
      <x:c r="Q1" s="18" t="str">
        <x:v>Secondary revenue Y3</x:v>
      </x:c>
      <x:c r="R1" s="18" t="str">
        <x:v>Secondary revenue Y4</x:v>
      </x:c>
      <x:c r="S1" s="18" t="str">
        <x:v>Secondary revenue Y5</x:v>
      </x:c>
      <x:c r="T1" s="18" t="str">
        <x:v>Secondary revenue Y6</x:v>
      </x:c>
      <x:c r="U1" s="18" t="str">
        <x:v>Secondary revenue Y7</x:v>
      </x:c>
      <x:c r="V1" s="18" t="str">
        <x:v>Secondary revenue Y8</x:v>
      </x:c>
      <x:c r="W1" s="18" t="str">
        <x:v>Secondary revenue Y9</x:v>
      </x:c>
      <x:c r="X1" s="18" t="str">
        <x:v>Secondary revenue Y10</x:v>
      </x:c>
      <x:c r="Y1" s="18" t="str">
        <x:v>EBIT Y1</x:v>
      </x:c>
      <x:c r="Z1" s="18" t="str">
        <x:v>EBIT Y2</x:v>
      </x:c>
      <x:c r="AA1" s="18" t="str">
        <x:v>EBIT Y3</x:v>
      </x:c>
      <x:c r="AB1" s="18" t="str">
        <x:v>EBIT Y4</x:v>
      </x:c>
      <x:c r="AC1" s="18" t="str">
        <x:v>EBIT Y5</x:v>
      </x:c>
      <x:c r="AD1" s="18" t="str">
        <x:v>EBIT Y6</x:v>
      </x:c>
      <x:c r="AE1" s="18" t="str">
        <x:v>EBIT Y7</x:v>
      </x:c>
      <x:c r="AF1" s="18" t="str">
        <x:v>EBIT Y8</x:v>
      </x:c>
      <x:c r="AG1" s="18" t="str">
        <x:v>EBIT Y9</x:v>
      </x:c>
      <x:c r="AH1" s="18" t="str">
        <x:v>EBIT Y10</x:v>
      </x:c>
      <x:c r="AI1" s="18" t="str">
        <x:v>FCFF Y1</x:v>
      </x:c>
      <x:c r="AJ1" s="18" t="str">
        <x:v>FCFF Y2</x:v>
      </x:c>
      <x:c r="AK1" s="18" t="str">
        <x:v>FCFF Y3</x:v>
      </x:c>
      <x:c r="AL1" s="18" t="str">
        <x:v>FCFF Y4</x:v>
      </x:c>
      <x:c r="AM1" s="18" t="str">
        <x:v>FCFF Y5</x:v>
      </x:c>
      <x:c r="AN1" s="18" t="str">
        <x:v>FCFF Y6</x:v>
      </x:c>
      <x:c r="AO1" s="18" t="str">
        <x:v>FCFF Y7</x:v>
      </x:c>
      <x:c r="AP1" s="18" t="str">
        <x:v>FCFF Y8</x:v>
      </x:c>
      <x:c r="AQ1" s="18" t="str">
        <x:v>FCFF Y9</x:v>
      </x:c>
      <x:c r="AR1" s="18" t="str">
        <x:v>FCFF Y10</x:v>
      </x:c>
      <x:c r="AS1" s="18" t="str">
        <x:v>Total revenue Y1</x:v>
      </x:c>
      <x:c r="AT1" s="18" t="str">
        <x:v>Total revenue Y2</x:v>
      </x:c>
      <x:c r="AU1" s="18" t="str">
        <x:v>Total revenue Y3</x:v>
      </x:c>
      <x:c r="AV1" s="18" t="str">
        <x:v>Total revenue Y4</x:v>
      </x:c>
      <x:c r="AW1" s="18" t="str">
        <x:v>Total revenue Y5</x:v>
      </x:c>
      <x:c r="AX1" s="18" t="str">
        <x:v>Total revenue Y6</x:v>
      </x:c>
      <x:c r="AY1" s="18" t="str">
        <x:v>Total revenue Y7</x:v>
      </x:c>
      <x:c r="AZ1" s="18" t="str">
        <x:v>Total revenue Y8</x:v>
      </x:c>
      <x:c r="BA1" s="18" t="str">
        <x:v>Total revenue Y9</x:v>
      </x:c>
      <x:c r="BB1" s="18" t="str">
        <x:v>Total revenue Y10</x:v>
      </x:c>
      <x:c r="BC1" s="18" t="str">
        <x:v>Total growth Y1</x:v>
      </x:c>
      <x:c r="BD1" s="18" t="str">
        <x:v>Total growth Y2</x:v>
      </x:c>
      <x:c r="BE1" s="18" t="str">
        <x:v>Total growth Y3</x:v>
      </x:c>
      <x:c r="BF1" s="18" t="str">
        <x:v>Total growth Y4</x:v>
      </x:c>
      <x:c r="BG1" s="18" t="str">
        <x:v>Total growth Y5</x:v>
      </x:c>
      <x:c r="BH1" s="18" t="str">
        <x:v>Total growth Y6</x:v>
      </x:c>
      <x:c r="BI1" s="18" t="str">
        <x:v>Total growth Y7</x:v>
      </x:c>
      <x:c r="BJ1" s="18" t="str">
        <x:v>Total growth Y8</x:v>
      </x:c>
      <x:c r="BK1" s="18" t="str">
        <x:v>Total growth Y9</x:v>
      </x:c>
      <x:c r="BL1" s="18" t="str">
        <x:v>Total growth Y10</x:v>
      </x:c>
      <x:c r="BM1" s="18" t="str">
        <x:v>Terminal FCFF</x:v>
      </x:c>
      <x:c r="BN1" s="18" t="str">
        <x:v>Operating EV</x:v>
      </x:c>
      <x:c r="BO1" s="18" t="str">
        <x:v>Bridge</x:v>
      </x:c>
      <x:c r="BP1" s="18" t="str">
        <x:v>Claims</x:v>
      </x:c>
    </x:row>
    <x:row r="2">
      <x:c r="A2" t="str">
        <x:v>LMAT</x:v>
      </x:c>
      <x:c r="B2" s="22" t="n">
        <x:v>0</x:v>
      </x:c>
      <x:c r="C2" s="42" t="n">
        <x:f>MIN((BN2+BO2)/BP2,(BN2+BO2+'Inputs'!$B$7)/(BP2+'Inputs'!$B$19))</x:f>
        <x:v>39.57651899025106</x:v>
      </x:c>
      <x:c r="D2" s="22" t="n">
        <x:f>C2/'Inputs'!$B$5-1</x:f>
        <x:v>-0.5094022686221513</x:v>
      </x:c>
      <x:c r="E2" t="n">
        <x:f>'Inputs'!$B$14*(1+$B2)^1</x:f>
        <x:v>276.3</x:v>
      </x:c>
      <x:c r="F2" t="n">
        <x:f>'Inputs'!$B$14*(1+$B2)^2</x:f>
        <x:v>276.3</x:v>
      </x:c>
      <x:c r="G2" t="n">
        <x:f>'Inputs'!$B$14*(1+$B2)^3</x:f>
        <x:v>276.3</x:v>
      </x:c>
      <x:c r="H2" t="n">
        <x:f>'Inputs'!$B$14*(1+$B2)^4</x:f>
        <x:v>276.3</x:v>
      </x:c>
      <x:c r="I2" t="n">
        <x:f>'Inputs'!$B$14*(1+$B2)^5</x:f>
        <x:v>276.3</x:v>
      </x:c>
      <x:c r="J2" t="n">
        <x:f>I2*(1+($BG2+('Assumptions'!$D$3-$BG2)*(6-5)/5))</x:f>
        <x:v>277.9578</x:v>
      </x:c>
      <x:c r="K2" t="n">
        <x:f>J2*(1+($BG2+('Assumptions'!$D$3-$BG2)*(7-5)/5))</x:f>
        <x:v>281.2932936</x:v>
      </x:c>
      <x:c r="L2" t="n">
        <x:f>K2*(1+($BG2+('Assumptions'!$D$3-$BG2)*(8-5)/5))</x:f>
        <x:v>286.3565728848</x:v>
      </x:c>
      <x:c r="M2" t="n">
        <x:f>L2*(1+($BG2+('Assumptions'!$D$3-$BG2)*(9-5)/5))</x:f>
        <x:v>293.22913063403524</x:v>
      </x:c>
      <x:c r="N2" t="n">
        <x:f>M2*(1+($BG2+('Assumptions'!$D$3-$BG2)*(10-5)/5))</x:f>
        <x:v>302.0260045530563</x:v>
      </x:c>
      <x:c r="O2" t="n">
        <x:f>0</x:f>
        <x:v>0</x:v>
      </x:c>
      <x:c r="P2" t="n">
        <x:f>0</x:f>
        <x:v>0</x:v>
      </x:c>
      <x:c r="Q2" t="n">
        <x:f>0</x:f>
        <x:v>0</x:v>
      </x:c>
      <x:c r="R2" t="n">
        <x:f>0</x:f>
        <x:v>0</x:v>
      </x:c>
      <x:c r="S2" t="n">
        <x:f>0</x:f>
        <x:v>0</x:v>
      </x:c>
      <x:c r="T2" t="n">
        <x:f>S2*(1+($BG2+('Assumptions'!$D$3-$BG2)*(6-5)/5))</x:f>
        <x:v>0</x:v>
      </x:c>
      <x:c r="U2" t="n">
        <x:f>T2*(1+($BG2+('Assumptions'!$D$3-$BG2)*(7-5)/5))</x:f>
        <x:v>0</x:v>
      </x:c>
      <x:c r="V2" t="n">
        <x:f>U2*(1+($BG2+('Assumptions'!$D$3-$BG2)*(8-5)/5))</x:f>
        <x:v>0</x:v>
      </x:c>
      <x:c r="W2" t="n">
        <x:f>V2*(1+($BG2+('Assumptions'!$D$3-$BG2)*(9-5)/5))</x:f>
        <x:v>0</x:v>
      </x:c>
      <x:c r="X2" t="n">
        <x:f>W2*(1+($BG2+('Assumptions'!$D$3-$BG2)*(10-5)/5))</x:f>
        <x:v>0</x:v>
      </x:c>
      <x:c r="Y2" t="n">
        <x:f>E2*'LMAT Model'!$B$62+O2*'LMAT Model'!$B$63+'LMAT Model'!$B$73+'LMAT Model'!$B$74</x:f>
        <x:v>77.364</x:v>
      </x:c>
      <x:c r="Z2" t="n">
        <x:f>F2*'LMAT Model'!$C$62+P2*'LMAT Model'!$C$63+'LMAT Model'!$C$73+'LMAT Model'!$C$74</x:f>
        <x:v>80.127</x:v>
      </x:c>
      <x:c r="AA2" t="n">
        <x:f>G2*'LMAT Model'!$D$62+Q2*'LMAT Model'!$D$63+'LMAT Model'!$D$73+'LMAT Model'!$D$74</x:f>
        <x:v>82.89</x:v>
      </x:c>
      <x:c r="AB2" t="n">
        <x:f>H2*'LMAT Model'!$E$62+R2*'LMAT Model'!$E$63+'LMAT Model'!$E$73+'LMAT Model'!$E$74</x:f>
        <x:v>84.2715</x:v>
      </x:c>
      <x:c r="AC2" t="n">
        <x:f>I2*'LMAT Model'!$F$62+S2*'LMAT Model'!$F$63+'LMAT Model'!$F$73+'LMAT Model'!$F$74</x:f>
        <x:v>85.653</x:v>
      </x:c>
      <x:c r="AD2" t="n">
        <x:f>AX2*$AC2/$AW2</x:f>
        <x:v>86.16691800000001</x:v>
      </x:c>
      <x:c r="AE2" t="n">
        <x:f>AY2*$AC2/$AW2</x:f>
        <x:v>87.20092101600001</x:v>
      </x:c>
      <x:c r="AF2" t="n">
        <x:f>AZ2*$AC2/$AW2</x:f>
        <x:v>88.770537594288</x:v>
      </x:c>
      <x:c r="AG2" t="n">
        <x:f>BA2*$AC2/$AW2</x:f>
        <x:v>90.90103049655093</x:v>
      </x:c>
      <x:c r="AH2" t="n">
        <x:f>BB2*$AC2/$AW2</x:f>
        <x:v>93.62806141144745</x:v>
      </x:c>
      <x:c r="AI2" t="n">
        <x:f>Y2*(1-'Assumptions'!$F$3)+AS2*'Assumptions'!$G$3-AS2*'LMAT Model'!$B$65-(AS2-'Inputs'!$B$14)*'Assumptions'!$H$3-'Assumptions'!$I$3</x:f>
        <x:v>54.41514</x:v>
      </x:c>
      <x:c r="AJ2" t="n">
        <x:f>Z2*(1-'Assumptions'!$F$3)+AT2*'Assumptions'!$G$3-AT2*'LMAT Model'!$C$65-(AT2-AS2)*'Assumptions'!$H$3-0</x:f>
        <x:v>59.51502</x:v>
      </x:c>
      <x:c r="AK2" t="n">
        <x:f>AA2*(1-'Assumptions'!$F$3)+AU2*'Assumptions'!$G$3-AU2*'LMAT Model'!$D$65-(AU2-AT2)*'Assumptions'!$H$3-0</x:f>
        <x:v>61.6149</x:v>
      </x:c>
      <x:c r="AL2" t="n">
        <x:f>AB2*(1-'Assumptions'!$F$3)+AV2*'Assumptions'!$G$3-AV2*'LMAT Model'!$E$65-(AV2-AU2)*'Assumptions'!$H$3-0</x:f>
        <x:v>62.664840000000005</x:v>
      </x:c>
      <x:c r="AM2" t="n">
        <x:f>AC2*(1-'Assumptions'!$F$3)+AW2*'Assumptions'!$G$3-AW2*'LMAT Model'!$F$65-(AW2-AV2)*'Assumptions'!$H$3-0</x:f>
        <x:v>63.71478000000001</x:v>
      </x:c>
      <x:c r="AN2" t="n">
        <x:f>AD2*(1-'Assumptions'!$F$3)+AX2*'Assumptions'!$G$3-AX2*'LMAT Model'!$G$65-(AX2-AW2)*'Assumptions'!$H$3-0</x:f>
        <x:v>63.71577468</x:v>
      </x:c>
      <x:c r="AO2" t="n">
        <x:f>AE2*(1-'Assumptions'!$F$3)+AY2*'Assumptions'!$G$3-AY2*'LMAT Model'!$H$65-(AY2-AX2)*'Assumptions'!$H$3-0</x:f>
        <x:v>64.09906997616002</x:v>
      </x:c>
      <x:c r="AP2" t="n">
        <x:f>AF2*(1-'Assumptions'!$F$3)+AZ2*'Assumptions'!$G$3-AZ2*'LMAT Model'!$I$65-(AZ2-AY2)*'Assumptions'!$H$3-0</x:f>
        <x:v>64.86927147173088</x:v>
      </x:c>
      <x:c r="AQ2" t="n">
        <x:f>AG2*(1-'Assumptions'!$F$3)+BA2*'Assumptions'!$G$3-BA2*'LMAT Model'!$J$65-(BA2-AZ2)*'Assumptions'!$H$3-0</x:f>
        <x:v>66.03794924188443</x:v>
      </x:c>
      <x:c r="AR2" t="n">
        <x:f>AH2*(1-'Assumptions'!$F$3)+BB2*'Assumptions'!$G$3-BB2*'LMAT Model'!$K$65-(BB2-BA2)*'Assumptions'!$H$3-0</x:f>
        <x:v>67.62391564855994</x:v>
      </x:c>
      <x:c r="AS2" t="n">
        <x:f>E2+O2</x:f>
        <x:v>276.3</x:v>
      </x:c>
      <x:c r="AT2" t="n">
        <x:f>F2+P2</x:f>
        <x:v>276.3</x:v>
      </x:c>
      <x:c r="AU2" t="n">
        <x:f>G2+Q2</x:f>
        <x:v>276.3</x:v>
      </x:c>
      <x:c r="AV2" t="n">
        <x:f>H2+R2</x:f>
        <x:v>276.3</x:v>
      </x:c>
      <x:c r="AW2" t="n">
        <x:f>I2+S2</x:f>
        <x:v>276.3</x:v>
      </x:c>
      <x:c r="AX2" t="n">
        <x:f>J2+T2</x:f>
        <x:v>277.9578</x:v>
      </x:c>
      <x:c r="AY2" t="n">
        <x:f>K2+U2</x:f>
        <x:v>281.2932936</x:v>
      </x:c>
      <x:c r="AZ2" t="n">
        <x:f>L2+V2</x:f>
        <x:v>286.3565728848</x:v>
      </x:c>
      <x:c r="BA2" t="n">
        <x:f>M2+W2</x:f>
        <x:v>293.22913063403524</x:v>
      </x:c>
      <x:c r="BB2" t="n">
        <x:f>N2+X2</x:f>
        <x:v>302.0260045530563</x:v>
      </x:c>
      <x:c r="BC2" t="n">
        <x:f>AS2/'Inputs'!$B$14-1</x:f>
        <x:v>0</x:v>
      </x:c>
      <x:c r="BD2" t="n">
        <x:f>AT2/AS2-1</x:f>
        <x:v>0</x:v>
      </x:c>
      <x:c r="BE2" t="n">
        <x:f>AU2/AT2-1</x:f>
        <x:v>0</x:v>
      </x:c>
      <x:c r="BF2" t="n">
        <x:f>AV2/AU2-1</x:f>
        <x:v>0</x:v>
      </x:c>
      <x:c r="BG2" t="n">
        <x:f>AW2/AV2-1</x:f>
        <x:v>0</x:v>
      </x:c>
      <x:c r="BH2" t="n">
        <x:f>AX2/AW2-1</x:f>
        <x:v>0.006000000000000005</x:v>
      </x:c>
      <x:c r="BI2" t="n">
        <x:f>AY2/AX2-1</x:f>
        <x:v>0.01200000000000001</x:v>
      </x:c>
      <x:c r="BJ2" t="n">
        <x:f>AZ2/AY2-1</x:f>
        <x:v>0.018000000000000016</x:v>
      </x:c>
      <x:c r="BK2" t="n">
        <x:f>BA2/AZ2-1</x:f>
        <x:v>0.02400000000000002</x:v>
      </x:c>
      <x:c r="BL2" t="n">
        <x:f>BB2/BA2-1</x:f>
        <x:v>0.030000000000000027</x:v>
      </x:c>
      <x:c r="BM2" t="n">
        <x:f>AH2*(1-'Assumptions'!$F$3)*(1+'Assumptions'!$D$3)*(1-'Assumptions'!$D$3/'Assumptions'!$E$3)</x:f>
        <x:v>64.49700089613535</x:v>
      </x:c>
      <x:c r="BN2" t="n">
        <x:f>SUMPRODUCT(AI2:AR2,'LMAT Model'!$B$83:$K$83)+BM2/('Assumptions'!$C$3-'Assumptions'!$D$3)*'LMAT Model'!$K$83</x:f>
        <x:v>735.7426704469166</x:v>
      </x:c>
      <x:c r="BO2" t="n">
        <x:f>'LMAT Model'!$B$94</x:f>
        <x:v>178</x:v>
      </x:c>
      <x:c r="BP2" t="n">
        <x:f>'Inputs'!$B$8</x:f>
        <x:v>23.088</x:v>
      </x:c>
    </x:row>
    <x:row r="3">
      <x:c r="A3" t="str">
        <x:v>LMAT</x:v>
      </x:c>
      <x:c r="B3" s="22" t="n">
        <x:v>0.01</x:v>
      </x:c>
      <x:c r="C3" s="42" t="n">
        <x:f>MIN((BN3+BO3)/BP3,(BN3+BO3+'Inputs'!$B$7)/(BP3+'Inputs'!$B$19))</x:f>
        <x:v>41.28189069343797</x:v>
      </x:c>
      <x:c r="D3" s="22" t="n">
        <x:f>C3/'Inputs'!$B$5-1</x:f>
        <x:v>-0.4882621706528081</x:v>
      </x:c>
      <x:c r="E3" t="n">
        <x:f>'Inputs'!$B$14*(1+$B3)^1</x:f>
        <x:v>279.063</x:v>
      </x:c>
      <x:c r="F3" t="n">
        <x:f>'Inputs'!$B$14*(1+$B3)^2</x:f>
        <x:v>281.85363</x:v>
      </x:c>
      <x:c r="G3" t="n">
        <x:f>'Inputs'!$B$14*(1+$B3)^3</x:f>
        <x:v>284.6721663</x:v>
      </x:c>
      <x:c r="H3" t="n">
        <x:f>'Inputs'!$B$14*(1+$B3)^4</x:f>
        <x:v>287.518887963</x:v>
      </x:c>
      <x:c r="I3" t="n">
        <x:f>'Inputs'!$B$14*(1+$B3)^5</x:f>
        <x:v>290.39407684263</x:v>
      </x:c>
      <x:c r="J3" t="n">
        <x:f>I3*(1+($BG3+('Assumptions'!$D$3-$BG3)*(6-5)/5))</x:f>
        <x:v>294.45959391842683</x:v>
      </x:c>
      <x:c r="K3" t="n">
        <x:f>J3*(1+($BG3+('Assumptions'!$D$3-$BG3)*(7-5)/5))</x:f>
        <x:v>299.75986660895853</x:v>
      </x:c>
      <x:c r="L3" t="n">
        <x:f>K3*(1+($BG3+('Assumptions'!$D$3-$BG3)*(8-5)/5))</x:f>
        <x:v>306.35458367435564</x:v>
      </x:c>
      <x:c r="M3" t="n">
        <x:f>L3*(1+($BG3+('Assumptions'!$D$3-$BG3)*(9-5)/5))</x:f>
        <x:v>314.3198028498889</x:v>
      </x:c>
      <x:c r="N3" t="n">
        <x:f>M3*(1+($BG3+('Assumptions'!$D$3-$BG3)*(10-5)/5))</x:f>
        <x:v>323.74939693538556</x:v>
      </x:c>
      <x:c r="O3" t="n">
        <x:f>0</x:f>
        <x:v>0</x:v>
      </x:c>
      <x:c r="P3" t="n">
        <x:f>0</x:f>
        <x:v>0</x:v>
      </x:c>
      <x:c r="Q3" t="n">
        <x:f>0</x:f>
        <x:v>0</x:v>
      </x:c>
      <x:c r="R3" t="n">
        <x:f>0</x:f>
        <x:v>0</x:v>
      </x:c>
      <x:c r="S3" t="n">
        <x:f>0</x:f>
        <x:v>0</x:v>
      </x:c>
      <x:c r="T3" t="n">
        <x:f>S3*(1+($BG3+('Assumptions'!$D$3-$BG3)*(6-5)/5))</x:f>
        <x:v>0</x:v>
      </x:c>
      <x:c r="U3" t="n">
        <x:f>T3*(1+($BG3+('Assumptions'!$D$3-$BG3)*(7-5)/5))</x:f>
        <x:v>0</x:v>
      </x:c>
      <x:c r="V3" t="n">
        <x:f>U3*(1+($BG3+('Assumptions'!$D$3-$BG3)*(8-5)/5))</x:f>
        <x:v>0</x:v>
      </x:c>
      <x:c r="W3" t="n">
        <x:f>V3*(1+($BG3+('Assumptions'!$D$3-$BG3)*(9-5)/5))</x:f>
        <x:v>0</x:v>
      </x:c>
      <x:c r="X3" t="n">
        <x:f>W3*(1+($BG3+('Assumptions'!$D$3-$BG3)*(10-5)/5))</x:f>
        <x:v>0</x:v>
      </x:c>
      <x:c r="Y3" t="n">
        <x:f>E3*'LMAT Model'!$B$62+O3*'LMAT Model'!$B$63+'LMAT Model'!$B$73+'LMAT Model'!$B$74</x:f>
        <x:v>78.13764</x:v>
      </x:c>
      <x:c r="Z3" t="n">
        <x:f>F3*'LMAT Model'!$C$62+P3*'LMAT Model'!$C$63+'LMAT Model'!$C$73+'LMAT Model'!$C$74</x:f>
        <x:v>81.7375527</x:v>
      </x:c>
      <x:c r="AA3" t="n">
        <x:f>G3*'LMAT Model'!$D$62+Q3*'LMAT Model'!$D$63+'LMAT Model'!$D$73+'LMAT Model'!$D$74</x:f>
        <x:v>85.40164989</x:v>
      </x:c>
      <x:c r="AB3" t="n">
        <x:f>H3*'LMAT Model'!$E$62+R3*'LMAT Model'!$E$63+'LMAT Model'!$E$73+'LMAT Model'!$E$74</x:f>
        <x:v>87.693260828715</x:v>
      </x:c>
      <x:c r="AC3" t="n">
        <x:f>I3*'LMAT Model'!$F$62+S3*'LMAT Model'!$F$63+'LMAT Model'!$F$73+'LMAT Model'!$F$74</x:f>
        <x:v>90.0221638212153</x:v>
      </x:c>
      <x:c r="AD3" t="n">
        <x:f>AX3*$AC3/$AW3</x:f>
        <x:v>91.28247411471231</x:v>
      </x:c>
      <x:c r="AE3" t="n">
        <x:f>AY3*$AC3/$AW3</x:f>
        <x:v>92.92555864877714</x:v>
      </x:c>
      <x:c r="AF3" t="n">
        <x:f>AZ3*$AC3/$AW3</x:f>
        <x:v>94.96992093905025</x:v>
      </x:c>
      <x:c r="AG3" t="n">
        <x:f>BA3*$AC3/$AW3</x:f>
        <x:v>97.43913888346556</x:v>
      </x:c>
      <x:c r="AH3" t="n">
        <x:f>BB3*$AC3/$AW3</x:f>
        <x:v>100.36231304996953</x:v>
      </x:c>
      <x:c r="AI3" t="n">
        <x:f>Y3*(1-'Assumptions'!$F$3)+AS3*'Assumptions'!$G$3-AS3*'LMAT Model'!$B$65-(AS3-'Inputs'!$B$14)*'Assumptions'!$H$3-'Assumptions'!$I$3</x:f>
        <x:v>54.3538014</x:v>
      </x:c>
      <x:c r="AJ3" t="n">
        <x:f>Z3*(1-'Assumptions'!$F$3)+AT3*'Assumptions'!$G$3-AT3*'LMAT Model'!$C$65-(AT3-AS3)*'Assumptions'!$H$3-0</x:f>
        <x:v>60.069427002</x:v>
      </x:c>
      <x:c r="AK3" t="n">
        <x:f>AA3*(1-'Assumptions'!$F$3)+AU3*'Assumptions'!$G$3-AU3*'LMAT Model'!$D$65-(AU3-AT3)*'Assumptions'!$H$3-0</x:f>
        <x:v>62.83362973589999</x:v>
      </x:c>
      <x:c r="AL3" t="n">
        <x:f>AB3*(1-'Assumptions'!$F$3)+AV3*'Assumptions'!$G$3-AV3*'LMAT Model'!$E$65-(AV3-AU3)*'Assumptions'!$H$3-0</x:f>
        <x:v>64.5545378075184</x:v>
      </x:c>
      <x:c r="AM3" t="n">
        <x:f>AC3*(1-'Assumptions'!$F$3)+AW3*'Assumptions'!$G$3-AW3*'LMAT Model'!$F$65-(AW3-AV3)*'Assumptions'!$H$3-0</x:f>
        <x:v>66.30358067759559</x:v>
      </x:c>
      <x:c r="AN3" t="n">
        <x:f>AD3*(1-'Assumptions'!$F$3)+AX3*'Assumptions'!$G$3-AX3*'LMAT Model'!$G$65-(AX3-AW3)*'Assumptions'!$H$3-0</x:f>
        <x:v>66.96731343015595</x:v>
      </x:c>
      <x:c r="AO3" t="n">
        <x:f>AE3*(1-'Assumptions'!$F$3)+AY3*'Assumptions'!$G$3-AY3*'LMAT Model'!$H$65-(AY3-AX3)*'Assumptions'!$H$3-0</x:f>
        <x:v>67.90556252120355</x:v>
      </x:c>
      <x:c r="AP3" t="n">
        <x:f>AF3*(1-'Assumptions'!$F$3)+AZ3*'Assumptions'!$G$3-AZ3*'LMAT Model'!$I$65-(AZ3-AY3)*'Assumptions'!$H$3-0</x:f>
        <x:v>69.12858207026507</x:v>
      </x:c>
      <x:c r="AQ3" t="n">
        <x:f>AG3*(1-'Assumptions'!$F$3)+BA3*'Assumptions'!$G$3-BA3*'LMAT Model'!$J$65-(BA3-AZ3)*'Assumptions'!$H$3-0</x:f>
        <x:v>70.65014612681172</x:v>
      </x:c>
      <x:c r="AR3" t="n">
        <x:f>AH3*(1-'Assumptions'!$F$3)+BB3*'Assumptions'!$G$3-BB3*'LMAT Model'!$K$65-(BB3-BA3)*'Assumptions'!$H$3-0</x:f>
        <x:v>72.48780429363569</x:v>
      </x:c>
      <x:c r="AS3" t="n">
        <x:f>E3+O3</x:f>
        <x:v>279.063</x:v>
      </x:c>
      <x:c r="AT3" t="n">
        <x:f>F3+P3</x:f>
        <x:v>281.85363</x:v>
      </x:c>
      <x:c r="AU3" t="n">
        <x:f>G3+Q3</x:f>
        <x:v>284.6721663</x:v>
      </x:c>
      <x:c r="AV3" t="n">
        <x:f>H3+R3</x:f>
        <x:v>287.518887963</x:v>
      </x:c>
      <x:c r="AW3" t="n">
        <x:f>I3+S3</x:f>
        <x:v>290.39407684263</x:v>
      </x:c>
      <x:c r="AX3" t="n">
        <x:f>J3+T3</x:f>
        <x:v>294.45959391842683</x:v>
      </x:c>
      <x:c r="AY3" t="n">
        <x:f>K3+U3</x:f>
        <x:v>299.75986660895853</x:v>
      </x:c>
      <x:c r="AZ3" t="n">
        <x:f>L3+V3</x:f>
        <x:v>306.35458367435564</x:v>
      </x:c>
      <x:c r="BA3" t="n">
        <x:f>M3+W3</x:f>
        <x:v>314.3198028498889</x:v>
      </x:c>
      <x:c r="BB3" t="n">
        <x:f>N3+X3</x:f>
        <x:v>323.74939693538556</x:v>
      </x:c>
      <x:c r="BC3" t="n">
        <x:f>AS3/'Inputs'!$B$14-1</x:f>
        <x:v>0.010000000000000009</x:v>
      </x:c>
      <x:c r="BD3" t="n">
        <x:f>AT3/AS3-1</x:f>
        <x:v>0.010000000000000009</x:v>
      </x:c>
      <x:c r="BE3" t="n">
        <x:f>AU3/AT3-1</x:f>
        <x:v>0.010000000000000009</x:v>
      </x:c>
      <x:c r="BF3" t="n">
        <x:f>AV3/AU3-1</x:f>
        <x:v>0.010000000000000009</x:v>
      </x:c>
      <x:c r="BG3" t="n">
        <x:f>AW3/AV3-1</x:f>
        <x:v>0.010000000000000009</x:v>
      </x:c>
      <x:c r="BH3" t="n">
        <x:f>AX3/AW3-1</x:f>
        <x:v>0.014000000000000012</x:v>
      </x:c>
      <x:c r="BI3" t="n">
        <x:f>AY3/AX3-1</x:f>
        <x:v>0.018000000000000016</x:v>
      </x:c>
      <x:c r="BJ3" t="n">
        <x:f>AZ3/AY3-1</x:f>
        <x:v>0.02200000000000002</x:v>
      </x:c>
      <x:c r="BK3" t="n">
        <x:f>BA3/AZ3-1</x:f>
        <x:v>0.026000000000000023</x:v>
      </x:c>
      <x:c r="BL3" t="n">
        <x:f>BB3/BA3-1</x:f>
        <x:v>0.030000000000000027</x:v>
      </x:c>
      <x:c r="BM3" t="n">
        <x:f>AH3*(1-'Assumptions'!$F$3)*(1+'Assumptions'!$D$3)*(1-'Assumptions'!$D$3/'Assumptions'!$E$3)</x:f>
        <x:v>69.13598441685421</x:v>
      </x:c>
      <x:c r="BN3" t="n">
        <x:f>SUMPRODUCT(AI3:AR3,'LMAT Model'!$B$83:$K$83)+BM3/('Assumptions'!$C$3-'Assumptions'!$D$3)*'LMAT Model'!$K$83</x:f>
        <x:v>775.116292330096</x:v>
      </x:c>
      <x:c r="BO3" t="n">
        <x:f>'LMAT Model'!$B$94</x:f>
        <x:v>178</x:v>
      </x:c>
      <x:c r="BP3" t="n">
        <x:f>'Inputs'!$B$8</x:f>
        <x:v>23.088</x:v>
      </x:c>
    </x:row>
    <x:row r="4">
      <x:c r="A4" t="str">
        <x:v>LMAT</x:v>
      </x:c>
      <x:c r="B4" s="22" t="n">
        <x:v>0.02</x:v>
      </x:c>
      <x:c r="C4" s="42" t="n">
        <x:f>MIN((BN4+BO4)/BP4,(BN4+BO4+'Inputs'!$B$7)/(BP4+'Inputs'!$B$19))</x:f>
        <x:v>43.08196714398611</x:v>
      </x:c>
      <x:c r="D4" s="22" t="n">
        <x:f>C4/'Inputs'!$B$5-1</x:f>
        <x:v>-0.46594809540118864</x:v>
      </x:c>
      <x:c r="E4" t="n">
        <x:f>'Inputs'!$B$14*(1+$B4)^1</x:f>
        <x:v>281.826</x:v>
      </x:c>
      <x:c r="F4" t="n">
        <x:f>'Inputs'!$B$14*(1+$B4)^2</x:f>
        <x:v>287.46252</x:v>
      </x:c>
      <x:c r="G4" t="n">
        <x:f>'Inputs'!$B$14*(1+$B4)^3</x:f>
        <x:v>293.2117704</x:v>
      </x:c>
      <x:c r="H4" t="n">
        <x:f>'Inputs'!$B$14*(1+$B4)^4</x:f>
        <x:v>299.076005808</x:v>
      </x:c>
      <x:c r="I4" t="n">
        <x:f>'Inputs'!$B$14*(1+$B4)^5</x:f>
        <x:v>305.05752592416</x:v>
      </x:c>
      <x:c r="J4" t="n">
        <x:f>I4*(1+($BG4+('Assumptions'!$D$3-$BG4)*(6-5)/5))</x:f>
        <x:v>311.76879149449155</x:v>
      </x:c>
      <x:c r="K4" t="n">
        <x:f>J4*(1+($BG4+('Assumptions'!$D$3-$BG4)*(7-5)/5))</x:f>
        <x:v>319.25124249035935</x:v>
      </x:c>
      <x:c r="L4" t="n">
        <x:f>K4*(1+($BG4+('Assumptions'!$D$3-$BG4)*(8-5)/5))</x:f>
        <x:v>327.5517747951087</x:v>
      </x:c>
      <x:c r="M4" t="n">
        <x:f>L4*(1+($BG4+('Assumptions'!$D$3-$BG4)*(9-5)/5))</x:f>
        <x:v>336.7232244893718</x:v>
      </x:c>
      <x:c r="N4" t="n">
        <x:f>M4*(1+($BG4+('Assumptions'!$D$3-$BG4)*(10-5)/5))</x:f>
        <x:v>346.82492122405296</x:v>
      </x:c>
      <x:c r="O4" t="n">
        <x:f>0</x:f>
        <x:v>0</x:v>
      </x:c>
      <x:c r="P4" t="n">
        <x:f>0</x:f>
        <x:v>0</x:v>
      </x:c>
      <x:c r="Q4" t="n">
        <x:f>0</x:f>
        <x:v>0</x:v>
      </x:c>
      <x:c r="R4" t="n">
        <x:f>0</x:f>
        <x:v>0</x:v>
      </x:c>
      <x:c r="S4" t="n">
        <x:f>0</x:f>
        <x:v>0</x:v>
      </x:c>
      <x:c r="T4" t="n">
        <x:f>S4*(1+($BG4+('Assumptions'!$D$3-$BG4)*(6-5)/5))</x:f>
        <x:v>0</x:v>
      </x:c>
      <x:c r="U4" t="n">
        <x:f>T4*(1+($BG4+('Assumptions'!$D$3-$BG4)*(7-5)/5))</x:f>
        <x:v>0</x:v>
      </x:c>
      <x:c r="V4" t="n">
        <x:f>U4*(1+($BG4+('Assumptions'!$D$3-$BG4)*(8-5)/5))</x:f>
        <x:v>0</x:v>
      </x:c>
      <x:c r="W4" t="n">
        <x:f>V4*(1+($BG4+('Assumptions'!$D$3-$BG4)*(9-5)/5))</x:f>
        <x:v>0</x:v>
      </x:c>
      <x:c r="X4" t="n">
        <x:f>W4*(1+($BG4+('Assumptions'!$D$3-$BG4)*(10-5)/5))</x:f>
        <x:v>0</x:v>
      </x:c>
      <x:c r="Y4" t="n">
        <x:f>E4*'LMAT Model'!$B$62+O4*'LMAT Model'!$B$63+'LMAT Model'!$B$73+'LMAT Model'!$B$74</x:f>
        <x:v>78.91128000000002</x:v>
      </x:c>
      <x:c r="Z4" t="n">
        <x:f>F4*'LMAT Model'!$C$62+P4*'LMAT Model'!$C$63+'LMAT Model'!$C$73+'LMAT Model'!$C$74</x:f>
        <x:v>83.36413079999998</x:v>
      </x:c>
      <x:c r="AA4" t="n">
        <x:f>G4*'LMAT Model'!$D$62+Q4*'LMAT Model'!$D$63+'LMAT Model'!$D$73+'LMAT Model'!$D$74</x:f>
        <x:v>87.96353111999998</x:v>
      </x:c>
      <x:c r="AB4" t="n">
        <x:f>H4*'LMAT Model'!$E$62+R4*'LMAT Model'!$E$63+'LMAT Model'!$E$73+'LMAT Model'!$E$74</x:f>
        <x:v>91.21818177144</x:v>
      </x:c>
      <x:c r="AC4" t="n">
        <x:f>I4*'LMAT Model'!$F$62+S4*'LMAT Model'!$F$63+'LMAT Model'!$F$73+'LMAT Model'!$F$74</x:f>
        <x:v>94.5678330364896</x:v>
      </x:c>
      <x:c r="AD4" t="n">
        <x:f>AX4*$AC4/$AW4</x:f>
        <x:v>96.64832536329237</x:v>
      </x:c>
      <x:c r="AE4" t="n">
        <x:f>AY4*$AC4/$AW4</x:f>
        <x:v>98.96788517201139</x:v>
      </x:c>
      <x:c r="AF4" t="n">
        <x:f>AZ4*$AC4/$AW4</x:f>
        <x:v>101.5410501864837</x:v>
      </x:c>
      <x:c r="AG4" t="n">
        <x:f>BA4*$AC4/$AW4</x:f>
        <x:v>104.38419959170525</x:v>
      </x:c>
      <x:c r="AH4" t="n">
        <x:f>BB4*$AC4/$AW4</x:f>
        <x:v>107.51572557945642</x:v>
      </x:c>
      <x:c r="AI4" t="n">
        <x:f>Y4*(1-'Assumptions'!$F$3)+AS4*'Assumptions'!$G$3-AS4*'LMAT Model'!$B$65-(AS4-'Inputs'!$B$14)*'Assumptions'!$H$3-'Assumptions'!$I$3</x:f>
        <x:v>54.29246280000001</x:v>
      </x:c>
      <x:c r="AJ4" t="n">
        <x:f>Z4*(1-'Assumptions'!$F$3)+AT4*'Assumptions'!$G$3-AT4*'LMAT Model'!$C$65-(AT4-AS4)*'Assumptions'!$H$3-0</x:f>
        <x:v>60.62302720799999</x:v>
      </x:c>
      <x:c r="AK4" t="n">
        <x:f>AA4*(1-'Assumptions'!$F$3)+AU4*'Assumptions'!$G$3-AU4*'LMAT Model'!$D$65-(AU4-AT4)*'Assumptions'!$H$3-0</x:f>
        <x:v>64.06389720719999</x:v>
      </x:c>
      <x:c r="AL4" t="n">
        <x:f>AB4*(1-'Assumptions'!$F$3)+AV4*'Assumptions'!$G$3-AV4*'LMAT Model'!$E$65-(AV4-AU4)*'Assumptions'!$H$3-0</x:f>
        <x:v>66.4816639734144</x:v>
      </x:c>
      <x:c r="AM4" t="n">
        <x:f>AC4*(1-'Assumptions'!$F$3)+AW4*'Assumptions'!$G$3-AW4*'LMAT Model'!$F$65-(AW4-AV4)*'Assumptions'!$H$3-0</x:f>
        <x:v>68.97051585139448</x:v>
      </x:c>
      <x:c r="AN4" t="n">
        <x:f>AD4*(1-'Assumptions'!$F$3)+AX4*'Assumptions'!$G$3-AX4*'LMAT Model'!$G$65-(AX4-AW4)*'Assumptions'!$H$3-0</x:f>
        <x:v>70.35029223745349</x:v>
      </x:c>
      <x:c r="AO4" t="n">
        <x:f>AE4*(1-'Assumptions'!$F$3)+AY4*'Assumptions'!$G$3-AY4*'LMAT Model'!$H$65-(AY4-AX4)*'Assumptions'!$H$3-0</x:f>
        <x:v>71.89837278922728</x:v>
      </x:c>
      <x:c r="AP4" t="n">
        <x:f>AF4*(1-'Assumptions'!$F$3)+AZ4*'Assumptions'!$G$3-AZ4*'LMAT Model'!$I$65-(AZ4-AY4)*'Assumptions'!$H$3-0</x:f>
        <x:v>73.62431683765972</x:v>
      </x:c>
      <x:c r="AQ4" t="n">
        <x:f>AG4*(1-'Assumptions'!$F$3)+BA4*'Assumptions'!$G$3-BA4*'LMAT Model'!$J$65-(BA4-AZ4)*'Assumptions'!$H$3-0</x:f>
        <x:v>75.53894213756864</x:v>
      </x:c>
      <x:c r="AR4" t="n">
        <x:f>AH4*(1-'Assumptions'!$F$3)+BB4*'Assumptions'!$G$3-BB4*'LMAT Model'!$K$65-(BB4-BA4)*'Assumptions'!$H$3-0</x:f>
        <x:v>77.65443658528994</x:v>
      </x:c>
      <x:c r="AS4" t="n">
        <x:f>E4+O4</x:f>
        <x:v>281.826</x:v>
      </x:c>
      <x:c r="AT4" t="n">
        <x:f>F4+P4</x:f>
        <x:v>287.46252</x:v>
      </x:c>
      <x:c r="AU4" t="n">
        <x:f>G4+Q4</x:f>
        <x:v>293.2117704</x:v>
      </x:c>
      <x:c r="AV4" t="n">
        <x:f>H4+R4</x:f>
        <x:v>299.076005808</x:v>
      </x:c>
      <x:c r="AW4" t="n">
        <x:f>I4+S4</x:f>
        <x:v>305.05752592416</x:v>
      </x:c>
      <x:c r="AX4" t="n">
        <x:f>J4+T4</x:f>
        <x:v>311.76879149449155</x:v>
      </x:c>
      <x:c r="AY4" t="n">
        <x:f>K4+U4</x:f>
        <x:v>319.25124249035935</x:v>
      </x:c>
      <x:c r="AZ4" t="n">
        <x:f>L4+V4</x:f>
        <x:v>327.5517747951087</x:v>
      </x:c>
      <x:c r="BA4" t="n">
        <x:f>M4+W4</x:f>
        <x:v>336.7232244893718</x:v>
      </x:c>
      <x:c r="BB4" t="n">
        <x:f>N4+X4</x:f>
        <x:v>346.82492122405296</x:v>
      </x:c>
      <x:c r="BC4" t="n">
        <x:f>AS4/'Inputs'!$B$14-1</x:f>
        <x:v>0.020000000000000018</x:v>
      </x:c>
      <x:c r="BD4" t="n">
        <x:f>AT4/AS4-1</x:f>
        <x:v>0.019999999999999796</x:v>
      </x:c>
      <x:c r="BE4" t="n">
        <x:f>AU4/AT4-1</x:f>
        <x:v>0.020000000000000018</x:v>
      </x:c>
      <x:c r="BF4" t="n">
        <x:f>AV4/AU4-1</x:f>
        <x:v>0.020000000000000018</x:v>
      </x:c>
      <x:c r="BG4" t="n">
        <x:f>AW4/AV4-1</x:f>
        <x:v>0.020000000000000018</x:v>
      </x:c>
      <x:c r="BH4" t="n">
        <x:f>AX4/AW4-1</x:f>
        <x:v>0.02200000000000002</x:v>
      </x:c>
      <x:c r="BI4" t="n">
        <x:f>AY4/AX4-1</x:f>
        <x:v>0.02400000000000002</x:v>
      </x:c>
      <x:c r="BJ4" t="n">
        <x:f>AZ4/AY4-1</x:f>
        <x:v>0.026000000000000023</x:v>
      </x:c>
      <x:c r="BK4" t="n">
        <x:f>BA4/AZ4-1</x:f>
        <x:v>0.028000000000000025</x:v>
      </x:c>
      <x:c r="BL4" t="n">
        <x:f>BB4/BA4-1</x:f>
        <x:v>0.030000000000000027</x:v>
      </x:c>
      <x:c r="BM4" t="n">
        <x:f>AH4*(1-'Assumptions'!$F$3)*(1+'Assumptions'!$D$3)*(1-'Assumptions'!$D$3/'Assumptions'!$E$3)</x:f>
        <x:v>74.06371278556668</x:v>
      </x:c>
      <x:c r="BN4" t="n">
        <x:f>SUMPRODUCT(AI4:AR4,'LMAT Model'!$B$83:$K$83)+BM4/('Assumptions'!$C$3-'Assumptions'!$D$3)*'LMAT Model'!$K$83</x:f>
        <x:v>816.6764574203514</x:v>
      </x:c>
      <x:c r="BO4" t="n">
        <x:f>'LMAT Model'!$B$94</x:f>
        <x:v>178</x:v>
      </x:c>
      <x:c r="BP4" t="n">
        <x:f>'Inputs'!$B$8</x:f>
        <x:v>23.088</x:v>
      </x:c>
    </x:row>
    <x:row r="5">
      <x:c r="A5" t="str">
        <x:v>LMAT</x:v>
      </x:c>
      <x:c r="B5" s="22" t="n">
        <x:v>0.03</x:v>
      </x:c>
      <x:c r="C5" s="42" t="n">
        <x:f>MIN((BN5+BO5)/BP5,(BN5+BO5+'Inputs'!$B$7)/(BP5+'Inputs'!$B$19))</x:f>
        <x:v>44.98144211906038</x:v>
      </x:c>
      <x:c r="D5" s="22" t="n">
        <x:f>C5/'Inputs'!$B$5-1</x:f>
        <x:v>-0.4424018579514022</x:v>
      </x:c>
      <x:c r="E5" t="n">
        <x:f>'Inputs'!$B$14*(1+$B5)^1</x:f>
        <x:v>284.589</x:v>
      </x:c>
      <x:c r="F5" t="n">
        <x:f>'Inputs'!$B$14*(1+$B5)^2</x:f>
        <x:v>293.12667</x:v>
      </x:c>
      <x:c r="G5" t="n">
        <x:f>'Inputs'!$B$14*(1+$B5)^3</x:f>
        <x:v>301.9204701</x:v>
      </x:c>
      <x:c r="H5" t="n">
        <x:f>'Inputs'!$B$14*(1+$B5)^4</x:f>
        <x:v>310.978084203</x:v>
      </x:c>
      <x:c r="I5" t="n">
        <x:f>'Inputs'!$B$14*(1+$B5)^5</x:f>
        <x:v>320.30742672908997</x:v>
      </x:c>
      <x:c r="J5" t="n">
        <x:f>I5*(1+($BG5+('Assumptions'!$D$3-$BG5)*(6-5)/5))</x:f>
        <x:v>329.9166495309627</x:v>
      </x:c>
      <x:c r="K5" t="n">
        <x:f>J5*(1+($BG5+('Assumptions'!$D$3-$BG5)*(7-5)/5))</x:f>
        <x:v>339.8141490168916</x:v>
      </x:c>
      <x:c r="L5" t="n">
        <x:f>K5*(1+($BG5+('Assumptions'!$D$3-$BG5)*(8-5)/5))</x:f>
        <x:v>350.00857348739834</x:v>
      </x:c>
      <x:c r="M5" t="n">
        <x:f>L5*(1+($BG5+('Assumptions'!$D$3-$BG5)*(9-5)/5))</x:f>
        <x:v>360.5088306920203</x:v>
      </x:c>
      <x:c r="N5" t="n">
        <x:f>M5*(1+($BG5+('Assumptions'!$D$3-$BG5)*(10-5)/5))</x:f>
        <x:v>371.3240956127809</x:v>
      </x:c>
      <x:c r="O5" t="n">
        <x:f>0</x:f>
        <x:v>0</x:v>
      </x:c>
      <x:c r="P5" t="n">
        <x:f>0</x:f>
        <x:v>0</x:v>
      </x:c>
      <x:c r="Q5" t="n">
        <x:f>0</x:f>
        <x:v>0</x:v>
      </x:c>
      <x:c r="R5" t="n">
        <x:f>0</x:f>
        <x:v>0</x:v>
      </x:c>
      <x:c r="S5" t="n">
        <x:f>0</x:f>
        <x:v>0</x:v>
      </x:c>
      <x:c r="T5" t="n">
        <x:f>S5*(1+($BG5+('Assumptions'!$D$3-$BG5)*(6-5)/5))</x:f>
        <x:v>0</x:v>
      </x:c>
      <x:c r="U5" t="n">
        <x:f>T5*(1+($BG5+('Assumptions'!$D$3-$BG5)*(7-5)/5))</x:f>
        <x:v>0</x:v>
      </x:c>
      <x:c r="V5" t="n">
        <x:f>U5*(1+($BG5+('Assumptions'!$D$3-$BG5)*(8-5)/5))</x:f>
        <x:v>0</x:v>
      </x:c>
      <x:c r="W5" t="n">
        <x:f>V5*(1+($BG5+('Assumptions'!$D$3-$BG5)*(9-5)/5))</x:f>
        <x:v>0</x:v>
      </x:c>
      <x:c r="X5" t="n">
        <x:f>W5*(1+($BG5+('Assumptions'!$D$3-$BG5)*(10-5)/5))</x:f>
        <x:v>0</x:v>
      </x:c>
      <x:c r="Y5" t="n">
        <x:f>E5*'LMAT Model'!$B$62+O5*'LMAT Model'!$B$63+'LMAT Model'!$B$73+'LMAT Model'!$B$74</x:f>
        <x:v>79.68492</x:v>
      </x:c>
      <x:c r="Z5" t="n">
        <x:f>F5*'LMAT Model'!$C$62+P5*'LMAT Model'!$C$63+'LMAT Model'!$C$73+'LMAT Model'!$C$74</x:f>
        <x:v>85.00673429999999</x:v>
      </x:c>
      <x:c r="AA5" t="n">
        <x:f>G5*'LMAT Model'!$D$62+Q5*'LMAT Model'!$D$63+'LMAT Model'!$D$73+'LMAT Model'!$D$74</x:f>
        <x:v>90.57614102999999</x:v>
      </x:c>
      <x:c r="AB5" t="n">
        <x:f>H5*'LMAT Model'!$E$62+R5*'LMAT Model'!$E$63+'LMAT Model'!$E$73+'LMAT Model'!$E$74</x:f>
        <x:v>94.848315681915</x:v>
      </x:c>
      <x:c r="AC5" t="n">
        <x:f>I5*'LMAT Model'!$F$62+S5*'LMAT Model'!$F$63+'LMAT Model'!$F$73+'LMAT Model'!$F$74</x:f>
        <x:v>99.29530228601789</x:v>
      </x:c>
      <x:c r="AD5" t="n">
        <x:f>AX5*$AC5/$AW5</x:f>
        <x:v>102.27416135459842</x:v>
      </x:c>
      <x:c r="AE5" t="n">
        <x:f>AY5*$AC5/$AW5</x:f>
        <x:v>105.34238619523639</x:v>
      </x:c>
      <x:c r="AF5" t="n">
        <x:f>AZ5*$AC5/$AW5</x:f>
        <x:v>108.50265778109348</x:v>
      </x:c>
      <x:c r="AG5" t="n">
        <x:f>BA5*$AC5/$AW5</x:f>
        <x:v>111.7577375145263</x:v>
      </x:c>
      <x:c r="AH5" t="n">
        <x:f>BB5*$AC5/$AW5</x:f>
        <x:v>115.11046963996209</x:v>
      </x:c>
      <x:c r="AI5" t="n">
        <x:f>Y5*(1-'Assumptions'!$F$3)+AS5*'Assumptions'!$G$3-AS5*'LMAT Model'!$B$65-(AS5-'Inputs'!$B$14)*'Assumptions'!$H$3-'Assumptions'!$I$3</x:f>
        <x:v>54.23112420000001</x:v>
      </x:c>
      <x:c r="AJ5" t="n">
        <x:f>Z5*(1-'Assumptions'!$F$3)+AT5*'Assumptions'!$G$3-AT5*'LMAT Model'!$C$65-(AT5-AS5)*'Assumptions'!$H$3-0</x:f>
        <x:v>61.175820618</x:v>
      </x:c>
      <x:c r="AK5" t="n">
        <x:f>AA5*(1-'Assumptions'!$F$3)+AU5*'Assumptions'!$G$3-AU5*'LMAT Model'!$D$65-(AU5-AT5)*'Assumptions'!$H$3-0</x:f>
        <x:v>65.30569080929999</x:v>
      </x:c>
      <x:c r="AL5" t="n">
        <x:f>AB5*(1-'Assumptions'!$F$3)+AV5*'Assumptions'!$G$3-AV5*'LMAT Model'!$E$65-(AV5-AU5)*'Assumptions'!$H$3-0</x:f>
        <x:v>68.44657825355041</x:v>
      </x:c>
      <x:c r="AM5" t="n">
        <x:f>AC5*(1-'Assumptions'!$F$3)+AW5*'Assumptions'!$G$3-AW5*'LMAT Model'!$F$65-(AW5-AV5)*'Assumptions'!$H$3-0</x:f>
        <x:v>71.71714382272745</x:v>
      </x:c>
      <x:c r="AN5" t="n">
        <x:f>AD5*(1-'Assumptions'!$F$3)+AX5*'Assumptions'!$G$3-AX5*'LMAT Model'!$G$65-(AX5-AW5)*'Assumptions'!$H$3-0</x:f>
        <x:v>73.86865813740926</x:v>
      </x:c>
      <x:c r="AO5" t="n">
        <x:f>AE5*(1-'Assumptions'!$F$3)+AY5*'Assumptions'!$G$3-AY5*'LMAT Model'!$H$65-(AY5-AX5)*'Assumptions'!$H$3-0</x:f>
        <x:v>76.08471788153155</x:v>
      </x:c>
      <x:c r="AP5" t="n">
        <x:f>AF5*(1-'Assumptions'!$F$3)+AZ5*'Assumptions'!$G$3-AZ5*'LMAT Model'!$I$65-(AZ5-AY5)*'Assumptions'!$H$3-0</x:f>
        <x:v>78.3672594179775</x:v>
      </x:c>
      <x:c r="AQ5" t="n">
        <x:f>AG5*(1-'Assumptions'!$F$3)+BA5*'Assumptions'!$G$3-BA5*'LMAT Model'!$J$65-(BA5-AZ5)*'Assumptions'!$H$3-0</x:f>
        <x:v>80.71827720051684</x:v>
      </x:c>
      <x:c r="AR5" t="n">
        <x:f>AH5*(1-'Assumptions'!$F$3)+BB5*'Assumptions'!$G$3-BB5*'LMAT Model'!$K$65-(BB5-BA5)*'Assumptions'!$H$3-0</x:f>
        <x:v>83.13982551653234</x:v>
      </x:c>
      <x:c r="AS5" t="n">
        <x:f>E5+O5</x:f>
        <x:v>284.589</x:v>
      </x:c>
      <x:c r="AT5" t="n">
        <x:f>F5+P5</x:f>
        <x:v>293.12667</x:v>
      </x:c>
      <x:c r="AU5" t="n">
        <x:f>G5+Q5</x:f>
        <x:v>301.9204701</x:v>
      </x:c>
      <x:c r="AV5" t="n">
        <x:f>H5+R5</x:f>
        <x:v>310.978084203</x:v>
      </x:c>
      <x:c r="AW5" t="n">
        <x:f>I5+S5</x:f>
        <x:v>320.30742672908997</x:v>
      </x:c>
      <x:c r="AX5" t="n">
        <x:f>J5+T5</x:f>
        <x:v>329.9166495309627</x:v>
      </x:c>
      <x:c r="AY5" t="n">
        <x:f>K5+U5</x:f>
        <x:v>339.8141490168916</x:v>
      </x:c>
      <x:c r="AZ5" t="n">
        <x:f>L5+V5</x:f>
        <x:v>350.00857348739834</x:v>
      </x:c>
      <x:c r="BA5" t="n">
        <x:f>M5+W5</x:f>
        <x:v>360.5088306920203</x:v>
      </x:c>
      <x:c r="BB5" t="n">
        <x:f>N5+X5</x:f>
        <x:v>371.3240956127809</x:v>
      </x:c>
      <x:c r="BC5" t="n">
        <x:f>AS5/'Inputs'!$B$14-1</x:f>
        <x:v>0.030000000000000027</x:v>
      </x:c>
      <x:c r="BD5" t="n">
        <x:f>AT5/AS5-1</x:f>
        <x:v>0.030000000000000027</x:v>
      </x:c>
      <x:c r="BE5" t="n">
        <x:f>AU5/AT5-1</x:f>
        <x:v>0.030000000000000027</x:v>
      </x:c>
      <x:c r="BF5" t="n">
        <x:f>AV5/AU5-1</x:f>
        <x:v>0.030000000000000027</x:v>
      </x:c>
      <x:c r="BG5" t="n">
        <x:f>AW5/AV5-1</x:f>
        <x:v>0.030000000000000027</x:v>
      </x:c>
      <x:c r="BH5" t="n">
        <x:f>AX5/AW5-1</x:f>
        <x:v>0.030000000000000027</x:v>
      </x:c>
      <x:c r="BI5" t="n">
        <x:f>AY5/AX5-1</x:f>
        <x:v>0.030000000000000027</x:v>
      </x:c>
      <x:c r="BJ5" t="n">
        <x:f>AZ5/AY5-1</x:f>
        <x:v>0.030000000000000027</x:v>
      </x:c>
      <x:c r="BK5" t="n">
        <x:f>BA5/AZ5-1</x:f>
        <x:v>0.030000000000000027</x:v>
      </x:c>
      <x:c r="BL5" t="n">
        <x:f>BB5/BA5-1</x:f>
        <x:v>0.030000000000000027</x:v>
      </x:c>
      <x:c r="BM5" t="n">
        <x:f>AH5*(1-'Assumptions'!$F$3)*(1+'Assumptions'!$D$3)*(1-'Assumptions'!$D$3/'Assumptions'!$E$3)</x:f>
        <x:v>79.29545855806285</x:v>
      </x:c>
      <x:c r="BN5" t="n">
        <x:f>SUMPRODUCT(AI5:AR5,'LMAT Model'!$B$83:$K$83)+BM5/('Assumptions'!$C$3-'Assumptions'!$D$3)*'LMAT Model'!$K$83</x:f>
        <x:v>860.5315356448662</x:v>
      </x:c>
      <x:c r="BO5" t="n">
        <x:f>'LMAT Model'!$B$94</x:f>
        <x:v>178</x:v>
      </x:c>
      <x:c r="BP5" t="n">
        <x:f>'Inputs'!$B$8</x:f>
        <x:v>23.088</x:v>
      </x:c>
    </x:row>
    <x:row r="6">
      <x:c r="A6" t="str">
        <x:v>LMAT</x:v>
      </x:c>
      <x:c r="B6" s="22" t="n">
        <x:v>0.04</x:v>
      </x:c>
      <x:c r="C6" s="42" t="n">
        <x:f>MIN((BN6+BO6)/BP6,(BN6+BO6+'Inputs'!$B$7)/(BP6+'Inputs'!$B$19))</x:f>
        <x:v>46.985206357218644</x:v>
      </x:c>
      <x:c r="D6" s="22" t="n">
        <x:f>C6/'Inputs'!$B$5-1</x:f>
        <x:v>-0.4175628318182888</x:v>
      </x:c>
      <x:c r="E6" t="n">
        <x:f>'Inputs'!$B$14*(1+$B6)^1</x:f>
        <x:v>287.35200000000003</x:v>
      </x:c>
      <x:c r="F6" t="n">
        <x:f>'Inputs'!$B$14*(1+$B6)^2</x:f>
        <x:v>298.84608000000003</x:v>
      </x:c>
      <x:c r="G6" t="n">
        <x:f>'Inputs'!$B$14*(1+$B6)^3</x:f>
        <x:v>310.7999232</x:v>
      </x:c>
      <x:c r="H6" t="n">
        <x:f>'Inputs'!$B$14*(1+$B6)^4</x:f>
        <x:v>323.23192012800007</x:v>
      </x:c>
      <x:c r="I6" t="n">
        <x:f>'Inputs'!$B$14*(1+$B6)^5</x:f>
        <x:v>336.1611969331201</x:v>
      </x:c>
      <x:c r="J6" t="n">
        <x:f>I6*(1+($BG6+('Assumptions'!$D$3-$BG6)*(6-5)/5))</x:f>
        <x:v>348.9353224165787</x:v>
      </x:c>
      <x:c r="K6" t="n">
        <x:f>J6*(1+($BG6+('Assumptions'!$D$3-$BG6)*(7-5)/5))</x:f>
        <x:v>361.49699402357555</x:v>
      </x:c>
      <x:c r="L6" t="n">
        <x:f>K6*(1+($BG6+('Assumptions'!$D$3-$BG6)*(8-5)/5))</x:f>
        <x:v>373.7878918203771</x:v>
      </x:c>
      <x:c r="M6" t="n">
        <x:f>L6*(1+($BG6+('Assumptions'!$D$3-$BG6)*(9-5)/5))</x:f>
        <x:v>385.7491043586292</x:v>
      </x:c>
      <x:c r="N6" t="n">
        <x:f>M6*(1+($BG6+('Assumptions'!$D$3-$BG6)*(10-5)/5))</x:f>
        <x:v>397.3215774893881</x:v>
      </x:c>
      <x:c r="O6" t="n">
        <x:f>0</x:f>
        <x:v>0</x:v>
      </x:c>
      <x:c r="P6" t="n">
        <x:f>0</x:f>
        <x:v>0</x:v>
      </x:c>
      <x:c r="Q6" t="n">
        <x:f>0</x:f>
        <x:v>0</x:v>
      </x:c>
      <x:c r="R6" t="n">
        <x:f>0</x:f>
        <x:v>0</x:v>
      </x:c>
      <x:c r="S6" t="n">
        <x:f>0</x:f>
        <x:v>0</x:v>
      </x:c>
      <x:c r="T6" t="n">
        <x:f>S6*(1+($BG6+('Assumptions'!$D$3-$BG6)*(6-5)/5))</x:f>
        <x:v>0</x:v>
      </x:c>
      <x:c r="U6" t="n">
        <x:f>T6*(1+($BG6+('Assumptions'!$D$3-$BG6)*(7-5)/5))</x:f>
        <x:v>0</x:v>
      </x:c>
      <x:c r="V6" t="n">
        <x:f>U6*(1+($BG6+('Assumptions'!$D$3-$BG6)*(8-5)/5))</x:f>
        <x:v>0</x:v>
      </x:c>
      <x:c r="W6" t="n">
        <x:f>V6*(1+($BG6+('Assumptions'!$D$3-$BG6)*(9-5)/5))</x:f>
        <x:v>0</x:v>
      </x:c>
      <x:c r="X6" t="n">
        <x:f>W6*(1+($BG6+('Assumptions'!$D$3-$BG6)*(10-5)/5))</x:f>
        <x:v>0</x:v>
      </x:c>
      <x:c r="Y6" t="n">
        <x:f>E6*'LMAT Model'!$B$62+O6*'LMAT Model'!$B$63+'LMAT Model'!$B$73+'LMAT Model'!$B$74</x:f>
        <x:v>80.45856000000002</x:v>
      </x:c>
      <x:c r="Z6" t="n">
        <x:f>F6*'LMAT Model'!$C$62+P6*'LMAT Model'!$C$63+'LMAT Model'!$C$73+'LMAT Model'!$C$74</x:f>
        <x:v>86.6653632</x:v>
      </x:c>
      <x:c r="AA6" t="n">
        <x:f>G6*'LMAT Model'!$D$62+Q6*'LMAT Model'!$D$63+'LMAT Model'!$D$73+'LMAT Model'!$D$74</x:f>
        <x:v>93.23997696</x:v>
      </x:c>
      <x:c r="AB6" t="n">
        <x:f>H6*'LMAT Model'!$E$62+R6*'LMAT Model'!$E$63+'LMAT Model'!$E$73+'LMAT Model'!$E$74</x:f>
        <x:v>98.58573563904002</x:v>
      </x:c>
      <x:c r="AC6" t="n">
        <x:f>I6*'LMAT Model'!$F$62+S6*'LMAT Model'!$F$63+'LMAT Model'!$F$73+'LMAT Model'!$F$74</x:f>
        <x:v>104.20997104926722</x:v>
      </x:c>
      <x:c r="AD6" t="n">
        <x:f>AX6*$AC6/$AW6</x:f>
        <x:v>108.1699499491394</x:v>
      </x:c>
      <x:c r="AE6" t="n">
        <x:f>AY6*$AC6/$AW6</x:f>
        <x:v>112.06406814730842</x:v>
      </x:c>
      <x:c r="AF6" t="n">
        <x:f>AZ6*$AC6/$AW6</x:f>
        <x:v>115.8742464643169</x:v>
      </x:c>
      <x:c r="AG6" t="n">
        <x:f>BA6*$AC6/$AW6</x:f>
        <x:v>119.58222235117505</x:v>
      </x:c>
      <x:c r="AH6" t="n">
        <x:f>BB6*$AC6/$AW6</x:f>
        <x:v>123.16968902171031</x:v>
      </x:c>
      <x:c r="AI6" t="n">
        <x:f>Y6*(1-'Assumptions'!$F$3)+AS6*'Assumptions'!$G$3-AS6*'LMAT Model'!$B$65-(AS6-'Inputs'!$B$14)*'Assumptions'!$H$3-'Assumptions'!$I$3</x:f>
        <x:v>54.169785600000004</x:v>
      </x:c>
      <x:c r="AJ6" t="n">
        <x:f>Z6*(1-'Assumptions'!$F$3)+AT6*'Assumptions'!$G$3-AT6*'LMAT Model'!$C$65-(AT6-AS6)*'Assumptions'!$H$3-0</x:f>
        <x:v>61.72780723199999</x:v>
      </x:c>
      <x:c r="AK6" t="n">
        <x:f>AA6*(1-'Assumptions'!$F$3)+AU6*'Assumptions'!$G$3-AU6*'LMAT Model'!$D$65-(AU6-AT6)*'Assumptions'!$H$3-0</x:f>
        <x:v>66.55899893760001</x:v>
      </x:c>
      <x:c r="AL6" t="n">
        <x:f>AB6*(1-'Assumptions'!$F$3)+AV6*'Assumptions'!$G$3-AV6*'LMAT Model'!$E$65-(AV6-AU6)*'Assumptions'!$H$3-0</x:f>
        <x:v>70.44964019159042</x:v>
      </x:c>
      <x:c r="AM6" t="n">
        <x:f>AC6*(1-'Assumptions'!$F$3)+AW6*'Assumptions'!$G$3-AW6*'LMAT Model'!$F$65-(AW6-AV6)*'Assumptions'!$H$3-0</x:f>
        <x:v>74.54503834759988</x:v>
      </x:c>
      <x:c r="AN6" t="n">
        <x:f>AD6*(1-'Assumptions'!$F$3)+AX6*'Assumptions'!$G$3-AX6*'LMAT Model'!$G$65-(AX6-AW6)*'Assumptions'!$H$3-0</x:f>
        <x:v>77.52643648806759</x:v>
      </x:c>
      <x:c r="AO6" t="n">
        <x:f>AE6*(1-'Assumptions'!$F$3)+AY6*'Assumptions'!$G$3-AY6*'LMAT Model'!$H$65-(AY6-AX6)*'Assumptions'!$H$3-0</x:f>
        <x:v>80.47202235222724</x:v>
      </x:c>
      <x:c r="AP6" t="n">
        <x:f>AF6*(1-'Assumptions'!$F$3)+AZ6*'Assumptions'!$G$3-AZ6*'LMAT Model'!$I$65-(AZ6-AY6)*'Assumptions'!$H$3-0</x:f>
        <x:v>83.36858136051458</x:v>
      </x:c>
      <x:c r="AQ6" t="n">
        <x:f>AG6*(1-'Assumptions'!$F$3)+BA6*'Assumptions'!$G$3-BA6*'LMAT Model'!$J$65-(BA6-AZ6)*'Assumptions'!$H$3-0</x:f>
        <x:v>86.20266458130192</x:v>
      </x:c>
      <x:c r="AR6" t="n">
        <x:f>AH6*(1-'Assumptions'!$F$3)+BB6*'Assumptions'!$G$3-BB6*'LMAT Model'!$K$65-(BB6-BA6)*'Assumptions'!$H$3-0</x:f>
        <x:v>88.96068694897835</x:v>
      </x:c>
      <x:c r="AS6" t="n">
        <x:f>E6+O6</x:f>
        <x:v>287.35200000000003</x:v>
      </x:c>
      <x:c r="AT6" t="n">
        <x:f>F6+P6</x:f>
        <x:v>298.84608000000003</x:v>
      </x:c>
      <x:c r="AU6" t="n">
        <x:f>G6+Q6</x:f>
        <x:v>310.7999232</x:v>
      </x:c>
      <x:c r="AV6" t="n">
        <x:f>H6+R6</x:f>
        <x:v>323.23192012800007</x:v>
      </x:c>
      <x:c r="AW6" t="n">
        <x:f>I6+S6</x:f>
        <x:v>336.1611969331201</x:v>
      </x:c>
      <x:c r="AX6" t="n">
        <x:f>J6+T6</x:f>
        <x:v>348.9353224165787</x:v>
      </x:c>
      <x:c r="AY6" t="n">
        <x:f>K6+U6</x:f>
        <x:v>361.49699402357555</x:v>
      </x:c>
      <x:c r="AZ6" t="n">
        <x:f>L6+V6</x:f>
        <x:v>373.7878918203771</x:v>
      </x:c>
      <x:c r="BA6" t="n">
        <x:f>M6+W6</x:f>
        <x:v>385.7491043586292</x:v>
      </x:c>
      <x:c r="BB6" t="n">
        <x:f>N6+X6</x:f>
        <x:v>397.3215774893881</x:v>
      </x:c>
      <x:c r="BC6" t="n">
        <x:f>AS6/'Inputs'!$B$14-1</x:f>
        <x:v>0.040000000000000036</x:v>
      </x:c>
      <x:c r="BD6" t="n">
        <x:f>AT6/AS6-1</x:f>
        <x:v>0.040000000000000036</x:v>
      </x:c>
      <x:c r="BE6" t="n">
        <x:f>AU6/AT6-1</x:f>
        <x:v>0.040000000000000036</x:v>
      </x:c>
      <x:c r="BF6" t="n">
        <x:f>AV6/AU6-1</x:f>
        <x:v>0.040000000000000036</x:v>
      </x:c>
      <x:c r="BG6" t="n">
        <x:f>AW6/AV6-1</x:f>
        <x:v>0.040000000000000036</x:v>
      </x:c>
      <x:c r="BH6" t="n">
        <x:f>AX6/AW6-1</x:f>
        <x:v>0.038000000000000034</x:v>
      </x:c>
      <x:c r="BI6" t="n">
        <x:f>AY6/AX6-1</x:f>
        <x:v>0.03600000000000003</x:v>
      </x:c>
      <x:c r="BJ6" t="n">
        <x:f>AZ6/AY6-1</x:f>
        <x:v>0.03400000000000003</x:v>
      </x:c>
      <x:c r="BK6" t="n">
        <x:f>BA6/AZ6-1</x:f>
        <x:v>0.03200000000000003</x:v>
      </x:c>
      <x:c r="BL6" t="n">
        <x:f>BB6/BA6-1</x:f>
        <x:v>0.030000000000000027</x:v>
      </x:c>
      <x:c r="BM6" t="n">
        <x:f>AH6*(1-'Assumptions'!$F$3)*(1+'Assumptions'!$D$3)*(1-'Assumptions'!$D$3/'Assumptions'!$E$3)</x:f>
        <x:v>84.84716465825146</x:v>
      </x:c>
      <x:c r="BN6" t="n">
        <x:f>SUMPRODUCT(AI6:AR6,'LMAT Model'!$B$83:$K$83)+BM6/('Assumptions'!$C$3-'Assumptions'!$D$3)*'LMAT Model'!$K$83</x:f>
        <x:v>906.794444375464</x:v>
      </x:c>
      <x:c r="BO6" t="n">
        <x:f>'LMAT Model'!$B$94</x:f>
        <x:v>178</x:v>
      </x:c>
      <x:c r="BP6" t="n">
        <x:f>'Inputs'!$B$8</x:f>
        <x:v>23.088</x:v>
      </x:c>
    </x:row>
    <x:row r="7">
      <x:c r="A7" t="str">
        <x:v>LMAT</x:v>
      </x:c>
      <x:c r="B7" s="22" t="n">
        <x:v>0.05</x:v>
      </x:c>
      <x:c r="C7" s="42" t="n">
        <x:f>MIN((BN7+BO7)/BP7,(BN7+BO7+'Inputs'!$B$7)/(BP7+'Inputs'!$B$19))</x:f>
        <x:v>49.09835426682566</x:v>
      </x:c>
      <x:c r="D7" s="22" t="n">
        <x:f>C7/'Inputs'!$B$5-1</x:f>
        <x:v>-0.391367865788699</x:v>
      </x:c>
      <x:c r="E7" t="n">
        <x:f>'Inputs'!$B$14*(1+$B7)^1</x:f>
        <x:v>290.115</x:v>
      </x:c>
      <x:c r="F7" t="n">
        <x:f>'Inputs'!$B$14*(1+$B7)^2</x:f>
        <x:v>304.62075000000004</x:v>
      </x:c>
      <x:c r="G7" t="n">
        <x:f>'Inputs'!$B$14*(1+$B7)^3</x:f>
        <x:v>319.85178750000006</x:v>
      </x:c>
      <x:c r="H7" t="n">
        <x:f>'Inputs'!$B$14*(1+$B7)^4</x:f>
        <x:v>335.844376875</x:v>
      </x:c>
      <x:c r="I7" t="n">
        <x:f>'Inputs'!$B$14*(1+$B7)^5</x:f>
        <x:v>352.6365957187501</x:v>
      </x:c>
      <x:c r="J7" t="n">
        <x:f>I7*(1+($BG7+('Assumptions'!$D$3-$BG7)*(6-5)/5))</x:f>
        <x:v>368.8578791218126</x:v>
      </x:c>
      <x:c r="K7" t="n">
        <x:f>J7*(1+($BG7+('Assumptions'!$D$3-$BG7)*(7-5)/5))</x:f>
        <x:v>384.3499100449287</x:v>
      </x:c>
      <x:c r="L7" t="n">
        <x:f>K7*(1+($BG7+('Assumptions'!$D$3-$BG7)*(8-5)/5))</x:f>
        <x:v>398.955206626636</x:v>
      </x:c>
      <x:c r="M7" t="n">
        <x:f>L7*(1+($BG7+('Assumptions'!$D$3-$BG7)*(9-5)/5))</x:f>
        <x:v>412.51968365194165</x:v>
      </x:c>
      <x:c r="N7" t="n">
        <x:f>M7*(1+($BG7+('Assumptions'!$D$3-$BG7)*(10-5)/5))</x:f>
        <x:v>424.8952741614999</x:v>
      </x:c>
      <x:c r="O7" t="n">
        <x:f>0</x:f>
        <x:v>0</x:v>
      </x:c>
      <x:c r="P7" t="n">
        <x:f>0</x:f>
        <x:v>0</x:v>
      </x:c>
      <x:c r="Q7" t="n">
        <x:f>0</x:f>
        <x:v>0</x:v>
      </x:c>
      <x:c r="R7" t="n">
        <x:f>0</x:f>
        <x:v>0</x:v>
      </x:c>
      <x:c r="S7" t="n">
        <x:f>0</x:f>
        <x:v>0</x:v>
      </x:c>
      <x:c r="T7" t="n">
        <x:f>S7*(1+($BG7+('Assumptions'!$D$3-$BG7)*(6-5)/5))</x:f>
        <x:v>0</x:v>
      </x:c>
      <x:c r="U7" t="n">
        <x:f>T7*(1+($BG7+('Assumptions'!$D$3-$BG7)*(7-5)/5))</x:f>
        <x:v>0</x:v>
      </x:c>
      <x:c r="V7" t="n">
        <x:f>U7*(1+($BG7+('Assumptions'!$D$3-$BG7)*(8-5)/5))</x:f>
        <x:v>0</x:v>
      </x:c>
      <x:c r="W7" t="n">
        <x:f>V7*(1+($BG7+('Assumptions'!$D$3-$BG7)*(9-5)/5))</x:f>
        <x:v>0</x:v>
      </x:c>
      <x:c r="X7" t="n">
        <x:f>W7*(1+($BG7+('Assumptions'!$D$3-$BG7)*(10-5)/5))</x:f>
        <x:v>0</x:v>
      </x:c>
      <x:c r="Y7" t="n">
        <x:f>E7*'LMAT Model'!$B$62+O7*'LMAT Model'!$B$63+'LMAT Model'!$B$73+'LMAT Model'!$B$74</x:f>
        <x:v>81.2322</x:v>
      </x:c>
      <x:c r="Z7" t="n">
        <x:f>F7*'LMAT Model'!$C$62+P7*'LMAT Model'!$C$63+'LMAT Model'!$C$73+'LMAT Model'!$C$74</x:f>
        <x:v>88.3400175</x:v>
      </x:c>
      <x:c r="AA7" t="n">
        <x:f>G7*'LMAT Model'!$D$62+Q7*'LMAT Model'!$D$63+'LMAT Model'!$D$73+'LMAT Model'!$D$74</x:f>
        <x:v>95.95553625000001</x:v>
      </x:c>
      <x:c r="AB7" t="n">
        <x:f>H7*'LMAT Model'!$E$62+R7*'LMAT Model'!$E$63+'LMAT Model'!$E$73+'LMAT Model'!$E$74</x:f>
        <x:v>102.43253494687501</x:v>
      </x:c>
      <x:c r="AC7" t="n">
        <x:f>I7*'LMAT Model'!$F$62+S7*'LMAT Model'!$F$63+'LMAT Model'!$F$73+'LMAT Model'!$F$74</x:f>
        <x:v>109.31734467281252</x:v>
      </x:c>
      <x:c r="AD7" t="n">
        <x:f>AX7*$AC7/$AW7</x:f>
        <x:v>114.3459425277619</x:v>
      </x:c>
      <x:c r="AE7" t="n">
        <x:f>AY7*$AC7/$AW7</x:f>
        <x:v>119.1484721139279</x:v>
      </x:c>
      <x:c r="AF7" t="n">
        <x:f>AZ7*$AC7/$AW7</x:f>
        <x:v>123.67611405425717</x:v>
      </x:c>
      <x:c r="AG7" t="n">
        <x:f>BA7*$AC7/$AW7</x:f>
        <x:v>127.8811019321019</x:v>
      </x:c>
      <x:c r="AH7" t="n">
        <x:f>BB7*$AC7/$AW7</x:f>
        <x:v>131.71753499006496</x:v>
      </x:c>
      <x:c r="AI7" t="n">
        <x:f>Y7*(1-'Assumptions'!$F$3)+AS7*'Assumptions'!$G$3-AS7*'LMAT Model'!$B$65-(AS7-'Inputs'!$B$14)*'Assumptions'!$H$3-'Assumptions'!$I$3</x:f>
        <x:v>54.108447000000005</x:v>
      </x:c>
      <x:c r="AJ7" t="n">
        <x:f>Z7*(1-'Assumptions'!$F$3)+AT7*'Assumptions'!$G$3-AT7*'LMAT Model'!$C$65-(AT7-AS7)*'Assumptions'!$H$3-0</x:f>
        <x:v>62.278987049999984</x:v>
      </x:c>
      <x:c r="AK7" t="n">
        <x:f>AA7*(1-'Assumptions'!$F$3)+AU7*'Assumptions'!$G$3-AU7*'LMAT Model'!$D$65-(AU7-AT7)*'Assumptions'!$H$3-0</x:f>
        <x:v>67.8238099875</x:v>
      </x:c>
      <x:c r="AL7" t="n">
        <x:f>AB7*(1-'Assumptions'!$F$3)+AV7*'Assumptions'!$G$3-AV7*'LMAT Model'!$E$65-(AV7-AU7)*'Assumptions'!$H$3-0</x:f>
        <x:v>72.49120911900002</x:v>
      </x:c>
      <x:c r="AM7" t="n">
        <x:f>AC7*(1-'Assumptions'!$F$3)+AW7*'Assumptions'!$G$3-AW7*'LMAT Model'!$F$65-(AW7-AV7)*'Assumptions'!$H$3-0</x:f>
        <x:v>77.45578863868126</x:v>
      </x:c>
      <x:c r="AN7" t="n">
        <x:f>AD7*(1-'Assumptions'!$F$3)+AX7*'Assumptions'!$G$3-AX7*'LMAT Model'!$G$65-(AX7-AW7)*'Assumptions'!$H$3-0</x:f>
        <x:v>81.32773174278562</x:v>
      </x:c>
      <x:c r="AO7" t="n">
        <x:f>AE7*(1-'Assumptions'!$F$3)+AY7*'Assumptions'!$G$3-AY7*'LMAT Model'!$H$65-(AY7-AX7)*'Assumptions'!$H$3-0</x:f>
        <x:v>85.06792214404385</x:v>
      </x:c>
      <x:c r="AP7" t="n">
        <x:f>AF7*(1-'Assumptions'!$F$3)+AZ7*'Assumptions'!$G$3-AZ7*'LMAT Model'!$I$65-(AZ7-AY7)*'Assumptions'!$H$3-0</x:f>
        <x:v>88.63985243430959</x:v>
      </x:c>
      <x:c r="AQ7" t="n">
        <x:f>AG7*(1-'Assumptions'!$F$3)+BA7*'Assumptions'!$G$3-BA7*'LMAT Model'!$J$65-(BA7-AZ7)*'Assumptions'!$H$3-0</x:f>
        <x:v>92.00720933431745</x:v>
      </x:c>
      <x:c r="AR7" t="n">
        <x:f>AH7*(1-'Assumptions'!$F$3)+BB7*'Assumptions'!$G$3-BB7*'LMAT Model'!$K$65-(BB7-BA7)*'Assumptions'!$H$3-0</x:f>
        <x:v>95.13446440444348</x:v>
      </x:c>
      <x:c r="AS7" t="n">
        <x:f>E7+O7</x:f>
        <x:v>290.115</x:v>
      </x:c>
      <x:c r="AT7" t="n">
        <x:f>F7+P7</x:f>
        <x:v>304.62075000000004</x:v>
      </x:c>
      <x:c r="AU7" t="n">
        <x:f>G7+Q7</x:f>
        <x:v>319.85178750000006</x:v>
      </x:c>
      <x:c r="AV7" t="n">
        <x:f>H7+R7</x:f>
        <x:v>335.844376875</x:v>
      </x:c>
      <x:c r="AW7" t="n">
        <x:f>I7+S7</x:f>
        <x:v>352.6365957187501</x:v>
      </x:c>
      <x:c r="AX7" t="n">
        <x:f>J7+T7</x:f>
        <x:v>368.8578791218126</x:v>
      </x:c>
      <x:c r="AY7" t="n">
        <x:f>K7+U7</x:f>
        <x:v>384.3499100449287</x:v>
      </x:c>
      <x:c r="AZ7" t="n">
        <x:f>L7+V7</x:f>
        <x:v>398.955206626636</x:v>
      </x:c>
      <x:c r="BA7" t="n">
        <x:f>M7+W7</x:f>
        <x:v>412.51968365194165</x:v>
      </x:c>
      <x:c r="BB7" t="n">
        <x:f>N7+X7</x:f>
        <x:v>424.8952741614999</x:v>
      </x:c>
      <x:c r="BC7" t="n">
        <x:f>AS7/'Inputs'!$B$14-1</x:f>
        <x:v>0.050000000000000044</x:v>
      </x:c>
      <x:c r="BD7" t="n">
        <x:f>AT7/AS7-1</x:f>
        <x:v>0.050000000000000044</x:v>
      </x:c>
      <x:c r="BE7" t="n">
        <x:f>AU7/AT7-1</x:f>
        <x:v>0.050000000000000044</x:v>
      </x:c>
      <x:c r="BF7" t="n">
        <x:f>AV7/AU7-1</x:f>
        <x:v>0.04999999999999982</x:v>
      </x:c>
      <x:c r="BG7" t="n">
        <x:f>AW7/AV7-1</x:f>
        <x:v>0.050000000000000044</x:v>
      </x:c>
      <x:c r="BH7" t="n">
        <x:f>AX7/AW7-1</x:f>
        <x:v>0.04600000000000004</x:v>
      </x:c>
      <x:c r="BI7" t="n">
        <x:f>AY7/AX7-1</x:f>
        <x:v>0.04200000000000004</x:v>
      </x:c>
      <x:c r="BJ7" t="n">
        <x:f>AZ7/AY7-1</x:f>
        <x:v>0.038000000000000034</x:v>
      </x:c>
      <x:c r="BK7" t="n">
        <x:f>BA7/AZ7-1</x:f>
        <x:v>0.03400000000000003</x:v>
      </x:c>
      <x:c r="BL7" t="n">
        <x:f>BB7/BA7-1</x:f>
        <x:v>0.030000000000000027</x:v>
      </x:c>
      <x:c r="BM7" t="n">
        <x:f>AH7*(1-'Assumptions'!$F$3)*(1+'Assumptions'!$D$3)*(1-'Assumptions'!$D$3/'Assumptions'!$E$3)</x:f>
        <x:v>90.73546802339611</x:v>
      </x:c>
      <x:c r="BN7" t="n">
        <x:f>SUMPRODUCT(AI7:AR7,'LMAT Model'!$B$83:$K$83)+BM7/('Assumptions'!$C$3-'Assumptions'!$D$3)*'LMAT Model'!$K$83</x:f>
        <x:v>955.5828033124707</x:v>
      </x:c>
      <x:c r="BO7" t="n">
        <x:f>'LMAT Model'!$B$94</x:f>
        <x:v>178</x:v>
      </x:c>
      <x:c r="BP7" t="n">
        <x:f>'Inputs'!$B$8</x:f>
        <x:v>23.088</x:v>
      </x:c>
    </x:row>
    <x:row r="8">
      <x:c r="A8" t="str">
        <x:v>LMAT</x:v>
      </x:c>
      <x:c r="B8" s="22" t="n">
        <x:v>0.06</x:v>
      </x:c>
      <x:c r="C8" s="42" t="n">
        <x:f>MIN((BN8+BO8)/BP8,(BN8+BO8+'Inputs'!$B$7)/(BP8+'Inputs'!$B$19))</x:f>
        <x:v>51.326190810797335</x:v>
      </x:c>
      <x:c r="D8" s="22" t="n">
        <x:f>C8/'Inputs'!$B$5-1</x:f>
        <x:v>-0.3637511985769514</x:v>
      </x:c>
      <x:c r="E8" t="n">
        <x:f>'Inputs'!$B$14*(1+$B8)^1</x:f>
        <x:v>292.87800000000004</x:v>
      </x:c>
      <x:c r="F8" t="n">
        <x:f>'Inputs'!$B$14*(1+$B8)^2</x:f>
        <x:v>310.45068000000003</x:v>
      </x:c>
      <x:c r="G8" t="n">
        <x:f>'Inputs'!$B$14*(1+$B8)^3</x:f>
        <x:v>329.0777208000001</x:v>
      </x:c>
      <x:c r="H8" t="n">
        <x:f>'Inputs'!$B$14*(1+$B8)^4</x:f>
        <x:v>348.8223840480001</x:v>
      </x:c>
      <x:c r="I8" t="n">
        <x:f>'Inputs'!$B$14*(1+$B8)^5</x:f>
        <x:v>369.75172709088014</x:v>
      </x:c>
      <x:c r="J8" t="n">
        <x:f>I8*(1+($BG8+('Assumptions'!$D$3-$BG8)*(6-5)/5))</x:f>
        <x:v>389.7183203537877</x:v>
      </x:c>
      <x:c r="K8" t="n">
        <x:f>J8*(1+($BG8+('Assumptions'!$D$3-$BG8)*(7-5)/5))</x:f>
        <x:v>408.4247997307695</x:v>
      </x:c>
      <x:c r="L8" t="n">
        <x:f>K8*(1+($BG8+('Assumptions'!$D$3-$BG8)*(8-5)/5))</x:f>
        <x:v>425.57864131946184</x:v>
      </x:c>
      <x:c r="M8" t="n">
        <x:f>L8*(1+($BG8+('Assumptions'!$D$3-$BG8)*(9-5)/5))</x:f>
        <x:v>440.8994724069625</x:v>
      </x:c>
      <x:c r="N8" t="n">
        <x:f>M8*(1+($BG8+('Assumptions'!$D$3-$BG8)*(10-5)/5))</x:f>
        <x:v>454.12645657917136</x:v>
      </x:c>
      <x:c r="O8" t="n">
        <x:f>0</x:f>
        <x:v>0</x:v>
      </x:c>
      <x:c r="P8" t="n">
        <x:f>0</x:f>
        <x:v>0</x:v>
      </x:c>
      <x:c r="Q8" t="n">
        <x:f>0</x:f>
        <x:v>0</x:v>
      </x:c>
      <x:c r="R8" t="n">
        <x:f>0</x:f>
        <x:v>0</x:v>
      </x:c>
      <x:c r="S8" t="n">
        <x:f>0</x:f>
        <x:v>0</x:v>
      </x:c>
      <x:c r="T8" t="n">
        <x:f>S8*(1+($BG8+('Assumptions'!$D$3-$BG8)*(6-5)/5))</x:f>
        <x:v>0</x:v>
      </x:c>
      <x:c r="U8" t="n">
        <x:f>T8*(1+($BG8+('Assumptions'!$D$3-$BG8)*(7-5)/5))</x:f>
        <x:v>0</x:v>
      </x:c>
      <x:c r="V8" t="n">
        <x:f>U8*(1+($BG8+('Assumptions'!$D$3-$BG8)*(8-5)/5))</x:f>
        <x:v>0</x:v>
      </x:c>
      <x:c r="W8" t="n">
        <x:f>V8*(1+($BG8+('Assumptions'!$D$3-$BG8)*(9-5)/5))</x:f>
        <x:v>0</x:v>
      </x:c>
      <x:c r="X8" t="n">
        <x:f>W8*(1+($BG8+('Assumptions'!$D$3-$BG8)*(10-5)/5))</x:f>
        <x:v>0</x:v>
      </x:c>
      <x:c r="Y8" t="n">
        <x:f>E8*'LMAT Model'!$B$62+O8*'LMAT Model'!$B$63+'LMAT Model'!$B$73+'LMAT Model'!$B$74</x:f>
        <x:v>82.00584000000002</x:v>
      </x:c>
      <x:c r="Z8" t="n">
        <x:f>F8*'LMAT Model'!$C$62+P8*'LMAT Model'!$C$63+'LMAT Model'!$C$73+'LMAT Model'!$C$74</x:f>
        <x:v>90.0306972</x:v>
      </x:c>
      <x:c r="AA8" t="n">
        <x:f>G8*'LMAT Model'!$D$62+Q8*'LMAT Model'!$D$63+'LMAT Model'!$D$73+'LMAT Model'!$D$74</x:f>
        <x:v>98.72331624000003</x:v>
      </x:c>
      <x:c r="AB8" t="n">
        <x:f>H8*'LMAT Model'!$E$62+R8*'LMAT Model'!$E$63+'LMAT Model'!$E$73+'LMAT Model'!$E$74</x:f>
        <x:v>106.39082713464003</x:v>
      </x:c>
      <x:c r="AC8" t="n">
        <x:f>I8*'LMAT Model'!$F$62+S8*'LMAT Model'!$F$63+'LMAT Model'!$F$73+'LMAT Model'!$F$74</x:f>
        <x:v>114.62303539817285</x:v>
      </x:c>
      <x:c r="AD8" t="n">
        <x:f>AX8*$AC8/$AW8</x:f>
        <x:v>120.8126793096742</x:v>
      </x:c>
      <x:c r="AE8" t="n">
        <x:f>AY8*$AC8/$AW8</x:f>
        <x:v>126.61168791653856</x:v>
      </x:c>
      <x:c r="AF8" t="n">
        <x:f>AZ8*$AC8/$AW8</x:f>
        <x:v>131.92937880903318</x:v>
      </x:c>
      <x:c r="AG8" t="n">
        <x:f>BA8*$AC8/$AW8</x:f>
        <x:v>136.67883644615839</x:v>
      </x:c>
      <x:c r="AH8" t="n">
        <x:f>BB8*$AC8/$AW8</x:f>
        <x:v>140.77920153954312</x:v>
      </x:c>
      <x:c r="AI8" t="n">
        <x:f>Y8*(1-'Assumptions'!$F$3)+AS8*'Assumptions'!$G$3-AS8*'LMAT Model'!$B$65-(AS8-'Inputs'!$B$14)*'Assumptions'!$H$3-'Assumptions'!$I$3</x:f>
        <x:v>54.04710840000002</x:v>
      </x:c>
      <x:c r="AJ8" t="n">
        <x:f>Z8*(1-'Assumptions'!$F$3)+AT8*'Assumptions'!$G$3-AT8*'LMAT Model'!$C$65-(AT8-AS8)*'Assumptions'!$H$3-0</x:f>
        <x:v>62.829360072000014</x:v>
      </x:c>
      <x:c r="AK8" t="n">
        <x:f>AA8*(1-'Assumptions'!$F$3)+AU8*'Assumptions'!$G$3-AU8*'LMAT Model'!$D$65-(AU8-AT8)*'Assumptions'!$H$3-0</x:f>
        <x:v>69.1001123544</x:v>
      </x:c>
      <x:c r="AL8" t="n">
        <x:f>AB8*(1-'Assumptions'!$F$3)+AV8*'Assumptions'!$G$3-AV8*'LMAT Model'!$E$65-(AV8-AU8)*'Assumptions'!$H$3-0</x:f>
        <x:v>74.57164415504643</x:v>
      </x:c>
      <x:c r="AM8" t="n">
        <x:f>AC8*(1-'Assumptions'!$F$3)+AW8*'Assumptions'!$G$3-AW8*'LMAT Model'!$F$65-(AW8-AV8)*'Assumptions'!$H$3-0</x:f>
        <x:v>80.45099936729456</x:v>
      </x:c>
      <x:c r="AN8" t="n">
        <x:f>AD8*(1-'Assumptions'!$F$3)+AX8*'Assumptions'!$G$3-AX8*'LMAT Model'!$G$65-(AX8-AW8)*'Assumptions'!$H$3-0</x:f>
        <x:v>85.2767282231147</x:v>
      </x:c>
      <x:c r="AO8" t="n">
        <x:f>AE8*(1-'Assumptions'!$F$3)+AY8*'Assumptions'!$G$3-AY8*'LMAT Model'!$H$65-(AY8-AX8)*'Assumptions'!$H$3-0</x:f>
        <x:v>89.88026856120965</x:v>
      </x:c>
      <x:c r="AP8" t="n">
        <x:f>AF8*(1-'Assumptions'!$F$3)+AZ8*'Assumptions'!$G$3-AZ8*'LMAT Model'!$I$65-(AZ8-AY8)*'Assumptions'!$H$3-0</x:f>
        <x:v>94.19305112286865</x:v>
      </x:c>
      <x:c r="AQ8" t="n">
        <x:f>AG8*(1-'Assumptions'!$F$3)+BA8*'Assumptions'!$G$3-BA8*'LMAT Model'!$J$65-(BA8-AZ8)*'Assumptions'!$H$3-0</x:f>
        <x:v>98.14762718692042</x:v>
      </x:c>
      <x:c r="AR8" t="n">
        <x:f>AH8*(1-'Assumptions'!$F$3)+BB8*'Assumptions'!$G$3-BB8*'LMAT Model'!$K$65-(BB8-BA8)*'Assumptions'!$H$3-0</x:f>
        <x:v>101.67935452754887</x:v>
      </x:c>
      <x:c r="AS8" t="n">
        <x:f>E8+O8</x:f>
        <x:v>292.87800000000004</x:v>
      </x:c>
      <x:c r="AT8" t="n">
        <x:f>F8+P8</x:f>
        <x:v>310.45068000000003</x:v>
      </x:c>
      <x:c r="AU8" t="n">
        <x:f>G8+Q8</x:f>
        <x:v>329.0777208000001</x:v>
      </x:c>
      <x:c r="AV8" t="n">
        <x:f>H8+R8</x:f>
        <x:v>348.8223840480001</x:v>
      </x:c>
      <x:c r="AW8" t="n">
        <x:f>I8+S8</x:f>
        <x:v>369.75172709088014</x:v>
      </x:c>
      <x:c r="AX8" t="n">
        <x:f>J8+T8</x:f>
        <x:v>389.7183203537877</x:v>
      </x:c>
      <x:c r="AY8" t="n">
        <x:f>K8+U8</x:f>
        <x:v>408.4247997307695</x:v>
      </x:c>
      <x:c r="AZ8" t="n">
        <x:f>L8+V8</x:f>
        <x:v>425.57864131946184</x:v>
      </x:c>
      <x:c r="BA8" t="n">
        <x:f>M8+W8</x:f>
        <x:v>440.8994724069625</x:v>
      </x:c>
      <x:c r="BB8" t="n">
        <x:f>N8+X8</x:f>
        <x:v>454.12645657917136</x:v>
      </x:c>
      <x:c r="BC8" t="n">
        <x:f>AS8/'Inputs'!$B$14-1</x:f>
        <x:v>0.06000000000000005</x:v>
      </x:c>
      <x:c r="BD8" t="n">
        <x:f>AT8/AS8-1</x:f>
        <x:v>0.06000000000000005</x:v>
      </x:c>
      <x:c r="BE8" t="n">
        <x:f>AU8/AT8-1</x:f>
        <x:v>0.060000000000000275</x:v>
      </x:c>
      <x:c r="BF8" t="n">
        <x:f>AV8/AU8-1</x:f>
        <x:v>0.06000000000000005</x:v>
      </x:c>
      <x:c r="BG8" t="n">
        <x:f>AW8/AV8-1</x:f>
        <x:v>0.06000000000000005</x:v>
      </x:c>
      <x:c r="BH8" t="n">
        <x:f>AX8/AW8-1</x:f>
        <x:v>0.05400000000000005</x:v>
      </x:c>
      <x:c r="BI8" t="n">
        <x:f>AY8/AX8-1</x:f>
        <x:v>0.04800000000000004</x:v>
      </x:c>
      <x:c r="BJ8" t="n">
        <x:f>AZ8/AY8-1</x:f>
        <x:v>0.04200000000000004</x:v>
      </x:c>
      <x:c r="BK8" t="n">
        <x:f>BA8/AZ8-1</x:f>
        <x:v>0.03600000000000003</x:v>
      </x:c>
      <x:c r="BL8" t="n">
        <x:f>BB8/BA8-1</x:f>
        <x:v>0.030000000000000027</x:v>
      </x:c>
      <x:c r="BM8" t="n">
        <x:f>AH8*(1-'Assumptions'!$F$3)*(1+'Assumptions'!$D$3)*(1-'Assumptions'!$D$3/'Assumptions'!$E$3)</x:f>
        <x:v>96.97772388933583</x:v>
      </x:c>
      <x:c r="BN8" t="n">
        <x:f>SUMPRODUCT(AI8:AR8,'LMAT Model'!$B$83:$K$83)+BM8/('Assumptions'!$C$3-'Assumptions'!$D$3)*'LMAT Model'!$K$83</x:f>
        <x:v>1007.019093439689</x:v>
      </x:c>
      <x:c r="BO8" t="n">
        <x:f>'LMAT Model'!$B$94</x:f>
        <x:v>178</x:v>
      </x:c>
      <x:c r="BP8" t="n">
        <x:f>'Inputs'!$B$8</x:f>
        <x:v>23.088</x:v>
      </x:c>
    </x:row>
    <x:row r="9">
      <x:c r="A9" t="str">
        <x:v>LMAT</x:v>
      </x:c>
      <x:c r="B9" s="22" t="n">
        <x:v>0.07</x:v>
      </x:c>
      <x:c r="C9" s="42" t="n">
        <x:f>MIN((BN9+BO9)/BP9,(BN9+BO9+'Inputs'!$B$7)/(BP9+'Inputs'!$B$19))</x:f>
        <x:v>53.67423857099613</x:v>
      </x:c>
      <x:c r="D9" s="22" t="n">
        <x:f>C9/'Inputs'!$B$5-1</x:f>
        <x:v>-0.33464437125330193</x:v>
      </x:c>
      <x:c r="E9" t="n">
        <x:f>'Inputs'!$B$14*(1+$B9)^1</x:f>
        <x:v>295.641</x:v>
      </x:c>
      <x:c r="F9" t="n">
        <x:f>'Inputs'!$B$14*(1+$B9)^2</x:f>
        <x:v>316.33587</x:v>
      </x:c>
      <x:c r="G9" t="n">
        <x:f>'Inputs'!$B$14*(1+$B9)^3</x:f>
        <x:v>338.4793809</x:v>
      </x:c>
      <x:c r="H9" t="n">
        <x:f>'Inputs'!$B$14*(1+$B9)^4</x:f>
        <x:v>362.172937563</x:v>
      </x:c>
      <x:c r="I9" t="n">
        <x:f>'Inputs'!$B$14*(1+$B9)^5</x:f>
        <x:v>387.52504319241007</x:v>
      </x:c>
      <x:c r="J9" t="n">
        <x:f>I9*(1+($BG9+('Assumptions'!$D$3-$BG9)*(6-5)/5))</x:f>
        <x:v>411.5515958703395</x:v>
      </x:c>
      <x:c r="K9" t="n">
        <x:f>J9*(1+($BG9+('Assumptions'!$D$3-$BG9)*(7-5)/5))</x:f>
        <x:v>433.77538204733787</x:v>
      </x:c>
      <x:c r="L9" t="n">
        <x:f>K9*(1+($BG9+('Assumptions'!$D$3-$BG9)*(8-5)/5))</x:f>
        <x:v>453.72904962151546</x:v>
      </x:c>
      <x:c r="M9" t="n">
        <x:f>L9*(1+($BG9+('Assumptions'!$D$3-$BG9)*(9-5)/5))</x:f>
        <x:v>470.97075350713305</x:v>
      </x:c>
      <x:c r="N9" t="n">
        <x:f>M9*(1+($BG9+('Assumptions'!$D$3-$BG9)*(10-5)/5))</x:f>
        <x:v>485.09987611234703</x:v>
      </x:c>
      <x:c r="O9" t="n">
        <x:f>0</x:f>
        <x:v>0</x:v>
      </x:c>
      <x:c r="P9" t="n">
        <x:f>0</x:f>
        <x:v>0</x:v>
      </x:c>
      <x:c r="Q9" t="n">
        <x:f>0</x:f>
        <x:v>0</x:v>
      </x:c>
      <x:c r="R9" t="n">
        <x:f>0</x:f>
        <x:v>0</x:v>
      </x:c>
      <x:c r="S9" t="n">
        <x:f>0</x:f>
        <x:v>0</x:v>
      </x:c>
      <x:c r="T9" t="n">
        <x:f>S9*(1+($BG9+('Assumptions'!$D$3-$BG9)*(6-5)/5))</x:f>
        <x:v>0</x:v>
      </x:c>
      <x:c r="U9" t="n">
        <x:f>T9*(1+($BG9+('Assumptions'!$D$3-$BG9)*(7-5)/5))</x:f>
        <x:v>0</x:v>
      </x:c>
      <x:c r="V9" t="n">
        <x:f>U9*(1+($BG9+('Assumptions'!$D$3-$BG9)*(8-5)/5))</x:f>
        <x:v>0</x:v>
      </x:c>
      <x:c r="W9" t="n">
        <x:f>V9*(1+($BG9+('Assumptions'!$D$3-$BG9)*(9-5)/5))</x:f>
        <x:v>0</x:v>
      </x:c>
      <x:c r="X9" t="n">
        <x:f>W9*(1+($BG9+('Assumptions'!$D$3-$BG9)*(10-5)/5))</x:f>
        <x:v>0</x:v>
      </x:c>
      <x:c r="Y9" t="n">
        <x:f>E9*'LMAT Model'!$B$62+O9*'LMAT Model'!$B$63+'LMAT Model'!$B$73+'LMAT Model'!$B$74</x:f>
        <x:v>82.77948</x:v>
      </x:c>
      <x:c r="Z9" t="n">
        <x:f>F9*'LMAT Model'!$C$62+P9*'LMAT Model'!$C$63+'LMAT Model'!$C$73+'LMAT Model'!$C$74</x:f>
        <x:v>91.7374023</x:v>
      </x:c>
      <x:c r="AA9" t="n">
        <x:f>G9*'LMAT Model'!$D$62+Q9*'LMAT Model'!$D$63+'LMAT Model'!$D$73+'LMAT Model'!$D$74</x:f>
        <x:v>101.54381427</x:v>
      </x:c>
      <x:c r="AB9" t="n">
        <x:f>H9*'LMAT Model'!$E$62+R9*'LMAT Model'!$E$63+'LMAT Model'!$E$73+'LMAT Model'!$E$74</x:f>
        <x:v>110.462745956715</x:v>
      </x:c>
      <x:c r="AC9" t="n">
        <x:f>I9*'LMAT Model'!$F$62+S9*'LMAT Model'!$F$63+'LMAT Model'!$F$73+'LMAT Model'!$F$74</x:f>
        <x:v>120.13276338964712</x:v>
      </x:c>
      <x:c r="AD9" t="n">
        <x:f>AX9*$AC9/$AW9</x:f>
        <x:v>127.58099471980525</x:v>
      </x:c>
      <x:c r="AE9" t="n">
        <x:f>AY9*$AC9/$AW9</x:f>
        <x:v>134.47036843467475</x:v>
      </x:c>
      <x:c r="AF9" t="n">
        <x:f>AZ9*$AC9/$AW9</x:f>
        <x:v>140.6560053826698</x:v>
      </x:c>
      <x:c r="AG9" t="n">
        <x:f>BA9*$AC9/$AW9</x:f>
        <x:v>146.00093358721125</x:v>
      </x:c>
      <x:c r="AH9" t="n">
        <x:f>BB9*$AC9/$AW9</x:f>
        <x:v>150.38096159482757</x:v>
      </x:c>
      <x:c r="AI9" t="n">
        <x:f>Y9*(1-'Assumptions'!$F$3)+AS9*'Assumptions'!$G$3-AS9*'LMAT Model'!$B$65-(AS9-'Inputs'!$B$14)*'Assumptions'!$H$3-'Assumptions'!$I$3</x:f>
        <x:v>53.98576980000001</x:v>
      </x:c>
      <x:c r="AJ9" t="n">
        <x:f>Z9*(1-'Assumptions'!$F$3)+AT9*'Assumptions'!$G$3-AT9*'LMAT Model'!$C$65-(AT9-AS9)*'Assumptions'!$H$3-0</x:f>
        <x:v>63.378926297999996</x:v>
      </x:c>
      <x:c r="AK9" t="n">
        <x:f>AA9*(1-'Assumptions'!$F$3)+AU9*'Assumptions'!$G$3-AU9*'LMAT Model'!$D$65-(AU9-AT9)*'Assumptions'!$H$3-0</x:f>
        <x:v>70.38789443369998</x:v>
      </x:c>
      <x:c r="AL9" t="n">
        <x:f>AB9*(1-'Assumptions'!$F$3)+AV9*'Assumptions'!$G$3-AV9*'LMAT Model'!$E$65-(AV9-AU9)*'Assumptions'!$H$3-0</x:f>
        <x:v>76.6913042067984</x:v>
      </x:c>
      <x:c r="AM9" t="n">
        <x:f>AC9*(1-'Assumptions'!$F$3)+AW9*'Assumptions'!$G$3-AW9*'LMAT Model'!$F$65-(AW9-AV9)*'Assumptions'!$H$3-0</x:f>
        <x:v>83.53229066540545</x:v>
      </x:c>
      <x:c r="AN9" t="n">
        <x:f>AD9*(1-'Assumptions'!$F$3)+AX9*'Assumptions'!$G$3-AX9*'LMAT Model'!$G$65-(AX9-AW9)*'Assumptions'!$H$3-0</x:f>
        <x:v>89.37769089177654</x:v>
      </x:c>
      <x:c r="AO9" t="n">
        <x:f>AE9*(1-'Assumptions'!$F$3)+AY9*'Assumptions'!$G$3-AY9*'LMAT Model'!$H$65-(AY9-AX9)*'Assumptions'!$H$3-0</x:f>
        <x:v>94.9171322794065</x:v>
      </x:c>
      <x:c r="AP9" t="n">
        <x:f>AF9*(1-'Assumptions'!$F$3)+AZ9*'Assumptions'!$G$3-AZ9*'LMAT Model'!$I$65-(AZ9-AY9)*'Assumptions'!$H$3-0</x:f>
        <x:v>100.04057530066063</x:v>
      </x:c>
      <x:c r="AQ9" t="n">
        <x:f>AG9*(1-'Assumptions'!$F$3)+BA9*'Assumptions'!$G$3-BA9*'LMAT Model'!$J$65-(BA9-AZ9)*'Assumptions'!$H$3-0</x:f>
        <x:v>104.64026386505284</x:v>
      </x:c>
      <x:c r="AR9" t="n">
        <x:f>AH9*(1-'Assumptions'!$F$3)+BB9*'Assumptions'!$G$3-BB9*'LMAT Model'!$K$65-(BB9-BA9)*'Assumptions'!$H$3-0</x:f>
        <x:v>108.614333232308</x:v>
      </x:c>
      <x:c r="AS9" t="n">
        <x:f>E9+O9</x:f>
        <x:v>295.641</x:v>
      </x:c>
      <x:c r="AT9" t="n">
        <x:f>F9+P9</x:f>
        <x:v>316.33587</x:v>
      </x:c>
      <x:c r="AU9" t="n">
        <x:f>G9+Q9</x:f>
        <x:v>338.4793809</x:v>
      </x:c>
      <x:c r="AV9" t="n">
        <x:f>H9+R9</x:f>
        <x:v>362.172937563</x:v>
      </x:c>
      <x:c r="AW9" t="n">
        <x:f>I9+S9</x:f>
        <x:v>387.52504319241007</x:v>
      </x:c>
      <x:c r="AX9" t="n">
        <x:f>J9+T9</x:f>
        <x:v>411.5515958703395</x:v>
      </x:c>
      <x:c r="AY9" t="n">
        <x:f>K9+U9</x:f>
        <x:v>433.77538204733787</x:v>
      </x:c>
      <x:c r="AZ9" t="n">
        <x:f>L9+V9</x:f>
        <x:v>453.72904962151546</x:v>
      </x:c>
      <x:c r="BA9" t="n">
        <x:f>M9+W9</x:f>
        <x:v>470.97075350713305</x:v>
      </x:c>
      <x:c r="BB9" t="n">
        <x:f>N9+X9</x:f>
        <x:v>485.09987611234703</x:v>
      </x:c>
      <x:c r="BC9" t="n">
        <x:f>AS9/'Inputs'!$B$14-1</x:f>
        <x:v>0.07000000000000006</x:v>
      </x:c>
      <x:c r="BD9" t="n">
        <x:f>AT9/AS9-1</x:f>
        <x:v>0.06999999999999984</x:v>
      </x:c>
      <x:c r="BE9" t="n">
        <x:f>AU9/AT9-1</x:f>
        <x:v>0.07000000000000006</x:v>
      </x:c>
      <x:c r="BF9" t="n">
        <x:f>AV9/AU9-1</x:f>
        <x:v>0.06999999999999984</x:v>
      </x:c>
      <x:c r="BG9" t="n">
        <x:f>AW9/AV9-1</x:f>
        <x:v>0.07000000000000006</x:v>
      </x:c>
      <x:c r="BH9" t="n">
        <x:f>AX9/AW9-1</x:f>
        <x:v>0.062000000000000055</x:v>
      </x:c>
      <x:c r="BI9" t="n">
        <x:f>AY9/AX9-1</x:f>
        <x:v>0.05400000000000005</x:v>
      </x:c>
      <x:c r="BJ9" t="n">
        <x:f>AZ9/AY9-1</x:f>
        <x:v>0.04600000000000004</x:v>
      </x:c>
      <x:c r="BK9" t="n">
        <x:f>BA9/AZ9-1</x:f>
        <x:v>0.038000000000000034</x:v>
      </x:c>
      <x:c r="BL9" t="n">
        <x:f>BB9/BA9-1</x:f>
        <x:v>0.030000000000000027</x:v>
      </x:c>
      <x:c r="BM9" t="n">
        <x:f>AH9*(1-'Assumptions'!$F$3)*(1+'Assumptions'!$D$3)*(1-'Assumptions'!$D$3/'Assumptions'!$E$3)</x:f>
        <x:v>103.5920307280593</x:v>
      </x:c>
      <x:c r="BN9" t="n">
        <x:f>SUMPRODUCT(AI9:AR9,'LMAT Model'!$B$83:$K$83)+BM9/('Assumptions'!$C$3-'Assumptions'!$D$3)*'LMAT Model'!$K$83</x:f>
        <x:v>1061.2308201271587</x:v>
      </x:c>
      <x:c r="BO9" t="n">
        <x:f>'LMAT Model'!$B$94</x:f>
        <x:v>178</x:v>
      </x:c>
      <x:c r="BP9" t="n">
        <x:f>'Inputs'!$B$8</x:f>
        <x:v>23.088</x:v>
      </x:c>
    </x:row>
    <x:row r="10">
      <x:c r="A10" t="str">
        <x:v>LMAT</x:v>
      </x:c>
      <x:c r="B10" s="22" t="n">
        <x:v>0.08</x:v>
      </x:c>
      <x:c r="C10" s="42" t="n">
        <x:f>MIN((BN10+BO10)/BP10,(BN10+BO10+'Inputs'!$B$7)/(BP10+'Inputs'!$B$19))</x:f>
        <x:v>56.148244995639246</x:v>
      </x:c>
      <x:c r="D10" s="22" t="n">
        <x:f>C10/'Inputs'!$B$5-1</x:f>
        <x:v>-0.30397613740375307</x:v>
      </x:c>
      <x:c r="E10" t="n">
        <x:f>'Inputs'!$B$14*(1+$B10)^1</x:f>
        <x:v>298.40400000000005</x:v>
      </x:c>
      <x:c r="F10" t="n">
        <x:f>'Inputs'!$B$14*(1+$B10)^2</x:f>
        <x:v>322.27632000000006</x:v>
      </x:c>
      <x:c r="G10" t="n">
        <x:f>'Inputs'!$B$14*(1+$B10)^3</x:f>
        <x:v>348.0584256000001</x:v>
      </x:c>
      <x:c r="H10" t="n">
        <x:f>'Inputs'!$B$14*(1+$B10)^4</x:f>
        <x:v>375.9030996480001</x:v>
      </x:c>
      <x:c r="I10" t="n">
        <x:f>'Inputs'!$B$14*(1+$B10)^5</x:f>
        <x:v>405.9753476198401</x:v>
      </x:c>
      <x:c r="J10" t="n">
        <x:f>I10*(1+($BG10+('Assumptions'!$D$3-$BG10)*(6-5)/5))</x:f>
        <x:v>434.3936219532289</x:v>
      </x:c>
      <x:c r="K10" t="n">
        <x:f>J10*(1+($BG10+('Assumptions'!$D$3-$BG10)*(7-5)/5))</x:f>
        <x:v>460.45723927042263</x:v>
      </x:c>
      <x:c r="L10" t="n">
        <x:f>K10*(1+($BG10+('Assumptions'!$D$3-$BG10)*(8-5)/5))</x:f>
        <x:v>483.4801012339438</x:v>
      </x:c>
      <x:c r="M10" t="n">
        <x:f>L10*(1+($BG10+('Assumptions'!$D$3-$BG10)*(9-5)/5))</x:f>
        <x:v>502.81930528330156</x:v>
      </x:c>
      <x:c r="N10" t="n">
        <x:f>M10*(1+($BG10+('Assumptions'!$D$3-$BG10)*(10-5)/5))</x:f>
        <x:v>517.9038844418006</x:v>
      </x:c>
      <x:c r="O10" t="n">
        <x:f>0</x:f>
        <x:v>0</x:v>
      </x:c>
      <x:c r="P10" t="n">
        <x:f>0</x:f>
        <x:v>0</x:v>
      </x:c>
      <x:c r="Q10" t="n">
        <x:f>0</x:f>
        <x:v>0</x:v>
      </x:c>
      <x:c r="R10" t="n">
        <x:f>0</x:f>
        <x:v>0</x:v>
      </x:c>
      <x:c r="S10" t="n">
        <x:f>0</x:f>
        <x:v>0</x:v>
      </x:c>
      <x:c r="T10" t="n">
        <x:f>S10*(1+($BG10+('Assumptions'!$D$3-$BG10)*(6-5)/5))</x:f>
        <x:v>0</x:v>
      </x:c>
      <x:c r="U10" t="n">
        <x:f>T10*(1+($BG10+('Assumptions'!$D$3-$BG10)*(7-5)/5))</x:f>
        <x:v>0</x:v>
      </x:c>
      <x:c r="V10" t="n">
        <x:f>U10*(1+($BG10+('Assumptions'!$D$3-$BG10)*(8-5)/5))</x:f>
        <x:v>0</x:v>
      </x:c>
      <x:c r="W10" t="n">
        <x:f>V10*(1+($BG10+('Assumptions'!$D$3-$BG10)*(9-5)/5))</x:f>
        <x:v>0</x:v>
      </x:c>
      <x:c r="X10" t="n">
        <x:f>W10*(1+($BG10+('Assumptions'!$D$3-$BG10)*(10-5)/5))</x:f>
        <x:v>0</x:v>
      </x:c>
      <x:c r="Y10" t="n">
        <x:f>E10*'LMAT Model'!$B$62+O10*'LMAT Model'!$B$63+'LMAT Model'!$B$73+'LMAT Model'!$B$74</x:f>
        <x:v>83.55312000000002</x:v>
      </x:c>
      <x:c r="Z10" t="n">
        <x:f>F10*'LMAT Model'!$C$62+P10*'LMAT Model'!$C$63+'LMAT Model'!$C$73+'LMAT Model'!$C$74</x:f>
        <x:v>93.46013280000001</x:v>
      </x:c>
      <x:c r="AA10" t="n">
        <x:f>G10*'LMAT Model'!$D$62+Q10*'LMAT Model'!$D$63+'LMAT Model'!$D$73+'LMAT Model'!$D$74</x:f>
        <x:v>104.41752768000002</x:v>
      </x:c>
      <x:c r="AB10" t="n">
        <x:f>H10*'LMAT Model'!$E$62+R10*'LMAT Model'!$E$63+'LMAT Model'!$E$73+'LMAT Model'!$E$74</x:f>
        <x:v>114.65044539264002</x:v>
      </x:c>
      <x:c r="AC10" t="n">
        <x:f>I10*'LMAT Model'!$F$62+S10*'LMAT Model'!$F$63+'LMAT Model'!$F$73+'LMAT Model'!$F$74</x:f>
        <x:v>125.85235776215042</x:v>
      </x:c>
      <x:c r="AD10" t="n">
        <x:f>AX10*$AC10/$AW10</x:f>
        <x:v>134.66202280550095</x:v>
      </x:c>
      <x:c r="AE10" t="n">
        <x:f>AY10*$AC10/$AW10</x:f>
        <x:v>142.74174417383102</x:v>
      </x:c>
      <x:c r="AF10" t="n">
        <x:f>AZ10*$AC10/$AW10</x:f>
        <x:v>149.87883138252258</x:v>
      </x:c>
      <x:c r="AG10" t="n">
        <x:f>BA10*$AC10/$AW10</x:f>
        <x:v>155.87398463782347</x:v>
      </x:c>
      <x:c r="AH10" t="n">
        <x:f>BB10*$AC10/$AW10</x:f>
        <x:v>160.55020417695818</x:v>
      </x:c>
      <x:c r="AI10" t="n">
        <x:f>Y10*(1-'Assumptions'!$F$3)+AS10*'Assumptions'!$G$3-AS10*'LMAT Model'!$B$65-(AS10-'Inputs'!$B$14)*'Assumptions'!$H$3-'Assumptions'!$I$3</x:f>
        <x:v>53.924431200000015</x:v>
      </x:c>
      <x:c r="AJ10" t="n">
        <x:f>Z10*(1-'Assumptions'!$F$3)+AT10*'Assumptions'!$G$3-AT10*'LMAT Model'!$C$65-(AT10-AS10)*'Assumptions'!$H$3-0</x:f>
        <x:v>63.92768572800001</x:v>
      </x:c>
      <x:c r="AK10" t="n">
        <x:f>AA10*(1-'Assumptions'!$F$3)+AU10*'Assumptions'!$G$3-AU10*'LMAT Model'!$D$65-(AU10-AT10)*'Assumptions'!$H$3-0</x:f>
        <x:v>71.68714462080001</x:v>
      </x:c>
      <x:c r="AL10" t="n">
        <x:f>AB10*(1-'Assumptions'!$F$3)+AV10*'Assumptions'!$G$3-AV10*'LMAT Model'!$E$65-(AV10-AU10)*'Assumptions'!$H$3-0</x:f>
        <x:v>78.85054796912642</x:v>
      </x:c>
      <x:c r="AM10" t="n">
        <x:f>AC10*(1-'Assumptions'!$F$3)+AW10*'Assumptions'!$G$3-AW10*'LMAT Model'!$F$65-(AW10-AV10)*'Assumptions'!$H$3-0</x:f>
        <x:v>86.70129812761193</x:v>
      </x:c>
      <x:c r="AN10" t="n">
        <x:f>AD10*(1-'Assumptions'!$F$3)+AX10*'Assumptions'!$G$3-AX10*'LMAT Model'!$G$65-(AX10-AW10)*'Assumptions'!$H$3-0</x:f>
        <x:v>93.63496612573516</x:v>
      </x:c>
      <x:c r="AO10" t="n">
        <x:f>AE10*(1-'Assumptions'!$F$3)+AY10*'Assumptions'!$G$3-AY10*'LMAT Model'!$H$65-(AY10-AX10)*'Assumptions'!$H$3-0</x:f>
        <x:v>100.18680739280491</x:v>
      </x:c>
      <x:c r="AP10" t="n">
        <x:f>AF10*(1-'Assumptions'!$F$3)+AZ10*'Assumptions'!$G$3-AZ10*'LMAT Model'!$I$65-(AZ10-AY10)*'Assumptions'!$H$3-0</x:f>
        <x:v>106.19525309293756</x:v>
      </x:c>
      <x:c r="AQ10" t="n">
        <x:f>AG10*(1-'Assumptions'!$F$3)+BA10*'Assumptions'!$G$3-BA10*'LMAT Model'!$J$65-(BA10-AZ10)*'Assumptions'!$H$3-0</x:f>
        <x:v>111.50211486697704</x:v>
      </x:c>
      <x:c r="AR10" t="n">
        <x:f>AH10*(1-'Assumptions'!$F$3)+BB10*'Assumptions'!$G$3-BB10*'LMAT Model'!$K$65-(BB10-BA10)*'Assumptions'!$H$3-0</x:f>
        <x:v>115.95918254582443</x:v>
      </x:c>
      <x:c r="AS10" t="n">
        <x:f>E10+O10</x:f>
        <x:v>298.40400000000005</x:v>
      </x:c>
      <x:c r="AT10" t="n">
        <x:f>F10+P10</x:f>
        <x:v>322.27632000000006</x:v>
      </x:c>
      <x:c r="AU10" t="n">
        <x:f>G10+Q10</x:f>
        <x:v>348.0584256000001</x:v>
      </x:c>
      <x:c r="AV10" t="n">
        <x:f>H10+R10</x:f>
        <x:v>375.9030996480001</x:v>
      </x:c>
      <x:c r="AW10" t="n">
        <x:f>I10+S10</x:f>
        <x:v>405.9753476198401</x:v>
      </x:c>
      <x:c r="AX10" t="n">
        <x:f>J10+T10</x:f>
        <x:v>434.3936219532289</x:v>
      </x:c>
      <x:c r="AY10" t="n">
        <x:f>K10+U10</x:f>
        <x:v>460.45723927042263</x:v>
      </x:c>
      <x:c r="AZ10" t="n">
        <x:f>L10+V10</x:f>
        <x:v>483.4801012339438</x:v>
      </x:c>
      <x:c r="BA10" t="n">
        <x:f>M10+W10</x:f>
        <x:v>502.81930528330156</x:v>
      </x:c>
      <x:c r="BB10" t="n">
        <x:f>N10+X10</x:f>
        <x:v>517.9038844418006</x:v>
      </x:c>
      <x:c r="BC10" t="n">
        <x:f>AS10/'Inputs'!$B$14-1</x:f>
        <x:v>0.08000000000000007</x:v>
      </x:c>
      <x:c r="BD10" t="n">
        <x:f>AT10/AS10-1</x:f>
        <x:v>0.08000000000000007</x:v>
      </x:c>
      <x:c r="BE10" t="n">
        <x:f>AU10/AT10-1</x:f>
        <x:v>0.08000000000000007</x:v>
      </x:c>
      <x:c r="BF10" t="n">
        <x:f>AV10/AU10-1</x:f>
        <x:v>0.08000000000000007</x:v>
      </x:c>
      <x:c r="BG10" t="n">
        <x:f>AW10/AV10-1</x:f>
        <x:v>0.08000000000000007</x:v>
      </x:c>
      <x:c r="BH10" t="n">
        <x:f>AX10/AW10-1</x:f>
        <x:v>0.07000000000000006</x:v>
      </x:c>
      <x:c r="BI10" t="n">
        <x:f>AY10/AX10-1</x:f>
        <x:v>0.06000000000000005</x:v>
      </x:c>
      <x:c r="BJ10" t="n">
        <x:f>AZ10/AY10-1</x:f>
        <x:v>0.050000000000000044</x:v>
      </x:c>
      <x:c r="BK10" t="n">
        <x:f>BA10/AZ10-1</x:f>
        <x:v>0.040000000000000036</x:v>
      </x:c>
      <x:c r="BL10" t="n">
        <x:f>BB10/BA10-1</x:f>
        <x:v>0.030000000000000027</x:v>
      </x:c>
      <x:c r="BM10" t="n">
        <x:f>AH10*(1-'Assumptions'!$F$3)*(1+'Assumptions'!$D$3)*(1-'Assumptions'!$D$3/'Assumptions'!$E$3)</x:f>
        <x:v>110.59725585015612</x:v>
      </x:c>
      <x:c r="BN10" t="n">
        <x:f>SUMPRODUCT(AI10:AR10,'LMAT Model'!$B$83:$K$83)+BM10/('Assumptions'!$C$3-'Assumptions'!$D$3)*'LMAT Model'!$K$83</x:f>
        <x:v>1118.350680459319</x:v>
      </x:c>
      <x:c r="BO10" t="n">
        <x:f>'LMAT Model'!$B$94</x:f>
        <x:v>178</x:v>
      </x:c>
      <x:c r="BP10" t="n">
        <x:f>'Inputs'!$B$8</x:f>
        <x:v>23.088</x:v>
      </x:c>
    </x:row>
    <x:row r="11">
      <x:c r="A11" t="str">
        <x:v>LMAT</x:v>
      </x:c>
      <x:c r="B11" s="22" t="n">
        <x:v>0.09</x:v>
      </x:c>
      <x:c r="C11" s="42" t="n">
        <x:f>MIN((BN11+BO11)/BP11,(BN11+BO11+'Inputs'!$B$7)/(BP11+'Inputs'!$B$19))</x:f>
        <x:v>58.75418983311979</x:v>
      </x:c>
      <x:c r="D11" s="22" t="n">
        <x:f>C11/'Inputs'!$B$5-1</x:f>
        <x:v>-0.27167237097905306</x:v>
      </x:c>
      <x:c r="E11" t="n">
        <x:f>'Inputs'!$B$14*(1+$B11)^1</x:f>
        <x:v>301.16700000000003</x:v>
      </x:c>
      <x:c r="F11" t="n">
        <x:f>'Inputs'!$B$14*(1+$B11)^2</x:f>
        <x:v>328.27203000000003</x:v>
      </x:c>
      <x:c r="G11" t="n">
        <x:f>'Inputs'!$B$14*(1+$B11)^3</x:f>
        <x:v>357.8165127000001</x:v>
      </x:c>
      <x:c r="H11" t="n">
        <x:f>'Inputs'!$B$14*(1+$B11)^4</x:f>
        <x:v>390.0199988430001</x:v>
      </x:c>
      <x:c r="I11" t="n">
        <x:f>'Inputs'!$B$14*(1+$B11)^5</x:f>
        <x:v>425.12179873887015</x:v>
      </x:c>
      <x:c r="J11" t="n">
        <x:f>I11*(1+($BG11+('Assumptions'!$D$3-$BG11)*(6-5)/5))</x:f>
        <x:v>458.28129904050206</x:v>
      </x:c>
      <x:c r="K11" t="n">
        <x:f>J11*(1+($BG11+('Assumptions'!$D$3-$BG11)*(7-5)/5))</x:f>
        <x:v>488.52786477717524</x:v>
      </x:c>
      <x:c r="L11" t="n">
        <x:f>K11*(1+($BG11+('Assumptions'!$D$3-$BG11)*(8-5)/5))</x:f>
        <x:v>514.9083694751428</x:v>
      </x:c>
      <x:c r="M11" t="n">
        <x:f>L11*(1+($BG11+('Assumptions'!$D$3-$BG11)*(9-5)/5))</x:f>
        <x:v>536.5345209930988</x:v>
      </x:c>
      <x:c r="N11" t="n">
        <x:f>M11*(1+($BG11+('Assumptions'!$D$3-$BG11)*(10-5)/5))</x:f>
        <x:v>552.6305566228917</x:v>
      </x:c>
      <x:c r="O11" t="n">
        <x:f>0</x:f>
        <x:v>0</x:v>
      </x:c>
      <x:c r="P11" t="n">
        <x:f>0</x:f>
        <x:v>0</x:v>
      </x:c>
      <x:c r="Q11" t="n">
        <x:f>0</x:f>
        <x:v>0</x:v>
      </x:c>
      <x:c r="R11" t="n">
        <x:f>0</x:f>
        <x:v>0</x:v>
      </x:c>
      <x:c r="S11" t="n">
        <x:f>0</x:f>
        <x:v>0</x:v>
      </x:c>
      <x:c r="T11" t="n">
        <x:f>S11*(1+($BG11+('Assumptions'!$D$3-$BG11)*(6-5)/5))</x:f>
        <x:v>0</x:v>
      </x:c>
      <x:c r="U11" t="n">
        <x:f>T11*(1+($BG11+('Assumptions'!$D$3-$BG11)*(7-5)/5))</x:f>
        <x:v>0</x:v>
      </x:c>
      <x:c r="V11" t="n">
        <x:f>U11*(1+($BG11+('Assumptions'!$D$3-$BG11)*(8-5)/5))</x:f>
        <x:v>0</x:v>
      </x:c>
      <x:c r="W11" t="n">
        <x:f>V11*(1+($BG11+('Assumptions'!$D$3-$BG11)*(9-5)/5))</x:f>
        <x:v>0</x:v>
      </x:c>
      <x:c r="X11" t="n">
        <x:f>W11*(1+($BG11+('Assumptions'!$D$3-$BG11)*(10-5)/5))</x:f>
        <x:v>0</x:v>
      </x:c>
      <x:c r="Y11" t="n">
        <x:f>E11*'LMAT Model'!$B$62+O11*'LMAT Model'!$B$63+'LMAT Model'!$B$73+'LMAT Model'!$B$74</x:f>
        <x:v>84.32676000000002</x:v>
      </x:c>
      <x:c r="Z11" t="n">
        <x:f>F11*'LMAT Model'!$C$62+P11*'LMAT Model'!$C$63+'LMAT Model'!$C$73+'LMAT Model'!$C$74</x:f>
        <x:v>95.1988887</x:v>
      </x:c>
      <x:c r="AA11" t="n">
        <x:f>G11*'LMAT Model'!$D$62+Q11*'LMAT Model'!$D$63+'LMAT Model'!$D$73+'LMAT Model'!$D$74</x:f>
        <x:v>107.34495381000002</x:v>
      </x:c>
      <x:c r="AB11" t="n">
        <x:f>H11*'LMAT Model'!$E$62+R11*'LMAT Model'!$E$63+'LMAT Model'!$E$73+'LMAT Model'!$E$74</x:f>
        <x:v>118.95609964711502</x:v>
      </x:c>
      <x:c r="AC11" t="n">
        <x:f>I11*'LMAT Model'!$F$62+S11*'LMAT Model'!$F$63+'LMAT Model'!$F$73+'LMAT Model'!$F$74</x:f>
        <x:v>131.78775760904975</x:v>
      </x:c>
      <x:c r="AD11" t="n">
        <x:f>AX11*$AC11/$AW11</x:f>
        <x:v>142.06720270255565</x:v>
      </x:c>
      <x:c r="AE11" t="n">
        <x:f>AY11*$AC11/$AW11</x:f>
        <x:v>151.44363808092433</x:v>
      </x:c>
      <x:c r="AF11" t="n">
        <x:f>AZ11*$AC11/$AW11</x:f>
        <x:v>159.62159453729427</x:v>
      </x:c>
      <x:c r="AG11" t="n">
        <x:f>BA11*$AC11/$AW11</x:f>
        <x:v>166.32570150786063</x:v>
      </x:c>
      <x:c r="AH11" t="n">
        <x:f>BB11*$AC11/$AW11</x:f>
        <x:v>171.31547255309644</x:v>
      </x:c>
      <x:c r="AI11" t="n">
        <x:f>Y11*(1-'Assumptions'!$F$3)+AS11*'Assumptions'!$G$3-AS11*'LMAT Model'!$B$65-(AS11-'Inputs'!$B$14)*'Assumptions'!$H$3-'Assumptions'!$I$3</x:f>
        <x:v>53.863092600000016</x:v>
      </x:c>
      <x:c r="AJ11" t="n">
        <x:f>Z11*(1-'Assumptions'!$F$3)+AT11*'Assumptions'!$G$3-AT11*'LMAT Model'!$C$65-(AT11-AS11)*'Assumptions'!$H$3-0</x:f>
        <x:v>64.475638362</x:v>
      </x:c>
      <x:c r="AK11" t="n">
        <x:f>AA11*(1-'Assumptions'!$F$3)+AU11*'Assumptions'!$G$3-AU11*'LMAT Model'!$D$65-(AU11-AT11)*'Assumptions'!$H$3-0</x:f>
        <x:v>72.99785131109999</x:v>
      </x:c>
      <x:c r="AL11" t="n">
        <x:f>AB11*(1-'Assumptions'!$F$3)+AV11*'Assumptions'!$G$3-AV11*'LMAT Model'!$E$65-(AV11-AU11)*'Assumptions'!$H$3-0</x:f>
        <x:v>81.04973392470242</x:v>
      </x:c>
      <x:c r="AM11" t="n">
        <x:f>AC11*(1-'Assumptions'!$F$3)+AW11*'Assumptions'!$G$3-AW11*'LMAT Model'!$F$65-(AW11-AV11)*'Assumptions'!$H$3-0</x:f>
        <x:v>89.95967281313335</x:v>
      </x:c>
      <x:c r="AN11" t="n">
        <x:f>AD11*(1-'Assumptions'!$F$3)+AX11*'Assumptions'!$G$3-AX11*'LMAT Model'!$G$65-(AX11-AW11)*'Assumptions'!$H$3-0</x:f>
        <x:v>98.05298248936444</x:v>
      </x:c>
      <x:c r="AO11" t="n">
        <x:f>AE11*(1-'Assumptions'!$F$3)+AY11*'Assumptions'!$G$3-AY11*'LMAT Model'!$H$65-(AY11-AX11)*'Assumptions'!$H$3-0</x:f>
        <x:v>105.69781549818178</x:v>
      </x:c>
      <x:c r="AP11" t="n">
        <x:f>AF11*(1-'Assumptions'!$F$3)+AZ11*'Assumptions'!$G$3-AZ11*'LMAT Model'!$I$65-(AZ11-AY11)*'Assumptions'!$H$3-0</x:f>
        <x:v>112.6703539204354</x:v>
      </x:c>
      <x:c r="AQ11" t="n">
        <x:f>AG11*(1-'Assumptions'!$F$3)+BA11*'Assumptions'!$G$3-BA11*'LMAT Model'!$J$65-(BA11-AZ11)*'Assumptions'!$H$3-0</x:f>
        <x:v>118.75084569187872</x:v>
      </x:c>
      <x:c r="AR11" t="n">
        <x:f>AH11*(1-'Assumptions'!$F$3)+BB11*'Assumptions'!$G$3-BB11*'LMAT Model'!$K$65-(BB11-BA11)*'Assumptions'!$H$3-0</x:f>
        <x:v>123.73451816238648</x:v>
      </x:c>
      <x:c r="AS11" t="n">
        <x:f>E11+O11</x:f>
        <x:v>301.16700000000003</x:v>
      </x:c>
      <x:c r="AT11" t="n">
        <x:f>F11+P11</x:f>
        <x:v>328.27203000000003</x:v>
      </x:c>
      <x:c r="AU11" t="n">
        <x:f>G11+Q11</x:f>
        <x:v>357.8165127000001</x:v>
      </x:c>
      <x:c r="AV11" t="n">
        <x:f>H11+R11</x:f>
        <x:v>390.0199988430001</x:v>
      </x:c>
      <x:c r="AW11" t="n">
        <x:f>I11+S11</x:f>
        <x:v>425.12179873887015</x:v>
      </x:c>
      <x:c r="AX11" t="n">
        <x:f>J11+T11</x:f>
        <x:v>458.28129904050206</x:v>
      </x:c>
      <x:c r="AY11" t="n">
        <x:f>K11+U11</x:f>
        <x:v>488.52786477717524</x:v>
      </x:c>
      <x:c r="AZ11" t="n">
        <x:f>L11+V11</x:f>
        <x:v>514.9083694751428</x:v>
      </x:c>
      <x:c r="BA11" t="n">
        <x:f>M11+W11</x:f>
        <x:v>536.5345209930988</x:v>
      </x:c>
      <x:c r="BB11" t="n">
        <x:f>N11+X11</x:f>
        <x:v>552.6305566228917</x:v>
      </x:c>
      <x:c r="BC11" t="n">
        <x:f>AS11/'Inputs'!$B$14-1</x:f>
        <x:v>0.09000000000000008</x:v>
      </x:c>
      <x:c r="BD11" t="n">
        <x:f>AT11/AS11-1</x:f>
        <x:v>0.09000000000000008</x:v>
      </x:c>
      <x:c r="BE11" t="n">
        <x:f>AU11/AT11-1</x:f>
        <x:v>0.09000000000000008</x:v>
      </x:c>
      <x:c r="BF11" t="n">
        <x:f>AV11/AU11-1</x:f>
        <x:v>0.09000000000000008</x:v>
      </x:c>
      <x:c r="BG11" t="n">
        <x:f>AW11/AV11-1</x:f>
        <x:v>0.09000000000000008</x:v>
      </x:c>
      <x:c r="BH11" t="n">
        <x:f>AX11/AW11-1</x:f>
        <x:v>0.07800000000000007</x:v>
      </x:c>
      <x:c r="BI11" t="n">
        <x:f>AY11/AX11-1</x:f>
        <x:v>0.06600000000000006</x:v>
      </x:c>
      <x:c r="BJ11" t="n">
        <x:f>AZ11/AY11-1</x:f>
        <x:v>0.05400000000000005</x:v>
      </x:c>
      <x:c r="BK11" t="n">
        <x:f>BA11/AZ11-1</x:f>
        <x:v>0.04200000000000004</x:v>
      </x:c>
      <x:c r="BL11" t="n">
        <x:f>BB11/BA11-1</x:f>
        <x:v>0.030000000000000027</x:v>
      </x:c>
      <x:c r="BM11" t="n">
        <x:f>AH11*(1-'Assumptions'!$F$3)*(1+'Assumptions'!$D$3)*(1-'Assumptions'!$D$3/'Assumptions'!$E$3)</x:f>
        <x:v>118.01306168481624</x:v>
      </x:c>
      <x:c r="BN11" t="n">
        <x:f>SUMPRODUCT(AI11:AR11,'LMAT Model'!$B$83:$K$83)+BM11/('Assumptions'!$C$3-'Assumptions'!$D$3)*'LMAT Model'!$K$83</x:f>
        <x:v>1178.5167348670698</x:v>
      </x:c>
      <x:c r="BO11" t="n">
        <x:f>'LMAT Model'!$B$94</x:f>
        <x:v>178</x:v>
      </x:c>
      <x:c r="BP11" t="n">
        <x:f>'Inputs'!$B$8</x:f>
        <x:v>23.088</x:v>
      </x:c>
    </x:row>
    <x:row r="12">
      <x:c r="A12" t="str">
        <x:v>LMAT</x:v>
      </x:c>
      <x:c r="B12" s="22" t="n">
        <x:v>0.1</x:v>
      </x:c>
      <x:c r="C12" s="42" t="n">
        <x:f>MIN((BN12+BO12)/BP12,(BN12+BO12+'Inputs'!$B$7)/(BP12+'Inputs'!$B$19))</x:f>
        <x:v>61.49829275568141</x:v>
      </x:c>
      <x:c r="D12" s="22" t="n">
        <x:f>C12/'Inputs'!$B$5-1</x:f>
        <x:v>-0.23765597179023912</x:v>
      </x:c>
      <x:c r="E12" t="n">
        <x:f>'Inputs'!$B$14*(1+$B12)^1</x:f>
        <x:v>303.93000000000006</x:v>
      </x:c>
      <x:c r="F12" t="n">
        <x:f>'Inputs'!$B$14*(1+$B12)^2</x:f>
        <x:v>334.3230000000001</x:v>
      </x:c>
      <x:c r="G12" t="n">
        <x:f>'Inputs'!$B$14*(1+$B12)^3</x:f>
        <x:v>367.75530000000015</x:v>
      </x:c>
      <x:c r="H12" t="n">
        <x:f>'Inputs'!$B$14*(1+$B12)^4</x:f>
        <x:v>404.53083000000015</x:v>
      </x:c>
      <x:c r="I12" t="n">
        <x:f>'Inputs'!$B$14*(1+$B12)^5</x:f>
        <x:v>444.98391300000014</x:v>
      </x:c>
      <x:c r="J12" t="n">
        <x:f>I12*(1+($BG12+('Assumptions'!$D$3-$BG12)*(6-5)/5))</x:f>
        <x:v>483.2525295180001</x:v>
      </x:c>
      <x:c r="K12" t="n">
        <x:f>J12*(1+($BG12+('Assumptions'!$D$3-$BG12)*(7-5)/5))</x:f>
        <x:v>518.046711643296</x:v>
      </x:c>
      <x:c r="L12" t="n">
        <x:f>K12*(1+($BG12+('Assumptions'!$D$3-$BG12)*(8-5)/5))</x:f>
        <x:v>548.0934209186072</x:v>
      </x:c>
      <x:c r="M12" t="n">
        <x:f>L12*(1+($BG12+('Assumptions'!$D$3-$BG12)*(9-5)/5))</x:f>
        <x:v>572.2095314390259</x:v>
      </x:c>
      <x:c r="N12" t="n">
        <x:f>M12*(1+($BG12+('Assumptions'!$D$3-$BG12)*(10-5)/5))</x:f>
        <x:v>589.3758173821967</x:v>
      </x:c>
      <x:c r="O12" t="n">
        <x:f>0</x:f>
        <x:v>0</x:v>
      </x:c>
      <x:c r="P12" t="n">
        <x:f>0</x:f>
        <x:v>0</x:v>
      </x:c>
      <x:c r="Q12" t="n">
        <x:f>0</x:f>
        <x:v>0</x:v>
      </x:c>
      <x:c r="R12" t="n">
        <x:f>0</x:f>
        <x:v>0</x:v>
      </x:c>
      <x:c r="S12" t="n">
        <x:f>0</x:f>
        <x:v>0</x:v>
      </x:c>
      <x:c r="T12" t="n">
        <x:f>S12*(1+($BG12+('Assumptions'!$D$3-$BG12)*(6-5)/5))</x:f>
        <x:v>0</x:v>
      </x:c>
      <x:c r="U12" t="n">
        <x:f>T12*(1+($BG12+('Assumptions'!$D$3-$BG12)*(7-5)/5))</x:f>
        <x:v>0</x:v>
      </x:c>
      <x:c r="V12" t="n">
        <x:f>U12*(1+($BG12+('Assumptions'!$D$3-$BG12)*(8-5)/5))</x:f>
        <x:v>0</x:v>
      </x:c>
      <x:c r="W12" t="n">
        <x:f>V12*(1+($BG12+('Assumptions'!$D$3-$BG12)*(9-5)/5))</x:f>
        <x:v>0</x:v>
      </x:c>
      <x:c r="X12" t="n">
        <x:f>W12*(1+($BG12+('Assumptions'!$D$3-$BG12)*(10-5)/5))</x:f>
        <x:v>0</x:v>
      </x:c>
      <x:c r="Y12" t="n">
        <x:f>E12*'LMAT Model'!$B$62+O12*'LMAT Model'!$B$63+'LMAT Model'!$B$73+'LMAT Model'!$B$74</x:f>
        <x:v>85.10040000000002</x:v>
      </x:c>
      <x:c r="Z12" t="n">
        <x:f>F12*'LMAT Model'!$C$62+P12*'LMAT Model'!$C$63+'LMAT Model'!$C$73+'LMAT Model'!$C$74</x:f>
        <x:v>96.95367000000002</x:v>
      </x:c>
      <x:c r="AA12" t="n">
        <x:f>G12*'LMAT Model'!$D$62+Q12*'LMAT Model'!$D$63+'LMAT Model'!$D$73+'LMAT Model'!$D$74</x:f>
        <x:v>110.32659000000004</x:v>
      </x:c>
      <x:c r="AB12" t="n">
        <x:f>H12*'LMAT Model'!$E$62+R12*'LMAT Model'!$E$63+'LMAT Model'!$E$73+'LMAT Model'!$E$74</x:f>
        <x:v>123.38190315000004</x:v>
      </x:c>
      <x:c r="AC12" t="n">
        <x:f>I12*'LMAT Model'!$F$62+S12*'LMAT Model'!$F$63+'LMAT Model'!$F$73+'LMAT Model'!$F$74</x:f>
        <x:v>137.94501303000004</x:v>
      </x:c>
      <x:c r="AD12" t="n">
        <x:f>AX12*$AC12/$AW12</x:f>
        <x:v>149.80828415058002</x:v>
      </x:c>
      <x:c r="AE12" t="n">
        <x:f>AY12*$AC12/$AW12</x:f>
        <x:v>160.59448060942177</x:v>
      </x:c>
      <x:c r="AF12" t="n">
        <x:f>AZ12*$AC12/$AW12</x:f>
        <x:v>169.90896048476822</x:v>
      </x:c>
      <x:c r="AG12" t="n">
        <x:f>BA12*$AC12/$AW12</x:f>
        <x:v>177.38495474609803</x:v>
      </x:c>
      <x:c r="AH12" t="n">
        <x:f>BB12*$AC12/$AW12</x:f>
        <x:v>182.706503388481</x:v>
      </x:c>
      <x:c r="AI12" t="n">
        <x:f>Y12*(1-'Assumptions'!$F$3)+AS12*'Assumptions'!$G$3-AS12*'LMAT Model'!$B$65-(AS12-'Inputs'!$B$14)*'Assumptions'!$H$3-'Assumptions'!$I$3</x:f>
        <x:v>53.801754</x:v>
      </x:c>
      <x:c r="AJ12" t="n">
        <x:f>Z12*(1-'Assumptions'!$F$3)+AT12*'Assumptions'!$G$3-AT12*'LMAT Model'!$C$65-(AT12-AS12)*'Assumptions'!$H$3-0</x:f>
        <x:v>65.0227842</x:v>
      </x:c>
      <x:c r="AK12" t="n">
        <x:f>AA12*(1-'Assumptions'!$F$3)+AU12*'Assumptions'!$G$3-AU12*'LMAT Model'!$D$65-(AU12-AT12)*'Assumptions'!$H$3-0</x:f>
        <x:v>74.32000290000002</x:v>
      </x:c>
      <x:c r="AL12" t="n">
        <x:f>AB12*(1-'Assumptions'!$F$3)+AV12*'Assumptions'!$G$3-AV12*'LMAT Model'!$E$65-(AV12-AU12)*'Assumptions'!$H$3-0</x:f>
        <x:v>83.28922034400003</x:v>
      </x:c>
      <x:c r="AM12" t="n">
        <x:f>AC12*(1-'Assumptions'!$F$3)+AW12*'Assumptions'!$G$3-AW12*'LMAT Model'!$F$65-(AW12-AV12)*'Assumptions'!$H$3-0</x:f>
        <x:v>93.30908124780004</x:v>
      </x:c>
      <x:c r="AN12" t="n">
        <x:f>AD12*(1-'Assumptions'!$F$3)+AX12*'Assumptions'!$G$3-AX12*'LMAT Model'!$G$65-(AX12-AW12)*'Assumptions'!$H$3-0</x:f>
        <x:v>102.63625150771082</x:v>
      </x:c>
      <x:c r="AO12" t="n">
        <x:f>AE12*(1-'Assumptions'!$F$3)+AY12*'Assumptions'!$G$3-AY12*'LMAT Model'!$H$65-(AY12-AX12)*'Assumptions'!$H$3-0</x:f>
        <x:v>111.458909816126</x:v>
      </x:c>
      <x:c r="AP12" t="n">
        <x:f>AF12*(1-'Assumptions'!$F$3)+AZ12*'Assumptions'!$G$3-AZ12*'LMAT Model'!$I$65-(AZ12-AY12)*'Assumptions'!$H$3-0</x:f>
        <x:v>119.47959973050922</x:v>
      </x:c>
      <x:c r="AQ12" t="n">
        <x:f>AG12*(1-'Assumptions'!$F$3)+BA12*'Assumptions'!$G$3-BA12*'LMAT Model'!$J$65-(BA12-AZ12)*'Assumptions'!$H$3-0</x:f>
        <x:v>126.40481253014309</x:v>
      </x:c>
      <x:c r="AR12" t="n">
        <x:f>AH12*(1-'Assumptions'!$F$3)+BB12*'Assumptions'!$G$3-BB12*'LMAT Model'!$K$65-(BB12-BA12)*'Assumptions'!$H$3-0</x:f>
        <x:v>131.9618177214053</x:v>
      </x:c>
      <x:c r="AS12" t="n">
        <x:f>E12+O12</x:f>
        <x:v>303.93000000000006</x:v>
      </x:c>
      <x:c r="AT12" t="n">
        <x:f>F12+P12</x:f>
        <x:v>334.3230000000001</x:v>
      </x:c>
      <x:c r="AU12" t="n">
        <x:f>G12+Q12</x:f>
        <x:v>367.75530000000015</x:v>
      </x:c>
      <x:c r="AV12" t="n">
        <x:f>H12+R12</x:f>
        <x:v>404.53083000000015</x:v>
      </x:c>
      <x:c r="AW12" t="n">
        <x:f>I12+S12</x:f>
        <x:v>444.98391300000014</x:v>
      </x:c>
      <x:c r="AX12" t="n">
        <x:f>J12+T12</x:f>
        <x:v>483.2525295180001</x:v>
      </x:c>
      <x:c r="AY12" t="n">
        <x:f>K12+U12</x:f>
        <x:v>518.046711643296</x:v>
      </x:c>
      <x:c r="AZ12" t="n">
        <x:f>L12+V12</x:f>
        <x:v>548.0934209186072</x:v>
      </x:c>
      <x:c r="BA12" t="n">
        <x:f>M12+W12</x:f>
        <x:v>572.2095314390259</x:v>
      </x:c>
      <x:c r="BB12" t="n">
        <x:f>N12+X12</x:f>
        <x:v>589.3758173821967</x:v>
      </x:c>
      <x:c r="BC12" t="n">
        <x:f>AS12/'Inputs'!$B$14-1</x:f>
        <x:v>0.10000000000000009</x:v>
      </x:c>
      <x:c r="BD12" t="n">
        <x:f>AT12/AS12-1</x:f>
        <x:v>0.10000000000000009</x:v>
      </x:c>
      <x:c r="BE12" t="n">
        <x:f>AU12/AT12-1</x:f>
        <x:v>0.10000000000000009</x:v>
      </x:c>
      <x:c r="BF12" t="n">
        <x:f>AV12/AU12-1</x:f>
        <x:v>0.09999999999999987</x:v>
      </x:c>
      <x:c r="BG12" t="n">
        <x:f>AW12/AV12-1</x:f>
        <x:v>0.09999999999999987</x:v>
      </x:c>
      <x:c r="BH12" t="n">
        <x:f>AX12/AW12-1</x:f>
        <x:v>0.08599999999999985</x:v>
      </x:c>
      <x:c r="BI12" t="n">
        <x:f>AY12/AX12-1</x:f>
        <x:v>0.07199999999999984</x:v>
      </x:c>
      <x:c r="BJ12" t="n">
        <x:f>AZ12/AY12-1</x:f>
        <x:v>0.05800000000000005</x:v>
      </x:c>
      <x:c r="BK12" t="n">
        <x:f>BA12/AZ12-1</x:f>
        <x:v>0.04400000000000004</x:v>
      </x:c>
      <x:c r="BL12" t="n">
        <x:f>BB12/BA12-1</x:f>
        <x:v>0.030000000000000027</x:v>
      </x:c>
      <x:c r="BM12" t="n">
        <x:f>AH12*(1-'Assumptions'!$F$3)*(1+'Assumptions'!$D$3)*(1-'Assumptions'!$D$3/'Assumptions'!$E$3)</x:f>
        <x:v>125.85993275020259</x:v>
      </x:c>
      <x:c r="BN12" t="n">
        <x:f>SUMPRODUCT(AI12:AR12,'LMAT Model'!$B$83:$K$83)+BM12/('Assumptions'!$C$3-'Assumptions'!$D$3)*'LMAT Model'!$K$83</x:f>
        <x:v>1241.8725831431725</x:v>
      </x:c>
      <x:c r="BO12" t="n">
        <x:f>'LMAT Model'!$B$94</x:f>
        <x:v>178</x:v>
      </x:c>
      <x:c r="BP12" t="n">
        <x:f>'Inputs'!$B$8</x:f>
        <x:v>23.088</x:v>
      </x:c>
    </x:row>
    <x:row r="13">
      <x:c r="A13" t="str">
        <x:v>LMAT</x:v>
      </x:c>
      <x:c r="B13" s="22" t="n">
        <x:v>0.11</x:v>
      </x:c>
      <x:c r="C13" s="42" t="n">
        <x:f>MIN((BN13+BO13)/BP13,(BN13+BO13+'Inputs'!$B$7)/(BP13+'Inputs'!$B$19))</x:f>
        <x:v>64.38702117642714</x:v>
      </x:c>
      <x:c r="D13" s="22" t="n">
        <x:f>C13/'Inputs'!$B$5-1</x:f>
        <x:v>-0.20184676860757234</x:v>
      </x:c>
      <x:c r="E13" t="n">
        <x:f>'Inputs'!$B$14*(1+$B13)^1</x:f>
        <x:v>306.69300000000004</x:v>
      </x:c>
      <x:c r="F13" t="n">
        <x:f>'Inputs'!$B$14*(1+$B13)^2</x:f>
        <x:v>340.4292300000001</x:v>
      </x:c>
      <x:c r="G13" t="n">
        <x:f>'Inputs'!$B$14*(1+$B13)^3</x:f>
        <x:v>377.8764453000001</x:v>
      </x:c>
      <x:c r="H13" t="n">
        <x:f>'Inputs'!$B$14*(1+$B13)^4</x:f>
        <x:v>419.44285428300014</x:v>
      </x:c>
      <x:c r="I13" t="n">
        <x:f>'Inputs'!$B$14*(1+$B13)^5</x:f>
        <x:v>465.58156825413016</x:v>
      </x:c>
      <x:c r="J13" t="n">
        <x:f>I13*(1+($BG13+('Assumptions'!$D$3-$BG13)*(6-5)/5))</x:f>
        <x:v>509.3462356700184</x:v>
      </x:c>
      <x:c r="K13" t="n">
        <x:f>J13*(1+($BG13+('Assumptions'!$D$3-$BG13)*(7-5)/5))</x:f>
        <x:v>549.0752420522799</x:v>
      </x:c>
      <x:c r="L13" t="n">
        <x:f>K13*(1+($BG13+('Assumptions'!$D$3-$BG13)*(8-5)/5))</x:f>
        <x:v>583.1179070595213</x:v>
      </x:c>
      <x:c r="M13" t="n">
        <x:f>L13*(1+($BG13+('Assumptions'!$D$3-$BG13)*(9-5)/5))</x:f>
        <x:v>609.9413307842592</x:v>
      </x:c>
      <x:c r="N13" t="n">
        <x:f>M13*(1+($BG13+('Assumptions'!$D$3-$BG13)*(10-5)/5))</x:f>
        <x:v>628.239570707787</x:v>
      </x:c>
      <x:c r="O13" t="n">
        <x:f>0</x:f>
        <x:v>0</x:v>
      </x:c>
      <x:c r="P13" t="n">
        <x:f>0</x:f>
        <x:v>0</x:v>
      </x:c>
      <x:c r="Q13" t="n">
        <x:f>0</x:f>
        <x:v>0</x:v>
      </x:c>
      <x:c r="R13" t="n">
        <x:f>0</x:f>
        <x:v>0</x:v>
      </x:c>
      <x:c r="S13" t="n">
        <x:f>0</x:f>
        <x:v>0</x:v>
      </x:c>
      <x:c r="T13" t="n">
        <x:f>S13*(1+($BG13+('Assumptions'!$D$3-$BG13)*(6-5)/5))</x:f>
        <x:v>0</x:v>
      </x:c>
      <x:c r="U13" t="n">
        <x:f>T13*(1+($BG13+('Assumptions'!$D$3-$BG13)*(7-5)/5))</x:f>
        <x:v>0</x:v>
      </x:c>
      <x:c r="V13" t="n">
        <x:f>U13*(1+($BG13+('Assumptions'!$D$3-$BG13)*(8-5)/5))</x:f>
        <x:v>0</x:v>
      </x:c>
      <x:c r="W13" t="n">
        <x:f>V13*(1+($BG13+('Assumptions'!$D$3-$BG13)*(9-5)/5))</x:f>
        <x:v>0</x:v>
      </x:c>
      <x:c r="X13" t="n">
        <x:f>W13*(1+($BG13+('Assumptions'!$D$3-$BG13)*(10-5)/5))</x:f>
        <x:v>0</x:v>
      </x:c>
      <x:c r="Y13" t="n">
        <x:f>E13*'LMAT Model'!$B$62+O13*'LMAT Model'!$B$63+'LMAT Model'!$B$73+'LMAT Model'!$B$74</x:f>
        <x:v>85.87404000000002</x:v>
      </x:c>
      <x:c r="Z13" t="n">
        <x:f>F13*'LMAT Model'!$C$62+P13*'LMAT Model'!$C$63+'LMAT Model'!$C$73+'LMAT Model'!$C$74</x:f>
        <x:v>98.72447670000001</x:v>
      </x:c>
      <x:c r="AA13" t="n">
        <x:f>G13*'LMAT Model'!$D$62+Q13*'LMAT Model'!$D$63+'LMAT Model'!$D$73+'LMAT Model'!$D$74</x:f>
        <x:v>113.36293359000003</x:v>
      </x:c>
      <x:c r="AB13" t="n">
        <x:f>H13*'LMAT Model'!$E$62+R13*'LMAT Model'!$E$63+'LMAT Model'!$E$73+'LMAT Model'!$E$74</x:f>
        <x:v>127.93007055631504</x:v>
      </x:c>
      <x:c r="AC13" t="n">
        <x:f>I13*'LMAT Model'!$F$62+S13*'LMAT Model'!$F$63+'LMAT Model'!$F$73+'LMAT Model'!$F$74</x:f>
        <x:v>144.33028615878035</x:v>
      </x:c>
      <x:c r="AD13" t="n">
        <x:f>AX13*$AC13/$AW13</x:f>
        <x:v>157.89733305770574</x:v>
      </x:c>
      <x:c r="AE13" t="n">
        <x:f>AY13*$AC13/$AW13</x:f>
        <x:v>170.21332503620678</x:v>
      </x:c>
      <x:c r="AF13" t="n">
        <x:f>AZ13*$AC13/$AW13</x:f>
        <x:v>180.7665511884516</x:v>
      </x:c>
      <x:c r="AG13" t="n">
        <x:f>BA13*$AC13/$AW13</x:f>
        <x:v>189.08181254312035</x:v>
      </x:c>
      <x:c r="AH13" t="n">
        <x:f>BB13*$AC13/$AW13</x:f>
        <x:v>194.754266919414</x:v>
      </x:c>
      <x:c r="AI13" t="n">
        <x:f>Y13*(1-'Assumptions'!$F$3)+AS13*'Assumptions'!$G$3-AS13*'LMAT Model'!$B$65-(AS13-'Inputs'!$B$14)*'Assumptions'!$H$3-'Assumptions'!$I$3</x:f>
        <x:v>53.74041540000001</x:v>
      </x:c>
      <x:c r="AJ13" t="n">
        <x:f>Z13*(1-'Assumptions'!$F$3)+AT13*'Assumptions'!$G$3-AT13*'LMAT Model'!$C$65-(AT13-AS13)*'Assumptions'!$H$3-0</x:f>
        <x:v>65.569123242</x:v>
      </x:c>
      <x:c r="AK13" t="n">
        <x:f>AA13*(1-'Assumptions'!$F$3)+AU13*'Assumptions'!$G$3-AU13*'LMAT Model'!$D$65-(AU13-AT13)*'Assumptions'!$H$3-0</x:f>
        <x:v>75.6535877829</x:v>
      </x:c>
      <x:c r="AL13" t="n">
        <x:f>AB13*(1-'Assumptions'!$F$3)+AV13*'Assumptions'!$G$3-AV13*'LMAT Model'!$E$65-(AV13-AU13)*'Assumptions'!$H$3-0</x:f>
        <x:v>85.56936528529444</x:v>
      </x:c>
      <x:c r="AM13" t="n">
        <x:f>AC13*(1-'Assumptions'!$F$3)+AW13*'Assumptions'!$G$3-AW13*'LMAT Model'!$F$65-(AW13-AV13)*'Assumptions'!$H$3-0</x:f>
        <x:v>96.7512054260425</x:v>
      </x:c>
      <x:c r="AN13" t="n">
        <x:f>AD13*(1-'Assumptions'!$F$3)+AX13*'Assumptions'!$G$3-AX13*'LMAT Model'!$G$65-(AX13-AW13)*'Assumptions'!$H$3-0</x:f>
        <x:v>107.38936843985196</x:v>
      </x:c>
      <x:c r="AO13" t="n">
        <x:f>AE13*(1-'Assumptions'!$F$3)+AY13*'Assumptions'!$G$3-AY13*'LMAT Model'!$H$65-(AY13-AX13)*'Assumptions'!$H$3-0</x:f>
        <x:v>117.4790793493356</x:v>
      </x:c>
      <x:c r="AP13" t="n">
        <x:f>AF13*(1-'Assumptions'!$F$3)+AZ13*'Assumptions'!$G$3-AZ13*'LMAT Model'!$I$65-(AZ13-AY13)*'Assumptions'!$H$3-0</x:f>
        <x:v>126.6371764162601</x:v>
      </x:c>
      <x:c r="AQ13" t="n">
        <x:f>AG13*(1-'Assumptions'!$F$3)+BA13*'Assumptions'!$G$3-BA13*'LMAT Model'!$J$65-(BA13-AZ13)*'Assumptions'!$H$3-0</x:f>
        <x:v>134.48308342216046</x:v>
      </x:c>
      <x:c r="AR13" t="n">
        <x:f>AH13*(1-'Assumptions'!$F$3)+BB13*'Assumptions'!$G$3-BB13*'LMAT Model'!$K$65-(BB13-BA13)*'Assumptions'!$H$3-0</x:f>
        <x:v>140.6634498228043</x:v>
      </x:c>
      <x:c r="AS13" t="n">
        <x:f>E13+O13</x:f>
        <x:v>306.69300000000004</x:v>
      </x:c>
      <x:c r="AT13" t="n">
        <x:f>F13+P13</x:f>
        <x:v>340.4292300000001</x:v>
      </x:c>
      <x:c r="AU13" t="n">
        <x:f>G13+Q13</x:f>
        <x:v>377.8764453000001</x:v>
      </x:c>
      <x:c r="AV13" t="n">
        <x:f>H13+R13</x:f>
        <x:v>419.44285428300014</x:v>
      </x:c>
      <x:c r="AW13" t="n">
        <x:f>I13+S13</x:f>
        <x:v>465.58156825413016</x:v>
      </x:c>
      <x:c r="AX13" t="n">
        <x:f>J13+T13</x:f>
        <x:v>509.3462356700184</x:v>
      </x:c>
      <x:c r="AY13" t="n">
        <x:f>K13+U13</x:f>
        <x:v>549.0752420522799</x:v>
      </x:c>
      <x:c r="AZ13" t="n">
        <x:f>L13+V13</x:f>
        <x:v>583.1179070595213</x:v>
      </x:c>
      <x:c r="BA13" t="n">
        <x:f>M13+W13</x:f>
        <x:v>609.9413307842592</x:v>
      </x:c>
      <x:c r="BB13" t="n">
        <x:f>N13+X13</x:f>
        <x:v>628.239570707787</x:v>
      </x:c>
      <x:c r="BC13" t="n">
        <x:f>AS13/'Inputs'!$B$14-1</x:f>
        <x:v>0.1100000000000001</x:v>
      </x:c>
      <x:c r="BD13" t="n">
        <x:f>AT13/AS13-1</x:f>
        <x:v>0.1100000000000001</x:v>
      </x:c>
      <x:c r="BE13" t="n">
        <x:f>AU13/AT13-1</x:f>
        <x:v>0.1100000000000001</x:v>
      </x:c>
      <x:c r="BF13" t="n">
        <x:f>AV13/AU13-1</x:f>
        <x:v>0.1100000000000001</x:v>
      </x:c>
      <x:c r="BG13" t="n">
        <x:f>AW13/AV13-1</x:f>
        <x:v>0.1100000000000001</x:v>
      </x:c>
      <x:c r="BH13" t="n">
        <x:f>AX13/AW13-1</x:f>
        <x:v>0.09400000000000008</x:v>
      </x:c>
      <x:c r="BI13" t="n">
        <x:f>AY13/AX13-1</x:f>
        <x:v>0.07800000000000007</x:v>
      </x:c>
      <x:c r="BJ13" t="n">
        <x:f>AZ13/AY13-1</x:f>
        <x:v>0.062000000000000055</x:v>
      </x:c>
      <x:c r="BK13" t="n">
        <x:f>BA13/AZ13-1</x:f>
        <x:v>0.04600000000000004</x:v>
      </x:c>
      <x:c r="BL13" t="n">
        <x:f>BB13/BA13-1</x:f>
        <x:v>0.030000000000000027</x:v>
      </x:c>
      <x:c r="BM13" t="n">
        <x:f>AH13*(1-'Assumptions'!$F$3)*(1+'Assumptions'!$D$3)*(1-'Assumptions'!$D$3/'Assumptions'!$E$3)</x:f>
        <x:v>134.15920332717522</x:v>
      </x:c>
      <x:c r="BN13" t="n">
        <x:f>SUMPRODUCT(AI13:AR13,'LMAT Model'!$B$83:$K$83)+BM13/('Assumptions'!$C$3-'Assumptions'!$D$3)*'LMAT Model'!$K$83</x:f>
        <x:v>1308.56754492135</x:v>
      </x:c>
      <x:c r="BO13" t="n">
        <x:f>'LMAT Model'!$B$94</x:f>
        <x:v>178</x:v>
      </x:c>
      <x:c r="BP13" t="n">
        <x:f>'Inputs'!$B$8</x:f>
        <x:v>23.088</x:v>
      </x:c>
    </x:row>
    <x:row r="14">
      <x:c r="A14" t="str">
        <x:v>LMAT</x:v>
      </x:c>
      <x:c r="B14" s="22" t="n">
        <x:v>0.12</x:v>
      </x:c>
      <x:c r="C14" s="42" t="n">
        <x:f>MIN((BN14+BO14)/BP14,(BN14+BO14+'Inputs'!$B$7)/(BP14+'Inputs'!$B$19))</x:f>
        <x:v>67.42709826318247</x:v>
      </x:c>
      <x:c r="D14" s="22" t="n">
        <x:f>C14/'Inputs'!$B$5-1</x:f>
        <x:v>-0.16416141981923305</x:v>
      </x:c>
      <x:c r="E14" t="n">
        <x:f>'Inputs'!$B$14*(1+$B14)^1</x:f>
        <x:v>309.456</x:v>
      </x:c>
      <x:c r="F14" t="n">
        <x:f>'Inputs'!$B$14*(1+$B14)^2</x:f>
        <x:v>346.5907200000001</x:v>
      </x:c>
      <x:c r="G14" t="n">
        <x:f>'Inputs'!$B$14*(1+$B14)^3</x:f>
        <x:v>388.18160640000013</x:v>
      </x:c>
      <x:c r="H14" t="n">
        <x:f>'Inputs'!$B$14*(1+$B14)^4</x:f>
        <x:v>434.7633991680001</x:v>
      </x:c>
      <x:c r="I14" t="n">
        <x:f>'Inputs'!$B$14*(1+$B14)^5</x:f>
        <x:v>486.93500706816013</x:v>
      </x:c>
      <x:c r="J14" t="n">
        <x:f>I14*(1+($BG14+('Assumptions'!$D$3-$BG14)*(6-5)/5))</x:f>
        <x:v>536.6023777891126</x:v>
      </x:c>
      <x:c r="K14" t="n">
        <x:f>J14*(1+($BG14+('Assumptions'!$D$3-$BG14)*(7-5)/5))</x:f>
        <x:v>581.676977523398</x:v>
      </x:c>
      <x:c r="L14" t="n">
        <x:f>K14*(1+($BG14+('Assumptions'!$D$3-$BG14)*(8-5)/5))</x:f>
        <x:v>620.0676580399423</x:v>
      </x:c>
      <x:c r="M14" t="n">
        <x:f>L14*(1+($BG14+('Assumptions'!$D$3-$BG14)*(9-5)/5))</x:f>
        <x:v>649.8309056258596</x:v>
      </x:c>
      <x:c r="N14" t="n">
        <x:f>M14*(1+($BG14+('Assumptions'!$D$3-$BG14)*(10-5)/5))</x:f>
        <x:v>669.3258327946354</x:v>
      </x:c>
      <x:c r="O14" t="n">
        <x:f>0</x:f>
        <x:v>0</x:v>
      </x:c>
      <x:c r="P14" t="n">
        <x:f>0</x:f>
        <x:v>0</x:v>
      </x:c>
      <x:c r="Q14" t="n">
        <x:f>0</x:f>
        <x:v>0</x:v>
      </x:c>
      <x:c r="R14" t="n">
        <x:f>0</x:f>
        <x:v>0</x:v>
      </x:c>
      <x:c r="S14" t="n">
        <x:f>0</x:f>
        <x:v>0</x:v>
      </x:c>
      <x:c r="T14" t="n">
        <x:f>S14*(1+($BG14+('Assumptions'!$D$3-$BG14)*(6-5)/5))</x:f>
        <x:v>0</x:v>
      </x:c>
      <x:c r="U14" t="n">
        <x:f>T14*(1+($BG14+('Assumptions'!$D$3-$BG14)*(7-5)/5))</x:f>
        <x:v>0</x:v>
      </x:c>
      <x:c r="V14" t="n">
        <x:f>U14*(1+($BG14+('Assumptions'!$D$3-$BG14)*(8-5)/5))</x:f>
        <x:v>0</x:v>
      </x:c>
      <x:c r="W14" t="n">
        <x:f>V14*(1+($BG14+('Assumptions'!$D$3-$BG14)*(9-5)/5))</x:f>
        <x:v>0</x:v>
      </x:c>
      <x:c r="X14" t="n">
        <x:f>W14*(1+($BG14+('Assumptions'!$D$3-$BG14)*(10-5)/5))</x:f>
        <x:v>0</x:v>
      </x:c>
      <x:c r="Y14" t="n">
        <x:f>E14*'LMAT Model'!$B$62+O14*'LMAT Model'!$B$63+'LMAT Model'!$B$73+'LMAT Model'!$B$74</x:f>
        <x:v>86.64768000000001</x:v>
      </x:c>
      <x:c r="Z14" t="n">
        <x:f>F14*'LMAT Model'!$C$62+P14*'LMAT Model'!$C$63+'LMAT Model'!$C$73+'LMAT Model'!$C$74</x:f>
        <x:v>100.51130880000002</x:v>
      </x:c>
      <x:c r="AA14" t="n">
        <x:f>G14*'LMAT Model'!$D$62+Q14*'LMAT Model'!$D$63+'LMAT Model'!$D$73+'LMAT Model'!$D$74</x:f>
        <x:v>116.45448192000003</x:v>
      </x:c>
      <x:c r="AB14" t="n">
        <x:f>H14*'LMAT Model'!$E$62+R14*'LMAT Model'!$E$63+'LMAT Model'!$E$73+'LMAT Model'!$E$74</x:f>
        <x:v>132.60283674624003</x:v>
      </x:c>
      <x:c r="AC14" t="n">
        <x:f>I14*'LMAT Model'!$F$62+S14*'LMAT Model'!$F$63+'LMAT Model'!$F$73+'LMAT Model'!$F$74</x:f>
        <x:v>150.94985219112965</x:v>
      </x:c>
      <x:c r="AD14" t="n">
        <x:f>AX14*$AC14/$AW14</x:f>
        <x:v>166.34673711462491</x:v>
      </x:c>
      <x:c r="AE14" t="n">
        <x:f>AY14*$AC14/$AW14</x:f>
        <x:v>180.3198630322534</x:v>
      </x:c>
      <x:c r="AF14" t="n">
        <x:f>AZ14*$AC14/$AW14</x:f>
        <x:v>192.22097399238214</x:v>
      </x:c>
      <x:c r="AG14" t="n">
        <x:f>BA14*$AC14/$AW14</x:f>
        <x:v>201.4475807440165</x:v>
      </x:c>
      <x:c r="AH14" t="n">
        <x:f>BB14*$AC14/$AW14</x:f>
        <x:v>207.491008166337</x:v>
      </x:c>
      <x:c r="AI14" t="n">
        <x:f>Y14*(1-'Assumptions'!$F$3)+AS14*'Assumptions'!$G$3-AS14*'LMAT Model'!$B$65-(AS14-'Inputs'!$B$14)*'Assumptions'!$H$3-'Assumptions'!$I$3</x:f>
        <x:v>53.6790768</x:v>
      </x:c>
      <x:c r="AJ14" t="n">
        <x:f>Z14*(1-'Assumptions'!$F$3)+AT14*'Assumptions'!$G$3-AT14*'LMAT Model'!$C$65-(AT14-AS14)*'Assumptions'!$H$3-0</x:f>
        <x:v>66.114655488</x:v>
      </x:c>
      <x:c r="AK14" t="n">
        <x:f>AA14*(1-'Assumptions'!$F$3)+AU14*'Assumptions'!$G$3-AU14*'LMAT Model'!$D$65-(AU14-AT14)*'Assumptions'!$H$3-0</x:f>
        <x:v>76.99859435520001</x:v>
      </x:c>
      <x:c r="AL14" t="n">
        <x:f>AB14*(1-'Assumptions'!$F$3)+AV14*'Assumptions'!$G$3-AV14*'LMAT Model'!$E$65-(AV14-AU14)*'Assumptions'!$H$3-0</x:f>
        <x:v>87.89052659466243</x:v>
      </x:c>
      <x:c r="AM14" t="n">
        <x:f>AC14*(1-'Assumptions'!$F$3)+AW14*'Assumptions'!$G$3-AW14*'LMAT Model'!$F$65-(AW14-AV14)*'Assumptions'!$H$3-0</x:f>
        <x:v>100.28774281288092</x:v>
      </x:c>
      <x:c r="AN14" t="n">
        <x:f>AD14*(1-'Assumptions'!$F$3)+AX14*'Assumptions'!$G$3-AX14*'LMAT Model'!$G$65-(AX14-AW14)*'Assumptions'!$H$3-0</x:f>
        <x:v>112.31701305235032</x:v>
      </x:c>
      <x:c r="AO14" t="n">
        <x:f>AE14*(1-'Assumptions'!$F$3)+AY14*'Assumptions'!$G$3-AY14*'LMAT Model'!$H$65-(AY14-AX14)*'Assumptions'!$H$3-0</x:f>
        <x:v>123.76755307800995</x:v>
      </x:c>
      <x:c r="AP14" t="n">
        <x:f>AF14*(1-'Assumptions'!$F$3)+AZ14*'Assumptions'!$G$3-AZ14*'LMAT Model'!$I$65-(AZ14-AY14)*'Assumptions'!$H$3-0</x:f>
        <x:v>134.15774542520552</x:v>
      </x:c>
      <x:c r="AQ14" t="n">
        <x:f>AG14*(1-'Assumptions'!$F$3)+BA14*'Assumptions'!$G$3-BA14*'LMAT Model'!$J$65-(BA14-AZ14)*'Assumptions'!$H$3-0</x:f>
        <x:v>143.00545989256227</x:v>
      </x:c>
      <x:c r="AR14" t="n">
        <x:f>AH14*(1-'Assumptions'!$F$3)+BB14*'Assumptions'!$G$3-BB14*'LMAT Model'!$K$65-(BB14-BA14)*'Assumptions'!$H$3-0</x:f>
        <x:v>149.86270379362452</x:v>
      </x:c>
      <x:c r="AS14" t="n">
        <x:f>E14+O14</x:f>
        <x:v>309.456</x:v>
      </x:c>
      <x:c r="AT14" t="n">
        <x:f>F14+P14</x:f>
        <x:v>346.5907200000001</x:v>
      </x:c>
      <x:c r="AU14" t="n">
        <x:f>G14+Q14</x:f>
        <x:v>388.18160640000013</x:v>
      </x:c>
      <x:c r="AV14" t="n">
        <x:f>H14+R14</x:f>
        <x:v>434.7633991680001</x:v>
      </x:c>
      <x:c r="AW14" t="n">
        <x:f>I14+S14</x:f>
        <x:v>486.93500706816013</x:v>
      </x:c>
      <x:c r="AX14" t="n">
        <x:f>J14+T14</x:f>
        <x:v>536.6023777891126</x:v>
      </x:c>
      <x:c r="AY14" t="n">
        <x:f>K14+U14</x:f>
        <x:v>581.676977523398</x:v>
      </x:c>
      <x:c r="AZ14" t="n">
        <x:f>L14+V14</x:f>
        <x:v>620.0676580399423</x:v>
      </x:c>
      <x:c r="BA14" t="n">
        <x:f>M14+W14</x:f>
        <x:v>649.8309056258596</x:v>
      </x:c>
      <x:c r="BB14" t="n">
        <x:f>N14+X14</x:f>
        <x:v>669.3258327946354</x:v>
      </x:c>
      <x:c r="BC14" t="n">
        <x:f>AS14/'Inputs'!$B$14-1</x:f>
        <x:v>0.1200000000000001</x:v>
      </x:c>
      <x:c r="BD14" t="n">
        <x:f>AT14/AS14-1</x:f>
        <x:v>0.12000000000000033</x:v>
      </x:c>
      <x:c r="BE14" t="n">
        <x:f>AU14/AT14-1</x:f>
        <x:v>0.1200000000000001</x:v>
      </x:c>
      <x:c r="BF14" t="n">
        <x:f>AV14/AU14-1</x:f>
        <x:v>0.11999999999999988</x:v>
      </x:c>
      <x:c r="BG14" t="n">
        <x:f>AW14/AV14-1</x:f>
        <x:v>0.1200000000000001</x:v>
      </x:c>
      <x:c r="BH14" t="n">
        <x:f>AX14/AW14-1</x:f>
        <x:v>0.10200000000000009</x:v>
      </x:c>
      <x:c r="BI14" t="n">
        <x:f>AY14/AX14-1</x:f>
        <x:v>0.08400000000000007</x:v>
      </x:c>
      <x:c r="BJ14" t="n">
        <x:f>AZ14/AY14-1</x:f>
        <x:v>0.06600000000000006</x:v>
      </x:c>
      <x:c r="BK14" t="n">
        <x:f>BA14/AZ14-1</x:f>
        <x:v>0.04800000000000004</x:v>
      </x:c>
      <x:c r="BL14" t="n">
        <x:f>BB14/BA14-1</x:f>
        <x:v>0.030000000000000027</x:v>
      </x:c>
      <x:c r="BM14" t="n">
        <x:f>AH14*(1-'Assumptions'!$F$3)*(1+'Assumptions'!$D$3)*(1-'Assumptions'!$D$3/'Assumptions'!$E$3)</x:f>
        <x:v>142.93308584949557</x:v>
      </x:c>
      <x:c r="BN14" t="n">
        <x:f>SUMPRODUCT(AI14:AR14,'LMAT Model'!$B$83:$K$83)+BM14/('Assumptions'!$C$3-'Assumptions'!$D$3)*'LMAT Model'!$K$83</x:f>
        <x:v>1378.7568447003569</x:v>
      </x:c>
      <x:c r="BO14" t="n">
        <x:f>'LMAT Model'!$B$94</x:f>
        <x:v>178</x:v>
      </x:c>
      <x:c r="BP14" t="n">
        <x:f>'Inputs'!$B$8</x:f>
        <x:v>23.088</x:v>
      </x:c>
    </x:row>
    <x:row r="15">
      <x:c r="A15" t="str">
        <x:v>LMAT</x:v>
      </x:c>
      <x:c r="B15" s="22" t="n">
        <x:v>0.13</x:v>
      </x:c>
      <x:c r="C15" s="42" t="n">
        <x:f>MIN((BN15+BO15)/BP15,(BN15+BO15+'Inputs'!$B$7)/(BP15+'Inputs'!$B$19))</x:f>
        <x:v>70.6255111527746</x:v>
      </x:c>
      <x:c r="D15" s="22" t="n">
        <x:f>C15/'Inputs'!$B$5-1</x:f>
        <x:v>-0.1245133116056204</x:v>
      </x:c>
      <x:c r="E15" t="n">
        <x:f>'Inputs'!$B$14*(1+$B15)^1</x:f>
        <x:v>312.219</x:v>
      </x:c>
      <x:c r="F15" t="n">
        <x:f>'Inputs'!$B$14*(1+$B15)^2</x:f>
        <x:v>352.8074699999999</x:v>
      </x:c>
      <x:c r="G15" t="n">
        <x:f>'Inputs'!$B$14*(1+$B15)^3</x:f>
        <x:v>398.67244109999984</x:v>
      </x:c>
      <x:c r="H15" t="n">
        <x:f>'Inputs'!$B$14*(1+$B15)^4</x:f>
        <x:v>450.4998584429998</x:v>
      </x:c>
      <x:c r="I15" t="n">
        <x:f>'Inputs'!$B$14*(1+$B15)^5</x:f>
        <x:v>509.06484004058973</x:v>
      </x:c>
      <x:c r="J15" t="n">
        <x:f>I15*(1+($BG15+('Assumptions'!$D$3-$BG15)*(6-5)/5))</x:f>
        <x:v>565.0619724450545</x:v>
      </x:c>
      <x:c r="K15" t="n">
        <x:f>J15*(1+($BG15+('Assumptions'!$D$3-$BG15)*(7-5)/5))</x:f>
        <x:v>615.9175499651093</x:v>
      </x:c>
      <x:c r="L15" t="n">
        <x:f>K15*(1+($BG15+('Assumptions'!$D$3-$BG15)*(8-5)/5))</x:f>
        <x:v>659.0317784626668</x:v>
      </x:c>
      <x:c r="M15" t="n">
        <x:f>L15*(1+($BG15+('Assumptions'!$D$3-$BG15)*(9-5)/5))</x:f>
        <x:v>691.9833673858002</x:v>
      </x:c>
      <x:c r="N15" t="n">
        <x:f>M15*(1+($BG15+('Assumptions'!$D$3-$BG15)*(10-5)/5))</x:f>
        <x:v>712.7428684073742</x:v>
      </x:c>
      <x:c r="O15" t="n">
        <x:f>0</x:f>
        <x:v>0</x:v>
      </x:c>
      <x:c r="P15" t="n">
        <x:f>0</x:f>
        <x:v>0</x:v>
      </x:c>
      <x:c r="Q15" t="n">
        <x:f>0</x:f>
        <x:v>0</x:v>
      </x:c>
      <x:c r="R15" t="n">
        <x:f>0</x:f>
        <x:v>0</x:v>
      </x:c>
      <x:c r="S15" t="n">
        <x:f>0</x:f>
        <x:v>0</x:v>
      </x:c>
      <x:c r="T15" t="n">
        <x:f>S15*(1+($BG15+('Assumptions'!$D$3-$BG15)*(6-5)/5))</x:f>
        <x:v>0</x:v>
      </x:c>
      <x:c r="U15" t="n">
        <x:f>T15*(1+($BG15+('Assumptions'!$D$3-$BG15)*(7-5)/5))</x:f>
        <x:v>0</x:v>
      </x:c>
      <x:c r="V15" t="n">
        <x:f>U15*(1+($BG15+('Assumptions'!$D$3-$BG15)*(8-5)/5))</x:f>
        <x:v>0</x:v>
      </x:c>
      <x:c r="W15" t="n">
        <x:f>V15*(1+($BG15+('Assumptions'!$D$3-$BG15)*(9-5)/5))</x:f>
        <x:v>0</x:v>
      </x:c>
      <x:c r="X15" t="n">
        <x:f>W15*(1+($BG15+('Assumptions'!$D$3-$BG15)*(10-5)/5))</x:f>
        <x:v>0</x:v>
      </x:c>
      <x:c r="Y15" t="n">
        <x:f>E15*'LMAT Model'!$B$62+O15*'LMAT Model'!$B$63+'LMAT Model'!$B$73+'LMAT Model'!$B$74</x:f>
        <x:v>87.42132000000001</x:v>
      </x:c>
      <x:c r="Z15" t="n">
        <x:f>F15*'LMAT Model'!$C$62+P15*'LMAT Model'!$C$63+'LMAT Model'!$C$73+'LMAT Model'!$C$74</x:f>
        <x:v>102.31416629999997</x:v>
      </x:c>
      <x:c r="AA15" t="n">
        <x:f>G15*'LMAT Model'!$D$62+Q15*'LMAT Model'!$D$63+'LMAT Model'!$D$73+'LMAT Model'!$D$74</x:f>
        <x:v>119.60173232999995</x:v>
      </x:c>
      <x:c r="AB15" t="n">
        <x:f>H15*'LMAT Model'!$E$62+R15*'LMAT Model'!$E$63+'LMAT Model'!$E$73+'LMAT Model'!$E$74</x:f>
        <x:v>137.40245682511494</x:v>
      </x:c>
      <x:c r="AC15" t="n">
        <x:f>I15*'LMAT Model'!$F$62+S15*'LMAT Model'!$F$63+'LMAT Model'!$F$73+'LMAT Model'!$F$74</x:f>
        <x:v>157.8101004125828</x:v>
      </x:c>
      <x:c r="AD15" t="n">
        <x:f>AX15*$AC15/$AW15</x:f>
        <x:v>175.16921145796687</x:v>
      </x:c>
      <x:c r="AE15" t="n">
        <x:f>AY15*$AC15/$AW15</x:f>
        <x:v>190.93444048918388</x:v>
      </x:c>
      <x:c r="AF15" t="n">
        <x:f>AZ15*$AC15/$AW15</x:f>
        <x:v>204.29985132342668</x:v>
      </x:c>
      <x:c r="AG15" t="n">
        <x:f>BA15*$AC15/$AW15</x:f>
        <x:v>214.51484388959804</x:v>
      </x:c>
      <x:c r="AH15" t="n">
        <x:f>BB15*$AC15/$AW15</x:f>
        <x:v>220.950289206286</x:v>
      </x:c>
      <x:c r="AI15" t="n">
        <x:f>Y15*(1-'Assumptions'!$F$3)+AS15*'Assumptions'!$G$3-AS15*'LMAT Model'!$B$65-(AS15-'Inputs'!$B$14)*'Assumptions'!$H$3-'Assumptions'!$I$3</x:f>
        <x:v>53.61773820000002</x:v>
      </x:c>
      <x:c r="AJ15" t="n">
        <x:f>Z15*(1-'Assumptions'!$F$3)+AT15*'Assumptions'!$G$3-AT15*'LMAT Model'!$C$65-(AT15-AS15)*'Assumptions'!$H$3-0</x:f>
        <x:v>66.65938093800001</x:v>
      </x:c>
      <x:c r="AK15" t="n">
        <x:f>AA15*(1-'Assumptions'!$F$3)+AU15*'Assumptions'!$G$3-AU15*'LMAT Model'!$D$65-(AU15-AT15)*'Assumptions'!$H$3-0</x:f>
        <x:v>78.35501101229998</x:v>
      </x:c>
      <x:c r="AL15" t="n">
        <x:f>AB15*(1-'Assumptions'!$F$3)+AV15*'Assumptions'!$G$3-AV15*'LMAT Model'!$E$65-(AV15-AU15)*'Assumptions'!$H$3-0</x:f>
        <x:v>90.25306190598236</x:v>
      </x:c>
      <x:c r="AM15" t="n">
        <x:f>AC15*(1-'Assumptions'!$F$3)+AW15*'Assumptions'!$G$3-AW15*'LMAT Model'!$F$65-(AW15-AV15)*'Assumptions'!$H$3-0</x:f>
        <x:v>103.92040634591432</x:v>
      </x:c>
      <x:c r="AN15" t="n">
        <x:f>AD15*(1-'Assumptions'!$F$3)+AX15*'Assumptions'!$G$3-AX15*'LMAT Model'!$G$65-(AX15-AW15)*'Assumptions'!$H$3-0</x:f>
        <x:v>117.42395039280267</x:v>
      </x:c>
      <x:c r="AO15" t="n">
        <x:f>AE15*(1-'Assumptions'!$F$3)+AY15*'Assumptions'!$G$3-AY15*'LMAT Model'!$H$65-(AY15-AX15)*'Assumptions'!$H$3-0</x:f>
        <x:v>130.3338041923416</x:v>
      </x:c>
      <x:c r="AP15" t="n">
        <x:f>AF15*(1-'Assumptions'!$F$3)+AZ15*'Assumptions'!$G$3-AZ15*'LMAT Model'!$I$65-(AZ15-AY15)*'Assumptions'!$H$3-0</x:f>
        <x:v>142.05645555905272</x:v>
      </x:c>
      <x:c r="AQ15" t="n">
        <x:f>AG15*(1-'Assumptions'!$F$3)+BA15*'Assumptions'!$G$3-BA15*'LMAT Model'!$J$65-(BA15-AZ15)*'Assumptions'!$H$3-0</x:f>
        <x:v>151.99249906684486</x:v>
      </x:c>
      <x:c r="AR15" t="n">
        <x:f>AH15*(1-'Assumptions'!$F$3)+BB15*'Assumptions'!$G$3-BB15*'LMAT Model'!$K$65-(BB15-BA15)*'Assumptions'!$H$3-0</x:f>
        <x:v>159.58382021977846</x:v>
      </x:c>
      <x:c r="AS15" t="n">
        <x:f>E15+O15</x:f>
        <x:v>312.219</x:v>
      </x:c>
      <x:c r="AT15" t="n">
        <x:f>F15+P15</x:f>
        <x:v>352.8074699999999</x:v>
      </x:c>
      <x:c r="AU15" t="n">
        <x:f>G15+Q15</x:f>
        <x:v>398.67244109999984</x:v>
      </x:c>
      <x:c r="AV15" t="n">
        <x:f>H15+R15</x:f>
        <x:v>450.4998584429998</x:v>
      </x:c>
      <x:c r="AW15" t="n">
        <x:f>I15+S15</x:f>
        <x:v>509.06484004058973</x:v>
      </x:c>
      <x:c r="AX15" t="n">
        <x:f>J15+T15</x:f>
        <x:v>565.0619724450545</x:v>
      </x:c>
      <x:c r="AY15" t="n">
        <x:f>K15+U15</x:f>
        <x:v>615.9175499651093</x:v>
      </x:c>
      <x:c r="AZ15" t="n">
        <x:f>L15+V15</x:f>
        <x:v>659.0317784626668</x:v>
      </x:c>
      <x:c r="BA15" t="n">
        <x:f>M15+W15</x:f>
        <x:v>691.9833673858002</x:v>
      </x:c>
      <x:c r="BB15" t="n">
        <x:f>N15+X15</x:f>
        <x:v>712.7428684073742</x:v>
      </x:c>
      <x:c r="BC15" t="n">
        <x:f>AS15/'Inputs'!$B$14-1</x:f>
        <x:v>0.1299999999999999</x:v>
      </x:c>
      <x:c r="BD15" t="n">
        <x:f>AT15/AS15-1</x:f>
        <x:v>0.12999999999999967</x:v>
      </x:c>
      <x:c r="BE15" t="n">
        <x:f>AU15/AT15-1</x:f>
        <x:v>0.1299999999999999</x:v>
      </x:c>
      <x:c r="BF15" t="n">
        <x:f>AV15/AU15-1</x:f>
        <x:v>0.1299999999999999</x:v>
      </x:c>
      <x:c r="BG15" t="n">
        <x:f>AW15/AV15-1</x:f>
        <x:v>0.1299999999999999</x:v>
      </x:c>
      <x:c r="BH15" t="n">
        <x:f>AX15/AW15-1</x:f>
        <x:v>0.10999999999999988</x:v>
      </x:c>
      <x:c r="BI15" t="n">
        <x:f>AY15/AX15-1</x:f>
        <x:v>0.08999999999999986</x:v>
      </x:c>
      <x:c r="BJ15" t="n">
        <x:f>AZ15/AY15-1</x:f>
        <x:v>0.06999999999999984</x:v>
      </x:c>
      <x:c r="BK15" t="n">
        <x:f>BA15/AZ15-1</x:f>
        <x:v>0.050000000000000044</x:v>
      </x:c>
      <x:c r="BL15" t="n">
        <x:f>BB15/BA15-1</x:f>
        <x:v>0.030000000000000027</x:v>
      </x:c>
      <x:c r="BM15" t="n">
        <x:f>AH15*(1-'Assumptions'!$F$3)*(1+'Assumptions'!$D$3)*(1-'Assumptions'!$D$3/'Assumptions'!$E$3)</x:f>
        <x:v>152.204700023799</x:v>
      </x:c>
      <x:c r="BN15" t="n">
        <x:f>SUMPRODUCT(AI15:AR15,'LMAT Model'!$B$83:$K$83)+BM15/('Assumptions'!$C$3-'Assumptions'!$D$3)*'LMAT Model'!$K$83</x:f>
        <x:v>1452.6018014952601</x:v>
      </x:c>
      <x:c r="BO15" t="n">
        <x:f>'LMAT Model'!$B$94</x:f>
        <x:v>178</x:v>
      </x:c>
      <x:c r="BP15" t="n">
        <x:f>'Inputs'!$B$8</x:f>
        <x:v>23.088</x:v>
      </x:c>
    </x:row>
    <x:row r="16">
      <x:c r="A16" t="str">
        <x:v>LMAT</x:v>
      </x:c>
      <x:c r="B16" s="22" t="n">
        <x:v>0.14</x:v>
      </x:c>
      <x:c r="C16" s="42" t="n">
        <x:f>MIN((BN16+BO16)/BP16,(BN16+BO16+'Inputs'!$B$7)/(BP16+'Inputs'!$B$19))</x:f>
        <x:v>73.98951936932977</x:v>
      </x:c>
      <x:c r="D16" s="22" t="n">
        <x:f>C16/'Inputs'!$B$5-1</x:f>
        <x:v>-0.08281245358460676</x:v>
      </x:c>
      <x:c r="E16" t="n">
        <x:f>'Inputs'!$B$14*(1+$B16)^1</x:f>
        <x:v>314.982</x:v>
      </x:c>
      <x:c r="F16" t="n">
        <x:f>'Inputs'!$B$14*(1+$B16)^2</x:f>
        <x:v>359.0794800000001</x:v>
      </x:c>
      <x:c r="G16" t="n">
        <x:f>'Inputs'!$B$14*(1+$B16)^3</x:f>
        <x:v>409.3506072000001</x:v>
      </x:c>
      <x:c r="H16" t="n">
        <x:f>'Inputs'!$B$14*(1+$B16)^4</x:f>
        <x:v>466.65969220800025</x:v>
      </x:c>
      <x:c r="I16" t="n">
        <x:f>'Inputs'!$B$14*(1+$B16)^5</x:f>
        <x:v>531.9920491171204</x:v>
      </x:c>
      <x:c r="J16" t="n">
        <x:f>I16*(1+($BG16+('Assumptions'!$D$3-$BG16)*(6-5)/5))</x:f>
        <x:v>594.7671109129407</x:v>
      </x:c>
      <x:c r="K16" t="n">
        <x:f>J16*(1+($BG16+('Assumptions'!$D$3-$BG16)*(7-5)/5))</x:f>
        <x:v>651.864753560583</x:v>
      </x:c>
      <x:c r="L16" t="n">
        <x:f>K16*(1+($BG16+('Assumptions'!$D$3-$BG16)*(8-5)/5))</x:f>
        <x:v>700.1027453240662</x:v>
      </x:c>
      <x:c r="M16" t="n">
        <x:f>L16*(1+($BG16+('Assumptions'!$D$3-$BG16)*(9-5)/5))</x:f>
        <x:v>736.5080880809177</x:v>
      </x:c>
      <x:c r="N16" t="n">
        <x:f>M16*(1+($BG16+('Assumptions'!$D$3-$BG16)*(10-5)/5))</x:f>
        <x:v>758.6033307233453</x:v>
      </x:c>
      <x:c r="O16" t="n">
        <x:f>0</x:f>
        <x:v>0</x:v>
      </x:c>
      <x:c r="P16" t="n">
        <x:f>0</x:f>
        <x:v>0</x:v>
      </x:c>
      <x:c r="Q16" t="n">
        <x:f>0</x:f>
        <x:v>0</x:v>
      </x:c>
      <x:c r="R16" t="n">
        <x:f>0</x:f>
        <x:v>0</x:v>
      </x:c>
      <x:c r="S16" t="n">
        <x:f>0</x:f>
        <x:v>0</x:v>
      </x:c>
      <x:c r="T16" t="n">
        <x:f>S16*(1+($BG16+('Assumptions'!$D$3-$BG16)*(6-5)/5))</x:f>
        <x:v>0</x:v>
      </x:c>
      <x:c r="U16" t="n">
        <x:f>T16*(1+($BG16+('Assumptions'!$D$3-$BG16)*(7-5)/5))</x:f>
        <x:v>0</x:v>
      </x:c>
      <x:c r="V16" t="n">
        <x:f>U16*(1+($BG16+('Assumptions'!$D$3-$BG16)*(8-5)/5))</x:f>
        <x:v>0</x:v>
      </x:c>
      <x:c r="W16" t="n">
        <x:f>V16*(1+($BG16+('Assumptions'!$D$3-$BG16)*(9-5)/5))</x:f>
        <x:v>0</x:v>
      </x:c>
      <x:c r="X16" t="n">
        <x:f>W16*(1+($BG16+('Assumptions'!$D$3-$BG16)*(10-5)/5))</x:f>
        <x:v>0</x:v>
      </x:c>
      <x:c r="Y16" t="n">
        <x:f>E16*'LMAT Model'!$B$62+O16*'LMAT Model'!$B$63+'LMAT Model'!$B$73+'LMAT Model'!$B$74</x:f>
        <x:v>88.19496000000002</x:v>
      </x:c>
      <x:c r="Z16" t="n">
        <x:f>F16*'LMAT Model'!$C$62+P16*'LMAT Model'!$C$63+'LMAT Model'!$C$73+'LMAT Model'!$C$74</x:f>
        <x:v>104.13304920000002</x:v>
      </x:c>
      <x:c r="AA16" t="n">
        <x:f>G16*'LMAT Model'!$D$62+Q16*'LMAT Model'!$D$63+'LMAT Model'!$D$73+'LMAT Model'!$D$74</x:f>
        <x:v>122.80518216000003</x:v>
      </x:c>
      <x:c r="AB16" t="n">
        <x:f>H16*'LMAT Model'!$E$62+R16*'LMAT Model'!$E$63+'LMAT Model'!$E$73+'LMAT Model'!$E$74</x:f>
        <x:v>142.33120612344007</x:v>
      </x:c>
      <x:c r="AC16" t="n">
        <x:f>I16*'LMAT Model'!$F$62+S16*'LMAT Model'!$F$63+'LMAT Model'!$F$73+'LMAT Model'!$F$74</x:f>
        <x:v>164.9175352263073</x:v>
      </x:c>
      <x:c r="AD16" t="n">
        <x:f>AX16*$AC16/$AW16</x:f>
        <x:v>184.3778043830116</x:v>
      </x:c>
      <x:c r="AE16" t="n">
        <x:f>AY16*$AC16/$AW16</x:f>
        <x:v>202.07807360378072</x:v>
      </x:c>
      <x:c r="AF16" t="n">
        <x:f>AZ16*$AC16/$AW16</x:f>
        <x:v>217.0318510504605</x:v>
      </x:c>
      <x:c r="AG16" t="n">
        <x:f>BA16*$AC16/$AW16</x:f>
        <x:v>228.31750730508446</x:v>
      </x:c>
      <x:c r="AH16" t="n">
        <x:f>BB16*$AC16/$AW16</x:f>
        <x:v>235.16703252423702</x:v>
      </x:c>
      <x:c r="AI16" t="n">
        <x:f>Y16*(1-'Assumptions'!$F$3)+AS16*'Assumptions'!$G$3-AS16*'LMAT Model'!$B$65-(AS16-'Inputs'!$B$14)*'Assumptions'!$H$3-'Assumptions'!$I$3</x:f>
        <x:v>53.556399600000006</x:v>
      </x:c>
      <x:c r="AJ16" t="n">
        <x:f>Z16*(1-'Assumptions'!$F$3)+AT16*'Assumptions'!$G$3-AT16*'LMAT Model'!$C$65-(AT16-AS16)*'Assumptions'!$H$3-0</x:f>
        <x:v>67.203299592</x:v>
      </x:c>
      <x:c r="AK16" t="n">
        <x:f>AA16*(1-'Assumptions'!$F$3)+AU16*'Assumptions'!$G$3-AU16*'LMAT Model'!$D$65-(AU16-AT16)*'Assumptions'!$H$3-0</x:f>
        <x:v>79.72282614960002</x:v>
      </x:c>
      <x:c r="AL16" t="n">
        <x:f>AB16*(1-'Assumptions'!$F$3)+AV16*'Assumptions'!$G$3-AV16*'LMAT Model'!$E$65-(AV16-AU16)*'Assumptions'!$H$3-0</x:f>
        <x:v>92.65732864093442</x:v>
      </x:c>
      <x:c r="AM16" t="n">
        <x:f>AC16*(1-'Assumptions'!$F$3)+AW16*'Assumptions'!$G$3-AW16*'LMAT Model'!$F$65-(AW16-AV16)*'Assumptions'!$H$3-0</x:f>
        <x:v>107.65092443731032</x:v>
      </x:c>
      <x:c r="AN16" t="n">
        <x:f>AD16*(1-'Assumptions'!$F$3)+AX16*'Assumptions'!$G$3-AX16*'LMAT Model'!$G$65-(AX16-AW16)*'Assumptions'!$H$3-0</x:f>
        <x:v>122.71503156348544</x:v>
      </x:c>
      <x:c r="AO16" t="n">
        <x:f>AE16*(1-'Assumptions'!$F$3)+AY16*'Assumptions'!$G$3-AY16*'LMAT Model'!$H$65-(AY16-AX16)*'Assumptions'!$H$3-0</x:f>
        <x:v>137.18755436211268</x:v>
      </x:c>
      <x:c r="AP16" t="n">
        <x:f>AF16*(1-'Assumptions'!$F$3)+AZ16*'Assumptions'!$G$3-AZ16*'LMAT Model'!$I$65-(AZ16-AY16)*'Assumptions'!$H$3-0</x:f>
        <x:v>150.34895496612853</x:v>
      </x:c>
      <x:c r="AQ16" t="n">
        <x:f>AG16*(1-'Assumptions'!$F$3)+BA16*'Assumptions'!$G$3-BA16*'LMAT Model'!$J$65-(BA16-AZ16)*'Assumptions'!$H$3-0</x:f>
        <x:v>161.4655362773838</x:v>
      </x:c>
      <x:c r="AR16" t="n">
        <x:f>AH16*(1-'Assumptions'!$F$3)+BB16*'Assumptions'!$G$3-BB16*'LMAT Model'!$K$65-(BB16-BA16)*'Assumptions'!$H$3-0</x:f>
        <x:v>169.85202225704506</x:v>
      </x:c>
      <x:c r="AS16" t="n">
        <x:f>E16+O16</x:f>
        <x:v>314.982</x:v>
      </x:c>
      <x:c r="AT16" t="n">
        <x:f>F16+P16</x:f>
        <x:v>359.0794800000001</x:v>
      </x:c>
      <x:c r="AU16" t="n">
        <x:f>G16+Q16</x:f>
        <x:v>409.3506072000001</x:v>
      </x:c>
      <x:c r="AV16" t="n">
        <x:f>H16+R16</x:f>
        <x:v>466.65969220800025</x:v>
      </x:c>
      <x:c r="AW16" t="n">
        <x:f>I16+S16</x:f>
        <x:v>531.9920491171204</x:v>
      </x:c>
      <x:c r="AX16" t="n">
        <x:f>J16+T16</x:f>
        <x:v>594.7671109129407</x:v>
      </x:c>
      <x:c r="AY16" t="n">
        <x:f>K16+U16</x:f>
        <x:v>651.864753560583</x:v>
      </x:c>
      <x:c r="AZ16" t="n">
        <x:f>L16+V16</x:f>
        <x:v>700.1027453240662</x:v>
      </x:c>
      <x:c r="BA16" t="n">
        <x:f>M16+W16</x:f>
        <x:v>736.5080880809177</x:v>
      </x:c>
      <x:c r="BB16" t="n">
        <x:f>N16+X16</x:f>
        <x:v>758.6033307233453</x:v>
      </x:c>
      <x:c r="BC16" t="n">
        <x:f>AS16/'Inputs'!$B$14-1</x:f>
        <x:v>0.14000000000000012</x:v>
      </x:c>
      <x:c r="BD16" t="n">
        <x:f>AT16/AS16-1</x:f>
        <x:v>0.14000000000000012</x:v>
      </x:c>
      <x:c r="BE16" t="n">
        <x:f>AU16/AT16-1</x:f>
        <x:v>0.14000000000000012</x:v>
      </x:c>
      <x:c r="BF16" t="n">
        <x:f>AV16/AU16-1</x:f>
        <x:v>0.14000000000000035</x:v>
      </x:c>
      <x:c r="BG16" t="n">
        <x:f>AW16/AV16-1</x:f>
        <x:v>0.14000000000000012</x:v>
      </x:c>
      <x:c r="BH16" t="n">
        <x:f>AX16/AW16-1</x:f>
        <x:v>0.1180000000000001</x:v>
      </x:c>
      <x:c r="BI16" t="n">
        <x:f>AY16/AX16-1</x:f>
        <x:v>0.09600000000000009</x:v>
      </x:c>
      <x:c r="BJ16" t="n">
        <x:f>AZ16/AY16-1</x:f>
        <x:v>0.07400000000000007</x:v>
      </x:c>
      <x:c r="BK16" t="n">
        <x:f>BA16/AZ16-1</x:f>
        <x:v>0.052000000000000046</x:v>
      </x:c>
      <x:c r="BL16" t="n">
        <x:f>BB16/BA16-1</x:f>
        <x:v>0.030000000000000027</x:v>
      </x:c>
      <x:c r="BM16" t="n">
        <x:f>AH16*(1-'Assumptions'!$F$3)*(1+'Assumptions'!$D$3)*(1-'Assumptions'!$D$3/'Assumptions'!$E$3)</x:f>
        <x:v>161.998102692776</x:v>
      </x:c>
      <x:c r="BN16" t="n">
        <x:f>SUMPRODUCT(AI16:AR16,'LMAT Model'!$B$83:$K$83)+BM16/('Assumptions'!$C$3-'Assumptions'!$D$3)*'LMAT Model'!$K$83</x:f>
        <x:v>1530.2700231990857</x:v>
      </x:c>
      <x:c r="BO16" t="n">
        <x:f>'LMAT Model'!$B$94</x:f>
        <x:v>178</x:v>
      </x:c>
      <x:c r="BP16" t="n">
        <x:f>'Inputs'!$B$8</x:f>
        <x:v>23.088</x:v>
      </x:c>
    </x:row>
    <x:row r="17">
      <x:c r="A17" t="str">
        <x:v>LMAT</x:v>
      </x:c>
      <x:c r="B17" s="22" t="n">
        <x:v>0.15</x:v>
      </x:c>
      <x:c r="C17" s="42" t="n">
        <x:f>MIN((BN17+BO17)/BP17,(BN17+BO17+'Inputs'!$B$7)/(BP17+'Inputs'!$B$19))</x:f>
        <x:v>77.52666345022959</x:v>
      </x:c>
      <x:c r="D17" s="22" t="n">
        <x:f>C17/'Inputs'!$B$5-1</x:f>
        <x:v>-0.03896537188261329</x:v>
      </x:c>
      <x:c r="E17" t="n">
        <x:f>'Inputs'!$B$14*(1+$B17)^1</x:f>
        <x:v>317.745</x:v>
      </x:c>
      <x:c r="F17" t="n">
        <x:f>'Inputs'!$B$14*(1+$B17)^2</x:f>
        <x:v>365.40674999999993</x:v>
      </x:c>
      <x:c r="G17" t="n">
        <x:f>'Inputs'!$B$14*(1+$B17)^3</x:f>
        <x:v>420.2177624999999</x:v>
      </x:c>
      <x:c r="H17" t="n">
        <x:f>'Inputs'!$B$14*(1+$B17)^4</x:f>
        <x:v>483.25042687499985</x:v>
      </x:c>
      <x:c r="I17" t="n">
        <x:f>'Inputs'!$B$14*(1+$B17)^5</x:f>
        <x:v>555.7379909062498</x:v>
      </x:c>
      <x:c r="J17" t="n">
        <x:f>I17*(1+($BG17+('Assumptions'!$D$3-$BG17)*(6-5)/5))</x:f>
        <x:v>625.7609777604372</x:v>
      </x:c>
      <x:c r="K17" t="n">
        <x:f>J17*(1+($BG17+('Assumptions'!$D$3-$BG17)*(7-5)/5))</x:f>
        <x:v>689.5885974920017</x:v>
      </x:c>
      <x:c r="L17" t="n">
        <x:f>K17*(1+($BG17+('Assumptions'!$D$3-$BG17)*(8-5)/5))</x:f>
        <x:v>743.3765080963777</x:v>
      </x:c>
      <x:c r="M17" t="n">
        <x:f>L17*(1+($BG17+('Assumptions'!$D$3-$BG17)*(9-5)/5))</x:f>
        <x:v>783.5188395335822</x:v>
      </x:c>
      <x:c r="N17" t="n">
        <x:f>M17*(1+($BG17+('Assumptions'!$D$3-$BG17)*(10-5)/5))</x:f>
        <x:v>807.0244047195897</x:v>
      </x:c>
      <x:c r="O17" t="n">
        <x:f>0</x:f>
        <x:v>0</x:v>
      </x:c>
      <x:c r="P17" t="n">
        <x:f>0</x:f>
        <x:v>0</x:v>
      </x:c>
      <x:c r="Q17" t="n">
        <x:f>0</x:f>
        <x:v>0</x:v>
      </x:c>
      <x:c r="R17" t="n">
        <x:f>0</x:f>
        <x:v>0</x:v>
      </x:c>
      <x:c r="S17" t="n">
        <x:f>0</x:f>
        <x:v>0</x:v>
      </x:c>
      <x:c r="T17" t="n">
        <x:f>S17*(1+($BG17+('Assumptions'!$D$3-$BG17)*(6-5)/5))</x:f>
        <x:v>0</x:v>
      </x:c>
      <x:c r="U17" t="n">
        <x:f>T17*(1+($BG17+('Assumptions'!$D$3-$BG17)*(7-5)/5))</x:f>
        <x:v>0</x:v>
      </x:c>
      <x:c r="V17" t="n">
        <x:f>U17*(1+($BG17+('Assumptions'!$D$3-$BG17)*(8-5)/5))</x:f>
        <x:v>0</x:v>
      </x:c>
      <x:c r="W17" t="n">
        <x:f>V17*(1+($BG17+('Assumptions'!$D$3-$BG17)*(9-5)/5))</x:f>
        <x:v>0</x:v>
      </x:c>
      <x:c r="X17" t="n">
        <x:f>W17*(1+($BG17+('Assumptions'!$D$3-$BG17)*(10-5)/5))</x:f>
        <x:v>0</x:v>
      </x:c>
      <x:c r="Y17" t="n">
        <x:f>E17*'LMAT Model'!$B$62+O17*'LMAT Model'!$B$63+'LMAT Model'!$B$73+'LMAT Model'!$B$74</x:f>
        <x:v>88.96860000000001</x:v>
      </x:c>
      <x:c r="Z17" t="n">
        <x:f>F17*'LMAT Model'!$C$62+P17*'LMAT Model'!$C$63+'LMAT Model'!$C$73+'LMAT Model'!$C$74</x:f>
        <x:v>105.96795749999997</x:v>
      </x:c>
      <x:c r="AA17" t="n">
        <x:f>G17*'LMAT Model'!$D$62+Q17*'LMAT Model'!$D$63+'LMAT Model'!$D$73+'LMAT Model'!$D$74</x:f>
        <x:v>126.06532874999996</x:v>
      </x:c>
      <x:c r="AB17" t="n">
        <x:f>H17*'LMAT Model'!$E$62+R17*'LMAT Model'!$E$63+'LMAT Model'!$E$73+'LMAT Model'!$E$74</x:f>
        <x:v>147.39138019687496</x:v>
      </x:c>
      <x:c r="AC17" t="n">
        <x:f>I17*'LMAT Model'!$F$62+S17*'LMAT Model'!$F$63+'LMAT Model'!$F$73+'LMAT Model'!$F$74</x:f>
        <x:v>172.27877718093745</x:v>
      </x:c>
      <x:c r="AD17" t="n">
        <x:f>AX17*$AC17/$AW17</x:f>
        <x:v>193.98590310573556</x:v>
      </x:c>
      <x:c r="AE17" t="n">
        <x:f>AY17*$AC17/$AW17</x:f>
        <x:v>213.77246522252054</x:v>
      </x:c>
      <x:c r="AF17" t="n">
        <x:f>AZ17*$AC17/$AW17</x:f>
        <x:v>230.44671750987712</x:v>
      </x:c>
      <x:c r="AG17" t="n">
        <x:f>BA17*$AC17/$AW17</x:f>
        <x:v>242.89084025541047</x:v>
      </x:c>
      <x:c r="AH17" t="n">
        <x:f>BB17*$AC17/$AW17</x:f>
        <x:v>250.1775654630728</x:v>
      </x:c>
      <x:c r="AI17" t="n">
        <x:f>Y17*(1-'Assumptions'!$F$3)+AS17*'Assumptions'!$G$3-AS17*'LMAT Model'!$B$65-(AS17-'Inputs'!$B$14)*'Assumptions'!$H$3-'Assumptions'!$I$3</x:f>
        <x:v>53.495061000000014</x:v>
      </x:c>
      <x:c r="AJ17" t="n">
        <x:f>Z17*(1-'Assumptions'!$F$3)+AT17*'Assumptions'!$G$3-AT17*'LMAT Model'!$C$65-(AT17-AS17)*'Assumptions'!$H$3-0</x:f>
        <x:v>67.74641145</x:v>
      </x:c>
      <x:c r="AK17" t="n">
        <x:f>AA17*(1-'Assumptions'!$F$3)+AU17*'Assumptions'!$G$3-AU17*'LMAT Model'!$D$65-(AU17-AT17)*'Assumptions'!$H$3-0</x:f>
        <x:v>81.10202816249999</x:v>
      </x:c>
      <x:c r="AL17" t="n">
        <x:f>AB17*(1-'Assumptions'!$F$3)+AV17*'Assumptions'!$G$3-AV17*'LMAT Model'!$E$65-(AV17-AU17)*'Assumptions'!$H$3-0</x:f>
        <x:v>95.10368400899998</x:v>
      </x:c>
      <x:c r="AM17" t="n">
        <x:f>AC17*(1-'Assumptions'!$F$3)+AW17*'Assumptions'!$G$3-AW17*'LMAT Model'!$F$65-(AW17-AV17)*'Assumptions'!$H$3-0</x:f>
        <x:v>111.48104097579372</x:v>
      </x:c>
      <x:c r="AN17" t="n">
        <x:f>AD17*(1-'Assumptions'!$F$3)+AX17*'Assumptions'!$G$3-AX17*'LMAT Model'!$G$65-(AX17-AW17)*'Assumptions'!$H$3-0</x:f>
        <x:v>128.19519449509372</x:v>
      </x:c>
      <x:c r="AO17" t="n">
        <x:f>AE17*(1-'Assumptions'!$F$3)+AY17*'Assumptions'!$G$3-AY17*'LMAT Model'!$H$65-(AY17-AX17)*'Assumptions'!$H$3-0</x:f>
        <x:v>144.33877804339576</x:v>
      </x:c>
      <x:c r="AP17" t="n">
        <x:f>AF17*(1-'Assumptions'!$F$3)+AZ17*'Assumptions'!$G$3-AZ17*'LMAT Model'!$I$65-(AZ17-AY17)*'Assumptions'!$H$3-0</x:f>
        <x:v>159.05140332801824</x:v>
      </x:c>
      <x:c r="AQ17" t="n">
        <x:f>AG17*(1-'Assumptions'!$F$3)+BA17*'Assumptions'!$G$3-BA17*'LMAT Model'!$J$65-(BA17-AZ17)*'Assumptions'!$H$3-0</x:f>
        <x:v>171.446708165887</x:v>
      </x:c>
      <x:c r="AR17" t="n">
        <x:f>AH17*(1-'Assumptions'!$F$3)+BB17*'Assumptions'!$G$3-BB17*'LMAT Model'!$K$65-(BB17-BA17)*'Assumptions'!$H$3-0</x:f>
        <x:v>180.69354773555565</x:v>
      </x:c>
      <x:c r="AS17" t="n">
        <x:f>E17+O17</x:f>
        <x:v>317.745</x:v>
      </x:c>
      <x:c r="AT17" t="n">
        <x:f>F17+P17</x:f>
        <x:v>365.40674999999993</x:v>
      </x:c>
      <x:c r="AU17" t="n">
        <x:f>G17+Q17</x:f>
        <x:v>420.2177624999999</x:v>
      </x:c>
      <x:c r="AV17" t="n">
        <x:f>H17+R17</x:f>
        <x:v>483.25042687499985</x:v>
      </x:c>
      <x:c r="AW17" t="n">
        <x:f>I17+S17</x:f>
        <x:v>555.7379909062498</x:v>
      </x:c>
      <x:c r="AX17" t="n">
        <x:f>J17+T17</x:f>
        <x:v>625.7609777604372</x:v>
      </x:c>
      <x:c r="AY17" t="n">
        <x:f>K17+U17</x:f>
        <x:v>689.5885974920017</x:v>
      </x:c>
      <x:c r="AZ17" t="n">
        <x:f>L17+V17</x:f>
        <x:v>743.3765080963777</x:v>
      </x:c>
      <x:c r="BA17" t="n">
        <x:f>M17+W17</x:f>
        <x:v>783.5188395335822</x:v>
      </x:c>
      <x:c r="BB17" t="n">
        <x:f>N17+X17</x:f>
        <x:v>807.0244047195897</x:v>
      </x:c>
      <x:c r="BC17" t="n">
        <x:f>AS17/'Inputs'!$B$14-1</x:f>
        <x:v>0.1499999999999999</x:v>
      </x:c>
      <x:c r="BD17" t="n">
        <x:f>AT17/AS17-1</x:f>
        <x:v>0.1499999999999997</x:v>
      </x:c>
      <x:c r="BE17" t="n">
        <x:f>AU17/AT17-1</x:f>
        <x:v>0.1499999999999999</x:v>
      </x:c>
      <x:c r="BF17" t="n">
        <x:f>AV17/AU17-1</x:f>
        <x:v>0.1499999999999999</x:v>
      </x:c>
      <x:c r="BG17" t="n">
        <x:f>AW17/AV17-1</x:f>
        <x:v>0.1499999999999999</x:v>
      </x:c>
      <x:c r="BH17" t="n">
        <x:f>AX17/AW17-1</x:f>
        <x:v>0.1259999999999999</x:v>
      </x:c>
      <x:c r="BI17" t="n">
        <x:f>AY17/AX17-1</x:f>
        <x:v>0.10199999999999987</x:v>
      </x:c>
      <x:c r="BJ17" t="n">
        <x:f>AZ17/AY17-1</x:f>
        <x:v>0.07799999999999985</x:v>
      </x:c>
      <x:c r="BK17" t="n">
        <x:f>BA17/AZ17-1</x:f>
        <x:v>0.05400000000000005</x:v>
      </x:c>
      <x:c r="BL17" t="n">
        <x:f>BB17/BA17-1</x:f>
        <x:v>0.030000000000000027</x:v>
      </x:c>
      <x:c r="BM17" t="n">
        <x:f>AH17*(1-'Assumptions'!$F$3)*(1+'Assumptions'!$D$3)*(1-'Assumptions'!$D$3/'Assumptions'!$E$3)</x:f>
        <x:v>172.33831845515417</x:v>
      </x:c>
      <x:c r="BN17" t="n">
        <x:f>SUMPRODUCT(AI17:AR17,'LMAT Model'!$B$83:$K$83)+BM17/('Assumptions'!$C$3-'Assumptions'!$D$3)*'LMAT Model'!$K$83</x:f>
        <x:v>1611.935605738901</x:v>
      </x:c>
      <x:c r="BO17" t="n">
        <x:f>'LMAT Model'!$B$94</x:f>
        <x:v>178</x:v>
      </x:c>
      <x:c r="BP17" t="n">
        <x:f>'Inputs'!$B$8</x:f>
        <x:v>23.088</x:v>
      </x:c>
    </x:row>
    <x:row r="18">
      <x:c r="A18" t="str">
        <x:v>LMAT</x:v>
      </x:c>
      <x:c r="B18" s="22" t="n">
        <x:v>0.16</x:v>
      </x:c>
      <x:c r="C18" s="42" t="n">
        <x:f>MIN((BN18+BO18)/BP18,(BN18+BO18+'Inputs'!$B$7)/(BP18+'Inputs'!$B$19))</x:f>
        <x:v>81.24477378341415</x:v>
      </x:c>
      <x:c r="D18" s="22" t="n">
        <x:f>C18/'Inputs'!$B$5-1</x:f>
        <x:v>0.007125000414207827</x:v>
      </x:c>
      <x:c r="E18" t="n">
        <x:f>'Inputs'!$B$14*(1+$B18)^1</x:f>
        <x:v>320.508</x:v>
      </x:c>
      <x:c r="F18" t="n">
        <x:f>'Inputs'!$B$14*(1+$B18)^2</x:f>
        <x:v>371.78927999999996</x:v>
      </x:c>
      <x:c r="G18" t="n">
        <x:f>'Inputs'!$B$14*(1+$B18)^3</x:f>
        <x:v>431.2755648</x:v>
      </x:c>
      <x:c r="H18" t="n">
        <x:f>'Inputs'!$B$14*(1+$B18)^4</x:f>
        <x:v>500.2796551679999</x:v>
      </x:c>
      <x:c r="I18" t="n">
        <x:f>'Inputs'!$B$14*(1+$B18)^5</x:f>
        <x:v>580.3243999948799</x:v>
      </x:c>
      <x:c r="J18" t="n">
        <x:f>I18*(1+($BG18+('Assumptions'!$D$3-$BG18)*(6-5)/5))</x:f>
        <x:v>658.0878695941936</x:v>
      </x:c>
      <x:c r="K18" t="n">
        <x:f>J18*(1+($BG18+('Assumptions'!$D$3-$BG18)*(7-5)/5))</x:f>
        <x:v>729.1613595103664</x:v>
      </x:c>
      <x:c r="L18" t="n">
        <x:f>K18*(1+($BG18+('Assumptions'!$D$3-$BG18)*(8-5)/5))</x:f>
        <x:v>788.9525909902163</x:v>
      </x:c>
      <x:c r="M18" t="n">
        <x:f>L18*(1+($BG18+('Assumptions'!$D$3-$BG18)*(9-5)/5))</x:f>
        <x:v>833.1339360856684</x:v>
      </x:c>
      <x:c r="N18" t="n">
        <x:f>M18*(1+($BG18+('Assumptions'!$D$3-$BG18)*(10-5)/5))</x:f>
        <x:v>858.1279541682385</x:v>
      </x:c>
      <x:c r="O18" t="n">
        <x:f>0</x:f>
        <x:v>0</x:v>
      </x:c>
      <x:c r="P18" t="n">
        <x:f>0</x:f>
        <x:v>0</x:v>
      </x:c>
      <x:c r="Q18" t="n">
        <x:f>0</x:f>
        <x:v>0</x:v>
      </x:c>
      <x:c r="R18" t="n">
        <x:f>0</x:f>
        <x:v>0</x:v>
      </x:c>
      <x:c r="S18" t="n">
        <x:f>0</x:f>
        <x:v>0</x:v>
      </x:c>
      <x:c r="T18" t="n">
        <x:f>S18*(1+($BG18+('Assumptions'!$D$3-$BG18)*(6-5)/5))</x:f>
        <x:v>0</x:v>
      </x:c>
      <x:c r="U18" t="n">
        <x:f>T18*(1+($BG18+('Assumptions'!$D$3-$BG18)*(7-5)/5))</x:f>
        <x:v>0</x:v>
      </x:c>
      <x:c r="V18" t="n">
        <x:f>U18*(1+($BG18+('Assumptions'!$D$3-$BG18)*(8-5)/5))</x:f>
        <x:v>0</x:v>
      </x:c>
      <x:c r="W18" t="n">
        <x:f>V18*(1+($BG18+('Assumptions'!$D$3-$BG18)*(9-5)/5))</x:f>
        <x:v>0</x:v>
      </x:c>
      <x:c r="X18" t="n">
        <x:f>W18*(1+($BG18+('Assumptions'!$D$3-$BG18)*(10-5)/5))</x:f>
        <x:v>0</x:v>
      </x:c>
      <x:c r="Y18" t="n">
        <x:f>E18*'LMAT Model'!$B$62+O18*'LMAT Model'!$B$63+'LMAT Model'!$B$73+'LMAT Model'!$B$74</x:f>
        <x:v>89.74224000000001</x:v>
      </x:c>
      <x:c r="Z18" t="n">
        <x:f>F18*'LMAT Model'!$C$62+P18*'LMAT Model'!$C$63+'LMAT Model'!$C$73+'LMAT Model'!$C$74</x:f>
        <x:v>107.81889119999998</x:v>
      </x:c>
      <x:c r="AA18" t="n">
        <x:f>G18*'LMAT Model'!$D$62+Q18*'LMAT Model'!$D$63+'LMAT Model'!$D$73+'LMAT Model'!$D$74</x:f>
        <x:v>129.38266944</x:v>
      </x:c>
      <x:c r="AB18" t="n">
        <x:f>H18*'LMAT Model'!$E$62+R18*'LMAT Model'!$E$63+'LMAT Model'!$E$73+'LMAT Model'!$E$74</x:f>
        <x:v>152.58529482623996</x:v>
      </x:c>
      <x:c r="AC18" t="n">
        <x:f>I18*'LMAT Model'!$F$62+S18*'LMAT Model'!$F$63+'LMAT Model'!$F$73+'LMAT Model'!$F$74</x:f>
        <x:v>179.90056399841276</x:v>
      </x:c>
      <x:c r="AD18" t="n">
        <x:f>AX18*$AC18/$AW18</x:f>
        <x:v>204.00723957420004</x:v>
      </x:c>
      <x:c r="AE18" t="n">
        <x:f>AY18*$AC18/$AW18</x:f>
        <x:v>226.04002144821362</x:v>
      </x:c>
      <x:c r="AF18" t="n">
        <x:f>AZ18*$AC18/$AW18</x:f>
        <x:v>244.57530320696708</x:v>
      </x:c>
      <x:c r="AG18" t="n">
        <x:f>BA18*$AC18/$AW18</x:f>
        <x:v>258.2715201865572</x:v>
      </x:c>
      <x:c r="AH18" t="n">
        <x:f>BB18*$AC18/$AW18</x:f>
        <x:v>266.01966579215394</x:v>
      </x:c>
      <x:c r="AI18" t="n">
        <x:f>Y18*(1-'Assumptions'!$F$3)+AS18*'Assumptions'!$G$3-AS18*'LMAT Model'!$B$65-(AS18-'Inputs'!$B$14)*'Assumptions'!$H$3-'Assumptions'!$I$3</x:f>
        <x:v>53.43372240000003</x:v>
      </x:c>
      <x:c r="AJ18" t="n">
        <x:f>Z18*(1-'Assumptions'!$F$3)+AT18*'Assumptions'!$G$3-AT18*'LMAT Model'!$C$65-(AT18-AS18)*'Assumptions'!$H$3-0</x:f>
        <x:v>68.28871651199998</x:v>
      </x:c>
      <x:c r="AK18" t="n">
        <x:f>AA18*(1-'Assumptions'!$F$3)+AU18*'Assumptions'!$G$3-AU18*'LMAT Model'!$D$65-(AU18-AT18)*'Assumptions'!$H$3-0</x:f>
        <x:v>82.49260544639999</x:v>
      </x:c>
      <x:c r="AL18" t="n">
        <x:f>AB18*(1-'Assumptions'!$F$3)+AV18*'Assumptions'!$G$3-AV18*'LMAT Model'!$E$65-(AV18-AU18)*'Assumptions'!$H$3-0</x:f>
        <x:v>97.5924850074624</x:v>
      </x:c>
      <x:c r="AM18" t="n">
        <x:f>AC18*(1-'Assumptions'!$F$3)+AW18*'Assumptions'!$G$3-AW18*'LMAT Model'!$F$65-(AW18-AV18)*'Assumptions'!$H$3-0</x:f>
        <x:v>115.41251532863693</x:v>
      </x:c>
      <x:c r="AN18" t="n">
        <x:f>AD18*(1-'Assumptions'!$F$3)+AX18*'Assumptions'!$G$3-AX18*'LMAT Model'!$G$65-(AX18-AW18)*'Assumptions'!$H$3-0</x:f>
        <x:v>133.86946472057892</x:v>
      </x:c>
      <x:c r="AO18" t="n">
        <x:f>AE18*(1-'Assumptions'!$F$3)+AY18*'Assumptions'!$G$3-AY18*'LMAT Model'!$H$65-(AY18-AX18)*'Assumptions'!$H$3-0</x:f>
        <x:v>151.7977068223708</x:v>
      </x:c>
      <x:c r="AP18" t="n">
        <x:f>AF18*(1-'Assumptions'!$F$3)+AZ18*'Assumptions'!$G$3-AZ18*'LMAT Model'!$I$65-(AZ18-AY18)*'Assumptions'!$H$3-0</x:f>
        <x:v>168.1804842419784</x:v>
      </x:c>
      <x:c r="AQ18" t="n">
        <x:f>AG18*(1-'Assumptions'!$F$3)+BA18*'Assumptions'!$G$3-BA18*'LMAT Model'!$J$65-(BA18-AZ18)*'Assumptions'!$H$3-0</x:f>
        <x:v>181.95897628940116</x:v>
      </x:c>
      <x:c r="AR18" t="n">
        <x:f>AH18*(1-'Assumptions'!$F$3)+BB18*'Assumptions'!$G$3-BB18*'LMAT Model'!$K$65-(BB18-BA18)*'Assumptions'!$H$3-0</x:f>
        <x:v>192.1356820722047</x:v>
      </x:c>
      <x:c r="AS18" t="n">
        <x:f>E18+O18</x:f>
        <x:v>320.508</x:v>
      </x:c>
      <x:c r="AT18" t="n">
        <x:f>F18+P18</x:f>
        <x:v>371.78927999999996</x:v>
      </x:c>
      <x:c r="AU18" t="n">
        <x:f>G18+Q18</x:f>
        <x:v>431.2755648</x:v>
      </x:c>
      <x:c r="AV18" t="n">
        <x:f>H18+R18</x:f>
        <x:v>500.2796551679999</x:v>
      </x:c>
      <x:c r="AW18" t="n">
        <x:f>I18+S18</x:f>
        <x:v>580.3243999948799</x:v>
      </x:c>
      <x:c r="AX18" t="n">
        <x:f>J18+T18</x:f>
        <x:v>658.0878695941936</x:v>
      </x:c>
      <x:c r="AY18" t="n">
        <x:f>K18+U18</x:f>
        <x:v>729.1613595103664</x:v>
      </x:c>
      <x:c r="AZ18" t="n">
        <x:f>L18+V18</x:f>
        <x:v>788.9525909902163</x:v>
      </x:c>
      <x:c r="BA18" t="n">
        <x:f>M18+W18</x:f>
        <x:v>833.1339360856684</x:v>
      </x:c>
      <x:c r="BB18" t="n">
        <x:f>N18+X18</x:f>
        <x:v>858.1279541682385</x:v>
      </x:c>
      <x:c r="BC18" t="n">
        <x:f>AS18/'Inputs'!$B$14-1</x:f>
        <x:v>0.15999999999999992</x:v>
      </x:c>
      <x:c r="BD18" t="n">
        <x:f>AT18/AS18-1</x:f>
        <x:v>0.15999999999999992</x:v>
      </x:c>
      <x:c r="BE18" t="n">
        <x:f>AU18/AT18-1</x:f>
        <x:v>0.16000000000000014</x:v>
      </x:c>
      <x:c r="BF18" t="n">
        <x:f>AV18/AU18-1</x:f>
        <x:v>0.15999999999999992</x:v>
      </x:c>
      <x:c r="BG18" t="n">
        <x:f>AW18/AV18-1</x:f>
        <x:v>0.15999999999999992</x:v>
      </x:c>
      <x:c r="BH18" t="n">
        <x:f>AX18/AW18-1</x:f>
        <x:v>0.1339999999999999</x:v>
      </x:c>
      <x:c r="BI18" t="n">
        <x:f>AY18/AX18-1</x:f>
        <x:v>0.10799999999999987</x:v>
      </x:c>
      <x:c r="BJ18" t="n">
        <x:f>AZ18/AY18-1</x:f>
        <x:v>0.08199999999999985</x:v>
      </x:c>
      <x:c r="BK18" t="n">
        <x:f>BA18/AZ18-1</x:f>
        <x:v>0.05600000000000005</x:v>
      </x:c>
      <x:c r="BL18" t="n">
        <x:f>BB18/BA18-1</x:f>
        <x:v>0.030000000000000027</x:v>
      </x:c>
      <x:c r="BM18" t="n">
        <x:f>AH18*(1-'Assumptions'!$F$3)*(1+'Assumptions'!$D$3)*(1-'Assumptions'!$D$3/'Assumptions'!$E$3)</x:f>
        <x:v>183.25137105624634</x:v>
      </x:c>
      <x:c r="BN18" t="n">
        <x:f>SUMPRODUCT(AI18:AR18,'LMAT Model'!$B$83:$K$83)+BM18/('Assumptions'!$C$3-'Assumptions'!$D$3)*'LMAT Model'!$K$83</x:f>
        <x:v>1697.779337111466</x:v>
      </x:c>
      <x:c r="BO18" t="n">
        <x:f>'LMAT Model'!$B$94</x:f>
        <x:v>178</x:v>
      </x:c>
      <x:c r="BP18" t="n">
        <x:f>'Inputs'!$B$8</x:f>
        <x:v>23.088</x:v>
      </x:c>
    </x:row>
    <x:row r="19">
      <x:c r="A19" t="str">
        <x:v>LMAT</x:v>
      </x:c>
      <x:c r="B19" s="22" t="n">
        <x:v>0.17</x:v>
      </x:c>
      <x:c r="C19" s="42" t="n">
        <x:f>MIN((BN19+BO19)/BP19,(BN19+BO19+'Inputs'!$B$7)/(BP19+'Inputs'!$B$19))</x:f>
        <x:v>85.15197965975254</x:v>
      </x:c>
      <x:c r="D19" s="22" t="n">
        <x:f>C19/'Inputs'!$B$5-1</x:f>
        <x:v>0.05555943547480524</x:v>
      </x:c>
      <x:c r="E19" t="n">
        <x:f>'Inputs'!$B$14*(1+$B19)^1</x:f>
        <x:v>323.271</x:v>
      </x:c>
      <x:c r="F19" t="n">
        <x:f>'Inputs'!$B$14*(1+$B19)^2</x:f>
        <x:v>378.22706999999997</x:v>
      </x:c>
      <x:c r="G19" t="n">
        <x:f>'Inputs'!$B$14*(1+$B19)^3</x:f>
        <x:v>442.52567189999996</x:v>
      </x:c>
      <x:c r="H19" t="n">
        <x:f>'Inputs'!$B$14*(1+$B19)^4</x:f>
        <x:v>517.7550361229999</x:v>
      </x:c>
      <x:c r="I19" t="n">
        <x:f>'Inputs'!$B$14*(1+$B19)^5</x:f>
        <x:v>605.7733922639098</x:v>
      </x:c>
      <x:c r="J19" t="n">
        <x:f>I19*(1+($BG19+('Assumptions'!$D$3-$BG19)*(6-5)/5))</x:f>
        <x:v>691.793213965385</x:v>
      </x:c>
      <x:c r="K19" t="n">
        <x:f>J19*(1+($BG19+('Assumptions'!$D$3-$BG19)*(7-5)/5))</x:f>
        <x:v>770.6576403574388</x:v>
      </x:c>
      <x:c r="L19" t="n">
        <x:f>K19*(1+($BG19+('Assumptions'!$D$3-$BG19)*(8-5)/5))</x:f>
        <x:v>836.9341974281784</x:v>
      </x:c>
      <x:c r="M19" t="n">
        <x:f>L19*(1+($BG19+('Assumptions'!$D$3-$BG19)*(9-5)/5))</x:f>
        <x:v>885.4763808790128</x:v>
      </x:c>
      <x:c r="N19" t="n">
        <x:f>M19*(1+($BG19+('Assumptions'!$D$3-$BG19)*(10-5)/5))</x:f>
        <x:v>912.0406723053833</x:v>
      </x:c>
      <x:c r="O19" t="n">
        <x:f>0</x:f>
        <x:v>0</x:v>
      </x:c>
      <x:c r="P19" t="n">
        <x:f>0</x:f>
        <x:v>0</x:v>
      </x:c>
      <x:c r="Q19" t="n">
        <x:f>0</x:f>
        <x:v>0</x:v>
      </x:c>
      <x:c r="R19" t="n">
        <x:f>0</x:f>
        <x:v>0</x:v>
      </x:c>
      <x:c r="S19" t="n">
        <x:f>0</x:f>
        <x:v>0</x:v>
      </x:c>
      <x:c r="T19" t="n">
        <x:f>S19*(1+($BG19+('Assumptions'!$D$3-$BG19)*(6-5)/5))</x:f>
        <x:v>0</x:v>
      </x:c>
      <x:c r="U19" t="n">
        <x:f>T19*(1+($BG19+('Assumptions'!$D$3-$BG19)*(7-5)/5))</x:f>
        <x:v>0</x:v>
      </x:c>
      <x:c r="V19" t="n">
        <x:f>U19*(1+($BG19+('Assumptions'!$D$3-$BG19)*(8-5)/5))</x:f>
        <x:v>0</x:v>
      </x:c>
      <x:c r="W19" t="n">
        <x:f>V19*(1+($BG19+('Assumptions'!$D$3-$BG19)*(9-5)/5))</x:f>
        <x:v>0</x:v>
      </x:c>
      <x:c r="X19" t="n">
        <x:f>W19*(1+($BG19+('Assumptions'!$D$3-$BG19)*(10-5)/5))</x:f>
        <x:v>0</x:v>
      </x:c>
      <x:c r="Y19" t="n">
        <x:f>E19*'LMAT Model'!$B$62+O19*'LMAT Model'!$B$63+'LMAT Model'!$B$73+'LMAT Model'!$B$74</x:f>
        <x:v>90.51588000000001</x:v>
      </x:c>
      <x:c r="Z19" t="n">
        <x:f>F19*'LMAT Model'!$C$62+P19*'LMAT Model'!$C$63+'LMAT Model'!$C$73+'LMAT Model'!$C$74</x:f>
        <x:v>109.68585029999998</x:v>
      </x:c>
      <x:c r="AA19" t="n">
        <x:f>G19*'LMAT Model'!$D$62+Q19*'LMAT Model'!$D$63+'LMAT Model'!$D$73+'LMAT Model'!$D$74</x:f>
        <x:v>132.75770157</x:v>
      </x:c>
      <x:c r="AB19" t="n">
        <x:f>H19*'LMAT Model'!$E$62+R19*'LMAT Model'!$E$63+'LMAT Model'!$E$73+'LMAT Model'!$E$74</x:f>
        <x:v>157.91528601751494</x:v>
      </x:c>
      <x:c r="AC19" t="n">
        <x:f>I19*'LMAT Model'!$F$62+S19*'LMAT Model'!$F$63+'LMAT Model'!$F$73+'LMAT Model'!$F$74</x:f>
        <x:v>187.78975160181204</x:v>
      </x:c>
      <x:c r="AD19" t="n">
        <x:f>AX19*$AC19/$AW19</x:f>
        <x:v>214.45589632926934</x:v>
      </x:c>
      <x:c r="AE19" t="n">
        <x:f>AY19*$AC19/$AW19</x:f>
        <x:v>238.903868510806</x:v>
      </x:c>
      <x:c r="AF19" t="n">
        <x:f>AZ19*$AC19/$AW19</x:f>
        <x:v>259.4496012027353</x:v>
      </x:c>
      <x:c r="AG19" t="n">
        <x:f>BA19*$AC19/$AW19</x:f>
        <x:v>274.49767807249395</x:v>
      </x:c>
      <x:c r="AH19" t="n">
        <x:f>BB19*$AC19/$AW19</x:f>
        <x:v>282.7326084146688</x:v>
      </x:c>
      <x:c r="AI19" t="n">
        <x:f>Y19*(1-'Assumptions'!$F$3)+AS19*'Assumptions'!$G$3-AS19*'LMAT Model'!$B$65-(AS19-'Inputs'!$B$14)*'Assumptions'!$H$3-'Assumptions'!$I$3</x:f>
        <x:v>53.37238380000001</x:v>
      </x:c>
      <x:c r="AJ19" t="n">
        <x:f>Z19*(1-'Assumptions'!$F$3)+AT19*'Assumptions'!$G$3-AT19*'LMAT Model'!$C$65-(AT19-AS19)*'Assumptions'!$H$3-0</x:f>
        <x:v>68.830214778</x:v>
      </x:c>
      <x:c r="AK19" t="n">
        <x:f>AA19*(1-'Assumptions'!$F$3)+AU19*'Assumptions'!$G$3-AU19*'LMAT Model'!$D$65-(AU19-AT19)*'Assumptions'!$H$3-0</x:f>
        <x:v>83.8945463967</x:v>
      </x:c>
      <x:c r="AL19" t="n">
        <x:f>AB19*(1-'Assumptions'!$F$3)+AV19*'Assumptions'!$G$3-AV19*'LMAT Model'!$E$65-(AV19-AU19)*'Assumptions'!$H$3-0</x:f>
        <x:v>100.1240884214064</x:v>
      </x:c>
      <x:c r="AM19" t="n">
        <x:f>AC19*(1-'Assumptions'!$F$3)+AW19*'Assumptions'!$G$3-AW19*'LMAT Model'!$F$65-(AW19-AV19)*'Assumptions'!$H$3-0</x:f>
        <x:v>119.44712234364832</x:v>
      </x:c>
      <x:c r="AN19" t="n">
        <x:f>AD19*(1-'Assumptions'!$F$3)+AX19*'Assumptions'!$G$3-AX19*'LMAT Model'!$G$65-(AX19-AW19)*'Assumptions'!$H$3-0</x:f>
        <x:v>139.7429561490785</x:v>
      </x:c>
      <x:c r="AO19" t="n">
        <x:f>AE19*(1-'Assumptions'!$F$3)+AY19*'Assumptions'!$G$3-AY19*'LMAT Model'!$H$65-(AY19-AX19)*'Assumptions'!$H$3-0</x:f>
        <x:v>159.57483379625302</x:v>
      </x:c>
      <x:c r="AP19" t="n">
        <x:f>AF19*(1-'Assumptions'!$F$3)+AZ19*'Assumptions'!$G$3-AZ19*'LMAT Model'!$I$65-(AZ19-AY19)*'Assumptions'!$H$3-0</x:f>
        <x:v>177.75341780066785</x:v>
      </x:c>
      <x:c r="AQ19" t="n">
        <x:f>AG19*(1-'Assumptions'!$F$3)+BA19*'Assumptions'!$G$3-BA19*'LMAT Model'!$J$65-(BA19-AZ19)*'Assumptions'!$H$3-0</x:f>
        <x:v>193.02615123700846</x:v>
      </x:c>
      <x:c r="AR19" t="n">
        <x:f>AH19*(1-'Assumptions'!$F$3)+BB19*'Assumptions'!$G$3-BB19*'LMAT Model'!$K$65-(BB19-BA19)*'Assumptions'!$H$3-0</x:f>
        <x:v>204.20679200555617</x:v>
      </x:c>
      <x:c r="AS19" t="n">
        <x:f>E19+O19</x:f>
        <x:v>323.271</x:v>
      </x:c>
      <x:c r="AT19" t="n">
        <x:f>F19+P19</x:f>
        <x:v>378.22706999999997</x:v>
      </x:c>
      <x:c r="AU19" t="n">
        <x:f>G19+Q19</x:f>
        <x:v>442.52567189999996</x:v>
      </x:c>
      <x:c r="AV19" t="n">
        <x:f>H19+R19</x:f>
        <x:v>517.7550361229999</x:v>
      </x:c>
      <x:c r="AW19" t="n">
        <x:f>I19+S19</x:f>
        <x:v>605.7733922639098</x:v>
      </x:c>
      <x:c r="AX19" t="n">
        <x:f>J19+T19</x:f>
        <x:v>691.793213965385</x:v>
      </x:c>
      <x:c r="AY19" t="n">
        <x:f>K19+U19</x:f>
        <x:v>770.6576403574388</x:v>
      </x:c>
      <x:c r="AZ19" t="n">
        <x:f>L19+V19</x:f>
        <x:v>836.9341974281784</x:v>
      </x:c>
      <x:c r="BA19" t="n">
        <x:f>M19+W19</x:f>
        <x:v>885.4763808790128</x:v>
      </x:c>
      <x:c r="BB19" t="n">
        <x:f>N19+X19</x:f>
        <x:v>912.0406723053833</x:v>
      </x:c>
      <x:c r="BC19" t="n">
        <x:f>AS19/'Inputs'!$B$14-1</x:f>
        <x:v>0.16999999999999993</x:v>
      </x:c>
      <x:c r="BD19" t="n">
        <x:f>AT19/AS19-1</x:f>
        <x:v>0.16999999999999993</x:v>
      </x:c>
      <x:c r="BE19" t="n">
        <x:f>AU19/AT19-1</x:f>
        <x:v>0.16999999999999993</x:v>
      </x:c>
      <x:c r="BF19" t="n">
        <x:f>AV19/AU19-1</x:f>
        <x:v>0.1699999999999997</x:v>
      </x:c>
      <x:c r="BG19" t="n">
        <x:f>AW19/AV19-1</x:f>
        <x:v>0.16999999999999993</x:v>
      </x:c>
      <x:c r="BH19" t="n">
        <x:f>AX19/AW19-1</x:f>
        <x:v>0.1419999999999999</x:v>
      </x:c>
      <x:c r="BI19" t="n">
        <x:f>AY19/AX19-1</x:f>
        <x:v>0.11399999999999988</x:v>
      </x:c>
      <x:c r="BJ19" t="n">
        <x:f>AZ19/AY19-1</x:f>
        <x:v>0.08599999999999985</x:v>
      </x:c>
      <x:c r="BK19" t="n">
        <x:f>BA19/AZ19-1</x:f>
        <x:v>0.05800000000000005</x:v>
      </x:c>
      <x:c r="BL19" t="n">
        <x:f>BB19/BA19-1</x:f>
        <x:v>0.030000000000000027</x:v>
      </x:c>
      <x:c r="BM19" t="n">
        <x:f>AH19*(1-'Assumptions'!$F$3)*(1+'Assumptions'!$D$3)*(1-'Assumptions'!$D$3/'Assumptions'!$E$3)</x:f>
        <x:v>194.7643155629624</x:v>
      </x:c>
      <x:c r="BN19" t="n">
        <x:f>SUMPRODUCT(AI19:AR19,'LMAT Model'!$B$83:$K$83)+BM19/('Assumptions'!$C$3-'Assumptions'!$D$3)*'LMAT Model'!$K$83</x:f>
        <x:v>1787.9889063843668</x:v>
      </x:c>
      <x:c r="BO19" t="n">
        <x:f>'LMAT Model'!$B$94</x:f>
        <x:v>178</x:v>
      </x:c>
      <x:c r="BP19" t="n">
        <x:f>'Inputs'!$B$8</x:f>
        <x:v>23.088</x:v>
      </x:c>
    </x:row>
    <x:row r="20">
      <x:c r="A20" t="str">
        <x:v>LMAT</x:v>
      </x:c>
      <x:c r="B20" s="22" t="n">
        <x:v>0.18</x:v>
      </x:c>
      <x:c r="C20" s="42" t="n">
        <x:f>MIN((BN20+BO20)/BP20,(BN20+BO20+'Inputs'!$B$7)/(BP20+'Inputs'!$B$19))</x:f>
        <x:v>89.25671854425114</x:v>
      </x:c>
      <x:c r="D20" s="22" t="n">
        <x:f>C20/'Inputs'!$B$5-1</x:f>
        <x:v>0.10644252565081369</x:v>
      </x:c>
      <x:c r="E20" t="n">
        <x:f>'Inputs'!$B$14*(1+$B20)^1</x:f>
        <x:v>326.034</x:v>
      </x:c>
      <x:c r="F20" t="n">
        <x:f>'Inputs'!$B$14*(1+$B20)^2</x:f>
        <x:v>384.72011999999995</x:v>
      </x:c>
      <x:c r="G20" t="n">
        <x:f>'Inputs'!$B$14*(1+$B20)^3</x:f>
        <x:v>453.96974159999996</x:v>
      </x:c>
      <x:c r="H20" t="n">
        <x:f>'Inputs'!$B$14*(1+$B20)^4</x:f>
        <x:v>535.6842950879999</x:v>
      </x:c>
      <x:c r="I20" t="n">
        <x:f>'Inputs'!$B$14*(1+$B20)^5</x:f>
        <x:v>632.1074682038397</x:v>
      </x:c>
      <x:c r="J20" t="n">
        <x:f>I20*(1+($BG20+('Assumptions'!$D$3-$BG20)*(6-5)/5))</x:f>
        <x:v>726.9235884344155</x:v>
      </x:c>
      <x:c r="K20" t="n">
        <x:f>J20*(1+($BG20+('Assumptions'!$D$3-$BG20)*(7-5)/5))</x:f>
        <x:v>814.1544190465453</x:v>
      </x:c>
      <x:c r="L20" t="n">
        <x:f>K20*(1+($BG20+('Assumptions'!$D$3-$BG20)*(8-5)/5))</x:f>
        <x:v>887.4283167607342</x:v>
      </x:c>
      <x:c r="M20" t="n">
        <x:f>L20*(1+($BG20+('Assumptions'!$D$3-$BG20)*(9-5)/5))</x:f>
        <x:v>940.6740157663784</x:v>
      </x:c>
      <x:c r="N20" t="n">
        <x:f>M20*(1+($BG20+('Assumptions'!$D$3-$BG20)*(10-5)/5))</x:f>
        <x:v>968.8942362393698</x:v>
      </x:c>
      <x:c r="O20" t="n">
        <x:f>0</x:f>
        <x:v>0</x:v>
      </x:c>
      <x:c r="P20" t="n">
        <x:f>0</x:f>
        <x:v>0</x:v>
      </x:c>
      <x:c r="Q20" t="n">
        <x:f>0</x:f>
        <x:v>0</x:v>
      </x:c>
      <x:c r="R20" t="n">
        <x:f>0</x:f>
        <x:v>0</x:v>
      </x:c>
      <x:c r="S20" t="n">
        <x:f>0</x:f>
        <x:v>0</x:v>
      </x:c>
      <x:c r="T20" t="n">
        <x:f>S20*(1+($BG20+('Assumptions'!$D$3-$BG20)*(6-5)/5))</x:f>
        <x:v>0</x:v>
      </x:c>
      <x:c r="U20" t="n">
        <x:f>T20*(1+($BG20+('Assumptions'!$D$3-$BG20)*(7-5)/5))</x:f>
        <x:v>0</x:v>
      </x:c>
      <x:c r="V20" t="n">
        <x:f>U20*(1+($BG20+('Assumptions'!$D$3-$BG20)*(8-5)/5))</x:f>
        <x:v>0</x:v>
      </x:c>
      <x:c r="W20" t="n">
        <x:f>V20*(1+($BG20+('Assumptions'!$D$3-$BG20)*(9-5)/5))</x:f>
        <x:v>0</x:v>
      </x:c>
      <x:c r="X20" t="n">
        <x:f>W20*(1+($BG20+('Assumptions'!$D$3-$BG20)*(10-5)/5))</x:f>
        <x:v>0</x:v>
      </x:c>
      <x:c r="Y20" t="n">
        <x:f>E20*'LMAT Model'!$B$62+O20*'LMAT Model'!$B$63+'LMAT Model'!$B$73+'LMAT Model'!$B$74</x:f>
        <x:v>91.28952000000001</x:v>
      </x:c>
      <x:c r="Z20" t="n">
        <x:f>F20*'LMAT Model'!$C$62+P20*'LMAT Model'!$C$63+'LMAT Model'!$C$73+'LMAT Model'!$C$74</x:f>
        <x:v>111.56883479999998</x:v>
      </x:c>
      <x:c r="AA20" t="n">
        <x:f>G20*'LMAT Model'!$D$62+Q20*'LMAT Model'!$D$63+'LMAT Model'!$D$73+'LMAT Model'!$D$74</x:f>
        <x:v>136.19092247999998</x:v>
      </x:c>
      <x:c r="AB20" t="n">
        <x:f>H20*'LMAT Model'!$E$62+R20*'LMAT Model'!$E$63+'LMAT Model'!$E$73+'LMAT Model'!$E$74</x:f>
        <x:v>163.38371000183997</x:v>
      </x:c>
      <x:c r="AC20" t="n">
        <x:f>I20*'LMAT Model'!$F$62+S20*'LMAT Model'!$F$63+'LMAT Model'!$F$73+'LMAT Model'!$F$74</x:f>
        <x:v>195.9533151431903</x:v>
      </x:c>
      <x:c r="AD20" t="n">
        <x:f>AX20*$AC20/$AW20</x:f>
        <x:v>225.34631241466877</x:v>
      </x:c>
      <x:c r="AE20" t="n">
        <x:f>AY20*$AC20/$AW20</x:f>
        <x:v>252.387869904429</x:v>
      </x:c>
      <x:c r="AF20" t="n">
        <x:f>AZ20*$AC20/$AW20</x:f>
        <x:v>275.1027781958276</x:v>
      </x:c>
      <x:c r="AG20" t="n">
        <x:f>BA20*$AC20/$AW20</x:f>
        <x:v>291.6089448875773</x:v>
      </x:c>
      <x:c r="AH20" t="n">
        <x:f>BB20*$AC20/$AW20</x:f>
        <x:v>300.3572132342046</x:v>
      </x:c>
      <x:c r="AI20" t="n">
        <x:f>Y20*(1-'Assumptions'!$F$3)+AS20*'Assumptions'!$G$3-AS20*'LMAT Model'!$B$65-(AS20-'Inputs'!$B$14)*'Assumptions'!$H$3-'Assumptions'!$I$3</x:f>
        <x:v>53.311045200000024</x:v>
      </x:c>
      <x:c r="AJ20" t="n">
        <x:f>Z20*(1-'Assumptions'!$F$3)+AT20*'Assumptions'!$G$3-AT20*'LMAT Model'!$C$65-(AT20-AS20)*'Assumptions'!$H$3-0</x:f>
        <x:v>69.370906248</x:v>
      </x:c>
      <x:c r="AK20" t="n">
        <x:f>AA20*(1-'Assumptions'!$F$3)+AU20*'Assumptions'!$G$3-AU20*'LMAT Model'!$D$65-(AU20-AT20)*'Assumptions'!$H$3-0</x:f>
        <x:v>85.30783940879999</x:v>
      </x:c>
      <x:c r="AL20" t="n">
        <x:f>AB20*(1-'Assumptions'!$F$3)+AV20*'Assumptions'!$G$3-AV20*'LMAT Model'!$E$65-(AV20-AU20)*'Assumptions'!$H$3-0</x:f>
        <x:v>102.69885082371839</x:v>
      </x:c>
      <x:c r="AM20" t="n">
        <x:f>AC20*(1-'Assumptions'!$F$3)+AW20*'Assumptions'!$G$3-AW20*'LMAT Model'!$F$65-(AW20-AV20)*'Assumptions'!$H$3-0</x:f>
        <x:v>123.58665235116224</x:v>
      </x:c>
      <x:c r="AN20" t="n">
        <x:f>AD20*(1-'Assumptions'!$F$3)+AX20*'Assumptions'!$G$3-AX20*'LMAT Model'!$G$65-(AX20-AW20)*'Assumptions'!$H$3-0</x:f>
        <x:v>145.82087183994378</x:v>
      </x:c>
      <x:c r="AO20" t="n">
        <x:f>AE20*(1-'Assumptions'!$F$3)+AY20*'Assumptions'!$G$3-AY20*'LMAT Model'!$H$65-(AY20-AX20)*'Assumptions'!$H$3-0</x:f>
        <x:v>167.68091799134348</x:v>
      </x:c>
      <x:c r="AP20" t="n">
        <x:f>AF20*(1-'Assumptions'!$F$3)+AZ20*'Assumptions'!$G$3-AZ20*'LMAT Model'!$I$65-(AZ20-AY20)*'Assumptions'!$H$3-0</x:f>
        <x:v>187.78797337076188</x:v>
      </x:c>
      <x:c r="AQ20" t="n">
        <x:f>AG20*(1-'Assumptions'!$F$3)+BA20*'Assumptions'!$G$3-BA20*'LMAT Model'!$J$65-(BA20-AZ20)*'Assumptions'!$H$3-0</x:f>
        <x:v>204.67291726442872</x:v>
      </x:c>
      <x:c r="AR20" t="n">
        <x:f>AH20*(1-'Assumptions'!$F$3)+BB20*'Assumptions'!$G$3-BB20*'LMAT Model'!$K$65-(BB20-BA20)*'Assumptions'!$H$3-0</x:f>
        <x:v>216.93636016801065</x:v>
      </x:c>
      <x:c r="AS20" t="n">
        <x:f>E20+O20</x:f>
        <x:v>326.034</x:v>
      </x:c>
      <x:c r="AT20" t="n">
        <x:f>F20+P20</x:f>
        <x:v>384.72011999999995</x:v>
      </x:c>
      <x:c r="AU20" t="n">
        <x:f>G20+Q20</x:f>
        <x:v>453.96974159999996</x:v>
      </x:c>
      <x:c r="AV20" t="n">
        <x:f>H20+R20</x:f>
        <x:v>535.6842950879999</x:v>
      </x:c>
      <x:c r="AW20" t="n">
        <x:f>I20+S20</x:f>
        <x:v>632.1074682038397</x:v>
      </x:c>
      <x:c r="AX20" t="n">
        <x:f>J20+T20</x:f>
        <x:v>726.9235884344155</x:v>
      </x:c>
      <x:c r="AY20" t="n">
        <x:f>K20+U20</x:f>
        <x:v>814.1544190465453</x:v>
      </x:c>
      <x:c r="AZ20" t="n">
        <x:f>L20+V20</x:f>
        <x:v>887.4283167607342</x:v>
      </x:c>
      <x:c r="BA20" t="n">
        <x:f>M20+W20</x:f>
        <x:v>940.6740157663784</x:v>
      </x:c>
      <x:c r="BB20" t="n">
        <x:f>N20+X20</x:f>
        <x:v>968.8942362393698</x:v>
      </x:c>
      <x:c r="BC20" t="n">
        <x:f>AS20/'Inputs'!$B$14-1</x:f>
        <x:v>0.17999999999999994</x:v>
      </x:c>
      <x:c r="BD20" t="n">
        <x:f>AT20/AS20-1</x:f>
        <x:v>0.17999999999999994</x:v>
      </x:c>
      <x:c r="BE20" t="n">
        <x:f>AU20/AT20-1</x:f>
        <x:v>0.18000000000000016</x:v>
      </x:c>
      <x:c r="BF20" t="n">
        <x:f>AV20/AU20-1</x:f>
        <x:v>0.17999999999999994</x:v>
      </x:c>
      <x:c r="BG20" t="n">
        <x:f>AW20/AV20-1</x:f>
        <x:v>0.17999999999999972</x:v>
      </x:c>
      <x:c r="BH20" t="n">
        <x:f>AX20/AW20-1</x:f>
        <x:v>0.1499999999999997</x:v>
      </x:c>
      <x:c r="BI20" t="n">
        <x:f>AY20/AX20-1</x:f>
        <x:v>0.11999999999999988</x:v>
      </x:c>
      <x:c r="BJ20" t="n">
        <x:f>AZ20/AY20-1</x:f>
        <x:v>0.08999999999999986</x:v>
      </x:c>
      <x:c r="BK20" t="n">
        <x:f>BA20/AZ20-1</x:f>
        <x:v>0.06000000000000005</x:v>
      </x:c>
      <x:c r="BL20" t="n">
        <x:f>BB20/BA20-1</x:f>
        <x:v>0.030000000000000027</x:v>
      </x:c>
      <x:c r="BM20" t="n">
        <x:f>AH20*(1-'Assumptions'!$F$3)*(1+'Assumptions'!$D$3)*(1-'Assumptions'!$D$3/'Assumptions'!$E$3)</x:f>
        <x:v>206.90527133736714</x:v>
      </x:c>
      <x:c r="BN20" t="n">
        <x:f>SUMPRODUCT(AI20:AR20,'LMAT Model'!$B$83:$K$83)+BM20/('Assumptions'!$C$3-'Assumptions'!$D$3)*'LMAT Model'!$K$83</x:f>
        <x:v>1882.7591177496706</x:v>
      </x:c>
      <x:c r="BO20" t="n">
        <x:f>'LMAT Model'!$B$94</x:f>
        <x:v>178</x:v>
      </x:c>
      <x:c r="BP20" t="n">
        <x:f>'Inputs'!$B$8</x:f>
        <x:v>23.088</x:v>
      </x:c>
    </x:row>
    <x:row r="21">
      <x:c r="A21" t="str">
        <x:v>LMAT</x:v>
      </x:c>
      <x:c r="B21" s="22" t="n">
        <x:v>0.19</x:v>
      </x:c>
      <x:c r="C21" s="42" t="n">
        <x:f>MIN((BN21+BO21)/BP21,(BN21+BO21+'Inputs'!$B$7)/(BP21+'Inputs'!$B$19))</x:f>
        <x:v>93.56774556990668</x:v>
      </x:c>
      <x:c r="D21" s="22" t="n">
        <x:f>C21/'Inputs'!$B$5-1</x:f>
        <x:v>0.15988280116408427</x:v>
      </x:c>
      <x:c r="E21" t="n">
        <x:f>'Inputs'!$B$14*(1+$B21)^1</x:f>
        <x:v>328.797</x:v>
      </x:c>
      <x:c r="F21" t="n">
        <x:f>'Inputs'!$B$14*(1+$B21)^2</x:f>
        <x:v>391.26842999999997</x:v>
      </x:c>
      <x:c r="G21" t="n">
        <x:f>'Inputs'!$B$14*(1+$B21)^3</x:f>
        <x:v>465.60943169999996</x:v>
      </x:c>
      <x:c r="H21" t="n">
        <x:f>'Inputs'!$B$14*(1+$B21)^4</x:f>
        <x:v>554.075223723</x:v>
      </x:c>
      <x:c r="I21" t="n">
        <x:f>'Inputs'!$B$14*(1+$B21)^5</x:f>
        <x:v>659.34951623037</x:v>
      </x:c>
      <x:c r="J21" t="n">
        <x:f>I21*(1+($BG21+('Assumptions'!$D$3-$BG21)*(6-5)/5))</x:f>
        <x:v>763.5267397947684</x:v>
      </x:c>
      <x:c r="K21" t="n">
        <x:f>J21*(1+($BG21+('Assumptions'!$D$3-$BG21)*(7-5)/5))</x:f>
        <x:v>859.7311090089091</x:v>
      </x:c>
      <x:c r="L21" t="n">
        <x:f>K21*(1+($BG21+('Assumptions'!$D$3-$BG21)*(8-5)/5))</x:f>
        <x:v>940.5458332557465</x:v>
      </x:c>
      <x:c r="M21" t="n">
        <x:f>L21*(1+($BG21+('Assumptions'!$D$3-$BG21)*(9-5)/5))</x:f>
        <x:v>998.8596749176029</x:v>
      </x:c>
      <x:c r="N21" t="n">
        <x:f>M21*(1+($BG21+('Assumptions'!$D$3-$BG21)*(10-5)/5))</x:f>
        <x:v>1028.825465165131</x:v>
      </x:c>
      <x:c r="O21" t="n">
        <x:f>0</x:f>
        <x:v>0</x:v>
      </x:c>
      <x:c r="P21" t="n">
        <x:f>0</x:f>
        <x:v>0</x:v>
      </x:c>
      <x:c r="Q21" t="n">
        <x:f>0</x:f>
        <x:v>0</x:v>
      </x:c>
      <x:c r="R21" t="n">
        <x:f>0</x:f>
        <x:v>0</x:v>
      </x:c>
      <x:c r="S21" t="n">
        <x:f>0</x:f>
        <x:v>0</x:v>
      </x:c>
      <x:c r="T21" t="n">
        <x:f>S21*(1+($BG21+('Assumptions'!$D$3-$BG21)*(6-5)/5))</x:f>
        <x:v>0</x:v>
      </x:c>
      <x:c r="U21" t="n">
        <x:f>T21*(1+($BG21+('Assumptions'!$D$3-$BG21)*(7-5)/5))</x:f>
        <x:v>0</x:v>
      </x:c>
      <x:c r="V21" t="n">
        <x:f>U21*(1+($BG21+('Assumptions'!$D$3-$BG21)*(8-5)/5))</x:f>
        <x:v>0</x:v>
      </x:c>
      <x:c r="W21" t="n">
        <x:f>V21*(1+($BG21+('Assumptions'!$D$3-$BG21)*(9-5)/5))</x:f>
        <x:v>0</x:v>
      </x:c>
      <x:c r="X21" t="n">
        <x:f>W21*(1+($BG21+('Assumptions'!$D$3-$BG21)*(10-5)/5))</x:f>
        <x:v>0</x:v>
      </x:c>
      <x:c r="Y21" t="n">
        <x:f>E21*'LMAT Model'!$B$62+O21*'LMAT Model'!$B$63+'LMAT Model'!$B$73+'LMAT Model'!$B$74</x:f>
        <x:v>92.06316000000001</x:v>
      </x:c>
      <x:c r="Z21" t="n">
        <x:f>F21*'LMAT Model'!$C$62+P21*'LMAT Model'!$C$63+'LMAT Model'!$C$73+'LMAT Model'!$C$74</x:f>
        <x:v>113.46784469999999</x:v>
      </x:c>
      <x:c r="AA21" t="n">
        <x:f>G21*'LMAT Model'!$D$62+Q21*'LMAT Model'!$D$63+'LMAT Model'!$D$73+'LMAT Model'!$D$74</x:f>
        <x:v>139.68282950999998</x:v>
      </x:c>
      <x:c r="AB21" t="n">
        <x:f>H21*'LMAT Model'!$E$62+R21*'LMAT Model'!$E$63+'LMAT Model'!$E$73+'LMAT Model'!$E$74</x:f>
        <x:v>168.992943235515</x:v>
      </x:c>
      <x:c r="AC21" t="n">
        <x:f>I21*'LMAT Model'!$F$62+S21*'LMAT Model'!$F$63+'LMAT Model'!$F$73+'LMAT Model'!$F$74</x:f>
        <x:v>204.3983500314147</x:v>
      </x:c>
      <x:c r="AD21" t="n">
        <x:f>AX21*$AC21/$AW21</x:f>
        <x:v>236.6932893363782</x:v>
      </x:c>
      <x:c r="AE21" t="n">
        <x:f>AY21*$AC21/$AW21</x:f>
        <x:v>266.51664379276184</x:v>
      </x:c>
      <x:c r="AF21" t="n">
        <x:f>AZ21*$AC21/$AW21</x:f>
        <x:v>291.5692083092814</x:v>
      </x:c>
      <x:c r="AG21" t="n">
        <x:f>BA21*$AC21/$AW21</x:f>
        <x:v>309.64649922445693</x:v>
      </x:c>
      <x:c r="AH21" t="n">
        <x:f>BB21*$AC21/$AW21</x:f>
        <x:v>318.9358942011906</x:v>
      </x:c>
      <x:c r="AI21" t="n">
        <x:f>Y21*(1-'Assumptions'!$F$3)+AS21*'Assumptions'!$G$3-AS21*'LMAT Model'!$B$65-(AS21-'Inputs'!$B$14)*'Assumptions'!$H$3-'Assumptions'!$I$3</x:f>
        <x:v>53.2497066</x:v>
      </x:c>
      <x:c r="AJ21" t="n">
        <x:f>Z21*(1-'Assumptions'!$F$3)+AT21*'Assumptions'!$G$3-AT21*'LMAT Model'!$C$65-(AT21-AS21)*'Assumptions'!$H$3-0</x:f>
        <x:v>69.910790922</x:v>
      </x:c>
      <x:c r="AK21" t="n">
        <x:f>AA21*(1-'Assumptions'!$F$3)+AU21*'Assumptions'!$G$3-AU21*'LMAT Model'!$D$65-(AU21-AT21)*'Assumptions'!$H$3-0</x:f>
        <x:v>86.7324728781</x:v>
      </x:c>
      <x:c r="AL21" t="n">
        <x:f>AB21*(1-'Assumptions'!$F$3)+AV21*'Assumptions'!$G$3-AV21*'LMAT Model'!$E$65-(AV21-AU21)*'Assumptions'!$H$3-0</x:f>
        <x:v>105.3171285750864</x:v>
      </x:c>
      <x:c r="AM21" t="n">
        <x:f>AC21*(1-'Assumptions'!$F$3)+AW21*'Assumptions'!$G$3-AW21*'LMAT Model'!$F$65-(AW21-AV21)*'Assumptions'!$H$3-0</x:f>
        <x:v>127.83291116602823</x:v>
      </x:c>
      <x:c r="AN21" t="n">
        <x:f>AD21*(1-'Assumptions'!$F$3)+AX21*'Assumptions'!$G$3-AX21*'LMAT Model'!$G$65-(AX21-AW21)*'Assumptions'!$H$3-0</x:f>
        <x:v>152.10850477686196</x:v>
      </x:c>
      <x:c r="AO21" t="n">
        <x:f>AE21*(1-'Assumptions'!$F$3)+AY21*'Assumptions'!$G$3-AY21*'LMAT Model'!$H$65-(AY21-AX21)*'Assumptions'!$H$3-0</x:f>
        <x:v>176.1269888182021</x:v>
      </x:c>
      <x:c r="AP21" t="n">
        <x:f>AF21*(1-'Assumptions'!$F$3)+AZ21*'Assumptions'!$G$3-AZ21*'LMAT Model'!$I$65-(AZ21-AY21)*'Assumptions'!$H$3-0</x:f>
        <x:v>198.30248257200256</x:v>
      </x:c>
      <x:c r="AQ21" t="n">
        <x:f>AG21*(1-'Assumptions'!$F$3)+BA21*'Assumptions'!$G$3-BA21*'LMAT Model'!$J$65-(BA21-AZ21)*'Assumptions'!$H$3-0</x:f>
        <x:v>216.92485745377232</x:v>
      </x:c>
      <x:c r="AR21" t="n">
        <x:f>AH21*(1-'Assumptions'!$F$3)+BB21*'Assumptions'!$G$3-BB21*'LMAT Model'!$K$65-(BB21-BA21)*'Assumptions'!$H$3-0</x:f>
        <x:v>230.35502051014774</x:v>
      </x:c>
      <x:c r="AS21" t="n">
        <x:f>E21+O21</x:f>
        <x:v>328.797</x:v>
      </x:c>
      <x:c r="AT21" t="n">
        <x:f>F21+P21</x:f>
        <x:v>391.26842999999997</x:v>
      </x:c>
      <x:c r="AU21" t="n">
        <x:f>G21+Q21</x:f>
        <x:v>465.60943169999996</x:v>
      </x:c>
      <x:c r="AV21" t="n">
        <x:f>H21+R21</x:f>
        <x:v>554.075223723</x:v>
      </x:c>
      <x:c r="AW21" t="n">
        <x:f>I21+S21</x:f>
        <x:v>659.34951623037</x:v>
      </x:c>
      <x:c r="AX21" t="n">
        <x:f>J21+T21</x:f>
        <x:v>763.5267397947684</x:v>
      </x:c>
      <x:c r="AY21" t="n">
        <x:f>K21+U21</x:f>
        <x:v>859.7311090089091</x:v>
      </x:c>
      <x:c r="AZ21" t="n">
        <x:f>L21+V21</x:f>
        <x:v>940.5458332557465</x:v>
      </x:c>
      <x:c r="BA21" t="n">
        <x:f>M21+W21</x:f>
        <x:v>998.8596749176029</x:v>
      </x:c>
      <x:c r="BB21" t="n">
        <x:f>N21+X21</x:f>
        <x:v>1028.825465165131</x:v>
      </x:c>
      <x:c r="BC21" t="n">
        <x:f>AS21/'Inputs'!$B$14-1</x:f>
        <x:v>0.18999999999999995</x:v>
      </x:c>
      <x:c r="BD21" t="n">
        <x:f>AT21/AS21-1</x:f>
        <x:v>0.18999999999999972</x:v>
      </x:c>
      <x:c r="BE21" t="n">
        <x:f>AU21/AT21-1</x:f>
        <x:v>0.18999999999999995</x:v>
      </x:c>
      <x:c r="BF21" t="n">
        <x:f>AV21/AU21-1</x:f>
        <x:v>0.19000000000000017</x:v>
      </x:c>
      <x:c r="BG21" t="n">
        <x:f>AW21/AV21-1</x:f>
        <x:v>0.18999999999999995</x:v>
      </x:c>
      <x:c r="BH21" t="n">
        <x:f>AX21/AW21-1</x:f>
        <x:v>0.15799999999999992</x:v>
      </x:c>
      <x:c r="BI21" t="n">
        <x:f>AY21/AX21-1</x:f>
        <x:v>0.1259999999999999</x:v>
      </x:c>
      <x:c r="BJ21" t="n">
        <x:f>AZ21/AY21-1</x:f>
        <x:v>0.09399999999999986</x:v>
      </x:c>
      <x:c r="BK21" t="n">
        <x:f>BA21/AZ21-1</x:f>
        <x:v>0.062000000000000055</x:v>
      </x:c>
      <x:c r="BL21" t="n">
        <x:f>BB21/BA21-1</x:f>
        <x:v>0.030000000000000027</x:v>
      </x:c>
      <x:c r="BM21" t="n">
        <x:f>AH21*(1-'Assumptions'!$F$3)*(1+'Assumptions'!$D$3)*(1-'Assumptions'!$D$3/'Assumptions'!$E$3)</x:f>
        <x:v>219.70345582300897</x:v>
      </x:c>
      <x:c r="BN21" t="n">
        <x:f>SUMPRODUCT(AI21:AR21,'LMAT Model'!$B$83:$K$83)+BM21/('Assumptions'!$C$3-'Assumptions'!$D$3)*'LMAT Model'!$K$83</x:f>
        <x:v>1982.2921097180056</x:v>
      </x:c>
      <x:c r="BO21" t="n">
        <x:f>'LMAT Model'!$B$94</x:f>
        <x:v>178</x:v>
      </x:c>
      <x:c r="BP21" t="n">
        <x:f>'Inputs'!$B$8</x:f>
        <x:v>23.088</x:v>
      </x:c>
    </x:row>
    <x:row r="22">
      <x:c r="A22" t="str">
        <x:v>LMAT</x:v>
      </x:c>
      <x:c r="B22" s="22" t="n">
        <x:v>0.2</x:v>
      </x:c>
      <x:c r="C22" s="42" t="n">
        <x:f>MIN((BN22+BO22)/BP22,(BN22+BO22+'Inputs'!$B$7)/(BP22+'Inputs'!$B$19))</x:f>
        <x:v>98.0941432580546</x:v>
      </x:c>
      <x:c r="D22" s="22" t="n">
        <x:f>C22/'Inputs'!$B$5-1</x:f>
        <x:v>0.21599285060189155</x:v>
      </x:c>
      <x:c r="E22" t="n">
        <x:f>'Inputs'!$B$14*(1+$B22)^1</x:f>
        <x:v>331.56</x:v>
      </x:c>
      <x:c r="F22" t="n">
        <x:f>'Inputs'!$B$14*(1+$B22)^2</x:f>
        <x:v>397.872</x:v>
      </x:c>
      <x:c r="G22" t="n">
        <x:f>'Inputs'!$B$14*(1+$B22)^3</x:f>
        <x:v>477.44640000000004</x:v>
      </x:c>
      <x:c r="H22" t="n">
        <x:f>'Inputs'!$B$14*(1+$B22)^4</x:f>
        <x:v>572.93568</x:v>
      </x:c>
      <x:c r="I22" t="n">
        <x:f>'Inputs'!$B$14*(1+$B22)^5</x:f>
        <x:v>687.522816</x:v>
      </x:c>
      <x:c r="J22" t="n">
        <x:f>I22*(1+($BG22+('Assumptions'!$D$3-$BG22)*(6-5)/5))</x:f>
        <x:v>801.651603456</x:v>
      </x:c>
      <x:c r="K22" t="n">
        <x:f>J22*(1+($BG22+('Assumptions'!$D$3-$BG22)*(7-5)/5))</x:f>
        <x:v>907.4696151121918</x:v>
      </x:c>
      <x:c r="L22" t="n">
        <x:f>K22*(1+($BG22+('Assumptions'!$D$3-$BG22)*(8-5)/5))</x:f>
        <x:v>996.4016373931865</x:v>
      </x:c>
      <x:c r="M22" t="n">
        <x:f>L22*(1+($BG22+('Assumptions'!$D$3-$BG22)*(9-5)/5))</x:f>
        <x:v>1060.1713421863506</x:v>
      </x:c>
      <x:c r="N22" t="n">
        <x:f>M22*(1+($BG22+('Assumptions'!$D$3-$BG22)*(10-5)/5))</x:f>
        <x:v>1091.9764824519411</x:v>
      </x:c>
      <x:c r="O22" t="n">
        <x:f>0</x:f>
        <x:v>0</x:v>
      </x:c>
      <x:c r="P22" t="n">
        <x:f>0</x:f>
        <x:v>0</x:v>
      </x:c>
      <x:c r="Q22" t="n">
        <x:f>0</x:f>
        <x:v>0</x:v>
      </x:c>
      <x:c r="R22" t="n">
        <x:f>0</x:f>
        <x:v>0</x:v>
      </x:c>
      <x:c r="S22" t="n">
        <x:f>0</x:f>
        <x:v>0</x:v>
      </x:c>
      <x:c r="T22" t="n">
        <x:f>S22*(1+($BG22+('Assumptions'!$D$3-$BG22)*(6-5)/5))</x:f>
        <x:v>0</x:v>
      </x:c>
      <x:c r="U22" t="n">
        <x:f>T22*(1+($BG22+('Assumptions'!$D$3-$BG22)*(7-5)/5))</x:f>
        <x:v>0</x:v>
      </x:c>
      <x:c r="V22" t="n">
        <x:f>U22*(1+($BG22+('Assumptions'!$D$3-$BG22)*(8-5)/5))</x:f>
        <x:v>0</x:v>
      </x:c>
      <x:c r="W22" t="n">
        <x:f>V22*(1+($BG22+('Assumptions'!$D$3-$BG22)*(9-5)/5))</x:f>
        <x:v>0</x:v>
      </x:c>
      <x:c r="X22" t="n">
        <x:f>W22*(1+($BG22+('Assumptions'!$D$3-$BG22)*(10-5)/5))</x:f>
        <x:v>0</x:v>
      </x:c>
      <x:c r="Y22" t="n">
        <x:f>E22*'LMAT Model'!$B$62+O22*'LMAT Model'!$B$63+'LMAT Model'!$B$73+'LMAT Model'!$B$74</x:f>
        <x:v>92.83680000000001</x:v>
      </x:c>
      <x:c r="Z22" t="n">
        <x:f>F22*'LMAT Model'!$C$62+P22*'LMAT Model'!$C$63+'LMAT Model'!$C$73+'LMAT Model'!$C$74</x:f>
        <x:v>115.38288</x:v>
      </x:c>
      <x:c r="AA22" t="n">
        <x:f>G22*'LMAT Model'!$D$62+Q22*'LMAT Model'!$D$63+'LMAT Model'!$D$73+'LMAT Model'!$D$74</x:f>
        <x:v>143.23392</x:v>
      </x:c>
      <x:c r="AB22" t="n">
        <x:f>H22*'LMAT Model'!$E$62+R22*'LMAT Model'!$E$63+'LMAT Model'!$E$73+'LMAT Model'!$E$74</x:f>
        <x:v>174.7453824</x:v>
      </x:c>
      <x:c r="AC22" t="n">
        <x:f>I22*'LMAT Model'!$F$62+S22*'LMAT Model'!$F$63+'LMAT Model'!$F$73+'LMAT Model'!$F$74</x:f>
        <x:v>213.13207296000002</x:v>
      </x:c>
      <x:c r="AD22" t="n">
        <x:f>AX22*$AC22/$AW22</x:f>
        <x:v>248.51199707135999</x:v>
      </x:c>
      <x:c r="AE22" t="n">
        <x:f>AY22*$AC22/$AW22</x:f>
        <x:v>281.3155806847795</x:v>
      </x:c>
      <x:c r="AF22" t="n">
        <x:f>AZ22*$AC22/$AW22</x:f>
        <x:v>308.8845075918878</x:v>
      </x:c>
      <x:c r="AG22" t="n">
        <x:f>BA22*$AC22/$AW22</x:f>
        <x:v>328.6531160777687</x:v>
      </x:c>
      <x:c r="AH22" t="n">
        <x:f>BB22*$AC22/$AW22</x:f>
        <x:v>338.51270956010177</x:v>
      </x:c>
      <x:c r="AI22" t="n">
        <x:f>Y22*(1-'Assumptions'!$F$3)+AS22*'Assumptions'!$G$3-AS22*'LMAT Model'!$B$65-(AS22-'Inputs'!$B$14)*'Assumptions'!$H$3-'Assumptions'!$I$3</x:f>
        <x:v>53.18836800000001</x:v>
      </x:c>
      <x:c r="AJ22" t="n">
        <x:f>Z22*(1-'Assumptions'!$F$3)+AT22*'Assumptions'!$G$3-AT22*'LMAT Model'!$C$65-(AT22-AS22)*'Assumptions'!$H$3-0</x:f>
        <x:v>70.4498688</x:v>
      </x:c>
      <x:c r="AK22" t="n">
        <x:f>AA22*(1-'Assumptions'!$F$3)+AU22*'Assumptions'!$G$3-AU22*'LMAT Model'!$D$65-(AU22-AT22)*'Assumptions'!$H$3-0</x:f>
        <x:v>88.16843519999999</x:v>
      </x:c>
      <x:c r="AL22" t="n">
        <x:f>AB22*(1-'Assumptions'!$F$3)+AV22*'Assumptions'!$G$3-AV22*'LMAT Model'!$E$65-(AV22-AU22)*'Assumptions'!$H$3-0</x:f>
        <x:v>107.97927782400001</x:v>
      </x:c>
      <x:c r="AM22" t="n">
        <x:f>AC22*(1-'Assumptions'!$F$3)+AW22*'Assumptions'!$G$3-AW22*'LMAT Model'!$F$65-(AW22-AV22)*'Assumptions'!$H$3-0</x:f>
        <x:v>132.18772008960002</x:v>
      </x:c>
      <x:c r="AN22" t="n">
        <x:f>AD22*(1-'Assumptions'!$F$3)+AX22*'Assumptions'!$G$3-AX22*'LMAT Model'!$G$65-(AX22-AW22)*'Assumptions'!$H$3-0</x:f>
        <x:v>158.6112386420736</x:v>
      </x:c>
      <x:c r="AO22" t="n">
        <x:f>AE22*(1-'Assumptions'!$F$3)+AY22*'Assumptions'!$G$3-AY22*'LMAT Model'!$H$65-(AY22-AX22)*'Assumptions'!$H$3-0</x:f>
        <x:v>184.9243505639473</x:v>
      </x:c>
      <x:c r="AP22" t="n">
        <x:f>AF22*(1-'Assumptions'!$F$3)+AZ22*'Assumptions'!$G$3-AZ22*'LMAT Model'!$I$65-(AZ22-AY22)*'Assumptions'!$H$3-0</x:f>
        <x:v>209.31585245824004</x:v>
      </x:c>
      <x:c r="AQ22" t="n">
        <x:f>AG22*(1-'Assumptions'!$F$3)+BA22*'Assumptions'!$G$3-BA22*'LMAT Model'!$J$65-(BA22-AZ22)*'Assumptions'!$H$3-0</x:f>
        <x:v>229.8084794057447</x:v>
      </x:c>
      <x:c r="AR22" t="n">
        <x:f>AH22*(1-'Assumptions'!$F$3)+BB22*'Assumptions'!$G$3-BB22*'LMAT Model'!$K$65-(BB22-BA22)*'Assumptions'!$H$3-0</x:f>
        <x:v>244.4945945923318</x:v>
      </x:c>
      <x:c r="AS22" t="n">
        <x:f>E22+O22</x:f>
        <x:v>331.56</x:v>
      </x:c>
      <x:c r="AT22" t="n">
        <x:f>F22+P22</x:f>
        <x:v>397.872</x:v>
      </x:c>
      <x:c r="AU22" t="n">
        <x:f>G22+Q22</x:f>
        <x:v>477.44640000000004</x:v>
      </x:c>
      <x:c r="AV22" t="n">
        <x:f>H22+R22</x:f>
        <x:v>572.93568</x:v>
      </x:c>
      <x:c r="AW22" t="n">
        <x:f>I22+S22</x:f>
        <x:v>687.522816</x:v>
      </x:c>
      <x:c r="AX22" t="n">
        <x:f>J22+T22</x:f>
        <x:v>801.651603456</x:v>
      </x:c>
      <x:c r="AY22" t="n">
        <x:f>K22+U22</x:f>
        <x:v>907.4696151121918</x:v>
      </x:c>
      <x:c r="AZ22" t="n">
        <x:f>L22+V22</x:f>
        <x:v>996.4016373931865</x:v>
      </x:c>
      <x:c r="BA22" t="n">
        <x:f>M22+W22</x:f>
        <x:v>1060.1713421863506</x:v>
      </x:c>
      <x:c r="BB22" t="n">
        <x:f>N22+X22</x:f>
        <x:v>1091.9764824519411</x:v>
      </x:c>
      <x:c r="BC22" t="n">
        <x:f>AS22/'Inputs'!$B$14-1</x:f>
        <x:v>0.19999999999999996</x:v>
      </x:c>
      <x:c r="BD22" t="n">
        <x:f>AT22/AS22-1</x:f>
        <x:v>0.19999999999999996</x:v>
      </x:c>
      <x:c r="BE22" t="n">
        <x:f>AU22/AT22-1</x:f>
        <x:v>0.19999999999999996</x:v>
      </x:c>
      <x:c r="BF22" t="n">
        <x:f>AV22/AU22-1</x:f>
        <x:v>0.19999999999999996</x:v>
      </x:c>
      <x:c r="BG22" t="n">
        <x:f>AW22/AV22-1</x:f>
        <x:v>0.19999999999999996</x:v>
      </x:c>
      <x:c r="BH22" t="n">
        <x:f>AX22/AW22-1</x:f>
        <x:v>0.16599999999999993</x:v>
      </x:c>
      <x:c r="BI22" t="n">
        <x:f>AY22/AX22-1</x:f>
        <x:v>0.1319999999999999</x:v>
      </x:c>
      <x:c r="BJ22" t="n">
        <x:f>AZ22/AY22-1</x:f>
        <x:v>0.09799999999999986</x:v>
      </x:c>
      <x:c r="BK22" t="n">
        <x:f>BA22/AZ22-1</x:f>
        <x:v>0.06400000000000006</x:v>
      </x:c>
      <x:c r="BL22" t="n">
        <x:f>BB22/BA22-1</x:f>
        <x:v>0.030000000000000027</x:v>
      </x:c>
      <x:c r="BM22" t="n">
        <x:f>AH22*(1-'Assumptions'!$F$3)*(1+'Assumptions'!$D$3)*(1-'Assumptions'!$D$3/'Assumptions'!$E$3)</x:f>
        <x:v>233.1892191584099</x:v>
      </x:c>
      <x:c r="BN22" t="n">
        <x:f>SUMPRODUCT(AI22:AR22,'LMAT Model'!$B$83:$K$83)+BM22/('Assumptions'!$C$3-'Assumptions'!$D$3)*'LMAT Model'!$K$83</x:f>
        <x:v>2086.7975795419648</x:v>
      </x:c>
      <x:c r="BO22" t="n">
        <x:f>'LMAT Model'!$B$94</x:f>
        <x:v>178</x:v>
      </x:c>
      <x:c r="BP22" t="n">
        <x:f>'Inputs'!$B$8</x:f>
        <x:v>23.088</x:v>
      </x:c>
    </x:row>
    <x:row r="23">
      <x:c r="A23" t="str">
        <x:v>LMAT</x:v>
      </x:c>
      <x:c r="B23" s="22" t="n">
        <x:v>0.21</x:v>
      </x:c>
      <x:c r="C23" s="42" t="n">
        <x:f>MIN((BN23+BO23)/BP23,(BN23+BO23+'Inputs'!$B$7)/(BP23+'Inputs'!$B$19))</x:f>
        <x:v>102.84533146910644</x:v>
      </x:c>
      <x:c r="D23" s="22" t="n">
        <x:f>C23/'Inputs'!$B$5-1</x:f>
        <x:v>0.27488944426808537</x:v>
      </x:c>
      <x:c r="E23" t="n">
        <x:f>'Inputs'!$B$14*(1+$B23)^1</x:f>
        <x:v>334.323</x:v>
      </x:c>
      <x:c r="F23" t="n">
        <x:f>'Inputs'!$B$14*(1+$B23)^2</x:f>
        <x:v>404.53083</x:v>
      </x:c>
      <x:c r="G23" t="n">
        <x:f>'Inputs'!$B$14*(1+$B23)^3</x:f>
        <x:v>489.4823043</x:v>
      </x:c>
      <x:c r="H23" t="n">
        <x:f>'Inputs'!$B$14*(1+$B23)^4</x:f>
        <x:v>592.2735882029999</x:v>
      </x:c>
      <x:c r="I23" t="n">
        <x:f>'Inputs'!$B$14*(1+$B23)^5</x:f>
        <x:v>716.65104172563</x:v>
      </x:c>
      <x:c r="J23" t="n">
        <x:f>I23*(1+($BG23+('Assumptions'!$D$3-$BG23)*(6-5)/5))</x:f>
        <x:v>841.3483229858897</x:v>
      </x:c>
      <x:c r="K23" t="n">
        <x:f>J23*(1+($BG23+('Assumptions'!$D$3-$BG23)*(7-5)/5))</x:f>
        <x:v>957.4543915579426</x:v>
      </x:c>
      <x:c r="L23" t="n">
        <x:f>K23*(1+($BG23+('Assumptions'!$D$3-$BG23)*(8-5)/5))</x:f>
        <x:v>1055.1147394968527</x:v>
      </x:c>
      <x:c r="M23" t="n">
        <x:f>L23*(1+($BG23+('Assumptions'!$D$3-$BG23)*(9-5)/5))</x:f>
        <x:v>1124.752312303645</x:v>
      </x:c>
      <x:c r="N23" t="n">
        <x:f>M23*(1+($BG23+('Assumptions'!$D$3-$BG23)*(10-5)/5))</x:f>
        <x:v>1158.4948816727544</x:v>
      </x:c>
      <x:c r="O23" t="n">
        <x:f>0</x:f>
        <x:v>0</x:v>
      </x:c>
      <x:c r="P23" t="n">
        <x:f>0</x:f>
        <x:v>0</x:v>
      </x:c>
      <x:c r="Q23" t="n">
        <x:f>0</x:f>
        <x:v>0</x:v>
      </x:c>
      <x:c r="R23" t="n">
        <x:f>0</x:f>
        <x:v>0</x:v>
      </x:c>
      <x:c r="S23" t="n">
        <x:f>0</x:f>
        <x:v>0</x:v>
      </x:c>
      <x:c r="T23" t="n">
        <x:f>S23*(1+($BG23+('Assumptions'!$D$3-$BG23)*(6-5)/5))</x:f>
        <x:v>0</x:v>
      </x:c>
      <x:c r="U23" t="n">
        <x:f>T23*(1+($BG23+('Assumptions'!$D$3-$BG23)*(7-5)/5))</x:f>
        <x:v>0</x:v>
      </x:c>
      <x:c r="V23" t="n">
        <x:f>U23*(1+($BG23+('Assumptions'!$D$3-$BG23)*(8-5)/5))</x:f>
        <x:v>0</x:v>
      </x:c>
      <x:c r="W23" t="n">
        <x:f>V23*(1+($BG23+('Assumptions'!$D$3-$BG23)*(9-5)/5))</x:f>
        <x:v>0</x:v>
      </x:c>
      <x:c r="X23" t="n">
        <x:f>W23*(1+($BG23+('Assumptions'!$D$3-$BG23)*(10-5)/5))</x:f>
        <x:v>0</x:v>
      </x:c>
      <x:c r="Y23" t="n">
        <x:f>E23*'LMAT Model'!$B$62+O23*'LMAT Model'!$B$63+'LMAT Model'!$B$73+'LMAT Model'!$B$74</x:f>
        <x:v>93.61044</x:v>
      </x:c>
      <x:c r="Z23" t="n">
        <x:f>F23*'LMAT Model'!$C$62+P23*'LMAT Model'!$C$63+'LMAT Model'!$C$73+'LMAT Model'!$C$74</x:f>
        <x:v>117.31394069999999</x:v>
      </x:c>
      <x:c r="AA23" t="n">
        <x:f>G23*'LMAT Model'!$D$62+Q23*'LMAT Model'!$D$63+'LMAT Model'!$D$73+'LMAT Model'!$D$74</x:f>
        <x:v>146.84469129</x:v>
      </x:c>
      <x:c r="AB23" t="n">
        <x:f>H23*'LMAT Model'!$E$62+R23*'LMAT Model'!$E$63+'LMAT Model'!$E$73+'LMAT Model'!$E$74</x:f>
        <x:v>180.64344440191496</x:v>
      </x:c>
      <x:c r="AC23" t="n">
        <x:f>I23*'LMAT Model'!$F$62+S23*'LMAT Model'!$F$63+'LMAT Model'!$F$73+'LMAT Model'!$F$74</x:f>
        <x:v>222.1618229349453</x:v>
      </x:c>
      <x:c r="AD23" t="n">
        <x:f>AX23*$AC23/$AW23</x:f>
        <x:v>260.8179801256258</x:v>
      </x:c>
      <x:c r="AE23" t="n">
        <x:f>AY23*$AC23/$AW23</x:f>
        <x:v>296.8108613829622</x:v>
      </x:c>
      <x:c r="AF23" t="n">
        <x:f>AZ23*$AC23/$AW23</x:f>
        <x:v>327.0855692440243</x:v>
      </x:c>
      <x:c r="AG23" t="n">
        <x:f>BA23*$AC23/$AW23</x:f>
        <x:v>348.67321681413</x:v>
      </x:c>
      <x:c r="AH23" t="n">
        <x:f>BB23*$AC23/$AW23</x:f>
        <x:v>359.1334133185539</x:v>
      </x:c>
      <x:c r="AI23" t="n">
        <x:f>Y23*(1-'Assumptions'!$F$3)+AS23*'Assumptions'!$G$3-AS23*'LMAT Model'!$B$65-(AS23-'Inputs'!$B$14)*'Assumptions'!$H$3-'Assumptions'!$I$3</x:f>
        <x:v>53.12702940000001</x:v>
      </x:c>
      <x:c r="AJ23" t="n">
        <x:f>Z23*(1-'Assumptions'!$F$3)+AT23*'Assumptions'!$G$3-AT23*'LMAT Model'!$C$65-(AT23-AS23)*'Assumptions'!$H$3-0</x:f>
        <x:v>70.98813988200001</x:v>
      </x:c>
      <x:c r="AK23" t="n">
        <x:f>AA23*(1-'Assumptions'!$F$3)+AU23*'Assumptions'!$G$3-AU23*'LMAT Model'!$D$65-(AU23-AT23)*'Assumptions'!$H$3-0</x:f>
        <x:v>89.61571476989998</x:v>
      </x:c>
      <x:c r="AL23" t="n">
        <x:f>AB23*(1-'Assumptions'!$F$3)+AV23*'Assumptions'!$G$3-AV23*'LMAT Model'!$E$65-(AV23-AU23)*'Assumptions'!$H$3-0</x:f>
        <x:v>110.68565450675038</x:v>
      </x:c>
      <x:c r="AM23" t="n">
        <x:f>AC23*(1-'Assumptions'!$F$3)+AW23*'Assumptions'!$G$3-AW23*'LMAT Model'!$F$65-(AW23-AV23)*'Assumptions'!$H$3-0</x:f>
        <x:v>136.65291591172536</x:v>
      </x:c>
      <x:c r="AN23" t="n">
        <x:f>AD23*(1-'Assumptions'!$F$3)+AX23*'Assumptions'!$G$3-AX23*'LMAT Model'!$G$65-(AX23-AW23)*'Assumptions'!$H$3-0</x:f>
        <x:v>165.3345485906864</x:v>
      </x:c>
      <x:c r="AO23" t="n">
        <x:f>AE23*(1-'Assumptions'!$F$3)+AY23*'Assumptions'!$G$3-AY23*'LMAT Model'!$H$65-(AY23-AX23)*'Assumptions'!$H$3-0</x:f>
        <x:v>194.08458692168935</x:v>
      </x:c>
      <x:c r="AP23" t="n">
        <x:f>AF23*(1-'Assumptions'!$F$3)+AZ23*'Assumptions'!$G$3-AZ23*'LMAT Model'!$I$65-(AZ23-AY23)*'Assumptions'!$H$3-0</x:f>
        <x:v>220.84757890202488</x:v>
      </x:c>
      <x:c r="AQ23" t="n">
        <x:f>AG23*(1-'Assumptions'!$F$3)+BA23*'Assumptions'!$G$3-BA23*'LMAT Model'!$J$65-(BA23-AZ23)*'Assumptions'!$H$3-0</x:f>
        <x:v>243.3512414716584</x:v>
      </x:c>
      <x:c r="AR23" t="n">
        <x:f>AH23*(1-'Assumptions'!$F$3)+BB23*'Assumptions'!$G$3-BB23*'LMAT Model'!$K$65-(BB23-BA23)*'Assumptions'!$H$3-0</x:f>
        <x:v>259.3881287588421</x:v>
      </x:c>
      <x:c r="AS23" t="n">
        <x:f>E23+O23</x:f>
        <x:v>334.323</x:v>
      </x:c>
      <x:c r="AT23" t="n">
        <x:f>F23+P23</x:f>
        <x:v>404.53083</x:v>
      </x:c>
      <x:c r="AU23" t="n">
        <x:f>G23+Q23</x:f>
        <x:v>489.4823043</x:v>
      </x:c>
      <x:c r="AV23" t="n">
        <x:f>H23+R23</x:f>
        <x:v>592.2735882029999</x:v>
      </x:c>
      <x:c r="AW23" t="n">
        <x:f>I23+S23</x:f>
        <x:v>716.65104172563</x:v>
      </x:c>
      <x:c r="AX23" t="n">
        <x:f>J23+T23</x:f>
        <x:v>841.3483229858897</x:v>
      </x:c>
      <x:c r="AY23" t="n">
        <x:f>K23+U23</x:f>
        <x:v>957.4543915579426</x:v>
      </x:c>
      <x:c r="AZ23" t="n">
        <x:f>L23+V23</x:f>
        <x:v>1055.1147394968527</x:v>
      </x:c>
      <x:c r="BA23" t="n">
        <x:f>M23+W23</x:f>
        <x:v>1124.752312303645</x:v>
      </x:c>
      <x:c r="BB23" t="n">
        <x:f>N23+X23</x:f>
        <x:v>1158.4948816727544</x:v>
      </x:c>
      <x:c r="BC23" t="n">
        <x:f>AS23/'Inputs'!$B$14-1</x:f>
        <x:v>0.20999999999999996</x:v>
      </x:c>
      <x:c r="BD23" t="n">
        <x:f>AT23/AS23-1</x:f>
        <x:v>0.20999999999999996</x:v>
      </x:c>
      <x:c r="BE23" t="n">
        <x:f>AU23/AT23-1</x:f>
        <x:v>0.2100000000000002</x:v>
      </x:c>
      <x:c r="BF23" t="n">
        <x:f>AV23/AU23-1</x:f>
        <x:v>0.20999999999999974</x:v>
      </x:c>
      <x:c r="BG23" t="n">
        <x:f>AW23/AV23-1</x:f>
        <x:v>0.2100000000000002</x:v>
      </x:c>
      <x:c r="BH23" t="n">
        <x:f>AX23/AW23-1</x:f>
        <x:v>0.17400000000000015</x:v>
      </x:c>
      <x:c r="BI23" t="n">
        <x:f>AY23/AX23-1</x:f>
        <x:v>0.13800000000000012</x:v>
      </x:c>
      <x:c r="BJ23" t="n">
        <x:f>AZ23/AY23-1</x:f>
        <x:v>0.10200000000000009</x:v>
      </x:c>
      <x:c r="BK23" t="n">
        <x:f>BA23/AZ23-1</x:f>
        <x:v>0.06600000000000006</x:v>
      </x:c>
      <x:c r="BL23" t="n">
        <x:f>BB23/BA23-1</x:f>
        <x:v>0.030000000000000027</x:v>
      </x:c>
      <x:c r="BM23" t="n">
        <x:f>AH23*(1-'Assumptions'!$F$3)*(1+'Assumptions'!$D$3)*(1-'Assumptions'!$D$3/'Assumptions'!$E$3)</x:f>
        <x:v>247.3940796322723</x:v>
      </x:c>
      <x:c r="BN23" t="n">
        <x:f>SUMPRODUCT(AI23:AR23,'LMAT Model'!$B$83:$K$83)+BM23/('Assumptions'!$C$3-'Assumptions'!$D$3)*'LMAT Model'!$K$83</x:f>
        <x:v>2196.4930129587297</x:v>
      </x:c>
      <x:c r="BO23" t="n">
        <x:f>'LMAT Model'!$B$94</x:f>
        <x:v>178</x:v>
      </x:c>
      <x:c r="BP23" t="n">
        <x:f>'Inputs'!$B$8</x:f>
        <x:v>23.088</x:v>
      </x:c>
    </x:row>
    <x:row r="24">
      <x:c r="A24" t="str">
        <x:v>LMAT</x:v>
      </x:c>
      <x:c r="B24" s="22" t="n">
        <x:v>0.22</x:v>
      </x:c>
      <x:c r="C24" s="42" t="n">
        <x:f>MIN((BN24+BO24)/BP24,(BN24+BO24+'Inputs'!$B$7)/(BP24+'Inputs'!$B$19))</x:f>
        <x:v>107.83107758761025</x:v>
      </x:c>
      <x:c r="D24" s="22" t="n">
        <x:f>C24/'Inputs'!$B$5-1</x:f>
        <x:v>0.3366936604389519</x:v>
      </x:c>
      <x:c r="E24" t="n">
        <x:f>'Inputs'!$B$14*(1+$B24)^1</x:f>
        <x:v>337.086</x:v>
      </x:c>
      <x:c r="F24" t="n">
        <x:f>'Inputs'!$B$14*(1+$B24)^2</x:f>
        <x:v>411.24492</x:v>
      </x:c>
      <x:c r="G24" t="n">
        <x:f>'Inputs'!$B$14*(1+$B24)^3</x:f>
        <x:v>501.7188024</x:v>
      </x:c>
      <x:c r="H24" t="n">
        <x:f>'Inputs'!$B$14*(1+$B24)^4</x:f>
        <x:v>612.0969389279999</x:v>
      </x:c>
      <x:c r="I24" t="n">
        <x:f>'Inputs'!$B$14*(1+$B24)^5</x:f>
        <x:v>746.7582654921599</x:v>
      </x:c>
      <x:c r="J24" t="n">
        <x:f>I24*(1+($BG24+('Assumptions'!$D$3-$BG24)*(6-5)/5))</x:f>
        <x:v>882.6682698117331</x:v>
      </x:c>
      <x:c r="K24" t="n">
        <x:f>J24*(1+($BG24+('Assumptions'!$D$3-$BG24)*(7-5)/5))</x:f>
        <x:v>1009.7725006646228</x:v>
      </x:c>
      <x:c r="L24" t="n">
        <x:f>K24*(1+($BG24+('Assumptions'!$D$3-$BG24)*(8-5)/5))</x:f>
        <x:v>1116.808385735073</x:v>
      </x:c>
      <x:c r="M24" t="n">
        <x:f>L24*(1+($BG24+('Assumptions'!$D$3-$BG24)*(9-5)/5))</x:f>
        <x:v>1192.751355965058</x:v>
      </x:c>
      <x:c r="N24" t="n">
        <x:f>M24*(1+($BG24+('Assumptions'!$D$3-$BG24)*(10-5)/5))</x:f>
        <x:v>1228.53389664401</x:v>
      </x:c>
      <x:c r="O24" t="n">
        <x:f>0</x:f>
        <x:v>0</x:v>
      </x:c>
      <x:c r="P24" t="n">
        <x:f>0</x:f>
        <x:v>0</x:v>
      </x:c>
      <x:c r="Q24" t="n">
        <x:f>0</x:f>
        <x:v>0</x:v>
      </x:c>
      <x:c r="R24" t="n">
        <x:f>0</x:f>
        <x:v>0</x:v>
      </x:c>
      <x:c r="S24" t="n">
        <x:f>0</x:f>
        <x:v>0</x:v>
      </x:c>
      <x:c r="T24" t="n">
        <x:f>S24*(1+($BG24+('Assumptions'!$D$3-$BG24)*(6-5)/5))</x:f>
        <x:v>0</x:v>
      </x:c>
      <x:c r="U24" t="n">
        <x:f>T24*(1+($BG24+('Assumptions'!$D$3-$BG24)*(7-5)/5))</x:f>
        <x:v>0</x:v>
      </x:c>
      <x:c r="V24" t="n">
        <x:f>U24*(1+($BG24+('Assumptions'!$D$3-$BG24)*(8-5)/5))</x:f>
        <x:v>0</x:v>
      </x:c>
      <x:c r="W24" t="n">
        <x:f>V24*(1+($BG24+('Assumptions'!$D$3-$BG24)*(9-5)/5))</x:f>
        <x:v>0</x:v>
      </x:c>
      <x:c r="X24" t="n">
        <x:f>W24*(1+($BG24+('Assumptions'!$D$3-$BG24)*(10-5)/5))</x:f>
        <x:v>0</x:v>
      </x:c>
      <x:c r="Y24" t="n">
        <x:f>E24*'LMAT Model'!$B$62+O24*'LMAT Model'!$B$63+'LMAT Model'!$B$73+'LMAT Model'!$B$74</x:f>
        <x:v>94.38408000000001</x:v>
      </x:c>
      <x:c r="Z24" t="n">
        <x:f>F24*'LMAT Model'!$C$62+P24*'LMAT Model'!$C$63+'LMAT Model'!$C$73+'LMAT Model'!$C$74</x:f>
        <x:v>119.26102679999998</x:v>
      </x:c>
      <x:c r="AA24" t="n">
        <x:f>G24*'LMAT Model'!$D$62+Q24*'LMAT Model'!$D$63+'LMAT Model'!$D$73+'LMAT Model'!$D$74</x:f>
        <x:v>150.51564072</x:v>
      </x:c>
      <x:c r="AB24" t="n">
        <x:f>H24*'LMAT Model'!$E$62+R24*'LMAT Model'!$E$63+'LMAT Model'!$E$73+'LMAT Model'!$E$74</x:f>
        <x:v>186.68956637303995</x:v>
      </x:c>
      <x:c r="AC24" t="n">
        <x:f>I24*'LMAT Model'!$F$62+S24*'LMAT Model'!$F$63+'LMAT Model'!$F$73+'LMAT Model'!$F$74</x:f>
        <x:v>231.49506230256958</x:v>
      </x:c>
      <x:c r="AD24" t="n">
        <x:f>AX24*$AC24/$AW24</x:f>
        <x:v>273.62716364163725</x:v>
      </x:c>
      <x:c r="AE24" t="n">
        <x:f>AY24*$AC24/$AW24</x:f>
        <x:v>313.02947520603306</x:v>
      </x:c>
      <x:c r="AF24" t="n">
        <x:f>AZ24*$AC24/$AW24</x:f>
        <x:v>346.21059957787264</x:v>
      </x:c>
      <x:c r="AG24" t="n">
        <x:f>BA24*$AC24/$AW24</x:f>
        <x:v>369.75292034916805</x:v>
      </x:c>
      <x:c r="AH24" t="n">
        <x:f>BB24*$AC24/$AW24</x:f>
        <x:v>380.84550795964304</x:v>
      </x:c>
      <x:c r="AI24" t="n">
        <x:f>Y24*(1-'Assumptions'!$F$3)+AS24*'Assumptions'!$G$3-AS24*'LMAT Model'!$B$65-(AS24-'Inputs'!$B$14)*'Assumptions'!$H$3-'Assumptions'!$I$3</x:f>
        <x:v>53.065690800000006</x:v>
      </x:c>
      <x:c r="AJ24" t="n">
        <x:f>Z24*(1-'Assumptions'!$F$3)+AT24*'Assumptions'!$G$3-AT24*'LMAT Model'!$C$65-(AT24-AS24)*'Assumptions'!$H$3-0</x:f>
        <x:v>71.52560416799999</x:v>
      </x:c>
      <x:c r="AK24" t="n">
        <x:f>AA24*(1-'Assumptions'!$F$3)+AU24*'Assumptions'!$G$3-AU24*'LMAT Model'!$D$65-(AU24-AT24)*'Assumptions'!$H$3-0</x:f>
        <x:v>91.07429998319998</x:v>
      </x:c>
      <x:c r="AL24" t="n">
        <x:f>AB24*(1-'Assumptions'!$F$3)+AV24*'Assumptions'!$G$3-AV24*'LMAT Model'!$E$65-(AV24-AU24)*'Assumptions'!$H$3-0</x:f>
        <x:v>113.43661434743039</x:v>
      </x:c>
      <x:c r="AM24" t="n">
        <x:f>AC24*(1-'Assumptions'!$F$3)+AW24*'Assumptions'!$G$3-AW24*'LMAT Model'!$F$65-(AW24-AV24)*'Assumptions'!$H$3-0</x:f>
        <x:v>141.23035091273525</x:v>
      </x:c>
      <x:c r="AN24" t="n">
        <x:f>AD24*(1-'Assumptions'!$F$3)+AX24*'Assumptions'!$G$3-AX24*'LMAT Model'!$G$65-(AX24-AW24)*'Assumptions'!$H$3-0</x:f>
        <x:v>172.2840020250838</x:v>
      </x:c>
      <x:c r="AO24" t="n">
        <x:f>AE24*(1-'Assumptions'!$F$3)+AY24*'Assumptions'!$G$3-AY24*'LMAT Model'!$H$65-(AY24-AX24)*'Assumptions'!$H$3-0</x:f>
        <x:v>203.61956555709733</x:v>
      </x:c>
      <x:c r="AP24" t="n">
        <x:f>AF24*(1-'Assumptions'!$F$3)+AZ24*'Assumptions'!$G$3-AZ24*'LMAT Model'!$I$65-(AZ24-AY24)*'Assumptions'!$H$3-0</x:f>
        <x:v>232.91776018430437</x:v>
      </x:c>
      <x:c r="AQ24" t="n">
        <x:f>AG24*(1-'Assumptions'!$F$3)+BA24*'Assumptions'!$G$3-BA24*'LMAT Model'!$J$65-(BA24-AZ24)*'Assumptions'!$H$3-0</x:f>
        <x:v>257.58157953264583</x:v>
      </x:c>
      <x:c r="AR24" t="n">
        <x:f>AH24*(1-'Assumptions'!$F$3)+BB24*'Assumptions'!$G$3-BB24*'LMAT Model'!$K$65-(BB24-BA24)*'Assumptions'!$H$3-0</x:f>
        <x:v>275.0699322099498</x:v>
      </x:c>
      <x:c r="AS24" t="n">
        <x:f>E24+O24</x:f>
        <x:v>337.086</x:v>
      </x:c>
      <x:c r="AT24" t="n">
        <x:f>F24+P24</x:f>
        <x:v>411.24492</x:v>
      </x:c>
      <x:c r="AU24" t="n">
        <x:f>G24+Q24</x:f>
        <x:v>501.7188024</x:v>
      </x:c>
      <x:c r="AV24" t="n">
        <x:f>H24+R24</x:f>
        <x:v>612.0969389279999</x:v>
      </x:c>
      <x:c r="AW24" t="n">
        <x:f>I24+S24</x:f>
        <x:v>746.7582654921599</x:v>
      </x:c>
      <x:c r="AX24" t="n">
        <x:f>J24+T24</x:f>
        <x:v>882.6682698117331</x:v>
      </x:c>
      <x:c r="AY24" t="n">
        <x:f>K24+U24</x:f>
        <x:v>1009.7725006646228</x:v>
      </x:c>
      <x:c r="AZ24" t="n">
        <x:f>L24+V24</x:f>
        <x:v>1116.808385735073</x:v>
      </x:c>
      <x:c r="BA24" t="n">
        <x:f>M24+W24</x:f>
        <x:v>1192.751355965058</x:v>
      </x:c>
      <x:c r="BB24" t="n">
        <x:f>N24+X24</x:f>
        <x:v>1228.53389664401</x:v>
      </x:c>
      <x:c r="BC24" t="n">
        <x:f>AS24/'Inputs'!$B$14-1</x:f>
        <x:v>0.21999999999999997</x:v>
      </x:c>
      <x:c r="BD24" t="n">
        <x:f>AT24/AS24-1</x:f>
        <x:v>0.21999999999999997</x:v>
      </x:c>
      <x:c r="BE24" t="n">
        <x:f>AU24/AT24-1</x:f>
        <x:v>0.2200000000000002</x:v>
      </x:c>
      <x:c r="BF24" t="n">
        <x:f>AV24/AU24-1</x:f>
        <x:v>0.21999999999999975</x:v>
      </x:c>
      <x:c r="BG24" t="n">
        <x:f>AW24/AV24-1</x:f>
        <x:v>0.2200000000000002</x:v>
      </x:c>
      <x:c r="BH24" t="n">
        <x:f>AX24/AW24-1</x:f>
        <x:v>0.18200000000000016</x:v>
      </x:c>
      <x:c r="BI24" t="n">
        <x:f>AY24/AX24-1</x:f>
        <x:v>0.14400000000000013</x:v>
      </x:c>
      <x:c r="BJ24" t="n">
        <x:f>AZ24/AY24-1</x:f>
        <x:v>0.1060000000000001</x:v>
      </x:c>
      <x:c r="BK24" t="n">
        <x:f>BA24/AZ24-1</x:f>
        <x:v>0.06800000000000006</x:v>
      </x:c>
      <x:c r="BL24" t="n">
        <x:f>BB24/BA24-1</x:f>
        <x:v>0.030000000000000027</x:v>
      </x:c>
      <x:c r="BM24" t="n">
        <x:f>AH24*(1-'Assumptions'!$F$3)*(1+'Assumptions'!$D$3)*(1-'Assumptions'!$D$3/'Assumptions'!$E$3)</x:f>
        <x:v>262.35075999511156</x:v>
      </x:c>
      <x:c r="BN24" t="n">
        <x:f>SUMPRODUCT(AI24:AR24,'LMAT Model'!$B$83:$K$83)+BM24/('Assumptions'!$C$3-'Assumptions'!$D$3)*'LMAT Model'!$K$83</x:f>
        <x:v>2311.6039193427455</x:v>
      </x:c>
      <x:c r="BO24" t="n">
        <x:f>'LMAT Model'!$B$94</x:f>
        <x:v>178</x:v>
      </x:c>
      <x:c r="BP24" t="n">
        <x:f>'Inputs'!$B$8</x:f>
        <x:v>23.088</x:v>
      </x:c>
    </x:row>
    <x:row r="25">
      <x:c r="A25" t="str">
        <x:v>LMAT</x:v>
      </x:c>
      <x:c r="B25" s="22" t="n">
        <x:v>0.23</x:v>
      </x:c>
      <x:c r="C25" s="42" t="n">
        <x:f>MIN((BN25+BO25)/BP25,(BN25+BO25+'Inputs'!$B$7)/(BP25+'Inputs'!$B$19))</x:f>
        <x:v>113.06150694561283</x:v>
      </x:c>
      <x:c r="D25" s="22" t="n">
        <x:f>C25/'Inputs'!$B$5-1</x:f>
        <x:v>0.4015310145731106</x:v>
      </x:c>
      <x:c r="E25" t="n">
        <x:f>'Inputs'!$B$14*(1+$B25)^1</x:f>
        <x:v>339.849</x:v>
      </x:c>
      <x:c r="F25" t="n">
        <x:f>'Inputs'!$B$14*(1+$B25)^2</x:f>
        <x:v>418.01427</x:v>
      </x:c>
      <x:c r="G25" t="n">
        <x:f>'Inputs'!$B$14*(1+$B25)^3</x:f>
        <x:v>514.1575521</x:v>
      </x:c>
      <x:c r="H25" t="n">
        <x:f>'Inputs'!$B$14*(1+$B25)^4</x:f>
        <x:v>632.413789083</x:v>
      </x:c>
      <x:c r="I25" t="n">
        <x:f>'Inputs'!$B$14*(1+$B25)^5</x:f>
        <x:v>777.8689605720899</x:v>
      </x:c>
      <x:c r="J25" t="n">
        <x:f>I25*(1+($BG25+('Assumptions'!$D$3-$BG25)*(6-5)/5))</x:f>
        <x:v>925.664063080787</x:v>
      </x:c>
      <x:c r="K25" t="n">
        <x:f>J25*(1+($BG25+('Assumptions'!$D$3-$BG25)*(7-5)/5))</x:f>
        <x:v>1064.513672542905</x:v>
      </x:c>
      <x:c r="L25" t="n">
        <x:f>K25*(1+($BG25+('Assumptions'!$D$3-$BG25)*(8-5)/5))</x:f>
        <x:v>1181.6101765226244</x:v>
      </x:c>
      <x:c r="M25" t="n">
        <x:f>L25*(1+($BG25+('Assumptions'!$D$3-$BG25)*(9-5)/5))</x:f>
        <x:v>1264.3228888792082</x:v>
      </x:c>
      <x:c r="N25" t="n">
        <x:f>M25*(1+($BG25+('Assumptions'!$D$3-$BG25)*(10-5)/5))</x:f>
        <x:v>1302.2525755455845</x:v>
      </x:c>
      <x:c r="O25" t="n">
        <x:f>0</x:f>
        <x:v>0</x:v>
      </x:c>
      <x:c r="P25" t="n">
        <x:f>0</x:f>
        <x:v>0</x:v>
      </x:c>
      <x:c r="Q25" t="n">
        <x:f>0</x:f>
        <x:v>0</x:v>
      </x:c>
      <x:c r="R25" t="n">
        <x:f>0</x:f>
        <x:v>0</x:v>
      </x:c>
      <x:c r="S25" t="n">
        <x:f>0</x:f>
        <x:v>0</x:v>
      </x:c>
      <x:c r="T25" t="n">
        <x:f>S25*(1+($BG25+('Assumptions'!$D$3-$BG25)*(6-5)/5))</x:f>
        <x:v>0</x:v>
      </x:c>
      <x:c r="U25" t="n">
        <x:f>T25*(1+($BG25+('Assumptions'!$D$3-$BG25)*(7-5)/5))</x:f>
        <x:v>0</x:v>
      </x:c>
      <x:c r="V25" t="n">
        <x:f>U25*(1+($BG25+('Assumptions'!$D$3-$BG25)*(8-5)/5))</x:f>
        <x:v>0</x:v>
      </x:c>
      <x:c r="W25" t="n">
        <x:f>V25*(1+($BG25+('Assumptions'!$D$3-$BG25)*(9-5)/5))</x:f>
        <x:v>0</x:v>
      </x:c>
      <x:c r="X25" t="n">
        <x:f>W25*(1+($BG25+('Assumptions'!$D$3-$BG25)*(10-5)/5))</x:f>
        <x:v>0</x:v>
      </x:c>
      <x:c r="Y25" t="n">
        <x:f>E25*'LMAT Model'!$B$62+O25*'LMAT Model'!$B$63+'LMAT Model'!$B$73+'LMAT Model'!$B$74</x:f>
        <x:v>95.15772000000001</x:v>
      </x:c>
      <x:c r="Z25" t="n">
        <x:f>F25*'LMAT Model'!$C$62+P25*'LMAT Model'!$C$63+'LMAT Model'!$C$73+'LMAT Model'!$C$74</x:f>
        <x:v>121.22413829999999</x:v>
      </x:c>
      <x:c r="AA25" t="n">
        <x:f>G25*'LMAT Model'!$D$62+Q25*'LMAT Model'!$D$63+'LMAT Model'!$D$73+'LMAT Model'!$D$74</x:f>
        <x:v>154.24726563</x:v>
      </x:c>
      <x:c r="AB25" t="n">
        <x:f>H25*'LMAT Model'!$E$62+R25*'LMAT Model'!$E$63+'LMAT Model'!$E$73+'LMAT Model'!$E$74</x:f>
        <x:v>192.88620567031498</x:v>
      </x:c>
      <x:c r="AC25" t="n">
        <x:f>I25*'LMAT Model'!$F$62+S25*'LMAT Model'!$F$63+'LMAT Model'!$F$73+'LMAT Model'!$F$74</x:f>
        <x:v>241.13937777734787</x:v>
      </x:c>
      <x:c r="AD25" t="n">
        <x:f>AX25*$AC25/$AW25</x:f>
        <x:v>286.95585955504396</x:v>
      </x:c>
      <x:c r="AE25" t="n">
        <x:f>AY25*$AC25/$AW25</x:f>
        <x:v>329.99923848830053</x:v>
      </x:c>
      <x:c r="AF25" t="n">
        <x:f>AZ25*$AC25/$AW25</x:f>
        <x:v>366.29915472201355</x:v>
      </x:c>
      <x:c r="AG25" t="n">
        <x:f>BA25*$AC25/$AW25</x:f>
        <x:v>391.9400955525545</x:v>
      </x:c>
      <x:c r="AH25" t="n">
        <x:f>BB25*$AC25/$AW25</x:f>
        <x:v>403.6982984191312</x:v>
      </x:c>
      <x:c r="AI25" t="n">
        <x:f>Y25*(1-'Assumptions'!$F$3)+AS25*'Assumptions'!$G$3-AS25*'LMAT Model'!$B$65-(AS25-'Inputs'!$B$14)*'Assumptions'!$H$3-'Assumptions'!$I$3</x:f>
        <x:v>53.00435220000002</x:v>
      </x:c>
      <x:c r="AJ25" t="n">
        <x:f>Z25*(1-'Assumptions'!$F$3)+AT25*'Assumptions'!$G$3-AT25*'LMAT Model'!$C$65-(AT25-AS25)*'Assumptions'!$H$3-0</x:f>
        <x:v>72.062261658</x:v>
      </x:c>
      <x:c r="AK25" t="n">
        <x:f>AA25*(1-'Assumptions'!$F$3)+AU25*'Assumptions'!$G$3-AU25*'LMAT Model'!$D$65-(AU25-AT25)*'Assumptions'!$H$3-0</x:f>
        <x:v>92.54417923529999</x:v>
      </x:c>
      <x:c r="AL25" t="n">
        <x:f>AB25*(1-'Assumptions'!$F$3)+AV25*'Assumptions'!$G$3-AV25*'LMAT Model'!$E$65-(AV25-AU25)*'Assumptions'!$H$3-0</x:f>
        <x:v>116.2325128579344</x:v>
      </x:c>
      <x:c r="AM25" t="n">
        <x:f>AC25*(1-'Assumptions'!$F$3)+AW25*'Assumptions'!$G$3-AW25*'LMAT Model'!$F$65-(AW25-AV25)*'Assumptions'!$H$3-0</x:f>
        <x:v>145.92189286543325</x:v>
      </x:c>
      <x:c r="AN25" t="n">
        <x:f>AD25*(1-'Assumptions'!$F$3)+AX25*'Assumptions'!$G$3-AX25*'LMAT Model'!$G$65-(AX25-AW25)*'Assumptions'!$H$3-0</x:f>
        <x:v>179.46525936942916</x:v>
      </x:c>
      <x:c r="AO25" t="n">
        <x:f>AE25*(1-'Assumptions'!$F$3)+AY25*'Assumptions'!$G$3-AY25*'LMAT Model'!$H$65-(AY25-AX25)*'Assumptions'!$H$3-0</x:f>
        <x:v>213.54144271210674</x:v>
      </x:c>
      <x:c r="AP25" t="n">
        <x:f>AF25*(1-'Assumptions'!$F$3)+AZ25*'Assumptions'!$G$3-AZ25*'LMAT Model'!$I$65-(AZ25-AY25)*'Assumptions'!$H$3-0</x:f>
        <x:v>245.54711079078172</x:v>
      </x:c>
      <x:c r="AQ25" t="n">
        <x:f>AG25*(1-'Assumptions'!$F$3)+BA25*'Assumptions'!$G$3-BA25*'LMAT Model'!$J$65-(BA25-AZ25)*'Assumptions'!$H$3-0</x:f>
        <x:v>272.52893433353114</x:v>
      </x:c>
      <x:c r="AR25" t="n">
        <x:f>AH25*(1-'Assumptions'!$F$3)+BB25*'Assumptions'!$G$3-BB25*'LMAT Model'!$K$65-(BB25-BA25)*'Assumptions'!$H$3-0</x:f>
        <x:v>291.5756159875453</x:v>
      </x:c>
      <x:c r="AS25" t="n">
        <x:f>E25+O25</x:f>
        <x:v>339.849</x:v>
      </x:c>
      <x:c r="AT25" t="n">
        <x:f>F25+P25</x:f>
        <x:v>418.01427</x:v>
      </x:c>
      <x:c r="AU25" t="n">
        <x:f>G25+Q25</x:f>
        <x:v>514.1575521</x:v>
      </x:c>
      <x:c r="AV25" t="n">
        <x:f>H25+R25</x:f>
        <x:v>632.413789083</x:v>
      </x:c>
      <x:c r="AW25" t="n">
        <x:f>I25+S25</x:f>
        <x:v>777.8689605720899</x:v>
      </x:c>
      <x:c r="AX25" t="n">
        <x:f>J25+T25</x:f>
        <x:v>925.664063080787</x:v>
      </x:c>
      <x:c r="AY25" t="n">
        <x:f>K25+U25</x:f>
        <x:v>1064.513672542905</x:v>
      </x:c>
      <x:c r="AZ25" t="n">
        <x:f>L25+V25</x:f>
        <x:v>1181.6101765226244</x:v>
      </x:c>
      <x:c r="BA25" t="n">
        <x:f>M25+W25</x:f>
        <x:v>1264.3228888792082</x:v>
      </x:c>
      <x:c r="BB25" t="n">
        <x:f>N25+X25</x:f>
        <x:v>1302.2525755455845</x:v>
      </x:c>
      <x:c r="BC25" t="n">
        <x:f>AS25/'Inputs'!$B$14-1</x:f>
        <x:v>0.22999999999999998</x:v>
      </x:c>
      <x:c r="BD25" t="n">
        <x:f>AT25/AS25-1</x:f>
        <x:v>0.22999999999999998</x:v>
      </x:c>
      <x:c r="BE25" t="n">
        <x:f>AU25/AT25-1</x:f>
        <x:v>0.22999999999999998</x:v>
      </x:c>
      <x:c r="BF25" t="n">
        <x:f>AV25/AU25-1</x:f>
        <x:v>0.22999999999999998</x:v>
      </x:c>
      <x:c r="BG25" t="n">
        <x:f>AW25/AV25-1</x:f>
        <x:v>0.22999999999999998</x:v>
      </x:c>
      <x:c r="BH25" t="n">
        <x:f>AX25/AW25-1</x:f>
        <x:v>0.18999999999999995</x:v>
      </x:c>
      <x:c r="BI25" t="n">
        <x:f>AY25/AX25-1</x:f>
        <x:v>0.1499999999999999</x:v>
      </x:c>
      <x:c r="BJ25" t="n">
        <x:f>AZ25/AY25-1</x:f>
        <x:v>0.10999999999999988</x:v>
      </x:c>
      <x:c r="BK25" t="n">
        <x:f>BA25/AZ25-1</x:f>
        <x:v>0.07000000000000006</x:v>
      </x:c>
      <x:c r="BL25" t="n">
        <x:f>BB25/BA25-1</x:f>
        <x:v>0.030000000000000027</x:v>
      </x:c>
      <x:c r="BM25" t="n">
        <x:f>AH25*(1-'Assumptions'!$F$3)*(1+'Assumptions'!$D$3)*(1-'Assumptions'!$D$3/'Assumptions'!$E$3)</x:f>
        <x:v>278.09322464219645</x:v>
      </x:c>
      <x:c r="BN25" t="n">
        <x:f>SUMPRODUCT(AI25:AR25,'LMAT Model'!$B$83:$K$83)+BM25/('Assumptions'!$C$3-'Assumptions'!$D$3)*'LMAT Model'!$K$83</x:f>
        <x:v>2432.3640723603094</x:v>
      </x:c>
      <x:c r="BO25" t="n">
        <x:f>'LMAT Model'!$B$94</x:f>
        <x:v>178</x:v>
      </x:c>
      <x:c r="BP25" t="n">
        <x:f>'Inputs'!$B$8</x:f>
        <x:v>23.088</x:v>
      </x:c>
    </x:row>
    <x:row r="26">
      <x:c r="A26" t="str">
        <x:v>LMAT</x:v>
      </x:c>
      <x:c r="B26" s="22" t="n">
        <x:v>0.24</x:v>
      </x:c>
      <x:c r="C26" s="42" t="n">
        <x:f>MIN((BN26+BO26)/BP26,(BN26+BO26+'Inputs'!$B$7)/(BP26+'Inputs'!$B$19))</x:f>
        <x:v>118.54711348834444</x:v>
      </x:c>
      <x:c r="D26" s="22" t="n">
        <x:f>C26/'Inputs'!$B$5-1</x:f>
        <x:v>0.4695315915252811</x:v>
      </x:c>
      <x:c r="E26" t="n">
        <x:f>'Inputs'!$B$14*(1+$B26)^1</x:f>
        <x:v>342.612</x:v>
      </x:c>
      <x:c r="F26" t="n">
        <x:f>'Inputs'!$B$14*(1+$B26)^2</x:f>
        <x:v>424.83888</x:v>
      </x:c>
      <x:c r="G26" t="n">
        <x:f>'Inputs'!$B$14*(1+$B26)^3</x:f>
        <x:v>526.8002112</x:v>
      </x:c>
      <x:c r="H26" t="n">
        <x:f>'Inputs'!$B$14*(1+$B26)^4</x:f>
        <x:v>653.232261888</x:v>
      </x:c>
      <x:c r="I26" t="n">
        <x:f>'Inputs'!$B$14*(1+$B26)^5</x:f>
        <x:v>810.0080047411201</x:v>
      </x:c>
      <x:c r="J26" t="n">
        <x:f>I26*(1+($BG26+('Assumptions'!$D$3-$BG26)*(6-5)/5))</x:f>
        <x:v>970.3895896798618</x:v>
      </x:c>
      <x:c r="K26" t="n">
        <x:f>J26*(1+($BG26+('Assumptions'!$D$3-$BG26)*(7-5)/5))</x:f>
        <x:v>1121.7703656699202</x:v>
      </x:c>
      <x:c r="L26" t="n">
        <x:f>K26*(1+($BG26+('Assumptions'!$D$3-$BG26)*(8-5)/5))</x:f>
        <x:v>1249.652187356291</x:v>
      </x:c>
      <x:c r="M26" t="n">
        <x:f>L26*(1+($BG26+('Assumptions'!$D$3-$BG26)*(9-5)/5))</x:f>
        <x:v>1339.627144845944</x:v>
      </x:c>
      <x:c r="N26" t="n">
        <x:f>M26*(1+($BG26+('Assumptions'!$D$3-$BG26)*(10-5)/5))</x:f>
        <x:v>1379.8159591913225</x:v>
      </x:c>
      <x:c r="O26" t="n">
        <x:f>0</x:f>
        <x:v>0</x:v>
      </x:c>
      <x:c r="P26" t="n">
        <x:f>0</x:f>
        <x:v>0</x:v>
      </x:c>
      <x:c r="Q26" t="n">
        <x:f>0</x:f>
        <x:v>0</x:v>
      </x:c>
      <x:c r="R26" t="n">
        <x:f>0</x:f>
        <x:v>0</x:v>
      </x:c>
      <x:c r="S26" t="n">
        <x:f>0</x:f>
        <x:v>0</x:v>
      </x:c>
      <x:c r="T26" t="n">
        <x:f>S26*(1+($BG26+('Assumptions'!$D$3-$BG26)*(6-5)/5))</x:f>
        <x:v>0</x:v>
      </x:c>
      <x:c r="U26" t="n">
        <x:f>T26*(1+($BG26+('Assumptions'!$D$3-$BG26)*(7-5)/5))</x:f>
        <x:v>0</x:v>
      </x:c>
      <x:c r="V26" t="n">
        <x:f>U26*(1+($BG26+('Assumptions'!$D$3-$BG26)*(8-5)/5))</x:f>
        <x:v>0</x:v>
      </x:c>
      <x:c r="W26" t="n">
        <x:f>V26*(1+($BG26+('Assumptions'!$D$3-$BG26)*(9-5)/5))</x:f>
        <x:v>0</x:v>
      </x:c>
      <x:c r="X26" t="n">
        <x:f>W26*(1+($BG26+('Assumptions'!$D$3-$BG26)*(10-5)/5))</x:f>
        <x:v>0</x:v>
      </x:c>
      <x:c r="Y26" t="n">
        <x:f>E26*'LMAT Model'!$B$62+O26*'LMAT Model'!$B$63+'LMAT Model'!$B$73+'LMAT Model'!$B$74</x:f>
        <x:v>95.93136000000001</x:v>
      </x:c>
      <x:c r="Z26" t="n">
        <x:f>F26*'LMAT Model'!$C$62+P26*'LMAT Model'!$C$63+'LMAT Model'!$C$73+'LMAT Model'!$C$74</x:f>
        <x:v>123.2032752</x:v>
      </x:c>
      <x:c r="AA26" t="n">
        <x:f>G26*'LMAT Model'!$D$62+Q26*'LMAT Model'!$D$63+'LMAT Model'!$D$73+'LMAT Model'!$D$74</x:f>
        <x:v>158.04006336</x:v>
      </x:c>
      <x:c r="AB26" t="n">
        <x:f>H26*'LMAT Model'!$E$62+R26*'LMAT Model'!$E$63+'LMAT Model'!$E$73+'LMAT Model'!$E$74</x:f>
        <x:v>199.23583987584</x:v>
      </x:c>
      <x:c r="AC26" t="n">
        <x:f>I26*'LMAT Model'!$F$62+S26*'LMAT Model'!$F$63+'LMAT Model'!$F$73+'LMAT Model'!$F$74</x:f>
        <x:v>251.10248146974723</x:v>
      </x:c>
      <x:c r="AD26" t="n">
        <x:f>AX26*$AC26/$AW26</x:f>
        <x:v>300.8207728007572</x:v>
      </x:c>
      <x:c r="AE26" t="n">
        <x:f>AY26*$AC26/$AW26</x:f>
        <x:v>347.74881335767526</x:v>
      </x:c>
      <x:c r="AF26" t="n">
        <x:f>AZ26*$AC26/$AW26</x:f>
        <x:v>387.3921780804502</x:v>
      </x:c>
      <x:c r="AG26" t="n">
        <x:f>BA26*$AC26/$AW26</x:f>
        <x:v>415.28441490224264</x:v>
      </x:c>
      <x:c r="AH26" t="n">
        <x:f>BB26*$AC26/$AW26</x:f>
        <x:v>427.74294734931</x:v>
      </x:c>
      <x:c r="AI26" t="n">
        <x:f>Y26*(1-'Assumptions'!$F$3)+AS26*'Assumptions'!$G$3-AS26*'LMAT Model'!$B$65-(AS26-'Inputs'!$B$14)*'Assumptions'!$H$3-'Assumptions'!$I$3</x:f>
        <x:v>52.9430136</x:v>
      </x:c>
      <x:c r="AJ26" t="n">
        <x:f>Z26*(1-'Assumptions'!$F$3)+AT26*'Assumptions'!$G$3-AT26*'LMAT Model'!$C$65-(AT26-AS26)*'Assumptions'!$H$3-0</x:f>
        <x:v>72.59811235199999</x:v>
      </x:c>
      <x:c r="AK26" t="n">
        <x:f>AA26*(1-'Assumptions'!$F$3)+AU26*'Assumptions'!$G$3-AU26*'LMAT Model'!$D$65-(AU26-AT26)*'Assumptions'!$H$3-0</x:f>
        <x:v>94.02534092159999</x:v>
      </x:c>
      <x:c r="AL26" t="n">
        <x:f>AB26*(1-'Assumptions'!$F$3)+AV26*'Assumptions'!$G$3-AV26*'LMAT Model'!$E$65-(AV26-AU26)*'Assumptions'!$H$3-0</x:f>
        <x:v>119.07370533795839</x:v>
      </x:c>
      <x:c r="AM26" t="n">
        <x:f>AC26*(1-'Assumptions'!$F$3)+AW26*'Assumptions'!$G$3-AW26*'LMAT Model'!$F$65-(AW26-AV26)*'Assumptions'!$H$3-0</x:f>
        <x:v>150.72942503708467</x:v>
      </x:c>
      <x:c r="AN26" t="n">
        <x:f>AD26*(1-'Assumptions'!$F$3)+AX26*'Assumptions'!$G$3-AX26*'LMAT Model'!$G$65-(AX26-AW26)*'Assumptions'!$H$3-0</x:f>
        <x:v>186.88407484426554</x:v>
      </x:c>
      <x:c r="AO26" t="n">
        <x:f>AE26*(1-'Assumptions'!$F$3)+AY26*'Assumptions'!$G$3-AY26*'LMAT Model'!$H$65-(AY26-AX26)*'Assumptions'!$H$3-0</x:f>
        <x:v>223.86266784577015</x:v>
      </x:c>
      <x:c r="AP26" t="n">
        <x:f>AF26*(1-'Assumptions'!$F$3)+AZ26*'Assumptions'!$G$3-AZ26*'LMAT Model'!$I$65-(AZ26-AY26)*'Assumptions'!$H$3-0</x:f>
        <x:v>258.75697541649544</x:v>
      </x:c>
      <x:c r="AQ26" t="n">
        <x:f>AG26*(1-'Assumptions'!$F$3)+BA26*'Assumptions'!$G$3-BA26*'LMAT Model'!$J$65-(BA26-AZ26)*'Assumptions'!$H$3-0</x:f>
        <x:v>288.2237793788545</x:v>
      </x:c>
      <x:c r="AR26" t="n">
        <x:f>AH26*(1-'Assumptions'!$F$3)+BB26*'Assumptions'!$G$3-BB26*'LMAT Model'!$K$65-(BB26-BA26)*'Assumptions'!$H$3-0</x:f>
        <x:v>308.94213289008195</x:v>
      </x:c>
      <x:c r="AS26" t="n">
        <x:f>E26+O26</x:f>
        <x:v>342.612</x:v>
      </x:c>
      <x:c r="AT26" t="n">
        <x:f>F26+P26</x:f>
        <x:v>424.83888</x:v>
      </x:c>
      <x:c r="AU26" t="n">
        <x:f>G26+Q26</x:f>
        <x:v>526.8002112</x:v>
      </x:c>
      <x:c r="AV26" t="n">
        <x:f>H26+R26</x:f>
        <x:v>653.232261888</x:v>
      </x:c>
      <x:c r="AW26" t="n">
        <x:f>I26+S26</x:f>
        <x:v>810.0080047411201</x:v>
      </x:c>
      <x:c r="AX26" t="n">
        <x:f>J26+T26</x:f>
        <x:v>970.3895896798618</x:v>
      </x:c>
      <x:c r="AY26" t="n">
        <x:f>K26+U26</x:f>
        <x:v>1121.7703656699202</x:v>
      </x:c>
      <x:c r="AZ26" t="n">
        <x:f>L26+V26</x:f>
        <x:v>1249.652187356291</x:v>
      </x:c>
      <x:c r="BA26" t="n">
        <x:f>M26+W26</x:f>
        <x:v>1339.627144845944</x:v>
      </x:c>
      <x:c r="BB26" t="n">
        <x:f>N26+X26</x:f>
        <x:v>1379.8159591913225</x:v>
      </x:c>
      <x:c r="BC26" t="n">
        <x:f>AS26/'Inputs'!$B$14-1</x:f>
        <x:v>0.24</x:v>
      </x:c>
      <x:c r="BD26" t="n">
        <x:f>AT26/AS26-1</x:f>
        <x:v>0.24</x:v>
      </x:c>
      <x:c r="BE26" t="n">
        <x:f>AU26/AT26-1</x:f>
        <x:v>0.24</x:v>
      </x:c>
      <x:c r="BF26" t="n">
        <x:f>AV26/AU26-1</x:f>
        <x:v>0.24</x:v>
      </x:c>
      <x:c r="BG26" t="n">
        <x:f>AW26/AV26-1</x:f>
        <x:v>0.24</x:v>
      </x:c>
      <x:c r="BH26" t="n">
        <x:f>AX26/AW26-1</x:f>
        <x:v>0.19799999999999995</x:v>
      </x:c>
      <x:c r="BI26" t="n">
        <x:f>AY26/AX26-1</x:f>
        <x:v>0.15599999999999992</x:v>
      </x:c>
      <x:c r="BJ26" t="n">
        <x:f>AZ26/AY26-1</x:f>
        <x:v>0.11399999999999988</x:v>
      </x:c>
      <x:c r="BK26" t="n">
        <x:f>BA26/AZ26-1</x:f>
        <x:v>0.07200000000000006</x:v>
      </x:c>
      <x:c r="BL26" t="n">
        <x:f>BB26/BA26-1</x:f>
        <x:v>0.030000000000000027</x:v>
      </x:c>
      <x:c r="BM26" t="n">
        <x:f>AH26*(1-'Assumptions'!$F$3)*(1+'Assumptions'!$D$3)*(1-'Assumptions'!$D$3/'Assumptions'!$E$3)</x:f>
        <x:v>294.6567176828351</x:v>
      </x:c>
      <x:c r="BN26" t="n">
        <x:f>SUMPRODUCT(AI26:AR26,'LMAT Model'!$B$83:$K$83)+BM26/('Assumptions'!$C$3-'Assumptions'!$D$3)*'LMAT Model'!$K$83</x:f>
        <x:v>2559.0157562188965</x:v>
      </x:c>
      <x:c r="BO26" t="n">
        <x:f>'LMAT Model'!$B$94</x:f>
        <x:v>178</x:v>
      </x:c>
      <x:c r="BP26" t="n">
        <x:f>'Inputs'!$B$8</x:f>
        <x:v>23.088</x:v>
      </x:c>
    </x:row>
    <x:row r="27">
      <x:c r="A27" t="str">
        <x:v>LMAT</x:v>
      </x:c>
      <x:c r="B27" s="22" t="n">
        <x:v>0.25</x:v>
      </x:c>
      <x:c r="C27" s="42" t="n">
        <x:f>MIN((BN27+BO27)/BP27,(BN27+BO27+'Inputs'!$B$7)/(BP27+'Inputs'!$B$19))</x:f>
        <x:v>124.01899708960214</x:v>
      </x:c>
      <x:c r="D27" s="22" t="n">
        <x:f>C27/'Inputs'!$B$5-1</x:f>
        <x:v>0.537362056397696</x:v>
      </x:c>
      <x:c r="E27" t="n">
        <x:f>'Inputs'!$B$14*(1+$B27)^1</x:f>
        <x:v>345.375</x:v>
      </x:c>
      <x:c r="F27" t="n">
        <x:f>'Inputs'!$B$14*(1+$B27)^2</x:f>
        <x:v>431.71875</x:v>
      </x:c>
      <x:c r="G27" t="n">
        <x:f>'Inputs'!$B$14*(1+$B27)^3</x:f>
        <x:v>539.6484375</x:v>
      </x:c>
      <x:c r="H27" t="n">
        <x:f>'Inputs'!$B$14*(1+$B27)^4</x:f>
        <x:v>674.560546875</x:v>
      </x:c>
      <x:c r="I27" t="n">
        <x:f>'Inputs'!$B$14*(1+$B27)^5</x:f>
        <x:v>843.20068359375</x:v>
      </x:c>
      <x:c r="J27" t="n">
        <x:f>I27*(1+($BG27+('Assumptions'!$D$3-$BG27)*(6-5)/5))</x:f>
        <x:v>1016.9000244140625</x:v>
      </x:c>
      <x:c r="K27" t="n">
        <x:f>J27*(1+($BG27+('Assumptions'!$D$3-$BG27)*(7-5)/5))</x:f>
        <x:v>1181.6378283691406</x:v>
      </x:c>
      <x:c r="L27" t="n">
        <x:f>K27*(1+($BG27+('Assumptions'!$D$3-$BG27)*(8-5)/5))</x:f>
        <x:v>1321.071092116699</x:v>
      </x:c>
      <x:c r="M27" t="n">
        <x:f>L27*(1+($BG27+('Assumptions'!$D$3-$BG27)*(9-5)/5))</x:f>
        <x:v>1418.8303529333348</x:v>
      </x:c>
      <x:c r="N27" t="n">
        <x:f>M27*(1+($BG27+('Assumptions'!$D$3-$BG27)*(10-5)/5))</x:f>
        <x:v>1461.3952635213348</x:v>
      </x:c>
      <x:c r="O27" t="n">
        <x:f>0</x:f>
        <x:v>0</x:v>
      </x:c>
      <x:c r="P27" t="n">
        <x:f>0</x:f>
        <x:v>0</x:v>
      </x:c>
      <x:c r="Q27" t="n">
        <x:f>0</x:f>
        <x:v>0</x:v>
      </x:c>
      <x:c r="R27" t="n">
        <x:f>0</x:f>
        <x:v>0</x:v>
      </x:c>
      <x:c r="S27" t="n">
        <x:f>0</x:f>
        <x:v>0</x:v>
      </x:c>
      <x:c r="T27" t="n">
        <x:f>S27*(1+($BG27+('Assumptions'!$D$3-$BG27)*(6-5)/5))</x:f>
        <x:v>0</x:v>
      </x:c>
      <x:c r="U27" t="n">
        <x:f>T27*(1+($BG27+('Assumptions'!$D$3-$BG27)*(7-5)/5))</x:f>
        <x:v>0</x:v>
      </x:c>
      <x:c r="V27" t="n">
        <x:f>U27*(1+($BG27+('Assumptions'!$D$3-$BG27)*(8-5)/5))</x:f>
        <x:v>0</x:v>
      </x:c>
      <x:c r="W27" t="n">
        <x:f>V27*(1+($BG27+('Assumptions'!$D$3-$BG27)*(9-5)/5))</x:f>
        <x:v>0</x:v>
      </x:c>
      <x:c r="X27" t="n">
        <x:f>W27*(1+($BG27+('Assumptions'!$D$3-$BG27)*(10-5)/5))</x:f>
        <x:v>0</x:v>
      </x:c>
      <x:c r="Y27" t="n">
        <x:f>E27*'LMAT Model'!$B$62+O27*'LMAT Model'!$B$63+'LMAT Model'!$B$73+'LMAT Model'!$B$74</x:f>
        <x:v>96.70500000000001</x:v>
      </x:c>
      <x:c r="Z27" t="n">
        <x:f>F27*'LMAT Model'!$C$62+P27*'LMAT Model'!$C$63+'LMAT Model'!$C$73+'LMAT Model'!$C$74</x:f>
        <x:v>125.1984375</x:v>
      </x:c>
      <x:c r="AA27" t="n">
        <x:f>G27*'LMAT Model'!$D$62+Q27*'LMAT Model'!$D$63+'LMAT Model'!$D$73+'LMAT Model'!$D$74</x:f>
        <x:v>161.89453125</x:v>
      </x:c>
      <x:c r="AB27" t="n">
        <x:f>H27*'LMAT Model'!$E$62+R27*'LMAT Model'!$E$63+'LMAT Model'!$E$73+'LMAT Model'!$E$74</x:f>
        <x:v>205.740966796875</x:v>
      </x:c>
      <x:c r="AC27" t="n">
        <x:f>I27*'LMAT Model'!$F$62+S27*'LMAT Model'!$F$63+'LMAT Model'!$F$73+'LMAT Model'!$F$74</x:f>
        <x:v>261.3922119140625</x:v>
      </x:c>
      <x:c r="AD27" t="n">
        <x:f>AX27*$AC27/$AW27</x:f>
        <x:v>315.2390075683594</x:v>
      </x:c>
      <x:c r="AE27" t="n">
        <x:f>AY27*$AC27/$AW27</x:f>
        <x:v>366.3077267944336</x:v>
      </x:c>
      <x:c r="AF27" t="n">
        <x:f>AZ27*$AC27/$AW27</x:f>
        <x:v>409.53203855617664</x:v>
      </x:c>
      <x:c r="AG27" t="n">
        <x:f>BA27*$AC27/$AW27</x:f>
        <x:v>439.8374094093338</x:v>
      </x:c>
      <x:c r="AH27" t="n">
        <x:f>BB27*$AC27/$AW27</x:f>
        <x:v>453.03253169161377</x:v>
      </x:c>
      <x:c r="AI27" t="n">
        <x:f>Y27*(1-'Assumptions'!$F$3)+AS27*'Assumptions'!$G$3-AS27*'LMAT Model'!$B$65-(AS27-'Inputs'!$B$14)*'Assumptions'!$H$3-'Assumptions'!$I$3</x:f>
        <x:v>52.88167500000003</x:v>
      </x:c>
      <x:c r="AJ27" t="n">
        <x:f>Z27*(1-'Assumptions'!$F$3)+AT27*'Assumptions'!$G$3-AT27*'LMAT Model'!$C$65-(AT27-AS27)*'Assumptions'!$H$3-0</x:f>
        <x:v>73.13315625000001</x:v>
      </x:c>
      <x:c r="AK27" t="n">
        <x:f>AA27*(1-'Assumptions'!$F$3)+AU27*'Assumptions'!$G$3-AU27*'LMAT Model'!$D$65-(AU27-AT27)*'Assumptions'!$H$3-0</x:f>
        <x:v>95.51777343750001</x:v>
      </x:c>
      <x:c r="AL27" t="n">
        <x:f>AB27*(1-'Assumptions'!$F$3)+AV27*'Assumptions'!$G$3-AV27*'LMAT Model'!$E$65-(AV27-AU27)*'Assumptions'!$H$3-0</x:f>
        <x:v>121.960546875</x:v>
      </x:c>
      <x:c r="AM27" t="n">
        <x:f>AC27*(1-'Assumptions'!$F$3)+AW27*'Assumptions'!$G$3-AW27*'LMAT Model'!$F$65-(AW27-AV27)*'Assumptions'!$H$3-0</x:f>
        <x:v>155.65484619140625</x:v>
      </x:c>
      <x:c r="AN27" t="n">
        <x:f>AD27*(1-'Assumptions'!$F$3)+AX27*'Assumptions'!$G$3-AX27*'LMAT Model'!$G$65-(AX27-AW27)*'Assumptions'!$H$3-0</x:f>
        <x:v>194.54629724121097</x:v>
      </x:c>
      <x:c r="AO27" t="n">
        <x:f>AE27*(1-'Assumptions'!$F$3)+AY27*'Assumptions'!$G$3-AY27*'LMAT Model'!$H$65-(AY27-AX27)*'Assumptions'!$H$3-0</x:f>
        <x:v>234.59598831225588</x:v>
      </x:c>
      <x:c r="AP27" t="n">
        <x:f>AF27*(1-'Assumptions'!$F$3)+AZ27*'Assumptions'!$G$3-AZ27*'LMAT Model'!$I$65-(AZ27-AY27)*'Assumptions'!$H$3-0</x:f>
        <x:v>272.5693431801723</x:v>
      </x:c>
      <x:c r="AQ27" t="n">
        <x:f>AG27*(1-'Assumptions'!$F$3)+BA27*'Assumptions'!$G$3-BA27*'LMAT Model'!$J$65-(BA27-AZ27)*'Assumptions'!$H$3-0</x:f>
        <x:v>304.6976493986008</x:v>
      </x:c>
      <x:c r="AR27" t="n">
        <x:f>AH27*(1-'Assumptions'!$F$3)+BB27*'Assumptions'!$G$3-BB27*'LMAT Model'!$K$65-(BB27-BA27)*'Assumptions'!$H$3-0</x:f>
        <x:v>327.2078183327798</x:v>
      </x:c>
      <x:c r="AS27" t="n">
        <x:f>E27+O27</x:f>
        <x:v>345.375</x:v>
      </x:c>
      <x:c r="AT27" t="n">
        <x:f>F27+P27</x:f>
        <x:v>431.71875</x:v>
      </x:c>
      <x:c r="AU27" t="n">
        <x:f>G27+Q27</x:f>
        <x:v>539.6484375</x:v>
      </x:c>
      <x:c r="AV27" t="n">
        <x:f>H27+R27</x:f>
        <x:v>674.560546875</x:v>
      </x:c>
      <x:c r="AW27" t="n">
        <x:f>I27+S27</x:f>
        <x:v>843.20068359375</x:v>
      </x:c>
      <x:c r="AX27" t="n">
        <x:f>J27+T27</x:f>
        <x:v>1016.9000244140625</x:v>
      </x:c>
      <x:c r="AY27" t="n">
        <x:f>K27+U27</x:f>
        <x:v>1181.6378283691406</x:v>
      </x:c>
      <x:c r="AZ27" t="n">
        <x:f>L27+V27</x:f>
        <x:v>1321.071092116699</x:v>
      </x:c>
      <x:c r="BA27" t="n">
        <x:f>M27+W27</x:f>
        <x:v>1418.8303529333348</x:v>
      </x:c>
      <x:c r="BB27" t="n">
        <x:f>N27+X27</x:f>
        <x:v>1461.3952635213348</x:v>
      </x:c>
      <x:c r="BC27" t="n">
        <x:f>AS27/'Inputs'!$B$14-1</x:f>
        <x:v>0.25</x:v>
      </x:c>
      <x:c r="BD27" t="n">
        <x:f>AT27/AS27-1</x:f>
        <x:v>0.25</x:v>
      </x:c>
      <x:c r="BE27" t="n">
        <x:f>AU27/AT27-1</x:f>
        <x:v>0.25</x:v>
      </x:c>
      <x:c r="BF27" t="n">
        <x:f>AV27/AU27-1</x:f>
        <x:v>0.25</x:v>
      </x:c>
      <x:c r="BG27" t="n">
        <x:f>AW27/AV27-1</x:f>
        <x:v>0.25</x:v>
      </x:c>
      <x:c r="BH27" t="n">
        <x:f>AX27/AW27-1</x:f>
        <x:v>0.20599999999999996</x:v>
      </x:c>
      <x:c r="BI27" t="n">
        <x:f>AY27/AX27-1</x:f>
        <x:v>0.16199999999999992</x:v>
      </x:c>
      <x:c r="BJ27" t="n">
        <x:f>AZ27/AY27-1</x:f>
        <x:v>0.11799999999999988</x:v>
      </x:c>
      <x:c r="BK27" t="n">
        <x:f>BA27/AZ27-1</x:f>
        <x:v>0.07400000000000007</x:v>
      </x:c>
      <x:c r="BL27" t="n">
        <x:f>BB27/BA27-1</x:f>
        <x:v>0.030000000000000027</x:v>
      </x:c>
      <x:c r="BM27" t="n">
        <x:f>AH27*(1-'Assumptions'!$F$3)*(1+'Assumptions'!$D$3)*(1-'Assumptions'!$D$3/'Assumptions'!$E$3)</x:f>
        <x:v>312.07780191121185</x:v>
      </x:c>
      <x:c r="BN27" t="n">
        <x:f>SUMPRODUCT(AI27:AR27,'LMAT Model'!$B$83:$K$83)+BM27/('Assumptions'!$C$3-'Assumptions'!$D$3)*'LMAT Model'!$K$83</x:f>
        <x:v>2691.81001760503</x:v>
      </x:c>
      <x:c r="BO27" t="n">
        <x:f>'LMAT Model'!$B$94</x:f>
        <x:v>178</x:v>
      </x:c>
      <x:c r="BP27" t="n">
        <x:f>'Inputs'!$B$8</x:f>
        <x:v>23.088</x:v>
      </x:c>
    </x:row>
    <x:row r="28">
      <x:c r="A28" t="str">
        <x:v>LMAT</x:v>
      </x:c>
      <x:c r="B28" s="22" t="n">
        <x:v>0.26</x:v>
      </x:c>
      <x:c r="C28" s="42" t="n">
        <x:f>MIN((BN28+BO28)/BP28,(BN28+BO28+'Inputs'!$B$7)/(BP28+'Inputs'!$B$19))</x:f>
        <x:v>129.69332368862098</x:v>
      </x:c>
      <x:c r="D28" s="22" t="n">
        <x:f>C28/'Inputs'!$B$5-1</x:f>
        <x:v>0.6077020415101151</x:v>
      </x:c>
      <x:c r="E28" t="n">
        <x:f>'Inputs'!$B$14*(1+$B28)^1</x:f>
        <x:v>348.13800000000003</x:v>
      </x:c>
      <x:c r="F28" t="n">
        <x:f>'Inputs'!$B$14*(1+$B28)^2</x:f>
        <x:v>438.6538800000001</x:v>
      </x:c>
      <x:c r="G28" t="n">
        <x:f>'Inputs'!$B$14*(1+$B28)^3</x:f>
        <x:v>552.7038888000001</x:v>
      </x:c>
      <x:c r="H28" t="n">
        <x:f>'Inputs'!$B$14*(1+$B28)^4</x:f>
        <x:v>696.4068998880001</x:v>
      </x:c>
      <x:c r="I28" t="n">
        <x:f>'Inputs'!$B$14*(1+$B28)^5</x:f>
        <x:v>877.4726938588801</x:v>
      </x:c>
      <x:c r="J28" t="n">
        <x:f>I28*(1+($BG28+('Assumptions'!$D$3-$BG28)*(6-5)/5))</x:f>
        <x:v>1065.2518503446804</x:v>
      </x:c>
      <x:c r="K28" t="n">
        <x:f>J28*(1+($BG28+('Assumptions'!$D$3-$BG28)*(7-5)/5))</x:f>
        <x:v>1244.2141612025866</x:v>
      </x:c>
      <x:c r="L28" t="n">
        <x:f>K28*(1+($BG28+('Assumptions'!$D$3-$BG28)*(8-5)/5))</x:f>
        <x:v>1396.008288869302</x:v>
      </x:c>
      <x:c r="M28" t="n">
        <x:f>L28*(1+($BG28+('Assumptions'!$D$3-$BG28)*(9-5)/5))</x:f>
        <x:v>1502.1049188233692</x:v>
      </x:c>
      <x:c r="N28" t="n">
        <x:f>M28*(1+($BG28+('Assumptions'!$D$3-$BG28)*(10-5)/5))</x:f>
        <x:v>1547.1680663880702</x:v>
      </x:c>
      <x:c r="O28" t="n">
        <x:f>0</x:f>
        <x:v>0</x:v>
      </x:c>
      <x:c r="P28" t="n">
        <x:f>0</x:f>
        <x:v>0</x:v>
      </x:c>
      <x:c r="Q28" t="n">
        <x:f>0</x:f>
        <x:v>0</x:v>
      </x:c>
      <x:c r="R28" t="n">
        <x:f>0</x:f>
        <x:v>0</x:v>
      </x:c>
      <x:c r="S28" t="n">
        <x:f>0</x:f>
        <x:v>0</x:v>
      </x:c>
      <x:c r="T28" t="n">
        <x:f>S28*(1+($BG28+('Assumptions'!$D$3-$BG28)*(6-5)/5))</x:f>
        <x:v>0</x:v>
      </x:c>
      <x:c r="U28" t="n">
        <x:f>T28*(1+($BG28+('Assumptions'!$D$3-$BG28)*(7-5)/5))</x:f>
        <x:v>0</x:v>
      </x:c>
      <x:c r="V28" t="n">
        <x:f>U28*(1+($BG28+('Assumptions'!$D$3-$BG28)*(8-5)/5))</x:f>
        <x:v>0</x:v>
      </x:c>
      <x:c r="W28" t="n">
        <x:f>V28*(1+($BG28+('Assumptions'!$D$3-$BG28)*(9-5)/5))</x:f>
        <x:v>0</x:v>
      </x:c>
      <x:c r="X28" t="n">
        <x:f>W28*(1+($BG28+('Assumptions'!$D$3-$BG28)*(10-5)/5))</x:f>
        <x:v>0</x:v>
      </x:c>
      <x:c r="Y28" t="n">
        <x:f>E28*'LMAT Model'!$B$62+O28*'LMAT Model'!$B$63+'LMAT Model'!$B$73+'LMAT Model'!$B$74</x:f>
        <x:v>97.47864000000001</x:v>
      </x:c>
      <x:c r="Z28" t="n">
        <x:f>F28*'LMAT Model'!$C$62+P28*'LMAT Model'!$C$63+'LMAT Model'!$C$73+'LMAT Model'!$C$74</x:f>
        <x:v>127.20962520000002</x:v>
      </x:c>
      <x:c r="AA28" t="n">
        <x:f>G28*'LMAT Model'!$D$62+Q28*'LMAT Model'!$D$63+'LMAT Model'!$D$73+'LMAT Model'!$D$74</x:f>
        <x:v>165.81116664</x:v>
      </x:c>
      <x:c r="AB28" t="n">
        <x:f>H28*'LMAT Model'!$E$62+R28*'LMAT Model'!$E$63+'LMAT Model'!$E$73+'LMAT Model'!$E$74</x:f>
        <x:v>212.40410446584002</x:v>
      </x:c>
      <x:c r="AC28" t="n">
        <x:f>I28*'LMAT Model'!$F$62+S28*'LMAT Model'!$F$63+'LMAT Model'!$F$73+'LMAT Model'!$F$74</x:f>
        <x:v>272.0165350962528</x:v>
      </x:c>
      <x:c r="AD28" t="n">
        <x:f>AX28*$AC28/$AW28</x:f>
        <x:v>330.22807360685096</x:v>
      </x:c>
      <x:c r="AE28" t="n">
        <x:f>AY28*$AC28/$AW28</x:f>
        <x:v>385.70638997280184</x:v>
      </x:c>
      <x:c r="AF28" t="n">
        <x:f>AZ28*$AC28/$AW28</x:f>
        <x:v>432.76256954948366</x:v>
      </x:c>
      <x:c r="AG28" t="n">
        <x:f>BA28*$AC28/$AW28</x:f>
        <x:v>465.65252483524444</x:v>
      </x:c>
      <x:c r="AH28" t="n">
        <x:f>BB28*$AC28/$AW28</x:f>
        <x:v>479.6221005803017</x:v>
      </x:c>
      <x:c r="AI28" t="n">
        <x:f>Y28*(1-'Assumptions'!$F$3)+AS28*'Assumptions'!$G$3-AS28*'LMAT Model'!$B$65-(AS28-'Inputs'!$B$14)*'Assumptions'!$H$3-'Assumptions'!$I$3</x:f>
        <x:v>52.82033640000001</x:v>
      </x:c>
      <x:c r="AJ28" t="n">
        <x:f>Z28*(1-'Assumptions'!$F$3)+AT28*'Assumptions'!$G$3-AT28*'LMAT Model'!$C$65-(AT28-AS28)*'Assumptions'!$H$3-0</x:f>
        <x:v>73.66739335200002</x:v>
      </x:c>
      <x:c r="AK28" t="n">
        <x:f>AA28*(1-'Assumptions'!$F$3)+AU28*'Assumptions'!$G$3-AU28*'LMAT Model'!$D$65-(AU28-AT28)*'Assumptions'!$H$3-0</x:f>
        <x:v>97.0214651784</x:v>
      </x:c>
      <x:c r="AL28" t="n">
        <x:f>AB28*(1-'Assumptions'!$F$3)+AV28*'Assumptions'!$G$3-AV28*'LMAT Model'!$E$65-(AV28-AU28)*'Assumptions'!$H$3-0</x:f>
        <x:v>124.8933923443584</x:v>
      </x:c>
      <x:c r="AM28" t="n">
        <x:f>AC28*(1-'Assumptions'!$F$3)+AW28*'Assumptions'!$G$3-AW28*'LMAT Model'!$F$65-(AW28-AV28)*'Assumptions'!$H$3-0</x:f>
        <x:v>160.70007059055536</x:v>
      </x:c>
      <x:c r="AN28" t="n">
        <x:f>AD28*(1-'Assumptions'!$F$3)+AX28*'Assumptions'!$G$3-AX28*'LMAT Model'!$G$65-(AX28-AW28)*'Assumptions'!$H$3-0</x:f>
        <x:v>202.45787069774926</x:v>
      </x:c>
      <x:c r="AO28" t="n">
        <x:f>AE28*(1-'Assumptions'!$F$3)+AY28*'Assumptions'!$G$3-AY28*'LMAT Model'!$H$65-(AY28-AX28)*'Assumptions'!$H$3-0</x:f>
        <x:v>245.75445407599807</x:v>
      </x:c>
      <x:c r="AP28" t="n">
        <x:f>AF28*(1-'Assumptions'!$F$3)+AZ28*'Assumptions'!$G$3-AZ28*'LMAT Model'!$I$65-(AZ28-AY28)*'Assumptions'!$H$3-0</x:f>
        <x:v>287.00686204991655</x:v>
      </x:c>
      <x:c r="AQ28" t="n">
        <x:f>AG28*(1-'Assumptions'!$F$3)+BA28*'Assumptions'!$G$3-BA28*'LMAT Model'!$J$65-(BA28-AZ28)*'Assumptions'!$H$3-0</x:f>
        <x:v>321.9831693912335</x:v>
      </x:c>
      <x:c r="AR28" t="n">
        <x:f>AH28*(1-'Assumptions'!$F$3)+BB28*'Assumptions'!$G$3-BB28*'LMAT Model'!$K$65-(BB28-BA28)*'Assumptions'!$H$3-0</x:f>
        <x:v>346.4124321692077</x:v>
      </x:c>
      <x:c r="AS28" t="n">
        <x:f>E28+O28</x:f>
        <x:v>348.13800000000003</x:v>
      </x:c>
      <x:c r="AT28" t="n">
        <x:f>F28+P28</x:f>
        <x:v>438.6538800000001</x:v>
      </x:c>
      <x:c r="AU28" t="n">
        <x:f>G28+Q28</x:f>
        <x:v>552.7038888000001</x:v>
      </x:c>
      <x:c r="AV28" t="n">
        <x:f>H28+R28</x:f>
        <x:v>696.4068998880001</x:v>
      </x:c>
      <x:c r="AW28" t="n">
        <x:f>I28+S28</x:f>
        <x:v>877.4726938588801</x:v>
      </x:c>
      <x:c r="AX28" t="n">
        <x:f>J28+T28</x:f>
        <x:v>1065.2518503446804</x:v>
      </x:c>
      <x:c r="AY28" t="n">
        <x:f>K28+U28</x:f>
        <x:v>1244.2141612025866</x:v>
      </x:c>
      <x:c r="AZ28" t="n">
        <x:f>L28+V28</x:f>
        <x:v>1396.008288869302</x:v>
      </x:c>
      <x:c r="BA28" t="n">
        <x:f>M28+W28</x:f>
        <x:v>1502.1049188233692</x:v>
      </x:c>
      <x:c r="BB28" t="n">
        <x:f>N28+X28</x:f>
        <x:v>1547.1680663880702</x:v>
      </x:c>
      <x:c r="BC28" t="n">
        <x:f>AS28/'Inputs'!$B$14-1</x:f>
        <x:v>0.26</x:v>
      </x:c>
      <x:c r="BD28" t="n">
        <x:f>AT28/AS28-1</x:f>
        <x:v>0.26</x:v>
      </x:c>
      <x:c r="BE28" t="n">
        <x:f>AU28/AT28-1</x:f>
        <x:v>0.26</x:v>
      </x:c>
      <x:c r="BF28" t="n">
        <x:f>AV28/AU28-1</x:f>
        <x:v>0.26</x:v>
      </x:c>
      <x:c r="BG28" t="n">
        <x:f>AW28/AV28-1</x:f>
        <x:v>0.26</x:v>
      </x:c>
      <x:c r="BH28" t="n">
        <x:f>AX28/AW28-1</x:f>
        <x:v>0.21399999999999997</x:v>
      </x:c>
      <x:c r="BI28" t="n">
        <x:f>AY28/AX28-1</x:f>
        <x:v>0.16799999999999993</x:v>
      </x:c>
      <x:c r="BJ28" t="n">
        <x:f>AZ28/AY28-1</x:f>
        <x:v>0.12199999999999989</x:v>
      </x:c>
      <x:c r="BK28" t="n">
        <x:f>BA28/AZ28-1</x:f>
        <x:v>0.07600000000000007</x:v>
      </x:c>
      <x:c r="BL28" t="n">
        <x:f>BB28/BA28-1</x:f>
        <x:v>0.030000000000000027</x:v>
      </x:c>
      <x:c r="BM28" t="n">
        <x:f>AH28*(1-'Assumptions'!$F$3)*(1+'Assumptions'!$D$3)*(1-'Assumptions'!$D$3/'Assumptions'!$E$3)</x:f>
        <x:v>330.394398694149</x:v>
      </x:c>
      <x:c r="BN28" t="n">
        <x:f>SUMPRODUCT(AI28:AR28,'LMAT Model'!$B$83:$K$83)+BM28/('Assumptions'!$C$3-'Assumptions'!$D$3)*'LMAT Model'!$K$83</x:f>
        <x:v>2831.0069234055613</x:v>
      </x:c>
      <x:c r="BO28" t="n">
        <x:f>'LMAT Model'!$B$94</x:f>
        <x:v>178</x:v>
      </x:c>
      <x:c r="BP28" t="n">
        <x:f>'Inputs'!$B$8</x:f>
        <x:v>23.088</x:v>
      </x:c>
    </x:row>
    <x:row r="29">
      <x:c r="A29" t="str">
        <x:v>LMAT</x:v>
      </x:c>
      <x:c r="B29" s="22" t="n">
        <x:v>0.27</x:v>
      </x:c>
      <x:c r="C29" s="42" t="n">
        <x:f>MIN((BN29+BO29)/BP29,(BN29+BO29+'Inputs'!$B$7)/(BP29+'Inputs'!$B$19))</x:f>
        <x:v>135.63963247760532</x:v>
      </x:c>
      <x:c r="D29" s="22" t="n">
        <x:f>C29/'Inputs'!$B$5-1</x:f>
        <x:v>0.6814135673435642</x:v>
      </x:c>
      <x:c r="E29" t="n">
        <x:f>'Inputs'!$B$14*(1+$B29)^1</x:f>
        <x:v>350.901</x:v>
      </x:c>
      <x:c r="F29" t="n">
        <x:f>'Inputs'!$B$14*(1+$B29)^2</x:f>
        <x:v>445.64427</x:v>
      </x:c>
      <x:c r="G29" t="n">
        <x:f>'Inputs'!$B$14*(1+$B29)^3</x:f>
        <x:v>565.9682229</x:v>
      </x:c>
      <x:c r="H29" t="n">
        <x:f>'Inputs'!$B$14*(1+$B29)^4</x:f>
        <x:v>718.779643083</x:v>
      </x:c>
      <x:c r="I29" t="n">
        <x:f>'Inputs'!$B$14*(1+$B29)^5</x:f>
        <x:v>912.8501467154099</x:v>
      </x:c>
      <x:c r="J29" t="n">
        <x:f>I29*(1+($BG29+('Assumptions'!$D$3-$BG29)*(6-5)/5))</x:f>
        <x:v>1115.5028792862306</x:v>
      </x:c>
      <x:c r="K29" t="n">
        <x:f>J29*(1+($BG29+('Assumptions'!$D$3-$BG29)*(7-5)/5))</x:f>
        <x:v>1309.6003802820346</x:v>
      </x:c>
      <x:c r="L29" t="n">
        <x:f>K29*(1+($BG29+('Assumptions'!$D$3-$BG29)*(8-5)/5))</x:f>
        <x:v>1474.6100281975707</x:v>
      </x:c>
      <x:c r="M29" t="n">
        <x:f>L29*(1+($BG29+('Assumptions'!$D$3-$BG29)*(9-5)/5))</x:f>
        <x:v>1589.629610396981</x:v>
      </x:c>
      <x:c r="N29" t="n">
        <x:f>M29*(1+($BG29+('Assumptions'!$D$3-$BG29)*(10-5)/5))</x:f>
        <x:v>1637.3184987088905</x:v>
      </x:c>
      <x:c r="O29" t="n">
        <x:f>0</x:f>
        <x:v>0</x:v>
      </x:c>
      <x:c r="P29" t="n">
        <x:f>0</x:f>
        <x:v>0</x:v>
      </x:c>
      <x:c r="Q29" t="n">
        <x:f>0</x:f>
        <x:v>0</x:v>
      </x:c>
      <x:c r="R29" t="n">
        <x:f>0</x:f>
        <x:v>0</x:v>
      </x:c>
      <x:c r="S29" t="n">
        <x:f>0</x:f>
        <x:v>0</x:v>
      </x:c>
      <x:c r="T29" t="n">
        <x:f>S29*(1+($BG29+('Assumptions'!$D$3-$BG29)*(6-5)/5))</x:f>
        <x:v>0</x:v>
      </x:c>
      <x:c r="U29" t="n">
        <x:f>T29*(1+($BG29+('Assumptions'!$D$3-$BG29)*(7-5)/5))</x:f>
        <x:v>0</x:v>
      </x:c>
      <x:c r="V29" t="n">
        <x:f>U29*(1+($BG29+('Assumptions'!$D$3-$BG29)*(8-5)/5))</x:f>
        <x:v>0</x:v>
      </x:c>
      <x:c r="W29" t="n">
        <x:f>V29*(1+($BG29+('Assumptions'!$D$3-$BG29)*(9-5)/5))</x:f>
        <x:v>0</x:v>
      </x:c>
      <x:c r="X29" t="n">
        <x:f>W29*(1+($BG29+('Assumptions'!$D$3-$BG29)*(10-5)/5))</x:f>
        <x:v>0</x:v>
      </x:c>
      <x:c r="Y29" t="n">
        <x:f>E29*'LMAT Model'!$B$62+O29*'LMAT Model'!$B$63+'LMAT Model'!$B$73+'LMAT Model'!$B$74</x:f>
        <x:v>98.25228000000001</x:v>
      </x:c>
      <x:c r="Z29" t="n">
        <x:f>F29*'LMAT Model'!$C$62+P29*'LMAT Model'!$C$63+'LMAT Model'!$C$73+'LMAT Model'!$C$74</x:f>
        <x:v>129.2368383</x:v>
      </x:c>
      <x:c r="AA29" t="n">
        <x:f>G29*'LMAT Model'!$D$62+Q29*'LMAT Model'!$D$63+'LMAT Model'!$D$73+'LMAT Model'!$D$74</x:f>
        <x:v>169.79046687</x:v>
      </x:c>
      <x:c r="AB29" t="n">
        <x:f>H29*'LMAT Model'!$E$62+R29*'LMAT Model'!$E$63+'LMAT Model'!$E$73+'LMAT Model'!$E$74</x:f>
        <x:v>219.227791140315</x:v>
      </x:c>
      <x:c r="AC29" t="n">
        <x:f>I29*'LMAT Model'!$F$62+S29*'LMAT Model'!$F$63+'LMAT Model'!$F$73+'LMAT Model'!$F$74</x:f>
        <x:v>282.98354548177707</x:v>
      </x:c>
      <x:c r="AD29" t="n">
        <x:f>AX29*$AC29/$AW29</x:f>
        <x:v>345.8058925787315</x:v>
      </x:c>
      <x:c r="AE29" t="n">
        <x:f>AY29*$AC29/$AW29</x:f>
        <x:v>405.97611788743075</x:v>
      </x:c>
      <x:c r="AF29" t="n">
        <x:f>AZ29*$AC29/$AW29</x:f>
        <x:v>457.12910874124697</x:v>
      </x:c>
      <x:c r="AG29" t="n">
        <x:f>BA29*$AC29/$AW29</x:f>
        <x:v>492.7851792230641</x:v>
      </x:c>
      <x:c r="AH29" t="n">
        <x:f>BB29*$AC29/$AW29</x:f>
        <x:v>507.56873459975606</x:v>
      </x:c>
      <x:c r="AI29" t="n">
        <x:f>Y29*(1-'Assumptions'!$F$3)+AS29*'Assumptions'!$G$3-AS29*'LMAT Model'!$B$65-(AS29-'Inputs'!$B$14)*'Assumptions'!$H$3-'Assumptions'!$I$3</x:f>
        <x:v>52.75899780000002</x:v>
      </x:c>
      <x:c r="AJ29" t="n">
        <x:f>Z29*(1-'Assumptions'!$F$3)+AT29*'Assumptions'!$G$3-AT29*'LMAT Model'!$C$65-(AT29-AS29)*'Assumptions'!$H$3-0</x:f>
        <x:v>74.20082365799999</x:v>
      </x:c>
      <x:c r="AK29" t="n">
        <x:f>AA29*(1-'Assumptions'!$F$3)+AU29*'Assumptions'!$G$3-AU29*'LMAT Model'!$D$65-(AU29-AT29)*'Assumptions'!$H$3-0</x:f>
        <x:v>98.53640453969997</x:v>
      </x:c>
      <x:c r="AL29" t="n">
        <x:f>AB29*(1-'Assumptions'!$F$3)+AV29*'Assumptions'!$G$3-AV29*'LMAT Model'!$E$65-(AV29-AU29)*'Assumptions'!$H$3-0</x:f>
        <x:v>127.8725964091344</x:v>
      </x:c>
      <x:c r="AM29" t="n">
        <x:f>AC29*(1-'Assumptions'!$F$3)+AW29*'Assumptions'!$G$3-AW29*'LMAT Model'!$F$65-(AW29-AV29)*'Assumptions'!$H$3-0</x:f>
        <x:v>165.86702799711924</x:v>
      </x:c>
      <x:c r="AN29" t="n">
        <x:f>AD29*(1-'Assumptions'!$F$3)+AX29*'Assumptions'!$G$3-AX29*'LMAT Model'!$G$65-(AX29-AW29)*'Assumptions'!$H$3-0</x:f>
        <x:v>210.624835472116</x:v>
      </x:c>
      <x:c r="AO29" t="n">
        <x:f>AE29*(1-'Assumptions'!$F$3)+AY29*'Assumptions'!$G$3-AY29*'LMAT Model'!$H$65-(AY29-AX29)*'Assumptions'!$H$3-0</x:f>
        <x:v>257.35142246400227</x:v>
      </x:c>
      <x:c r="AP29" t="n">
        <x:f>AF29*(1-'Assumptions'!$F$3)+AZ29*'Assumptions'!$G$3-AZ29*'LMAT Model'!$I$65-(AZ29-AY29)*'Assumptions'!$H$3-0</x:f>
        <x:v>302.09285348178656</x:v>
      </x:c>
      <x:c r="AQ29" t="n">
        <x:f>AG29*(1-'Assumptions'!$F$3)+BA29*'Assumptions'!$G$3-BA29*'LMAT Model'!$J$65-(BA29-AZ29)*'Assumptions'!$H$3-0</x:f>
        <x:v>340.1140842516795</x:v>
      </x:c>
      <x:c r="AR29" t="n">
        <x:f>AH29*(1-'Assumptions'!$F$3)+BB29*'Assumptions'!$G$3-BB29*'LMAT Model'!$K$65-(BB29-BA29)*'Assumptions'!$H$3-0</x:f>
        <x:v>366.597201490531</x:v>
      </x:c>
      <x:c r="AS29" t="n">
        <x:f>E29+O29</x:f>
        <x:v>350.901</x:v>
      </x:c>
      <x:c r="AT29" t="n">
        <x:f>F29+P29</x:f>
        <x:v>445.64427</x:v>
      </x:c>
      <x:c r="AU29" t="n">
        <x:f>G29+Q29</x:f>
        <x:v>565.9682229</x:v>
      </x:c>
      <x:c r="AV29" t="n">
        <x:f>H29+R29</x:f>
        <x:v>718.779643083</x:v>
      </x:c>
      <x:c r="AW29" t="n">
        <x:f>I29+S29</x:f>
        <x:v>912.8501467154099</x:v>
      </x:c>
      <x:c r="AX29" t="n">
        <x:f>J29+T29</x:f>
        <x:v>1115.5028792862306</x:v>
      </x:c>
      <x:c r="AY29" t="n">
        <x:f>K29+U29</x:f>
        <x:v>1309.6003802820346</x:v>
      </x:c>
      <x:c r="AZ29" t="n">
        <x:f>L29+V29</x:f>
        <x:v>1474.6100281975707</x:v>
      </x:c>
      <x:c r="BA29" t="n">
        <x:f>M29+W29</x:f>
        <x:v>1589.629610396981</x:v>
      </x:c>
      <x:c r="BB29" t="n">
        <x:f>N29+X29</x:f>
        <x:v>1637.3184987088905</x:v>
      </x:c>
      <x:c r="BC29" t="n">
        <x:f>AS29/'Inputs'!$B$14-1</x:f>
        <x:v>0.27</x:v>
      </x:c>
      <x:c r="BD29" t="n">
        <x:f>AT29/AS29-1</x:f>
        <x:v>0.27</x:v>
      </x:c>
      <x:c r="BE29" t="n">
        <x:f>AU29/AT29-1</x:f>
        <x:v>0.27</x:v>
      </x:c>
      <x:c r="BF29" t="n">
        <x:f>AV29/AU29-1</x:f>
        <x:v>0.27</x:v>
      </x:c>
      <x:c r="BG29" t="n">
        <x:f>AW29/AV29-1</x:f>
        <x:v>0.2699999999999998</x:v>
      </x:c>
      <x:c r="BH29" t="n">
        <x:f>AX29/AW29-1</x:f>
        <x:v>0.22199999999999975</x:v>
      </x:c>
      <x:c r="BI29" t="n">
        <x:f>AY29/AX29-1</x:f>
        <x:v>0.17399999999999993</x:v>
      </x:c>
      <x:c r="BJ29" t="n">
        <x:f>AZ29/AY29-1</x:f>
        <x:v>0.1259999999999999</x:v>
      </x:c>
      <x:c r="BK29" t="n">
        <x:f>BA29/AZ29-1</x:f>
        <x:v>0.07799999999999985</x:v>
      </x:c>
      <x:c r="BL29" t="n">
        <x:f>BB29/BA29-1</x:f>
        <x:v>0.030000000000000027</x:v>
      </x:c>
      <x:c r="BM29" t="n">
        <x:f>AH29*(1-'Assumptions'!$F$3)*(1+'Assumptions'!$D$3)*(1-'Assumptions'!$D$3/'Assumptions'!$E$3)</x:f>
        <x:v>349.6458287913264</x:v>
      </x:c>
      <x:c r="BN29" t="n">
        <x:f>SUMPRODUCT(AI29:AR29,'LMAT Model'!$B$83:$K$83)+BM29/('Assumptions'!$C$3-'Assumptions'!$D$3)*'LMAT Model'!$K$83</x:f>
        <x:v>2976.875824308136</x:v>
      </x:c>
      <x:c r="BO29" t="n">
        <x:f>'LMAT Model'!$B$94</x:f>
        <x:v>178</x:v>
      </x:c>
      <x:c r="BP29" t="n">
        <x:f>'Inputs'!$B$8</x:f>
        <x:v>23.088</x:v>
      </x:c>
    </x:row>
    <x:row r="30">
      <x:c r="A30" t="str">
        <x:v>LMAT</x:v>
      </x:c>
      <x:c r="B30" s="22" t="n">
        <x:v>0.28</x:v>
      </x:c>
      <x:c r="C30" s="42" t="n">
        <x:f>MIN((BN30+BO30)/BP30,(BN30+BO30+'Inputs'!$B$7)/(BP30+'Inputs'!$B$19))</x:f>
        <x:v>141.86929291010318</x:v>
      </x:c>
      <x:c r="D30" s="22" t="n">
        <x:f>C30/'Inputs'!$B$5-1</x:f>
        <x:v>0.7586375717131917</x:v>
      </x:c>
      <x:c r="E30" t="n">
        <x:f>'Inputs'!$B$14*(1+$B30)^1</x:f>
        <x:v>353.66400000000004</x:v>
      </x:c>
      <x:c r="F30" t="n">
        <x:f>'Inputs'!$B$14*(1+$B30)^2</x:f>
        <x:v>452.68992000000003</x:v>
      </x:c>
      <x:c r="G30" t="n">
        <x:f>'Inputs'!$B$14*(1+$B30)^3</x:f>
        <x:v>579.4430976000001</x:v>
      </x:c>
      <x:c r="H30" t="n">
        <x:f>'Inputs'!$B$14*(1+$B30)^4</x:f>
        <x:v>741.687164928</x:v>
      </x:c>
      <x:c r="I30" t="n">
        <x:f>'Inputs'!$B$14*(1+$B30)^5</x:f>
        <x:v>949.3595711078401</x:v>
      </x:c>
      <x:c r="J30" t="n">
        <x:f>I30*(1+($BG30+('Assumptions'!$D$3-$BG30)*(6-5)/5))</x:f>
        <x:v>1167.7122724626433</x:v>
      </x:c>
      <x:c r="K30" t="n">
        <x:f>J30*(1+($BG30+('Assumptions'!$D$3-$BG30)*(7-5)/5))</x:f>
        <x:v>1377.900481505919</x:v>
      </x:c>
      <x:c r="L30" t="n">
        <x:f>K30*(1+($BG30+('Assumptions'!$D$3-$BG30)*(8-5)/5))</x:f>
        <x:v>1557.0275441016886</x:v>
      </x:c>
      <x:c r="M30" t="n">
        <x:f>L30*(1+($BG30+('Assumptions'!$D$3-$BG30)*(9-5)/5))</x:f>
        <x:v>1681.5897476298237</x:v>
      </x:c>
      <x:c r="N30" t="n">
        <x:f>M30*(1+($BG30+('Assumptions'!$D$3-$BG30)*(10-5)/5))</x:f>
        <x:v>1732.0374400587184</x:v>
      </x:c>
      <x:c r="O30" t="n">
        <x:f>0</x:f>
        <x:v>0</x:v>
      </x:c>
      <x:c r="P30" t="n">
        <x:f>0</x:f>
        <x:v>0</x:v>
      </x:c>
      <x:c r="Q30" t="n">
        <x:f>0</x:f>
        <x:v>0</x:v>
      </x:c>
      <x:c r="R30" t="n">
        <x:f>0</x:f>
        <x:v>0</x:v>
      </x:c>
      <x:c r="S30" t="n">
        <x:f>0</x:f>
        <x:v>0</x:v>
      </x:c>
      <x:c r="T30" t="n">
        <x:f>S30*(1+($BG30+('Assumptions'!$D$3-$BG30)*(6-5)/5))</x:f>
        <x:v>0</x:v>
      </x:c>
      <x:c r="U30" t="n">
        <x:f>T30*(1+($BG30+('Assumptions'!$D$3-$BG30)*(7-5)/5))</x:f>
        <x:v>0</x:v>
      </x:c>
      <x:c r="V30" t="n">
        <x:f>U30*(1+($BG30+('Assumptions'!$D$3-$BG30)*(8-5)/5))</x:f>
        <x:v>0</x:v>
      </x:c>
      <x:c r="W30" t="n">
        <x:f>V30*(1+($BG30+('Assumptions'!$D$3-$BG30)*(9-5)/5))</x:f>
        <x:v>0</x:v>
      </x:c>
      <x:c r="X30" t="n">
        <x:f>W30*(1+($BG30+('Assumptions'!$D$3-$BG30)*(10-5)/5))</x:f>
        <x:v>0</x:v>
      </x:c>
      <x:c r="Y30" t="n">
        <x:f>E30*'LMAT Model'!$B$62+O30*'LMAT Model'!$B$63+'LMAT Model'!$B$73+'LMAT Model'!$B$74</x:f>
        <x:v>99.02592000000003</x:v>
      </x:c>
      <x:c r="Z30" t="n">
        <x:f>F30*'LMAT Model'!$C$62+P30*'LMAT Model'!$C$63+'LMAT Model'!$C$73+'LMAT Model'!$C$74</x:f>
        <x:v>131.2800768</x:v>
      </x:c>
      <x:c r="AA30" t="n">
        <x:f>G30*'LMAT Model'!$D$62+Q30*'LMAT Model'!$D$63+'LMAT Model'!$D$73+'LMAT Model'!$D$74</x:f>
        <x:v>173.83292928000003</x:v>
      </x:c>
      <x:c r="AB30" t="n">
        <x:f>H30*'LMAT Model'!$E$62+R30*'LMAT Model'!$E$63+'LMAT Model'!$E$73+'LMAT Model'!$E$74</x:f>
        <x:v>226.21458530304</x:v>
      </x:c>
      <x:c r="AC30" t="n">
        <x:f>I30*'LMAT Model'!$F$62+S30*'LMAT Model'!$F$63+'LMAT Model'!$F$73+'LMAT Model'!$F$74</x:f>
        <x:v>294.3014670434304</x:v>
      </x:c>
      <x:c r="AD30" t="n">
        <x:f>AX30*$AC30/$AW30</x:f>
        <x:v>361.9908044634194</x:v>
      </x:c>
      <x:c r="AE30" t="n">
        <x:f>AY30*$AC30/$AW30</x:f>
        <x:v>427.14914926683485</x:v>
      </x:c>
      <x:c r="AF30" t="n">
        <x:f>AZ30*$AC30/$AW30</x:f>
        <x:v>482.6785386715234</x:v>
      </x:c>
      <x:c r="AG30" t="n">
        <x:f>BA30*$AC30/$AW30</x:f>
        <x:v>521.2928217652453</x:v>
      </x:c>
      <x:c r="AH30" t="n">
        <x:f>BB30*$AC30/$AW30</x:f>
        <x:v>536.9316064182027</x:v>
      </x:c>
      <x:c r="AI30" t="n">
        <x:f>Y30*(1-'Assumptions'!$F$3)+AS30*'Assumptions'!$G$3-AS30*'LMAT Model'!$B$65-(AS30-'Inputs'!$B$14)*'Assumptions'!$H$3-'Assumptions'!$I$3</x:f>
        <x:v>52.69765920000002</x:v>
      </x:c>
      <x:c r="AJ30" t="n">
        <x:f>Z30*(1-'Assumptions'!$F$3)+AT30*'Assumptions'!$G$3-AT30*'LMAT Model'!$C$65-(AT30-AS30)*'Assumptions'!$H$3-0</x:f>
        <x:v>74.73344716799998</x:v>
      </x:c>
      <x:c r="AK30" t="n">
        <x:f>AA30*(1-'Assumptions'!$F$3)+AU30*'Assumptions'!$G$3-AU30*'LMAT Model'!$D$65-(AU30-AT30)*'Assumptions'!$H$3-0</x:f>
        <x:v>100.06257991679999</x:v>
      </x:c>
      <x:c r="AL30" t="n">
        <x:f>AB30*(1-'Assumptions'!$F$3)+AV30*'Assumptions'!$G$3-AV30*'LMAT Model'!$E$65-(AV30-AU30)*'Assumptions'!$H$3-0</x:f>
        <x:v>130.8985135202304</x:v>
      </x:c>
      <x:c r="AM30" t="n">
        <x:f>AC30*(1-'Assumptions'!$F$3)+AW30*'Assumptions'!$G$3-AW30*'LMAT Model'!$F$65-(AW30-AV30)*'Assumptions'!$H$3-0</x:f>
        <x:v>171.15766367610473</x:v>
      </x:c>
      <x:c r="AN30" t="n">
        <x:f>AD30*(1-'Assumptions'!$F$3)+AX30*'Assumptions'!$G$3-AX30*'LMAT Model'!$G$65-(AX30-AW30)*'Assumptions'!$H$3-0</x:f>
        <x:v>219.0533287182808</x:v>
      </x:c>
      <x:c r="AO30" t="n">
        <x:f>AE30*(1-'Assumptions'!$F$3)+AY30*'Assumptions'!$G$3-AY30*'LMAT Model'!$H$65-(AY30-AX30)*'Assumptions'!$H$3-0</x:f>
        <x:v>269.40056295531144</x:v>
      </x:c>
      <x:c r="AP30" t="n">
        <x:f>AF30*(1-'Assumptions'!$F$3)+AZ30*'Assumptions'!$G$3-AZ30*'LMAT Model'!$I$65-(AZ30-AY30)*'Assumptions'!$H$3-0</x:f>
        <x:v>317.85132727282235</x:v>
      </x:c>
      <x:c r="AQ30" t="n">
        <x:f>AG30*(1-'Assumptions'!$F$3)+BA30*'Assumptions'!$G$3-BA30*'LMAT Model'!$J$65-(BA30-AZ30)*'Assumptions'!$H$3-0</x:f>
        <x:v>359.1252889919662</x:v>
      </x:c>
      <x:c r="AR30" t="n">
        <x:f>AH30*(1-'Assumptions'!$F$3)+BB30*'Assumptions'!$G$3-BB30*'LMAT Model'!$K$65-(BB30-BA30)*'Assumptions'!$H$3-0</x:f>
        <x:v>387.8048644188947</x:v>
      </x:c>
      <x:c r="AS30" t="n">
        <x:f>E30+O30</x:f>
        <x:v>353.66400000000004</x:v>
      </x:c>
      <x:c r="AT30" t="n">
        <x:f>F30+P30</x:f>
        <x:v>452.68992000000003</x:v>
      </x:c>
      <x:c r="AU30" t="n">
        <x:f>G30+Q30</x:f>
        <x:v>579.4430976000001</x:v>
      </x:c>
      <x:c r="AV30" t="n">
        <x:f>H30+R30</x:f>
        <x:v>741.687164928</x:v>
      </x:c>
      <x:c r="AW30" t="n">
        <x:f>I30+S30</x:f>
        <x:v>949.3595711078401</x:v>
      </x:c>
      <x:c r="AX30" t="n">
        <x:f>J30+T30</x:f>
        <x:v>1167.7122724626433</x:v>
      </x:c>
      <x:c r="AY30" t="n">
        <x:f>K30+U30</x:f>
        <x:v>1377.900481505919</x:v>
      </x:c>
      <x:c r="AZ30" t="n">
        <x:f>L30+V30</x:f>
        <x:v>1557.0275441016886</x:v>
      </x:c>
      <x:c r="BA30" t="n">
        <x:f>M30+W30</x:f>
        <x:v>1681.5897476298237</x:v>
      </x:c>
      <x:c r="BB30" t="n">
        <x:f>N30+X30</x:f>
        <x:v>1732.0374400587184</x:v>
      </x:c>
      <x:c r="BC30" t="n">
        <x:f>AS30/'Inputs'!$B$14-1</x:f>
        <x:v>0.28</x:v>
      </x:c>
      <x:c r="BD30" t="n">
        <x:f>AT30/AS30-1</x:f>
        <x:v>0.28</x:v>
      </x:c>
      <x:c r="BE30" t="n">
        <x:f>AU30/AT30-1</x:f>
        <x:v>0.28000000000000025</x:v>
      </x:c>
      <x:c r="BF30" t="n">
        <x:f>AV30/AU30-1</x:f>
        <x:v>0.2799999999999998</x:v>
      </x:c>
      <x:c r="BG30" t="n">
        <x:f>AW30/AV30-1</x:f>
        <x:v>0.28</x:v>
      </x:c>
      <x:c r="BH30" t="n">
        <x:f>AX30/AW30-1</x:f>
        <x:v>0.22999999999999998</x:v>
      </x:c>
      <x:c r="BI30" t="n">
        <x:f>AY30/AX30-1</x:f>
        <x:v>0.17999999999999994</x:v>
      </x:c>
      <x:c r="BJ30" t="n">
        <x:f>AZ30/AY30-1</x:f>
        <x:v>0.13000000000000012</x:v>
      </x:c>
      <x:c r="BK30" t="n">
        <x:f>BA30/AZ30-1</x:f>
        <x:v>0.08000000000000007</x:v>
      </x:c>
      <x:c r="BL30" t="n">
        <x:f>BB30/BA30-1</x:f>
        <x:v>0.030000000000000027</x:v>
      </x:c>
      <x:c r="BM30" t="n">
        <x:f>AH30*(1-'Assumptions'!$F$3)*(1+'Assumptions'!$D$3)*(1-'Assumptions'!$D$3/'Assumptions'!$E$3)</x:f>
        <x:v>369.8728541236688</x:v>
      </x:c>
      <x:c r="BN30" t="n">
        <x:f>SUMPRODUCT(AI30:AR30,'LMAT Model'!$B$83:$K$83)+BM30/('Assumptions'!$C$3-'Assumptions'!$D$3)*'LMAT Model'!$K$83</x:f>
        <x:v>3129.6956243777418</x:v>
      </x:c>
      <x:c r="BO30" t="n">
        <x:f>'LMAT Model'!$B$94</x:f>
        <x:v>178</x:v>
      </x:c>
      <x:c r="BP30" t="n">
        <x:f>'Inputs'!$B$8</x:f>
        <x:v>23.088</x:v>
      </x:c>
    </x:row>
    <x:row r="31">
      <x:c r="A31" t="str">
        <x:v>LMAT</x:v>
      </x:c>
      <x:c r="B31" s="22" t="n">
        <x:v>0.29</x:v>
      </x:c>
      <x:c r="C31" s="42" t="n">
        <x:f>MIN((BN31+BO31)/BP31,(BN31+BO31+'Inputs'!$B$7)/(BP31+'Inputs'!$B$19))</x:f>
        <x:v>148.3940751174893</x:v>
      </x:c>
      <x:c r="D31" s="22" t="n">
        <x:f>C31/'Inputs'!$B$5-1</x:f>
        <x:v>0.8395199593094</x:v>
      </x:c>
      <x:c r="E31" t="n">
        <x:f>'Inputs'!$B$14*(1+$B31)^1</x:f>
        <x:v>356.427</x:v>
      </x:c>
      <x:c r="F31" t="n">
        <x:f>'Inputs'!$B$14*(1+$B31)^2</x:f>
        <x:v>459.79083</x:v>
      </x:c>
      <x:c r="G31" t="n">
        <x:f>'Inputs'!$B$14*(1+$B31)^3</x:f>
        <x:v>593.1301707000001</x:v>
      </x:c>
      <x:c r="H31" t="n">
        <x:f>'Inputs'!$B$14*(1+$B31)^4</x:f>
        <x:v>765.1379202030001</x:v>
      </x:c>
      <x:c r="I31" t="n">
        <x:f>'Inputs'!$B$14*(1+$B31)^5</x:f>
        <x:v>987.0279170618703</x:v>
      </x:c>
      <x:c r="J31" t="n">
        <x:f>I31*(1+($BG31+('Assumptions'!$D$3-$BG31)*(6-5)/5))</x:f>
        <x:v>1221.9405613225956</x:v>
      </x:c>
      <x:c r="K31" t="n">
        <x:f>J31*(1+($BG31+('Assumptions'!$D$3-$BG31)*(7-5)/5))</x:f>
        <x:v>1449.2215057285987</x:v>
      </x:c>
      <x:c r="L31" t="n">
        <x:f>K31*(1+($BG31+('Assumptions'!$D$3-$BG31)*(8-5)/5))</x:f>
        <x:v>1643.417187496231</x:v>
      </x:c>
      <x:c r="M31" t="n">
        <x:f>L31*(1+($BG31+('Assumptions'!$D$3-$BG31)*(9-5)/5))</x:f>
        <x:v>1778.1773968709222</x:v>
      </x:c>
      <x:c r="N31" t="n">
        <x:f>M31*(1+($BG31+('Assumptions'!$D$3-$BG31)*(10-5)/5))</x:f>
        <x:v>1831.52271877705</x:v>
      </x:c>
      <x:c r="O31" t="n">
        <x:f>0</x:f>
        <x:v>0</x:v>
      </x:c>
      <x:c r="P31" t="n">
        <x:f>0</x:f>
        <x:v>0</x:v>
      </x:c>
      <x:c r="Q31" t="n">
        <x:f>0</x:f>
        <x:v>0</x:v>
      </x:c>
      <x:c r="R31" t="n">
        <x:f>0</x:f>
        <x:v>0</x:v>
      </x:c>
      <x:c r="S31" t="n">
        <x:f>0</x:f>
        <x:v>0</x:v>
      </x:c>
      <x:c r="T31" t="n">
        <x:f>S31*(1+($BG31+('Assumptions'!$D$3-$BG31)*(6-5)/5))</x:f>
        <x:v>0</x:v>
      </x:c>
      <x:c r="U31" t="n">
        <x:f>T31*(1+($BG31+('Assumptions'!$D$3-$BG31)*(7-5)/5))</x:f>
        <x:v>0</x:v>
      </x:c>
      <x:c r="V31" t="n">
        <x:f>U31*(1+($BG31+('Assumptions'!$D$3-$BG31)*(8-5)/5))</x:f>
        <x:v>0</x:v>
      </x:c>
      <x:c r="W31" t="n">
        <x:f>V31*(1+($BG31+('Assumptions'!$D$3-$BG31)*(9-5)/5))</x:f>
        <x:v>0</x:v>
      </x:c>
      <x:c r="X31" t="n">
        <x:f>W31*(1+($BG31+('Assumptions'!$D$3-$BG31)*(10-5)/5))</x:f>
        <x:v>0</x:v>
      </x:c>
      <x:c r="Y31" t="n">
        <x:f>E31*'LMAT Model'!$B$62+O31*'LMAT Model'!$B$63+'LMAT Model'!$B$73+'LMAT Model'!$B$74</x:f>
        <x:v>99.79956000000001</x:v>
      </x:c>
      <x:c r="Z31" t="n">
        <x:f>F31*'LMAT Model'!$C$62+P31*'LMAT Model'!$C$63+'LMAT Model'!$C$73+'LMAT Model'!$C$74</x:f>
        <x:v>133.3393407</x:v>
      </x:c>
      <x:c r="AA31" t="n">
        <x:f>G31*'LMAT Model'!$D$62+Q31*'LMAT Model'!$D$63+'LMAT Model'!$D$73+'LMAT Model'!$D$74</x:f>
        <x:v>177.93905121000003</x:v>
      </x:c>
      <x:c r="AB31" t="n">
        <x:f>H31*'LMAT Model'!$E$62+R31*'LMAT Model'!$E$63+'LMAT Model'!$E$73+'LMAT Model'!$E$74</x:f>
        <x:v>233.36706566191503</x:v>
      </x:c>
      <x:c r="AC31" t="n">
        <x:f>I31*'LMAT Model'!$F$62+S31*'LMAT Model'!$F$63+'LMAT Model'!$F$73+'LMAT Model'!$F$74</x:f>
        <x:v>305.9786542891798</x:v>
      </x:c>
      <x:c r="AD31" t="n">
        <x:f>AX31*$AC31/$AW31</x:f>
        <x:v>378.8015740100047</x:v>
      </x:c>
      <x:c r="AE31" t="n">
        <x:f>AY31*$AC31/$AW31</x:f>
        <x:v>449.2586667758656</x:v>
      </x:c>
      <x:c r="AF31" t="n">
        <x:f>AZ31*$AC31/$AW31</x:f>
        <x:v>509.45932812383165</x:v>
      </x:c>
      <x:c r="AG31" t="n">
        <x:f>BA31*$AC31/$AW31</x:f>
        <x:v>551.2349930299858</x:v>
      </x:c>
      <x:c r="AH31" t="n">
        <x:f>BB31*$AC31/$AW31</x:f>
        <x:v>567.7720428208855</x:v>
      </x:c>
      <x:c r="AI31" t="n">
        <x:f>Y31*(1-'Assumptions'!$F$3)+AS31*'Assumptions'!$G$3-AS31*'LMAT Model'!$B$65-(AS31-'Inputs'!$B$14)*'Assumptions'!$H$3-'Assumptions'!$I$3</x:f>
        <x:v>52.63632060000001</x:v>
      </x:c>
      <x:c r="AJ31" t="n">
        <x:f>Z31*(1-'Assumptions'!$F$3)+AT31*'Assumptions'!$G$3-AT31*'LMAT Model'!$C$65-(AT31-AS31)*'Assumptions'!$H$3-0</x:f>
        <x:v>75.265263882</x:v>
      </x:c>
      <x:c r="AK31" t="n">
        <x:f>AA31*(1-'Assumptions'!$F$3)+AU31*'Assumptions'!$G$3-AU31*'LMAT Model'!$D$65-(AU31-AT31)*'Assumptions'!$H$3-0</x:f>
        <x:v>101.59997970510003</x:v>
      </x:c>
      <x:c r="AL31" t="n">
        <x:f>AB31*(1-'Assumptions'!$F$3)+AV31*'Assumptions'!$G$3-AV31*'LMAT Model'!$E$65-(AV31-AU31)*'Assumptions'!$H$3-0</x:f>
        <x:v>133.97149791635042</x:v>
      </x:c>
      <x:c r="AM31" t="n">
        <x:f>AC31*(1-'Assumptions'!$F$3)+AW31*'Assumptions'!$G$3-AW31*'LMAT Model'!$F$65-(AW31-AV31)*'Assumptions'!$H$3-0</x:f>
        <x:v>176.5739383969272</x:v>
      </x:c>
      <x:c r="AN31" t="n">
        <x:f>AD31*(1-'Assumptions'!$F$3)+AX31*'Assumptions'!$G$3-AX31*'LMAT Model'!$G$65-(AX31-AW31)*'Assumptions'!$H$3-0</x:f>
        <x:v>227.74958526102375</x:v>
      </x:c>
      <x:c r="AO31" t="n">
        <x:f>AE31*(1-'Assumptions'!$F$3)+AY31*'Assumptions'!$G$3-AY31*'LMAT Model'!$H$65-(AY31-AX31)*'Assumptions'!$H$3-0</x:f>
        <x:v>281.91586200763413</x:v>
      </x:c>
      <x:c r="AP31" t="n">
        <x:f>AF31*(1-'Assumptions'!$F$3)+AZ31*'Assumptions'!$G$3-AZ31*'LMAT Model'!$I$65-(AZ31-AY31)*'Assumptions'!$H$3-0</x:f>
        <x:v>334.30699663007556</x:v>
      </x:c>
      <x:c r="AQ31" t="n">
        <x:f>AG31*(1-'Assumptions'!$F$3)+BA31*'Assumptions'!$G$3-BA31*'LMAT Model'!$J$65-(BA31-AZ31)*'Assumptions'!$H$3-0</x:f>
        <x:v>379.05285956225566</x:v>
      </x:c>
      <x:c r="AR31" t="n">
        <x:f>AH31*(1-'Assumptions'!$F$3)+BB31*'Assumptions'!$G$3-BB31*'LMAT Model'!$K$65-(BB31-BA31)*'Assumptions'!$H$3-0</x:f>
        <x:v>410.0797149115784</x:v>
      </x:c>
      <x:c r="AS31" t="n">
        <x:f>E31+O31</x:f>
        <x:v>356.427</x:v>
      </x:c>
      <x:c r="AT31" t="n">
        <x:f>F31+P31</x:f>
        <x:v>459.79083</x:v>
      </x:c>
      <x:c r="AU31" t="n">
        <x:f>G31+Q31</x:f>
        <x:v>593.1301707000001</x:v>
      </x:c>
      <x:c r="AV31" t="n">
        <x:f>H31+R31</x:f>
        <x:v>765.1379202030001</x:v>
      </x:c>
      <x:c r="AW31" t="n">
        <x:f>I31+S31</x:f>
        <x:v>987.0279170618703</x:v>
      </x:c>
      <x:c r="AX31" t="n">
        <x:f>J31+T31</x:f>
        <x:v>1221.9405613225956</x:v>
      </x:c>
      <x:c r="AY31" t="n">
        <x:f>K31+U31</x:f>
        <x:v>1449.2215057285987</x:v>
      </x:c>
      <x:c r="AZ31" t="n">
        <x:f>L31+V31</x:f>
        <x:v>1643.417187496231</x:v>
      </x:c>
      <x:c r="BA31" t="n">
        <x:f>M31+W31</x:f>
        <x:v>1778.1773968709222</x:v>
      </x:c>
      <x:c r="BB31" t="n">
        <x:f>N31+X31</x:f>
        <x:v>1831.52271877705</x:v>
      </x:c>
      <x:c r="BC31" t="n">
        <x:f>AS31/'Inputs'!$B$14-1</x:f>
        <x:v>0.29000000000000004</x:v>
      </x:c>
      <x:c r="BD31" t="n">
        <x:f>AT31/AS31-1</x:f>
        <x:v>0.29000000000000004</x:v>
      </x:c>
      <x:c r="BE31" t="n">
        <x:f>AU31/AT31-1</x:f>
        <x:v>0.29000000000000026</x:v>
      </x:c>
      <x:c r="BF31" t="n">
        <x:f>AV31/AU31-1</x:f>
        <x:v>0.29000000000000004</x:v>
      </x:c>
      <x:c r="BG31" t="n">
        <x:f>AW31/AV31-1</x:f>
        <x:v>0.29000000000000026</x:v>
      </x:c>
      <x:c r="BH31" t="n">
        <x:f>AX31/AW31-1</x:f>
        <x:v>0.2380000000000002</x:v>
      </x:c>
      <x:c r="BI31" t="n">
        <x:f>AY31/AX31-1</x:f>
        <x:v>0.18600000000000017</x:v>
      </x:c>
      <x:c r="BJ31" t="n">
        <x:f>AZ31/AY31-1</x:f>
        <x:v>0.13400000000000012</x:v>
      </x:c>
      <x:c r="BK31" t="n">
        <x:f>BA31/AZ31-1</x:f>
        <x:v>0.08200000000000007</x:v>
      </x:c>
      <x:c r="BL31" t="n">
        <x:f>BB31/BA31-1</x:f>
        <x:v>0.030000000000000027</x:v>
      </x:c>
      <x:c r="BM31" t="n">
        <x:f>AH31*(1-'Assumptions'!$F$3)*(1+'Assumptions'!$D$3)*(1-'Assumptions'!$D$3/'Assumptions'!$E$3)</x:f>
        <x:v>391.1177205057665</x:v>
      </x:c>
      <x:c r="BN31" t="n">
        <x:f>SUMPRODUCT(AI31:AR31,'LMAT Model'!$B$83:$K$83)+BM31/('Assumptions'!$C$3-'Assumptions'!$D$3)*'LMAT Model'!$K$83</x:f>
        <x:v>3289.7550567071307</x:v>
      </x:c>
      <x:c r="BO31" t="n">
        <x:f>'LMAT Model'!$B$94</x:f>
        <x:v>178</x:v>
      </x:c>
      <x:c r="BP31" t="n">
        <x:f>'Inputs'!$B$8</x:f>
        <x:v>23.088</x:v>
      </x:c>
    </x:row>
    <x:row r="32">
      <x:c r="A32" t="str">
        <x:v>LMAT</x:v>
      </x:c>
      <x:c r="B32" s="22" t="n">
        <x:v>0.3</x:v>
      </x:c>
      <x:c r="C32" s="42" t="n">
        <x:f>MIN((BN32+BO32)/BP32,(BN32+BO32+'Inputs'!$B$7)/(BP32+'Inputs'!$B$19))</x:f>
        <x:v>155.22616139741726</x:v>
      </x:c>
      <x:c r="D32" s="22" t="n">
        <x:f>C32/'Inputs'!$B$5-1</x:f>
        <x:v>0.9242117441107878</x:v>
      </x:c>
      <x:c r="E32" t="n">
        <x:f>'Inputs'!$B$14*(1+$B32)^1</x:f>
        <x:v>359.19000000000005</x:v>
      </x:c>
      <x:c r="F32" t="n">
        <x:f>'Inputs'!$B$14*(1+$B32)^2</x:f>
        <x:v>466.94700000000006</x:v>
      </x:c>
      <x:c r="G32" t="n">
        <x:f>'Inputs'!$B$14*(1+$B32)^3</x:f>
        <x:v>607.0311000000002</x:v>
      </x:c>
      <x:c r="H32" t="n">
        <x:f>'Inputs'!$B$14*(1+$B32)^4</x:f>
        <x:v>789.1404300000002</x:v>
      </x:c>
      <x:c r="I32" t="n">
        <x:f>'Inputs'!$B$14*(1+$B32)^5</x:f>
        <x:v>1025.8825590000004</x:v>
      </x:c>
      <x:c r="J32" t="n">
        <x:f>I32*(1+($BG32+('Assumptions'!$D$3-$BG32)*(6-5)/5))</x:f>
        <x:v>1278.2496685140006</x:v>
      </x:c>
      <x:c r="K32" t="n">
        <x:f>J32*(1+($BG32+('Assumptions'!$D$3-$BG32)*(7-5)/5))</x:f>
        <x:v>1523.673604868689</x:v>
      </x:c>
      <x:c r="L32" t="n">
        <x:f>K32*(1+($BG32+('Assumptions'!$D$3-$BG32)*(8-5)/5))</x:f>
        <x:v>1733.9405623405682</x:v>
      </x:c>
      <x:c r="M32" t="n">
        <x:f>L32*(1+($BG32+('Assumptions'!$D$3-$BG32)*(9-5)/5))</x:f>
        <x:v>1879.5915695771762</x:v>
      </x:c>
      <x:c r="N32" t="n">
        <x:f>M32*(1+($BG32+('Assumptions'!$D$3-$BG32)*(10-5)/5))</x:f>
        <x:v>1935.9793166644915</x:v>
      </x:c>
      <x:c r="O32" t="n">
        <x:f>0</x:f>
        <x:v>0</x:v>
      </x:c>
      <x:c r="P32" t="n">
        <x:f>0</x:f>
        <x:v>0</x:v>
      </x:c>
      <x:c r="Q32" t="n">
        <x:f>0</x:f>
        <x:v>0</x:v>
      </x:c>
      <x:c r="R32" t="n">
        <x:f>0</x:f>
        <x:v>0</x:v>
      </x:c>
      <x:c r="S32" t="n">
        <x:f>0</x:f>
        <x:v>0</x:v>
      </x:c>
      <x:c r="T32" t="n">
        <x:f>S32*(1+($BG32+('Assumptions'!$D$3-$BG32)*(6-5)/5))</x:f>
        <x:v>0</x:v>
      </x:c>
      <x:c r="U32" t="n">
        <x:f>T32*(1+($BG32+('Assumptions'!$D$3-$BG32)*(7-5)/5))</x:f>
        <x:v>0</x:v>
      </x:c>
      <x:c r="V32" t="n">
        <x:f>U32*(1+($BG32+('Assumptions'!$D$3-$BG32)*(8-5)/5))</x:f>
        <x:v>0</x:v>
      </x:c>
      <x:c r="W32" t="n">
        <x:f>V32*(1+($BG32+('Assumptions'!$D$3-$BG32)*(9-5)/5))</x:f>
        <x:v>0</x:v>
      </x:c>
      <x:c r="X32" t="n">
        <x:f>W32*(1+($BG32+('Assumptions'!$D$3-$BG32)*(10-5)/5))</x:f>
        <x:v>0</x:v>
      </x:c>
      <x:c r="Y32" t="n">
        <x:f>E32*'LMAT Model'!$B$62+O32*'LMAT Model'!$B$63+'LMAT Model'!$B$73+'LMAT Model'!$B$74</x:f>
        <x:v>100.57320000000003</x:v>
      </x:c>
      <x:c r="Z32" t="n">
        <x:f>F32*'LMAT Model'!$C$62+P32*'LMAT Model'!$C$63+'LMAT Model'!$C$73+'LMAT Model'!$C$74</x:f>
        <x:v>135.41463000000002</x:v>
      </x:c>
      <x:c r="AA32" t="n">
        <x:f>G32*'LMAT Model'!$D$62+Q32*'LMAT Model'!$D$63+'LMAT Model'!$D$73+'LMAT Model'!$D$74</x:f>
        <x:v>182.10933000000003</x:v>
      </x:c>
      <x:c r="AB32" t="n">
        <x:f>H32*'LMAT Model'!$E$62+R32*'LMAT Model'!$E$63+'LMAT Model'!$E$73+'LMAT Model'!$E$74</x:f>
        <x:v>240.68783115000005</x:v>
      </x:c>
      <x:c r="AC32" t="n">
        <x:f>I32*'LMAT Model'!$F$62+S32*'LMAT Model'!$F$63+'LMAT Model'!$F$73+'LMAT Model'!$F$74</x:f>
        <x:v>318.0235932900001</x:v>
      </x:c>
      <x:c r="AD32" t="n">
        <x:f>AX32*$AC32/$AW32</x:f>
        <x:v>396.2573972393402</x:v>
      </x:c>
      <x:c r="AE32" t="n">
        <x:f>AY32*$AC32/$AW32</x:f>
        <x:v>472.3388175092936</x:v>
      </x:c>
      <x:c r="AF32" t="n">
        <x:f>AZ32*$AC32/$AW32</x:f>
        <x:v>537.5215743255762</x:v>
      </x:c>
      <x:c r="AG32" t="n">
        <x:f>BA32*$AC32/$AW32</x:f>
        <x:v>582.6733865689247</x:v>
      </x:c>
      <x:c r="AH32" t="n">
        <x:f>BB32*$AC32/$AW32</x:f>
        <x:v>600.1535881659923</x:v>
      </x:c>
      <x:c r="AI32" t="n">
        <x:f>Y32*(1-'Assumptions'!$F$3)+AS32*'Assumptions'!$G$3-AS32*'LMAT Model'!$B$65-(AS32-'Inputs'!$B$14)*'Assumptions'!$H$3-'Assumptions'!$I$3</x:f>
        <x:v>52.57498200000001</x:v>
      </x:c>
      <x:c r="AJ32" t="n">
        <x:f>Z32*(1-'Assumptions'!$F$3)+AT32*'Assumptions'!$G$3-AT32*'LMAT Model'!$C$65-(AT32-AS32)*'Assumptions'!$H$3-0</x:f>
        <x:v>75.79627380000002</x:v>
      </x:c>
      <x:c r="AK32" t="n">
        <x:f>AA32*(1-'Assumptions'!$F$3)+AU32*'Assumptions'!$G$3-AU32*'LMAT Model'!$D$65-(AU32-AT32)*'Assumptions'!$H$3-0</x:f>
        <x:v>103.1485923</x:v>
      </x:c>
      <x:c r="AL32" t="n">
        <x:f>AB32*(1-'Assumptions'!$F$3)+AV32*'Assumptions'!$G$3-AV32*'LMAT Model'!$E$65-(AV32-AU32)*'Assumptions'!$H$3-0</x:f>
        <x:v>137.09190362400005</x:v>
      </x:c>
      <x:c r="AM32" t="n">
        <x:f>AC32*(1-'Assumptions'!$F$3)+AW32*'Assumptions'!$G$3-AW32*'LMAT Model'!$F$65-(AW32-AV32)*'Assumptions'!$H$3-0</x:f>
        <x:v>182.1178284354</x:v>
      </x:c>
      <x:c r="AN32" t="n">
        <x:f>AD32*(1-'Assumptions'!$F$3)+AX32*'Assumptions'!$G$3-AX32*'LMAT Model'!$G$65-(AX32-AW32)*'Assumptions'!$H$3-0</x:f>
        <x:v>236.71993837110847</x:v>
      </x:c>
      <x:c r="AO32" t="n">
        <x:f>AE32*(1-'Assumptions'!$F$3)+AY32*'Assumptions'!$G$3-AY32*'LMAT Model'!$H$65-(AY32-AX32)*'Assumptions'!$H$3-0</x:f>
        <x:v>294.9116279211414</x:v>
      </x:c>
      <x:c r="AP32" t="n">
        <x:f>AF32*(1-'Assumptions'!$F$3)+AZ32*'Assumptions'!$G$3-AZ32*'LMAT Model'!$I$65-(AZ32-AY32)*'Assumptions'!$H$3-0</x:f>
        <x:v>351.48529345720283</x:v>
      </x:c>
      <x:c r="AQ32" t="n">
        <x:f>AG32*(1-'Assumptions'!$F$3)+BA32*'Assumptions'!$G$3-BA32*'LMAT Model'!$J$65-(BA32-AZ32)*'Assumptions'!$H$3-0</x:f>
        <x:v>399.9340842800771</x:v>
      </x:c>
      <x:c r="AR32" t="n">
        <x:f>AH32*(1-'Assumptions'!$F$3)+BB32*'Assumptions'!$G$3-BB32*'LMAT Model'!$K$65-(BB32-BA32)*'Assumptions'!$H$3-0</x:f>
        <x:v>433.4676485927492</x:v>
      </x:c>
      <x:c r="AS32" t="n">
        <x:f>E32+O32</x:f>
        <x:v>359.19000000000005</x:v>
      </x:c>
      <x:c r="AT32" t="n">
        <x:f>F32+P32</x:f>
        <x:v>466.94700000000006</x:v>
      </x:c>
      <x:c r="AU32" t="n">
        <x:f>G32+Q32</x:f>
        <x:v>607.0311000000002</x:v>
      </x:c>
      <x:c r="AV32" t="n">
        <x:f>H32+R32</x:f>
        <x:v>789.1404300000002</x:v>
      </x:c>
      <x:c r="AW32" t="n">
        <x:f>I32+S32</x:f>
        <x:v>1025.8825590000004</x:v>
      </x:c>
      <x:c r="AX32" t="n">
        <x:f>J32+T32</x:f>
        <x:v>1278.2496685140006</x:v>
      </x:c>
      <x:c r="AY32" t="n">
        <x:f>K32+U32</x:f>
        <x:v>1523.673604868689</x:v>
      </x:c>
      <x:c r="AZ32" t="n">
        <x:f>L32+V32</x:f>
        <x:v>1733.9405623405682</x:v>
      </x:c>
      <x:c r="BA32" t="n">
        <x:f>M32+W32</x:f>
        <x:v>1879.5915695771762</x:v>
      </x:c>
      <x:c r="BB32" t="n">
        <x:f>N32+X32</x:f>
        <x:v>1935.9793166644915</x:v>
      </x:c>
      <x:c r="BC32" t="n">
        <x:f>AS32/'Inputs'!$B$14-1</x:f>
        <x:v>0.30000000000000004</x:v>
      </x:c>
      <x:c r="BD32" t="n">
        <x:f>AT32/AS32-1</x:f>
        <x:v>0.30000000000000004</x:v>
      </x:c>
      <x:c r="BE32" t="n">
        <x:f>AU32/AT32-1</x:f>
        <x:v>0.30000000000000027</x:v>
      </x:c>
      <x:c r="BF32" t="n">
        <x:f>AV32/AU32-1</x:f>
        <x:v>0.2999999999999998</x:v>
      </x:c>
      <x:c r="BG32" t="n">
        <x:f>AW32/AV32-1</x:f>
        <x:v>0.30000000000000027</x:v>
      </x:c>
      <x:c r="BH32" t="n">
        <x:f>AX32/AW32-1</x:f>
        <x:v>0.24600000000000022</x:v>
      </x:c>
      <x:c r="BI32" t="n">
        <x:f>AY32/AX32-1</x:f>
        <x:v>0.19200000000000017</x:v>
      </x:c>
      <x:c r="BJ32" t="n">
        <x:f>AZ32/AY32-1</x:f>
        <x:v>0.13800000000000012</x:v>
      </x:c>
      <x:c r="BK32" t="n">
        <x:f>BA32/AZ32-1</x:f>
        <x:v>0.08400000000000007</x:v>
      </x:c>
      <x:c r="BL32" t="n">
        <x:f>BB32/BA32-1</x:f>
        <x:v>0.030000000000000027</x:v>
      </x:c>
      <x:c r="BM32" t="n">
        <x:f>AH32*(1-'Assumptions'!$F$3)*(1+'Assumptions'!$D$3)*(1-'Assumptions'!$D$3/'Assumptions'!$E$3)</x:f>
        <x:v>413.4242013583781</x:v>
      </x:c>
      <x:c r="BN32" t="n">
        <x:f>SUMPRODUCT(AI32:AR32,'LMAT Model'!$B$83:$K$83)+BM32/('Assumptions'!$C$3-'Assumptions'!$D$3)*'LMAT Model'!$K$83</x:f>
        <x:v>3457.352965240043</x:v>
      </x:c>
      <x:c r="BO32" t="n">
        <x:f>'LMAT Model'!$B$94</x:f>
        <x:v>178</x:v>
      </x:c>
      <x:c r="BP32" t="n">
        <x:f>'Inputs'!$B$8</x:f>
        <x:v>23.088</x:v>
      </x:c>
    </x:row>
    <x:row r="33">
      <x:c r="A33" t="str">
        <x:v>LMAT</x:v>
      </x:c>
      <x:c r="B33" s="22" t="n">
        <x:v>0.31</x:v>
      </x:c>
      <x:c r="C33" s="42" t="n">
        <x:f>MIN((BN33+BO33)/BP33,(BN33+BO33+'Inputs'!$B$7)/(BP33+'Inputs'!$B$19))</x:f>
        <x:v>162.3781579579758</x:v>
      </x:c>
      <x:c r="D33" s="22" t="n">
        <x:f>C33/'Inputs'!$B$5-1</x:f>
        <x:v>1.01286919496685</x:v>
      </x:c>
      <x:c r="E33" t="n">
        <x:f>'Inputs'!$B$14*(1+$B33)^1</x:f>
        <x:v>361.95300000000003</x:v>
      </x:c>
      <x:c r="F33" t="n">
        <x:f>'Inputs'!$B$14*(1+$B33)^2</x:f>
        <x:v>474.15843000000007</x:v>
      </x:c>
      <x:c r="G33" t="n">
        <x:f>'Inputs'!$B$14*(1+$B33)^3</x:f>
        <x:v>621.1475433000002</x:v>
      </x:c>
      <x:c r="H33" t="n">
        <x:f>'Inputs'!$B$14*(1+$B33)^4</x:f>
        <x:v>813.7032817230003</x:v>
      </x:c>
      <x:c r="I33" t="n">
        <x:f>'Inputs'!$B$14*(1+$B33)^5</x:f>
        <x:v>1065.9512990571304</x:v>
      </x:c>
      <x:c r="J33" t="n">
        <x:f>I33*(1+($BG33+('Assumptions'!$D$3-$BG33)*(6-5)/5))</x:f>
        <x:v>1336.7029290176415</x:v>
      </x:c>
      <x:c r="K33" t="n">
        <x:f>J33*(1+($BG33+('Assumptions'!$D$3-$BG33)*(7-5)/5))</x:f>
        <x:v>1601.3701089631345</x:v>
      </x:c>
      <x:c r="L33" t="n">
        <x:f>K33*(1+($BG33+('Assumptions'!$D$3-$BG33)*(8-5)/5))</x:f>
        <x:v>1828.7646644358997</x:v>
      </x:c>
      <x:c r="M33" t="n">
        <x:f>L33*(1+($BG33+('Assumptions'!$D$3-$BG33)*(9-5)/5))</x:f>
        <x:v>1986.0384255773872</x:v>
      </x:c>
      <x:c r="N33" t="n">
        <x:f>M33*(1+($BG33+('Assumptions'!$D$3-$BG33)*(10-5)/5))</x:f>
        <x:v>2045.619578344709</x:v>
      </x:c>
      <x:c r="O33" t="n">
        <x:f>0</x:f>
        <x:v>0</x:v>
      </x:c>
      <x:c r="P33" t="n">
        <x:f>0</x:f>
        <x:v>0</x:v>
      </x:c>
      <x:c r="Q33" t="n">
        <x:f>0</x:f>
        <x:v>0</x:v>
      </x:c>
      <x:c r="R33" t="n">
        <x:f>0</x:f>
        <x:v>0</x:v>
      </x:c>
      <x:c r="S33" t="n">
        <x:f>0</x:f>
        <x:v>0</x:v>
      </x:c>
      <x:c r="T33" t="n">
        <x:f>S33*(1+($BG33+('Assumptions'!$D$3-$BG33)*(6-5)/5))</x:f>
        <x:v>0</x:v>
      </x:c>
      <x:c r="U33" t="n">
        <x:f>T33*(1+($BG33+('Assumptions'!$D$3-$BG33)*(7-5)/5))</x:f>
        <x:v>0</x:v>
      </x:c>
      <x:c r="V33" t="n">
        <x:f>U33*(1+($BG33+('Assumptions'!$D$3-$BG33)*(8-5)/5))</x:f>
        <x:v>0</x:v>
      </x:c>
      <x:c r="W33" t="n">
        <x:f>V33*(1+($BG33+('Assumptions'!$D$3-$BG33)*(9-5)/5))</x:f>
        <x:v>0</x:v>
      </x:c>
      <x:c r="X33" t="n">
        <x:f>W33*(1+($BG33+('Assumptions'!$D$3-$BG33)*(10-5)/5))</x:f>
        <x:v>0</x:v>
      </x:c>
      <x:c r="Y33" t="n">
        <x:f>E33*'LMAT Model'!$B$62+O33*'LMAT Model'!$B$63+'LMAT Model'!$B$73+'LMAT Model'!$B$74</x:f>
        <x:v>101.34684000000001</x:v>
      </x:c>
      <x:c r="Z33" t="n">
        <x:f>F33*'LMAT Model'!$C$62+P33*'LMAT Model'!$C$63+'LMAT Model'!$C$73+'LMAT Model'!$C$74</x:f>
        <x:v>137.50594470000001</x:v>
      </x:c>
      <x:c r="AA33" t="n">
        <x:f>G33*'LMAT Model'!$D$62+Q33*'LMAT Model'!$D$63+'LMAT Model'!$D$73+'LMAT Model'!$D$74</x:f>
        <x:v>186.34426299000003</x:v>
      </x:c>
      <x:c r="AB33" t="n">
        <x:f>H33*'LMAT Model'!$E$62+R33*'LMAT Model'!$E$63+'LMAT Model'!$E$73+'LMAT Model'!$E$74</x:f>
        <x:v>248.17950092551507</x:v>
      </x:c>
      <x:c r="AC33" t="n">
        <x:f>I33*'LMAT Model'!$F$62+S33*'LMAT Model'!$F$63+'LMAT Model'!$F$73+'LMAT Model'!$F$74</x:f>
        <x:v>330.4449027077104</x:v>
      </x:c>
      <x:c r="AD33" t="n">
        <x:f>AX33*$AC33/$AW33</x:f>
        <x:v>414.37790799546883</x:v>
      </x:c>
      <x:c r="AE33" t="n">
        <x:f>AY33*$AC33/$AW33</x:f>
        <x:v>496.42473377857164</x:v>
      </x:c>
      <x:c r="AF33" t="n">
        <x:f>AZ33*$AC33/$AW33</x:f>
        <x:v>566.9170459751289</x:v>
      </x:c>
      <x:c r="AG33" t="n">
        <x:f>BA33*$AC33/$AW33</x:f>
        <x:v>615.67191192899</x:v>
      </x:c>
      <x:c r="AH33" t="n">
        <x:f>BB33*$AC33/$AW33</x:f>
        <x:v>634.1420692868597</x:v>
      </x:c>
      <x:c r="AI33" t="n">
        <x:f>Y33*(1-'Assumptions'!$F$3)+AS33*'Assumptions'!$G$3-AS33*'LMAT Model'!$B$65-(AS33-'Inputs'!$B$14)*'Assumptions'!$H$3-'Assumptions'!$I$3</x:f>
        <x:v>52.51364340000001</x:v>
      </x:c>
      <x:c r="AJ33" t="n">
        <x:f>Z33*(1-'Assumptions'!$F$3)+AT33*'Assumptions'!$G$3-AT33*'LMAT Model'!$C$65-(AT33-AS33)*'Assumptions'!$H$3-0</x:f>
        <x:v>76.32647692200003</x:v>
      </x:c>
      <x:c r="AK33" t="n">
        <x:f>AA33*(1-'Assumptions'!$F$3)+AU33*'Assumptions'!$G$3-AU33*'LMAT Model'!$D$65-(AU33-AT33)*'Assumptions'!$H$3-0</x:f>
        <x:v>104.7084060969</x:v>
      </x:c>
      <x:c r="AL33" t="n">
        <x:f>AB33*(1-'Assumptions'!$F$3)+AV33*'Assumptions'!$G$3-AV33*'LMAT Model'!$E$65-(AV33-AU33)*'Assumptions'!$H$3-0</x:f>
        <x:v>140.26008445748647</x:v>
      </x:c>
      <x:c r="AM33" t="n">
        <x:f>AC33*(1-'Assumptions'!$F$3)+AW33*'Assumptions'!$G$3-AW33*'LMAT Model'!$F$65-(AW33-AV33)*'Assumptions'!$H$3-0</x:f>
        <x:v>187.79132557572433</x:v>
      </x:c>
      <x:c r="AN33" t="n">
        <x:f>AD33*(1-'Assumptions'!$F$3)+AX33*'Assumptions'!$G$3-AX33*'LMAT Model'!$G$65-(AX33-AW33)*'Assumptions'!$H$3-0</x:f>
        <x:v>245.97082054055056</x:v>
      </x:c>
      <x:c r="AO33" t="n">
        <x:f>AE33*(1-'Assumptions'!$F$3)+AY33*'Assumptions'!$G$3-AY33*'LMAT Model'!$H$65-(AY33-AX33)*'Assumptions'!$H$3-0</x:f>
        <x:v>308.4024957394353</x:v>
      </x:c>
      <x:c r="AP33" t="n">
        <x:f>AF33*(1-'Assumptions'!$F$3)+AZ33*'Assumptions'!$G$3-AZ33*'LMAT Model'!$I$65-(AZ33-AY33)*'Assumptions'!$H$3-0</x:f>
        <x:v>369.41238386018244</x:v>
      </x:c>
      <x:c r="AQ33" t="n">
        <x:f>AG33*(1-'Assumptions'!$F$3)+BA33*'Assumptions'!$G$3-BA33*'LMAT Model'!$J$65-(BA33-AZ33)*'Assumptions'!$H$3-0</x:f>
        <x:v>421.80749587560337</x:v>
      </x:c>
      <x:c r="AR33" t="n">
        <x:f>AH33*(1-'Assumptions'!$F$3)+BB33*'Assumptions'!$G$3-BB33*'LMAT Model'!$K$65-(BB33-BA33)*'Assumptions'!$H$3-0</x:f>
        <x:v>458.0162096298058</x:v>
      </x:c>
      <x:c r="AS33" t="n">
        <x:f>E33+O33</x:f>
        <x:v>361.95300000000003</x:v>
      </x:c>
      <x:c r="AT33" t="n">
        <x:f>F33+P33</x:f>
        <x:v>474.15843000000007</x:v>
      </x:c>
      <x:c r="AU33" t="n">
        <x:f>G33+Q33</x:f>
        <x:v>621.1475433000002</x:v>
      </x:c>
      <x:c r="AV33" t="n">
        <x:f>H33+R33</x:f>
        <x:v>813.7032817230003</x:v>
      </x:c>
      <x:c r="AW33" t="n">
        <x:f>I33+S33</x:f>
        <x:v>1065.9512990571304</x:v>
      </x:c>
      <x:c r="AX33" t="n">
        <x:f>J33+T33</x:f>
        <x:v>1336.7029290176415</x:v>
      </x:c>
      <x:c r="AY33" t="n">
        <x:f>K33+U33</x:f>
        <x:v>1601.3701089631345</x:v>
      </x:c>
      <x:c r="AZ33" t="n">
        <x:f>L33+V33</x:f>
        <x:v>1828.7646644358997</x:v>
      </x:c>
      <x:c r="BA33" t="n">
        <x:f>M33+W33</x:f>
        <x:v>1986.0384255773872</x:v>
      </x:c>
      <x:c r="BB33" t="n">
        <x:f>N33+X33</x:f>
        <x:v>2045.619578344709</x:v>
      </x:c>
      <x:c r="BC33" t="n">
        <x:f>AS33/'Inputs'!$B$14-1</x:f>
        <x:v>0.31000000000000005</x:v>
      </x:c>
      <x:c r="BD33" t="n">
        <x:f>AT33/AS33-1</x:f>
        <x:v>0.31000000000000005</x:v>
      </x:c>
      <x:c r="BE33" t="n">
        <x:f>AU33/AT33-1</x:f>
        <x:v>0.3100000000000003</x:v>
      </x:c>
      <x:c r="BF33" t="n">
        <x:f>AV33/AU33-1</x:f>
        <x:v>0.31000000000000005</x:v>
      </x:c>
      <x:c r="BG33" t="n">
        <x:f>AW33/AV33-1</x:f>
        <x:v>0.31000000000000005</x:v>
      </x:c>
      <x:c r="BH33" t="n">
        <x:f>AX33/AW33-1</x:f>
        <x:v>0.254</x:v>
      </x:c>
      <x:c r="BI33" t="n">
        <x:f>AY33/AX33-1</x:f>
        <x:v>0.19799999999999995</x:v>
      </x:c>
      <x:c r="BJ33" t="n">
        <x:f>AZ33/AY33-1</x:f>
        <x:v>0.14200000000000013</x:v>
      </x:c>
      <x:c r="BK33" t="n">
        <x:f>BA33/AZ33-1</x:f>
        <x:v>0.08600000000000008</x:v>
      </x:c>
      <x:c r="BL33" t="n">
        <x:f>BB33/BA33-1</x:f>
        <x:v>0.030000000000000027</x:v>
      </x:c>
      <x:c r="BM33" t="n">
        <x:f>AH33*(1-'Assumptions'!$F$3)*(1+'Assumptions'!$D$3)*(1-'Assumptions'!$D$3/'Assumptions'!$E$3)</x:f>
        <x:v>436.8376424172234</x:v>
      </x:c>
      <x:c r="BN33" t="n">
        <x:f>SUMPRODUCT(AI33:AR33,'LMAT Model'!$B$83:$K$83)+BM33/('Assumptions'!$C$3-'Assumptions'!$D$3)*'LMAT Model'!$K$83</x:f>
        <x:v>3632.798592867104</x:v>
      </x:c>
      <x:c r="BO33" t="n">
        <x:f>'LMAT Model'!$B$94</x:f>
        <x:v>178</x:v>
      </x:c>
      <x:c r="BP33" t="n">
        <x:f>'Inputs'!$B$8</x:f>
        <x:v>23.088</x:v>
      </x:c>
    </x:row>
    <x:row r="34">
      <x:c r="A34" t="str">
        <x:v>LMAT</x:v>
      </x:c>
      <x:c r="B34" s="22" t="n">
        <x:v>0.32</x:v>
      </x:c>
      <x:c r="C34" s="42" t="n">
        <x:f>MIN((BN34+BO34)/BP34,(BN34+BO34+'Inputs'!$B$7)/(BP34+'Inputs'!$B$19))</x:f>
        <x:v>169.86310692166322</x:v>
      </x:c>
      <x:c r="D34" s="22" t="n">
        <x:f>C34/'Inputs'!$B$5-1</x:f>
        <x:v>1.1056539844014281</x:v>
      </x:c>
      <x:c r="E34" t="n">
        <x:f>'Inputs'!$B$14*(1+$B34)^1</x:f>
        <x:v>364.716</x:v>
      </x:c>
      <x:c r="F34" t="n">
        <x:f>'Inputs'!$B$14*(1+$B34)^2</x:f>
        <x:v>481.42512000000005</x:v>
      </x:c>
      <x:c r="G34" t="n">
        <x:f>'Inputs'!$B$14*(1+$B34)^3</x:f>
        <x:v>635.4811584000001</x:v>
      </x:c>
      <x:c r="H34" t="n">
        <x:f>'Inputs'!$B$14*(1+$B34)^4</x:f>
        <x:v>838.8351290880001</x:v>
      </x:c>
      <x:c r="I34" t="n">
        <x:f>'Inputs'!$B$14*(1+$B34)^5</x:f>
        <x:v>1107.2623703961603</x:v>
      </x:c>
      <x:c r="J34" t="n">
        <x:f>I34*(1+($BG34+('Assumptions'!$D$3-$BG34)*(6-5)/5))</x:f>
        <x:v>1397.3651114399547</x:v>
      </x:c>
      <x:c r="K34" t="n">
        <x:f>J34*(1+($BG34+('Assumptions'!$D$3-$BG34)*(7-5)/5))</x:f>
        <x:v>1682.4275941737058</x:v>
      </x:c>
      <x:c r="L34" t="n">
        <x:f>K34*(1+($BG34+('Assumptions'!$D$3-$BG34)*(8-5)/5))</x:f>
        <x:v>1928.062022923067</x:v>
      </x:c>
      <x:c r="M34" t="n">
        <x:f>L34*(1+($BG34+('Assumptions'!$D$3-$BG34)*(9-5)/5))</x:f>
        <x:v>2097.731480940297</x:v>
      </x:c>
      <x:c r="N34" t="n">
        <x:f>M34*(1+($BG34+('Assumptions'!$D$3-$BG34)*(10-5)/5))</x:f>
        <x:v>2160.663425368506</x:v>
      </x:c>
      <x:c r="O34" t="n">
        <x:f>0</x:f>
        <x:v>0</x:v>
      </x:c>
      <x:c r="P34" t="n">
        <x:f>0</x:f>
        <x:v>0</x:v>
      </x:c>
      <x:c r="Q34" t="n">
        <x:f>0</x:f>
        <x:v>0</x:v>
      </x:c>
      <x:c r="R34" t="n">
        <x:f>0</x:f>
        <x:v>0</x:v>
      </x:c>
      <x:c r="S34" t="n">
        <x:f>0</x:f>
        <x:v>0</x:v>
      </x:c>
      <x:c r="T34" t="n">
        <x:f>S34*(1+($BG34+('Assumptions'!$D$3-$BG34)*(6-5)/5))</x:f>
        <x:v>0</x:v>
      </x:c>
      <x:c r="U34" t="n">
        <x:f>T34*(1+($BG34+('Assumptions'!$D$3-$BG34)*(7-5)/5))</x:f>
        <x:v>0</x:v>
      </x:c>
      <x:c r="V34" t="n">
        <x:f>U34*(1+($BG34+('Assumptions'!$D$3-$BG34)*(8-5)/5))</x:f>
        <x:v>0</x:v>
      </x:c>
      <x:c r="W34" t="n">
        <x:f>V34*(1+($BG34+('Assumptions'!$D$3-$BG34)*(9-5)/5))</x:f>
        <x:v>0</x:v>
      </x:c>
      <x:c r="X34" t="n">
        <x:f>W34*(1+($BG34+('Assumptions'!$D$3-$BG34)*(10-5)/5))</x:f>
        <x:v>0</x:v>
      </x:c>
      <x:c r="Y34" t="n">
        <x:f>E34*'LMAT Model'!$B$62+O34*'LMAT Model'!$B$63+'LMAT Model'!$B$73+'LMAT Model'!$B$74</x:f>
        <x:v>102.12048000000001</x:v>
      </x:c>
      <x:c r="Z34" t="n">
        <x:f>F34*'LMAT Model'!$C$62+P34*'LMAT Model'!$C$63+'LMAT Model'!$C$73+'LMAT Model'!$C$74</x:f>
        <x:v>139.6132848</x:v>
      </x:c>
      <x:c r="AA34" t="n">
        <x:f>G34*'LMAT Model'!$D$62+Q34*'LMAT Model'!$D$63+'LMAT Model'!$D$73+'LMAT Model'!$D$74</x:f>
        <x:v>190.64434752000003</x:v>
      </x:c>
      <x:c r="AB34" t="n">
        <x:f>H34*'LMAT Model'!$E$62+R34*'LMAT Model'!$E$63+'LMAT Model'!$E$73+'LMAT Model'!$E$74</x:f>
        <x:v>255.84471437184004</x:v>
      </x:c>
      <x:c r="AC34" t="n">
        <x:f>I34*'LMAT Model'!$F$62+S34*'LMAT Model'!$F$63+'LMAT Model'!$F$73+'LMAT Model'!$F$74</x:f>
        <x:v>343.2513348228097</x:v>
      </x:c>
      <x:c r="AD34" t="n">
        <x:f>AX34*$AC34/$AW34</x:f>
        <x:v>433.18318454638603</x:v>
      </x:c>
      <x:c r="AE34" t="n">
        <x:f>AY34*$AC34/$AW34</x:f>
        <x:v>521.5525541938489</x:v>
      </x:c>
      <x:c r="AF34" t="n">
        <x:f>AZ34*$AC34/$AW34</x:f>
        <x:v>597.6992271061507</x:v>
      </x:c>
      <x:c r="AG34" t="n">
        <x:f>BA34*$AC34/$AW34</x:f>
        <x:v>650.296759091492</x:v>
      </x:c>
      <x:c r="AH34" t="n">
        <x:f>BB34*$AC34/$AW34</x:f>
        <x:v>669.8056618642369</x:v>
      </x:c>
      <x:c r="AI34" t="n">
        <x:f>Y34*(1-'Assumptions'!$F$3)+AS34*'Assumptions'!$G$3-AS34*'LMAT Model'!$B$65-(AS34-'Inputs'!$B$14)*'Assumptions'!$H$3-'Assumptions'!$I$3</x:f>
        <x:v>52.45230480000002</x:v>
      </x:c>
      <x:c r="AJ34" t="n">
        <x:f>Z34*(1-'Assumptions'!$F$3)+AT34*'Assumptions'!$G$3-AT34*'LMAT Model'!$C$65-(AT34-AS34)*'Assumptions'!$H$3-0</x:f>
        <x:v>76.855873248</x:v>
      </x:c>
      <x:c r="AK34" t="n">
        <x:f>AA34*(1-'Assumptions'!$F$3)+AU34*'Assumptions'!$G$3-AU34*'LMAT Model'!$D$65-(AU34-AT34)*'Assumptions'!$H$3-0</x:f>
        <x:v>106.2794094912</x:v>
      </x:c>
      <x:c r="AL34" t="n">
        <x:f>AB34*(1-'Assumptions'!$F$3)+AV34*'Assumptions'!$G$3-AV34*'LMAT Model'!$E$65-(AV34-AU34)*'Assumptions'!$H$3-0</x:f>
        <x:v>143.47639401891843</x:v>
      </x:c>
      <x:c r="AM34" t="n">
        <x:f>AC34*(1-'Assumptions'!$F$3)+AW34*'Assumptions'!$G$3-AW34*'LMAT Model'!$F$65-(AW34-AV34)*'Assumptions'!$H$3-0</x:f>
        <x:v>193.59643711247776</x:v>
      </x:c>
      <x:c r="AN34" t="n">
        <x:f>AD34*(1-'Assumptions'!$F$3)+AX34*'Assumptions'!$G$3-AX34*'LMAT Model'!$G$65-(AX34-AW34)*'Assumptions'!$H$3-0</x:f>
        <x:v>255.50876425798089</x:v>
      </x:c>
      <x:c r="AO34" t="n">
        <x:f>AE34*(1-'Assumptions'!$F$3)+AY34*'Assumptions'!$G$3-AY34*'LMAT Model'!$H$65-(AY34-AX34)*'Assumptions'!$H$3-0</x:f>
        <x:v>322.40343218769397</x:v>
      </x:c>
      <x:c r="AP34" t="n">
        <x:f>AF34*(1-'Assumptions'!$F$3)+AZ34*'Assumptions'!$G$3-AZ34*'LMAT Model'!$I$65-(AZ34-AY34)*'Assumptions'!$H$3-0</x:f>
        <x:v>388.1151838737062</x:v>
      </x:c>
      <x:c r="AQ34" t="n">
        <x:f>AG34*(1-'Assumptions'!$F$3)+BA34*'Assumptions'!$G$3-BA34*'LMAT Model'!$J$65-(BA34-AZ34)*'Assumptions'!$H$3-0</x:f>
        <x:v>444.7129041608696</x:v>
      </x:c>
      <x:c r="AR34" t="n">
        <x:f>AH34*(1-'Assumptions'!$F$3)+BB34*'Assumptions'!$G$3-BB34*'LMAT Model'!$K$65-(BB34-BA34)*'Assumptions'!$H$3-0</x:f>
        <x:v>483.77463867148936</x:v>
      </x:c>
      <x:c r="AS34" t="n">
        <x:f>E34+O34</x:f>
        <x:v>364.716</x:v>
      </x:c>
      <x:c r="AT34" t="n">
        <x:f>F34+P34</x:f>
        <x:v>481.42512000000005</x:v>
      </x:c>
      <x:c r="AU34" t="n">
        <x:f>G34+Q34</x:f>
        <x:v>635.4811584000001</x:v>
      </x:c>
      <x:c r="AV34" t="n">
        <x:f>H34+R34</x:f>
        <x:v>838.8351290880001</x:v>
      </x:c>
      <x:c r="AW34" t="n">
        <x:f>I34+S34</x:f>
        <x:v>1107.2623703961603</x:v>
      </x:c>
      <x:c r="AX34" t="n">
        <x:f>J34+T34</x:f>
        <x:v>1397.3651114399547</x:v>
      </x:c>
      <x:c r="AY34" t="n">
        <x:f>K34+U34</x:f>
        <x:v>1682.4275941737058</x:v>
      </x:c>
      <x:c r="AZ34" t="n">
        <x:f>L34+V34</x:f>
        <x:v>1928.062022923067</x:v>
      </x:c>
      <x:c r="BA34" t="n">
        <x:f>M34+W34</x:f>
        <x:v>2097.731480940297</x:v>
      </x:c>
      <x:c r="BB34" t="n">
        <x:f>N34+X34</x:f>
        <x:v>2160.663425368506</x:v>
      </x:c>
      <x:c r="BC34" t="n">
        <x:f>AS34/'Inputs'!$B$14-1</x:f>
        <x:v>0.32000000000000006</x:v>
      </x:c>
      <x:c r="BD34" t="n">
        <x:f>AT34/AS34-1</x:f>
        <x:v>0.32000000000000006</x:v>
      </x:c>
      <x:c r="BE34" t="n">
        <x:f>AU34/AT34-1</x:f>
        <x:v>0.32000000000000006</x:v>
      </x:c>
      <x:c r="BF34" t="n">
        <x:f>AV34/AU34-1</x:f>
        <x:v>0.31999999999999984</x:v>
      </x:c>
      <x:c r="BG34" t="n">
        <x:f>AW34/AV34-1</x:f>
        <x:v>0.3200000000000003</x:v>
      </x:c>
      <x:c r="BH34" t="n">
        <x:f>AX34/AW34-1</x:f>
        <x:v>0.26200000000000023</x:v>
      </x:c>
      <x:c r="BI34" t="n">
        <x:f>AY34/AX34-1</x:f>
        <x:v>0.20400000000000018</x:v>
      </x:c>
      <x:c r="BJ34" t="n">
        <x:f>AZ34/AY34-1</x:f>
        <x:v>0.14600000000000013</x:v>
      </x:c>
      <x:c r="BK34" t="n">
        <x:f>BA34/AZ34-1</x:f>
        <x:v>0.08800000000000008</x:v>
      </x:c>
      <x:c r="BL34" t="n">
        <x:f>BB34/BA34-1</x:f>
        <x:v>0.030000000000000027</x:v>
      </x:c>
      <x:c r="BM34" t="n">
        <x:f>AH34*(1-'Assumptions'!$F$3)*(1+'Assumptions'!$D$3)*(1-'Assumptions'!$D$3/'Assumptions'!$E$3)</x:f>
        <x:v>461.4050074544457</x:v>
      </x:c>
      <x:c r="BN34" t="n">
        <x:f>SUMPRODUCT(AI34:AR34,'LMAT Model'!$B$83:$K$83)+BM34/('Assumptions'!$C$3-'Assumptions'!$D$3)*'LMAT Model'!$K$83</x:f>
        <x:v>3816.4118758953205</x:v>
      </x:c>
      <x:c r="BO34" t="n">
        <x:f>'LMAT Model'!$B$94</x:f>
        <x:v>178</x:v>
      </x:c>
      <x:c r="BP34" t="n">
        <x:f>'Inputs'!$B$8</x:f>
        <x:v>23.088</x:v>
      </x:c>
    </x:row>
    <x:row r="35">
      <x:c r="A35" t="str">
        <x:v>LMAT</x:v>
      </x:c>
      <x:c r="B35" s="22" t="n">
        <x:v>0.33</x:v>
      </x:c>
      <x:c r="C35" s="42" t="n">
        <x:f>MIN((BN35+BO35)/BP35,(BN35+BO35+'Inputs'!$B$7)/(BP35+'Inputs'!$B$19))</x:f>
        <x:v>177.6944985933361</x:v>
      </x:c>
      <x:c r="D35" s="22" t="n">
        <x:f>C35/'Inputs'!$B$5-1</x:f>
        <x:v>1.2027333406884355</x:v>
      </x:c>
      <x:c r="E35" t="n">
        <x:f>'Inputs'!$B$14*(1+$B35)^1</x:f>
        <x:v>367.47900000000004</x:v>
      </x:c>
      <x:c r="F35" t="n">
        <x:f>'Inputs'!$B$14*(1+$B35)^2</x:f>
        <x:v>488.74707000000006</x:v>
      </x:c>
      <x:c r="G35" t="n">
        <x:f>'Inputs'!$B$14*(1+$B35)^3</x:f>
        <x:v>650.0336031</x:v>
      </x:c>
      <x:c r="H35" t="n">
        <x:f>'Inputs'!$B$14*(1+$B35)^4</x:f>
        <x:v>864.5446921230002</x:v>
      </x:c>
      <x:c r="I35" t="n">
        <x:f>'Inputs'!$B$14*(1+$B35)^5</x:f>
        <x:v>1149.8444405235905</x:v>
      </x:c>
      <x:c r="J35" t="n">
        <x:f>I35*(1+($BG35+('Assumptions'!$D$3-$BG35)*(6-5)/5))</x:f>
        <x:v>1460.3024394649601</x:v>
      </x:c>
      <x:c r="K35" t="n">
        <x:f>J35*(1+($BG35+('Assumptions'!$D$3-$BG35)*(7-5)/5))</x:f>
        <x:v>1766.965951752602</x:v>
      </x:c>
      <x:c r="L35" t="n">
        <x:f>K35*(1+($BG35+('Assumptions'!$D$3-$BG35)*(8-5)/5))</x:f>
        <x:v>2032.0108445154926</x:v>
      </x:c>
      <x:c r="M35" t="n">
        <x:f>L35*(1+($BG35+('Assumptions'!$D$3-$BG35)*(9-5)/5))</x:f>
        <x:v>2214.891820521887</x:v>
      </x:c>
      <x:c r="N35" t="n">
        <x:f>M35*(1+($BG35+('Assumptions'!$D$3-$BG35)*(10-5)/5))</x:f>
        <x:v>2281.3385751375436</x:v>
      </x:c>
      <x:c r="O35" t="n">
        <x:f>0</x:f>
        <x:v>0</x:v>
      </x:c>
      <x:c r="P35" t="n">
        <x:f>0</x:f>
        <x:v>0</x:v>
      </x:c>
      <x:c r="Q35" t="n">
        <x:f>0</x:f>
        <x:v>0</x:v>
      </x:c>
      <x:c r="R35" t="n">
        <x:f>0</x:f>
        <x:v>0</x:v>
      </x:c>
      <x:c r="S35" t="n">
        <x:f>0</x:f>
        <x:v>0</x:v>
      </x:c>
      <x:c r="T35" t="n">
        <x:f>S35*(1+($BG35+('Assumptions'!$D$3-$BG35)*(6-5)/5))</x:f>
        <x:v>0</x:v>
      </x:c>
      <x:c r="U35" t="n">
        <x:f>T35*(1+($BG35+('Assumptions'!$D$3-$BG35)*(7-5)/5))</x:f>
        <x:v>0</x:v>
      </x:c>
      <x:c r="V35" t="n">
        <x:f>U35*(1+($BG35+('Assumptions'!$D$3-$BG35)*(8-5)/5))</x:f>
        <x:v>0</x:v>
      </x:c>
      <x:c r="W35" t="n">
        <x:f>V35*(1+($BG35+('Assumptions'!$D$3-$BG35)*(9-5)/5))</x:f>
        <x:v>0</x:v>
      </x:c>
      <x:c r="X35" t="n">
        <x:f>W35*(1+($BG35+('Assumptions'!$D$3-$BG35)*(10-5)/5))</x:f>
        <x:v>0</x:v>
      </x:c>
      <x:c r="Y35" t="n">
        <x:f>E35*'LMAT Model'!$B$62+O35*'LMAT Model'!$B$63+'LMAT Model'!$B$73+'LMAT Model'!$B$74</x:f>
        <x:v>102.89412000000002</x:v>
      </x:c>
      <x:c r="Z35" t="n">
        <x:f>F35*'LMAT Model'!$C$62+P35*'LMAT Model'!$C$63+'LMAT Model'!$C$73+'LMAT Model'!$C$74</x:f>
        <x:v>141.7366503</x:v>
      </x:c>
      <x:c r="AA35" t="n">
        <x:f>G35*'LMAT Model'!$D$62+Q35*'LMAT Model'!$D$63+'LMAT Model'!$D$73+'LMAT Model'!$D$74</x:f>
        <x:v>195.01008093000002</x:v>
      </x:c>
      <x:c r="AB35" t="n">
        <x:f>H35*'LMAT Model'!$E$62+R35*'LMAT Model'!$E$63+'LMAT Model'!$E$73+'LMAT Model'!$E$74</x:f>
        <x:v>263.68613109751504</x:v>
      </x:c>
      <x:c r="AC35" t="n">
        <x:f>I35*'LMAT Model'!$F$62+S35*'LMAT Model'!$F$63+'LMAT Model'!$F$73+'LMAT Model'!$F$74</x:f>
        <x:v>356.45177656231306</x:v>
      </x:c>
      <x:c r="AD35" t="n">
        <x:f>AX35*$AC35/$AW35</x:f>
        <x:v>452.69375623413765</x:v>
      </x:c>
      <x:c r="AE35" t="n">
        <x:f>AY35*$AC35/$AW35</x:f>
        <x:v>547.7594450433066</x:v>
      </x:c>
      <x:c r="AF35" t="n">
        <x:f>AZ35*$AC35/$AW35</x:f>
        <x:v>629.9233617998027</x:v>
      </x:c>
      <x:c r="AG35" t="n">
        <x:f>BA35*$AC35/$AW35</x:f>
        <x:v>686.616464361785</x:v>
      </x:c>
      <x:c r="AH35" t="n">
        <x:f>BB35*$AC35/$AW35</x:f>
        <x:v>707.2149582926386</x:v>
      </x:c>
      <x:c r="AI35" t="n">
        <x:f>Y35*(1-'Assumptions'!$F$3)+AS35*'Assumptions'!$G$3-AS35*'LMAT Model'!$B$65-(AS35-'Inputs'!$B$14)*'Assumptions'!$H$3-'Assumptions'!$I$3</x:f>
        <x:v>52.3909662</x:v>
      </x:c>
      <x:c r="AJ35" t="n">
        <x:f>Z35*(1-'Assumptions'!$F$3)+AT35*'Assumptions'!$G$3-AT35*'LMAT Model'!$C$65-(AT35-AS35)*'Assumptions'!$H$3-0</x:f>
        <x:v>77.384462778</x:v>
      </x:c>
      <x:c r="AK35" t="n">
        <x:f>AA35*(1-'Assumptions'!$F$3)+AU35*'Assumptions'!$G$3-AU35*'LMAT Model'!$D$65-(AU35-AT35)*'Assumptions'!$H$3-0</x:f>
        <x:v>107.8615908783</x:v>
      </x:c>
      <x:c r="AL35" t="n">
        <x:f>AB35*(1-'Assumptions'!$F$3)+AV35*'Assumptions'!$G$3-AV35*'LMAT Model'!$E$65-(AV35-AU35)*'Assumptions'!$H$3-0</x:f>
        <x:v>146.74118569820638</x:v>
      </x:c>
      <x:c r="AM35" t="n">
        <x:f>AC35*(1-'Assumptions'!$F$3)+AW35*'Assumptions'!$G$3-AW35*'LMAT Model'!$F$65-(AW35-AV35)*'Assumptions'!$H$3-0</x:f>
        <x:v>199.53518585260423</x:v>
      </x:c>
      <x:c r="AN35" t="n">
        <x:f>AD35*(1-'Assumptions'!$F$3)+AX35*'Assumptions'!$G$3-AX35*'LMAT Model'!$G$65-(AX35-AW35)*'Assumptions'!$H$3-0</x:f>
        <x:v>265.34040278410487</x:v>
      </x:c>
      <x:c r="AO35" t="n">
        <x:f>AE35*(1-'Assumptions'!$F$3)+AY35*'Assumptions'!$G$3-AY35*'LMAT Model'!$H$65-(AY35-AX35)*'Assumptions'!$H$3-0</x:f>
        <x:v>336.92974064799245</x:v>
      </x:c>
      <x:c r="AP35" t="n">
        <x:f>AF35*(1-'Assumptions'!$F$3)+AZ35*'Assumptions'!$G$3-AZ35*'LMAT Model'!$I$65-(AZ35-AY35)*'Assumptions'!$H$3-0</x:f>
        <x:v>407.62137540980774</x:v>
      </x:c>
      <x:c r="AQ35" t="n">
        <x:f>AG35*(1-'Assumptions'!$F$3)+BA35*'Assumptions'!$G$3-BA35*'LMAT Model'!$J$65-(BA35-AZ35)*'Assumptions'!$H$3-0</x:f>
        <x:v>468.6914293308764</x:v>
      </x:c>
      <x:c r="AR35" t="n">
        <x:f>AH35*(1-'Assumptions'!$F$3)+BB35*'Assumptions'!$G$3-BB35*'LMAT Model'!$K$65-(BB35-BA35)*'Assumptions'!$H$3-0</x:f>
        <x:v>510.79392186511666</x:v>
      </x:c>
      <x:c r="AS35" t="n">
        <x:f>E35+O35</x:f>
        <x:v>367.47900000000004</x:v>
      </x:c>
      <x:c r="AT35" t="n">
        <x:f>F35+P35</x:f>
        <x:v>488.74707000000006</x:v>
      </x:c>
      <x:c r="AU35" t="n">
        <x:f>G35+Q35</x:f>
        <x:v>650.0336031</x:v>
      </x:c>
      <x:c r="AV35" t="n">
        <x:f>H35+R35</x:f>
        <x:v>864.5446921230002</x:v>
      </x:c>
      <x:c r="AW35" t="n">
        <x:f>I35+S35</x:f>
        <x:v>1149.8444405235905</x:v>
      </x:c>
      <x:c r="AX35" t="n">
        <x:f>J35+T35</x:f>
        <x:v>1460.3024394649601</x:v>
      </x:c>
      <x:c r="AY35" t="n">
        <x:f>K35+U35</x:f>
        <x:v>1766.965951752602</x:v>
      </x:c>
      <x:c r="AZ35" t="n">
        <x:f>L35+V35</x:f>
        <x:v>2032.0108445154926</x:v>
      </x:c>
      <x:c r="BA35" t="n">
        <x:f>M35+W35</x:f>
        <x:v>2214.891820521887</x:v>
      </x:c>
      <x:c r="BB35" t="n">
        <x:f>N35+X35</x:f>
        <x:v>2281.3385751375436</x:v>
      </x:c>
      <x:c r="BC35" t="n">
        <x:f>AS35/'Inputs'!$B$14-1</x:f>
        <x:v>0.33000000000000007</x:v>
      </x:c>
      <x:c r="BD35" t="n">
        <x:f>AT35/AS35-1</x:f>
        <x:v>0.33000000000000007</x:v>
      </x:c>
      <x:c r="BE35" t="n">
        <x:f>AU35/AT35-1</x:f>
        <x:v>0.32999999999999985</x:v>
      </x:c>
      <x:c r="BF35" t="n">
        <x:f>AV35/AU35-1</x:f>
        <x:v>0.3300000000000003</x:v>
      </x:c>
      <x:c r="BG35" t="n">
        <x:f>AW35/AV35-1</x:f>
        <x:v>0.3300000000000003</x:v>
      </x:c>
      <x:c r="BH35" t="n">
        <x:f>AX35/AW35-1</x:f>
        <x:v>0.27000000000000024</x:v>
      </x:c>
      <x:c r="BI35" t="n">
        <x:f>AY35/AX35-1</x:f>
        <x:v>0.2100000000000002</x:v>
      </x:c>
      <x:c r="BJ35" t="n">
        <x:f>AZ35/AY35-1</x:f>
        <x:v>0.15000000000000013</x:v>
      </x:c>
      <x:c r="BK35" t="n">
        <x:f>BA35/AZ35-1</x:f>
        <x:v>0.09000000000000008</x:v>
      </x:c>
      <x:c r="BL35" t="n">
        <x:f>BB35/BA35-1</x:f>
        <x:v>0.030000000000000027</x:v>
      </x:c>
      <x:c r="BM35" t="n">
        <x:f>AH35*(1-'Assumptions'!$F$3)*(1+'Assumptions'!$D$3)*(1-'Assumptions'!$D$3/'Assumptions'!$E$3)</x:f>
        <x:v>487.17492502930014</x:v>
      </x:c>
      <x:c r="BN35" t="n">
        <x:f>SUMPRODUCT(AI35:AR35,'LMAT Model'!$B$83:$K$83)+BM35/('Assumptions'!$C$3-'Assumptions'!$D$3)*'LMAT Model'!$K$83</x:f>
        <x:v>4008.5237449931283</x:v>
      </x:c>
      <x:c r="BO35" t="n">
        <x:f>'LMAT Model'!$B$94</x:f>
        <x:v>178</x:v>
      </x:c>
      <x:c r="BP35" t="n">
        <x:f>'Inputs'!$B$8</x:f>
        <x:v>23.088</x:v>
      </x:c>
    </x:row>
    <x:row r="36">
      <x:c r="A36" t="str">
        <x:v>LMAT</x:v>
      </x:c>
      <x:c r="B36" s="22" t="n">
        <x:v>0.34</x:v>
      </x:c>
      <x:c r="C36" s="42" t="n">
        <x:f>MIN((BN36+BO36)/BP36,(BN36+BO36+'Inputs'!$B$7)/(BP36+'Inputs'!$B$19))</x:f>
        <x:v>185.8862839963327</x:v>
      </x:c>
      <x:c r="D36" s="22" t="n">
        <x:f>C36/'Inputs'!$B$5-1</x:f>
        <x:v>1.304280203251924</x:v>
      </x:c>
      <x:c r="E36" t="n">
        <x:f>'Inputs'!$B$14*(1+$B36)^1</x:f>
        <x:v>370.242</x:v>
      </x:c>
      <x:c r="F36" t="n">
        <x:f>'Inputs'!$B$14*(1+$B36)^2</x:f>
        <x:v>496.1242800000001</x:v>
      </x:c>
      <x:c r="G36" t="n">
        <x:f>'Inputs'!$B$14*(1+$B36)^3</x:f>
        <x:v>664.8065352000002</x:v>
      </x:c>
      <x:c r="H36" t="n">
        <x:f>'Inputs'!$B$14*(1+$B36)^4</x:f>
        <x:v>890.8407571680004</x:v>
      </x:c>
      <x:c r="I36" t="n">
        <x:f>'Inputs'!$B$14*(1+$B36)^5</x:f>
        <x:v>1193.7266146051206</x:v>
      </x:c>
      <x:c r="J36" t="n">
        <x:f>I36*(1+($BG36+('Assumptions'!$D$3-$BG36)*(6-5)/5))</x:f>
        <x:v>1525.5826134653441</x:v>
      </x:c>
      <x:c r="K36" t="n">
        <x:f>J36*(1+($BG36+('Assumptions'!$D$3-$BG36)*(7-5)/5))</x:f>
        <x:v>1855.1084579738583</x:v>
      </x:c>
      <x:c r="L36" t="n">
        <x:f>K36*(1+($BG36+('Assumptions'!$D$3-$BG36)*(8-5)/5))</x:f>
        <x:v>2140.795160501833</x:v>
      </x:c>
      <x:c r="M36" t="n">
        <x:f>L36*(1+($BG36+('Assumptions'!$D$3-$BG36)*(9-5)/5))</x:f>
        <x:v>2337.7483152680015</x:v>
      </x:c>
      <x:c r="N36" t="n">
        <x:f>M36*(1+($BG36+('Assumptions'!$D$3-$BG36)*(10-5)/5))</x:f>
        <x:v>2407.8807647260414</x:v>
      </x:c>
      <x:c r="O36" t="n">
        <x:f>0</x:f>
        <x:v>0</x:v>
      </x:c>
      <x:c r="P36" t="n">
        <x:f>0</x:f>
        <x:v>0</x:v>
      </x:c>
      <x:c r="Q36" t="n">
        <x:f>0</x:f>
        <x:v>0</x:v>
      </x:c>
      <x:c r="R36" t="n">
        <x:f>0</x:f>
        <x:v>0</x:v>
      </x:c>
      <x:c r="S36" t="n">
        <x:f>0</x:f>
        <x:v>0</x:v>
      </x:c>
      <x:c r="T36" t="n">
        <x:f>S36*(1+($BG36+('Assumptions'!$D$3-$BG36)*(6-5)/5))</x:f>
        <x:v>0</x:v>
      </x:c>
      <x:c r="U36" t="n">
        <x:f>T36*(1+($BG36+('Assumptions'!$D$3-$BG36)*(7-5)/5))</x:f>
        <x:v>0</x:v>
      </x:c>
      <x:c r="V36" t="n">
        <x:f>U36*(1+($BG36+('Assumptions'!$D$3-$BG36)*(8-5)/5))</x:f>
        <x:v>0</x:v>
      </x:c>
      <x:c r="W36" t="n">
        <x:f>V36*(1+($BG36+('Assumptions'!$D$3-$BG36)*(9-5)/5))</x:f>
        <x:v>0</x:v>
      </x:c>
      <x:c r="X36" t="n">
        <x:f>W36*(1+($BG36+('Assumptions'!$D$3-$BG36)*(10-5)/5))</x:f>
        <x:v>0</x:v>
      </x:c>
      <x:c r="Y36" t="n">
        <x:f>E36*'LMAT Model'!$B$62+O36*'LMAT Model'!$B$63+'LMAT Model'!$B$73+'LMAT Model'!$B$74</x:f>
        <x:v>103.66776000000002</x:v>
      </x:c>
      <x:c r="Z36" t="n">
        <x:f>F36*'LMAT Model'!$C$62+P36*'LMAT Model'!$C$63+'LMAT Model'!$C$73+'LMAT Model'!$C$74</x:f>
        <x:v>143.87604120000003</x:v>
      </x:c>
      <x:c r="AA36" t="n">
        <x:f>G36*'LMAT Model'!$D$62+Q36*'LMAT Model'!$D$63+'LMAT Model'!$D$73+'LMAT Model'!$D$74</x:f>
        <x:v>199.44196056000007</x:v>
      </x:c>
      <x:c r="AB36" t="n">
        <x:f>H36*'LMAT Model'!$E$62+R36*'LMAT Model'!$E$63+'LMAT Model'!$E$73+'LMAT Model'!$E$74</x:f>
        <x:v>271.7064309362401</x:v>
      </x:c>
      <x:c r="AC36" t="n">
        <x:f>I36*'LMAT Model'!$F$62+S36*'LMAT Model'!$F$63+'LMAT Model'!$F$73+'LMAT Model'!$F$74</x:f>
        <x:v>370.0552505275874</x:v>
      </x:c>
      <x:c r="AD36" t="n">
        <x:f>AX36*$AC36/$AW36</x:f>
        <x:v>472.9306101742567</x:v>
      </x:c>
      <x:c r="AE36" t="n">
        <x:f>AY36*$AC36/$AW36</x:f>
        <x:v>575.0836219718962</x:v>
      </x:c>
      <x:c r="AF36" t="n">
        <x:f>AZ36*$AC36/$AW36</x:f>
        <x:v>663.6464997555682</x:v>
      </x:c>
      <x:c r="AG36" t="n">
        <x:f>BA36*$AC36/$AW36</x:f>
        <x:v>724.7019777330805</x:v>
      </x:c>
      <x:c r="AH36" t="n">
        <x:f>BB36*$AC36/$AW36</x:f>
        <x:v>746.4430370650729</x:v>
      </x:c>
      <x:c r="AI36" t="n">
        <x:f>Y36*(1-'Assumptions'!$F$3)+AS36*'Assumptions'!$G$3-AS36*'LMAT Model'!$B$65-(AS36-'Inputs'!$B$14)*'Assumptions'!$H$3-'Assumptions'!$I$3</x:f>
        <x:v>52.32962760000001</x:v>
      </x:c>
      <x:c r="AJ36" t="n">
        <x:f>Z36*(1-'Assumptions'!$F$3)+AT36*'Assumptions'!$G$3-AT36*'LMAT Model'!$C$65-(AT36-AS36)*'Assumptions'!$H$3-0</x:f>
        <x:v>77.912245512</x:v>
      </x:c>
      <x:c r="AK36" t="n">
        <x:f>AA36*(1-'Assumptions'!$F$3)+AU36*'Assumptions'!$G$3-AU36*'LMAT Model'!$D$65-(AU36-AT36)*'Assumptions'!$H$3-0</x:f>
        <x:v>109.45493865360001</x:v>
      </x:c>
      <x:c r="AL36" t="n">
        <x:f>AB36*(1-'Assumptions'!$F$3)+AV36*'Assumptions'!$G$3-AV36*'LMAT Model'!$E$65-(AV36-AU36)*'Assumptions'!$H$3-0</x:f>
        <x:v>150.05481267306243</x:v>
      </x:c>
      <x:c r="AM36" t="n">
        <x:f>AC36*(1-'Assumptions'!$F$3)+AW36*'Assumptions'!$G$3-AW36*'LMAT Model'!$F$65-(AW36-AV36)*'Assumptions'!$H$3-0</x:f>
        <x:v>205.6096101174032</x:v>
      </x:c>
      <x:c r="AN36" t="n">
        <x:f>AD36*(1-'Assumptions'!$F$3)+AX36*'Assumptions'!$G$3-AX36*'LMAT Model'!$G$65-(AX36-AW36)*'Assumptions'!$H$3-0</x:f>
        <x:v>275.47247092725695</x:v>
      </x:c>
      <x:c r="AO36" t="n">
        <x:f>AE36*(1-'Assumptions'!$F$3)+AY36*'Assumptions'!$G$3-AY36*'LMAT Model'!$H$65-(AY36-AX36)*'Assumptions'!$H$3-0</x:f>
        <x:v>351.9970661718136</x:v>
      </x:c>
      <x:c r="AP36" t="n">
        <x:f>AF36*(1-'Assumptions'!$F$3)+AZ36*'Assumptions'!$G$3-AZ36*'LMAT Model'!$I$65-(AZ36-AY36)*'Assumptions'!$H$3-0</x:f>
        <x:v>427.95942243028856</x:v>
      </x:c>
      <x:c r="AQ36" t="n">
        <x:f>AG36*(1-'Assumptions'!$F$3)+BA36*'Assumptions'!$G$3-BA36*'LMAT Model'!$J$65-(BA36-AZ36)*'Assumptions'!$H$3-0</x:f>
        <x:v>493.7855359045824</x:v>
      </x:c>
      <x:c r="AR36" t="n">
        <x:f>AH36*(1-'Assumptions'!$F$3)+BB36*'Assumptions'!$G$3-BB36*'LMAT Model'!$K$65-(BB36-BA36)*'Assumptions'!$H$3-0</x:f>
        <x:v>539.126840970476</x:v>
      </x:c>
      <x:c r="AS36" t="n">
        <x:f>E36+O36</x:f>
        <x:v>370.242</x:v>
      </x:c>
      <x:c r="AT36" t="n">
        <x:f>F36+P36</x:f>
        <x:v>496.1242800000001</x:v>
      </x:c>
      <x:c r="AU36" t="n">
        <x:f>G36+Q36</x:f>
        <x:v>664.8065352000002</x:v>
      </x:c>
      <x:c r="AV36" t="n">
        <x:f>H36+R36</x:f>
        <x:v>890.8407571680004</x:v>
      </x:c>
      <x:c r="AW36" t="n">
        <x:f>I36+S36</x:f>
        <x:v>1193.7266146051206</x:v>
      </x:c>
      <x:c r="AX36" t="n">
        <x:f>J36+T36</x:f>
        <x:v>1525.5826134653441</x:v>
      </x:c>
      <x:c r="AY36" t="n">
        <x:f>K36+U36</x:f>
        <x:v>1855.1084579738583</x:v>
      </x:c>
      <x:c r="AZ36" t="n">
        <x:f>L36+V36</x:f>
        <x:v>2140.795160501833</x:v>
      </x:c>
      <x:c r="BA36" t="n">
        <x:f>M36+W36</x:f>
        <x:v>2337.7483152680015</x:v>
      </x:c>
      <x:c r="BB36" t="n">
        <x:f>N36+X36</x:f>
        <x:v>2407.8807647260414</x:v>
      </x:c>
      <x:c r="BC36" t="n">
        <x:f>AS36/'Inputs'!$B$14-1</x:f>
        <x:v>0.3400000000000001</x:v>
      </x:c>
      <x:c r="BD36" t="n">
        <x:f>AT36/AS36-1</x:f>
        <x:v>0.3400000000000003</x:v>
      </x:c>
      <x:c r="BE36" t="n">
        <x:f>AU36/AT36-1</x:f>
        <x:v>0.3400000000000001</x:v>
      </x:c>
      <x:c r="BF36" t="n">
        <x:f>AV36/AU36-1</x:f>
        <x:v>0.3400000000000003</x:v>
      </x:c>
      <x:c r="BG36" t="n">
        <x:f>AW36/AV36-1</x:f>
        <x:v>0.3400000000000001</x:v>
      </x:c>
      <x:c r="BH36" t="n">
        <x:f>AX36/AW36-1</x:f>
        <x:v>0.278</x:v>
      </x:c>
      <x:c r="BI36" t="n">
        <x:f>AY36/AX36-1</x:f>
        <x:v>0.21599999999999997</x:v>
      </x:c>
      <x:c r="BJ36" t="n">
        <x:f>AZ36/AY36-1</x:f>
        <x:v>0.15400000000000014</x:v>
      </x:c>
      <x:c r="BK36" t="n">
        <x:f>BA36/AZ36-1</x:f>
        <x:v>0.09200000000000008</x:v>
      </x:c>
      <x:c r="BL36" t="n">
        <x:f>BB36/BA36-1</x:f>
        <x:v>0.030000000000000027</x:v>
      </x:c>
      <x:c r="BM36" t="n">
        <x:f>AH36*(1-'Assumptions'!$F$3)*(1+'Assumptions'!$D$3)*(1-'Assumptions'!$D$3/'Assumptions'!$E$3)</x:f>
        <x:v>514.1977362847945</x:v>
      </x:c>
      <x:c r="BN36" t="n">
        <x:f>SUMPRODUCT(AI36:AR36,'LMAT Model'!$B$83:$K$83)+BM36/('Assumptions'!$C$3-'Assumptions'!$D$3)*'LMAT Model'!$K$83</x:f>
        <x:v>4209.476432714038</x:v>
      </x:c>
      <x:c r="BO36" t="n">
        <x:f>'LMAT Model'!$B$94</x:f>
        <x:v>178</x:v>
      </x:c>
      <x:c r="BP36" t="n">
        <x:f>'Inputs'!$B$8</x:f>
        <x:v>23.088</x:v>
      </x:c>
    </x:row>
    <x:row r="37">
      <x:c r="A37" t="str">
        <x:v>LMAT</x:v>
      </x:c>
      <x:c r="B37" s="22" t="n">
        <x:v>0.35</x:v>
      </x:c>
      <x:c r="C37" s="42" t="n">
        <x:f>MIN((BN37+BO37)/BP37,(BN37+BO37+'Inputs'!$B$7)/(BP37+'Inputs'!$B$19))</x:f>
        <x:v>194.45288768101048</x:v>
      </x:c>
      <x:c r="D37" s="22" t="n">
        <x:f>C37/'Inputs'!$B$5-1</x:f>
        <x:v>1.4104733814430452</x:v>
      </x:c>
      <x:c r="E37" t="n">
        <x:f>'Inputs'!$B$14*(1+$B37)^1</x:f>
        <x:v>373.00500000000005</x:v>
      </x:c>
      <x:c r="F37" t="n">
        <x:f>'Inputs'!$B$14*(1+$B37)^2</x:f>
        <x:v>503.5567500000001</x:v>
      </x:c>
      <x:c r="G37" t="n">
        <x:f>'Inputs'!$B$14*(1+$B37)^3</x:f>
        <x:v>679.8016125000001</x:v>
      </x:c>
      <x:c r="H37" t="n">
        <x:f>'Inputs'!$B$14*(1+$B37)^4</x:f>
        <x:v>917.7321768750003</x:v>
      </x:c>
      <x:c r="I37" t="n">
        <x:f>'Inputs'!$B$14*(1+$B37)^5</x:f>
        <x:v>1238.9384387812506</x:v>
      </x:c>
      <x:c r="J37" t="n">
        <x:f>I37*(1+($BG37+('Assumptions'!$D$3-$BG37)*(6-5)/5))</x:f>
        <x:v>1593.2748322726886</x:v>
      </x:c>
      <x:c r="K37" t="n">
        <x:f>J37*(1+($BG37+('Assumptions'!$D$3-$BG37)*(7-5)/5))</x:f>
        <x:v>1946.9818450372259</x:v>
      </x:c>
      <x:c r="L37" t="n">
        <x:f>K37*(1+($BG37+('Assumptions'!$D$3-$BG37)*(8-5)/5))</x:f>
        <x:v>2254.604976553108</x:v>
      </x:c>
      <x:c r="M37" t="n">
        <x:f>L37*(1+($BG37+('Assumptions'!$D$3-$BG37)*(9-5)/5))</x:f>
        <x:v>2466.5378443491004</x:v>
      </x:c>
      <x:c r="N37" t="n">
        <x:f>M37*(1+($BG37+('Assumptions'!$D$3-$BG37)*(10-5)/5))</x:f>
        <x:v>2540.5339796795733</x:v>
      </x:c>
      <x:c r="O37" t="n">
        <x:f>0</x:f>
        <x:v>0</x:v>
      </x:c>
      <x:c r="P37" t="n">
        <x:f>0</x:f>
        <x:v>0</x:v>
      </x:c>
      <x:c r="Q37" t="n">
        <x:f>0</x:f>
        <x:v>0</x:v>
      </x:c>
      <x:c r="R37" t="n">
        <x:f>0</x:f>
        <x:v>0</x:v>
      </x:c>
      <x:c r="S37" t="n">
        <x:f>0</x:f>
        <x:v>0</x:v>
      </x:c>
      <x:c r="T37" t="n">
        <x:f>S37*(1+($BG37+('Assumptions'!$D$3-$BG37)*(6-5)/5))</x:f>
        <x:v>0</x:v>
      </x:c>
      <x:c r="U37" t="n">
        <x:f>T37*(1+($BG37+('Assumptions'!$D$3-$BG37)*(7-5)/5))</x:f>
        <x:v>0</x:v>
      </x:c>
      <x:c r="V37" t="n">
        <x:f>U37*(1+($BG37+('Assumptions'!$D$3-$BG37)*(8-5)/5))</x:f>
        <x:v>0</x:v>
      </x:c>
      <x:c r="W37" t="n">
        <x:f>V37*(1+($BG37+('Assumptions'!$D$3-$BG37)*(9-5)/5))</x:f>
        <x:v>0</x:v>
      </x:c>
      <x:c r="X37" t="n">
        <x:f>W37*(1+($BG37+('Assumptions'!$D$3-$BG37)*(10-5)/5))</x:f>
        <x:v>0</x:v>
      </x:c>
      <x:c r="Y37" t="n">
        <x:f>E37*'LMAT Model'!$B$62+O37*'LMAT Model'!$B$63+'LMAT Model'!$B$73+'LMAT Model'!$B$74</x:f>
        <x:v>104.44140000000003</x:v>
      </x:c>
      <x:c r="Z37" t="n">
        <x:f>F37*'LMAT Model'!$C$62+P37*'LMAT Model'!$C$63+'LMAT Model'!$C$73+'LMAT Model'!$C$74</x:f>
        <x:v>146.03145750000002</x:v>
      </x:c>
      <x:c r="AA37" t="n">
        <x:f>G37*'LMAT Model'!$D$62+Q37*'LMAT Model'!$D$63+'LMAT Model'!$D$73+'LMAT Model'!$D$74</x:f>
        <x:v>203.94048375000003</x:v>
      </x:c>
      <x:c r="AB37" t="n">
        <x:f>H37*'LMAT Model'!$E$62+R37*'LMAT Model'!$E$63+'LMAT Model'!$E$73+'LMAT Model'!$E$74</x:f>
        <x:v>279.90831394687507</x:v>
      </x:c>
      <x:c r="AC37" t="n">
        <x:f>I37*'LMAT Model'!$F$62+S37*'LMAT Model'!$F$63+'LMAT Model'!$F$73+'LMAT Model'!$F$74</x:f>
        <x:v>384.0709160221877</x:v>
      </x:c>
      <x:c r="AD37" t="n">
        <x:f>AX37*$AC37/$AW37</x:f>
        <x:v>493.9151980045335</x:v>
      </x:c>
      <x:c r="AE37" t="n">
        <x:f>AY37*$AC37/$AW37</x:f>
        <x:v>603.56437196154</x:v>
      </x:c>
      <x:c r="AF37" t="n">
        <x:f>AZ37*$AC37/$AW37</x:f>
        <x:v>698.9275427314634</x:v>
      </x:c>
      <x:c r="AG37" t="n">
        <x:f>BA37*$AC37/$AW37</x:f>
        <x:v>764.6267317482211</x:v>
      </x:c>
      <x:c r="AH37" t="n">
        <x:f>BB37*$AC37/$AW37</x:f>
        <x:v>787.5655337006677</x:v>
      </x:c>
      <x:c r="AI37" t="n">
        <x:f>Y37*(1-'Assumptions'!$F$3)+AS37*'Assumptions'!$G$3-AS37*'LMAT Model'!$B$65-(AS37-'Inputs'!$B$14)*'Assumptions'!$H$3-'Assumptions'!$I$3</x:f>
        <x:v>52.26828900000001</x:v>
      </x:c>
      <x:c r="AJ37" t="n">
        <x:f>Z37*(1-'Assumptions'!$F$3)+AT37*'Assumptions'!$G$3-AT37*'LMAT Model'!$C$65-(AT37-AS37)*'Assumptions'!$H$3-0</x:f>
        <x:v>78.43922145000002</x:v>
      </x:c>
      <x:c r="AK37" t="n">
        <x:f>AA37*(1-'Assumptions'!$F$3)+AU37*'Assumptions'!$G$3-AU37*'LMAT Model'!$D$65-(AU37-AT37)*'Assumptions'!$H$3-0</x:f>
        <x:v>111.05944121250002</x:v>
      </x:c>
      <x:c r="AL37" t="n">
        <x:f>AB37*(1-'Assumptions'!$F$3)+AV37*'Assumptions'!$G$3-AV37*'LMAT Model'!$E$65-(AV37-AU37)*'Assumptions'!$H$3-0</x:f>
        <x:v>153.41762790900003</x:v>
      </x:c>
      <x:c r="AM37" t="n">
        <x:f>AC37*(1-'Assumptions'!$F$3)+AW37*'Assumptions'!$G$3-AW37*'LMAT Model'!$F$65-(AW37-AV37)*'Assumptions'!$H$3-0</x:f>
        <x:v>211.82176374451876</x:v>
      </x:c>
      <x:c r="AN37" t="n">
        <x:f>AD37*(1-'Assumptions'!$F$3)+AX37*'Assumptions'!$G$3-AX37*'LMAT Model'!$G$65-(AX37-AW37)*'Assumptions'!$H$3-0</x:f>
        <x:v>285.9118058190512</x:v>
      </x:c>
      <x:c r="AO37" t="n">
        <x:f>AE37*(1-'Assumptions'!$F$3)+AY37*'Assumptions'!$G$3-AY37*'LMAT Model'!$H$65-(AY37-AX37)*'Assumptions'!$H$3-0</x:f>
        <x:v>367.62140052974064</x:v>
      </x:c>
      <x:c r="AP37" t="n">
        <x:f>AF37*(1-'Assumptions'!$F$3)+AZ37*'Assumptions'!$G$3-AZ37*'LMAT Model'!$I$65-(AZ37-AY37)*'Assumptions'!$H$3-0</x:f>
        <x:v>449.1585873444938</x:v>
      </x:c>
      <x:c r="AQ37" t="n">
        <x:f>AG37*(1-'Assumptions'!$F$3)+BA37*'Assumptions'!$G$3-BA37*'LMAT Model'!$J$65-(BA37-AZ37)*'Assumptions'!$H$3-0</x:f>
        <x:v>520.0390673138243</x:v>
      </x:c>
      <x:c r="AR37" t="n">
        <x:f>AH37*(1-'Assumptions'!$F$3)+BB37*'Assumptions'!$G$3-BB37*'LMAT Model'!$K$65-(BB37-BA37)*'Assumptions'!$H$3-0</x:f>
        <x:v>568.8280245881009</x:v>
      </x:c>
      <x:c r="AS37" t="n">
        <x:f>E37+O37</x:f>
        <x:v>373.00500000000005</x:v>
      </x:c>
      <x:c r="AT37" t="n">
        <x:f>F37+P37</x:f>
        <x:v>503.5567500000001</x:v>
      </x:c>
      <x:c r="AU37" t="n">
        <x:f>G37+Q37</x:f>
        <x:v>679.8016125000001</x:v>
      </x:c>
      <x:c r="AV37" t="n">
        <x:f>H37+R37</x:f>
        <x:v>917.7321768750003</x:v>
      </x:c>
      <x:c r="AW37" t="n">
        <x:f>I37+S37</x:f>
        <x:v>1238.9384387812506</x:v>
      </x:c>
      <x:c r="AX37" t="n">
        <x:f>J37+T37</x:f>
        <x:v>1593.2748322726886</x:v>
      </x:c>
      <x:c r="AY37" t="n">
        <x:f>K37+U37</x:f>
        <x:v>1946.9818450372259</x:v>
      </x:c>
      <x:c r="AZ37" t="n">
        <x:f>L37+V37</x:f>
        <x:v>2254.604976553108</x:v>
      </x:c>
      <x:c r="BA37" t="n">
        <x:f>M37+W37</x:f>
        <x:v>2466.5378443491004</x:v>
      </x:c>
      <x:c r="BB37" t="n">
        <x:f>N37+X37</x:f>
        <x:v>2540.5339796795733</x:v>
      </x:c>
      <x:c r="BC37" t="n">
        <x:f>AS37/'Inputs'!$B$14-1</x:f>
        <x:v>0.3500000000000001</x:v>
      </x:c>
      <x:c r="BD37" t="n">
        <x:f>AT37/AS37-1</x:f>
        <x:v>0.3500000000000001</x:v>
      </x:c>
      <x:c r="BE37" t="n">
        <x:f>AU37/AT37-1</x:f>
        <x:v>0.3500000000000001</x:v>
      </x:c>
      <x:c r="BF37" t="n">
        <x:f>AV37/AU37-1</x:f>
        <x:v>0.3500000000000001</x:v>
      </x:c>
      <x:c r="BG37" t="n">
        <x:f>AW37/AV37-1</x:f>
        <x:v>0.3500000000000003</x:v>
      </x:c>
      <x:c r="BH37" t="n">
        <x:f>AX37/AW37-1</x:f>
        <x:v>0.28600000000000025</x:v>
      </x:c>
      <x:c r="BI37" t="n">
        <x:f>AY37/AX37-1</x:f>
        <x:v>0.2220000000000002</x:v>
      </x:c>
      <x:c r="BJ37" t="n">
        <x:f>AZ37/AY37-1</x:f>
        <x:v>0.15800000000000014</x:v>
      </x:c>
      <x:c r="BK37" t="n">
        <x:f>BA37/AZ37-1</x:f>
        <x:v>0.09400000000000008</x:v>
      </x:c>
      <x:c r="BL37" t="n">
        <x:f>BB37/BA37-1</x:f>
        <x:v>0.030000000000000027</x:v>
      </x:c>
      <x:c r="BM37" t="n">
        <x:f>AH37*(1-'Assumptions'!$F$3)*(1+'Assumptions'!$D$3)*(1-'Assumptions'!$D$3/'Assumptions'!$E$3)</x:f>
        <x:v>542.5255438071769</x:v>
      </x:c>
      <x:c r="BN37" t="n">
        <x:f>SUMPRODUCT(AI37:AR37,'LMAT Model'!$B$83:$K$83)+BM37/('Assumptions'!$C$3-'Assumptions'!$D$3)*'LMAT Model'!$K$83</x:f>
        <x:v>4419.623787702869</x:v>
      </x:c>
      <x:c r="BO37" t="n">
        <x:f>'LMAT Model'!$B$94</x:f>
        <x:v>178</x:v>
      </x:c>
      <x:c r="BP37" t="n">
        <x:f>'Inputs'!$B$8</x:f>
        <x:v>23.088</x:v>
      </x:c>
    </x:row>
    <x:row r="38">
      <x:c r="A38" t="str">
        <x:v>LMAT</x:v>
      </x:c>
      <x:c r="B38" s="22" t="n">
        <x:v>0.36</x:v>
      </x:c>
      <x:c r="C38" s="42" t="n">
        <x:f>MIN((BN38+BO38)/BP38,(BN38+BO38+'Inputs'!$B$7)/(BP38+'Inputs'!$B$19))</x:f>
        <x:v>203.40922080998254</x:v>
      </x:c>
      <x:c r="D38" s="22" t="n">
        <x:f>C38/'Inputs'!$B$5-1</x:f>
        <x:v>1.5214977167470254</x:v>
      </x:c>
      <x:c r="E38" t="n">
        <x:f>'Inputs'!$B$14*(1+$B38)^1</x:f>
        <x:v>375.768</x:v>
      </x:c>
      <x:c r="F38" t="n">
        <x:f>'Inputs'!$B$14*(1+$B38)^2</x:f>
        <x:v>511.0444799999999</x:v>
      </x:c>
      <x:c r="G38" t="n">
        <x:f>'Inputs'!$B$14*(1+$B38)^3</x:f>
        <x:v>695.0204927999998</x:v>
      </x:c>
      <x:c r="H38" t="n">
        <x:f>'Inputs'!$B$14*(1+$B38)^4</x:f>
        <x:v>945.2278702079998</x:v>
      </x:c>
      <x:c r="I38" t="n">
        <x:f>'Inputs'!$B$14*(1+$B38)^5</x:f>
        <x:v>1285.5099034828797</x:v>
      </x:c>
      <x:c r="J38" t="n">
        <x:f>I38*(1+($BG38+('Assumptions'!$D$3-$BG38)*(6-5)/5))</x:f>
        <x:v>1663.4498151068465</x:v>
      </x:c>
      <x:c r="K38" t="n">
        <x:f>J38*(1+($BG38+('Assumptions'!$D$3-$BG38)*(7-5)/5))</x:f>
        <x:v>2042.7163729512074</x:v>
      </x:c>
      <x:c r="L38" t="n">
        <x:f>K38*(1+($BG38+('Assumptions'!$D$3-$BG38)*(8-5)/5))</x:f>
        <x:v>2373.636425369303</x:v>
      </x:c>
      <x:c r="M38" t="n">
        <x:f>L38*(1+($BG38+('Assumptions'!$D$3-$BG38)*(9-5)/5))</x:f>
        <x:v>2601.5055222047563</x:v>
      </x:c>
      <x:c r="N38" t="n">
        <x:f>M38*(1+($BG38+('Assumptions'!$D$3-$BG38)*(10-5)/5))</x:f>
        <x:v>2679.550687870899</x:v>
      </x:c>
      <x:c r="O38" t="n">
        <x:f>0</x:f>
        <x:v>0</x:v>
      </x:c>
      <x:c r="P38" t="n">
        <x:f>0</x:f>
        <x:v>0</x:v>
      </x:c>
      <x:c r="Q38" t="n">
        <x:f>0</x:f>
        <x:v>0</x:v>
      </x:c>
      <x:c r="R38" t="n">
        <x:f>0</x:f>
        <x:v>0</x:v>
      </x:c>
      <x:c r="S38" t="n">
        <x:f>0</x:f>
        <x:v>0</x:v>
      </x:c>
      <x:c r="T38" t="n">
        <x:f>S38*(1+($BG38+('Assumptions'!$D$3-$BG38)*(6-5)/5))</x:f>
        <x:v>0</x:v>
      </x:c>
      <x:c r="U38" t="n">
        <x:f>T38*(1+($BG38+('Assumptions'!$D$3-$BG38)*(7-5)/5))</x:f>
        <x:v>0</x:v>
      </x:c>
      <x:c r="V38" t="n">
        <x:f>U38*(1+($BG38+('Assumptions'!$D$3-$BG38)*(8-5)/5))</x:f>
        <x:v>0</x:v>
      </x:c>
      <x:c r="W38" t="n">
        <x:f>V38*(1+($BG38+('Assumptions'!$D$3-$BG38)*(9-5)/5))</x:f>
        <x:v>0</x:v>
      </x:c>
      <x:c r="X38" t="n">
        <x:f>W38*(1+($BG38+('Assumptions'!$D$3-$BG38)*(10-5)/5))</x:f>
        <x:v>0</x:v>
      </x:c>
      <x:c r="Y38" t="n">
        <x:f>E38*'LMAT Model'!$B$62+O38*'LMAT Model'!$B$63+'LMAT Model'!$B$73+'LMAT Model'!$B$74</x:f>
        <x:v>105.21504</x:v>
      </x:c>
      <x:c r="Z38" t="n">
        <x:f>F38*'LMAT Model'!$C$62+P38*'LMAT Model'!$C$63+'LMAT Model'!$C$73+'LMAT Model'!$C$74</x:f>
        <x:v>148.20289919999996</x:v>
      </x:c>
      <x:c r="AA38" t="n">
        <x:f>G38*'LMAT Model'!$D$62+Q38*'LMAT Model'!$D$63+'LMAT Model'!$D$73+'LMAT Model'!$D$74</x:f>
        <x:v>208.50614783999995</x:v>
      </x:c>
      <x:c r="AB38" t="n">
        <x:f>H38*'LMAT Model'!$E$62+R38*'LMAT Model'!$E$63+'LMAT Model'!$E$73+'LMAT Model'!$E$74</x:f>
        <x:v>288.29450041343995</x:v>
      </x:c>
      <x:c r="AC38" t="n">
        <x:f>I38*'LMAT Model'!$F$62+S38*'LMAT Model'!$F$63+'LMAT Model'!$F$73+'LMAT Model'!$F$74</x:f>
        <x:v>398.50807007969274</x:v>
      </x:c>
      <x:c r="AD38" t="n">
        <x:f>AX38*$AC38/$AW38</x:f>
        <x:v>515.6694426831224</x:v>
      </x:c>
      <x:c r="AE38" t="n">
        <x:f>AY38*$AC38/$AW38</x:f>
        <x:v>633.2420756148744</x:v>
      </x:c>
      <x:c r="AF38" t="n">
        <x:f>AZ38*$AC38/$AW38</x:f>
        <x:v>735.827291864484</x:v>
      </x:c>
      <x:c r="AG38" t="n">
        <x:f>BA38*$AC38/$AW38</x:f>
        <x:v>806.4667118834744</x:v>
      </x:c>
      <x:c r="AH38" t="n">
        <x:f>BB38*$AC38/$AW38</x:f>
        <x:v>830.6607132399788</x:v>
      </x:c>
      <x:c r="AI38" t="n">
        <x:f>Y38*(1-'Assumptions'!$F$3)+AS38*'Assumptions'!$G$3-AS38*'LMAT Model'!$B$65-(AS38-'Inputs'!$B$14)*'Assumptions'!$H$3-'Assumptions'!$I$3</x:f>
        <x:v>52.20695040000002</x:v>
      </x:c>
      <x:c r="AJ38" t="n">
        <x:f>Z38*(1-'Assumptions'!$F$3)+AT38*'Assumptions'!$G$3-AT38*'LMAT Model'!$C$65-(AT38-AS38)*'Assumptions'!$H$3-0</x:f>
        <x:v>78.965390592</x:v>
      </x:c>
      <x:c r="AK38" t="n">
        <x:f>AA38*(1-'Assumptions'!$F$3)+AU38*'Assumptions'!$G$3-AU38*'LMAT Model'!$D$65-(AU38-AT38)*'Assumptions'!$H$3-0</x:f>
        <x:v>112.67508695039999</x:v>
      </x:c>
      <x:c r="AL38" t="n">
        <x:f>AB38*(1-'Assumptions'!$F$3)+AV38*'Assumptions'!$G$3-AV38*'LMAT Model'!$E$65-(AV38-AU38)*'Assumptions'!$H$3-0</x:f>
        <x:v>156.8299841593344</x:v>
      </x:c>
      <x:c r="AM38" t="n">
        <x:f>AC38*(1-'Assumptions'!$F$3)+AW38*'Assumptions'!$G$3-AW38*'LMAT Model'!$F$65-(AW38-AV38)*'Assumptions'!$H$3-0</x:f>
        <x:v>218.1737160899297</x:v>
      </x:c>
      <x:c r="AN38" t="n">
        <x:f>AD38*(1-'Assumptions'!$F$3)+AX38*'Assumptions'!$G$3-AX38*'LMAT Model'!$G$65-(AX38-AW38)*'Assumptions'!$H$3-0</x:f>
        <x:v>296.6653476901264</x:v>
      </x:c>
      <x:c r="AO38" t="n">
        <x:f>AE38*(1-'Assumptions'!$F$3)+AY38*'Assumptions'!$G$3-AY38*'LMAT Model'!$H$65-(AY38-AX38)*'Assumptions'!$H$3-0</x:f>
        <x:v>383.8190872983455</x:v>
      </x:c>
      <x:c r="AP38" t="n">
        <x:f>AF38*(1-'Assumptions'!$F$3)+AZ38*'Assumptions'!$G$3-AZ38*'LMAT Model'!$I$65-(AZ38-AY38)*'Assumptions'!$H$3-0</x:f>
        <x:v>471.24894763399925</x:v>
      </x:c>
      <x:c r="AQ38" t="n">
        <x:f>AG38*(1-'Assumptions'!$F$3)+BA38*'Assumptions'!$G$3-BA38*'LMAT Model'!$J$65-(BA38-AZ38)*'Assumptions'!$H$3-0</x:f>
        <x:v>547.4972811482625</x:v>
      </x:c>
      <x:c r="AR38" t="n">
        <x:f>AH38*(1-'Assumptions'!$F$3)+BB38*'Assumptions'!$G$3-BB38*'LMAT Model'!$K$65-(BB38-BA38)*'Assumptions'!$H$3-0</x:f>
        <x:v>599.9540005198166</x:v>
      </x:c>
      <x:c r="AS38" t="n">
        <x:f>E38+O38</x:f>
        <x:v>375.768</x:v>
      </x:c>
      <x:c r="AT38" t="n">
        <x:f>F38+P38</x:f>
        <x:v>511.0444799999999</x:v>
      </x:c>
      <x:c r="AU38" t="n">
        <x:f>G38+Q38</x:f>
        <x:v>695.0204927999998</x:v>
      </x:c>
      <x:c r="AV38" t="n">
        <x:f>H38+R38</x:f>
        <x:v>945.2278702079998</x:v>
      </x:c>
      <x:c r="AW38" t="n">
        <x:f>I38+S38</x:f>
        <x:v>1285.5099034828797</x:v>
      </x:c>
      <x:c r="AX38" t="n">
        <x:f>J38+T38</x:f>
        <x:v>1663.4498151068465</x:v>
      </x:c>
      <x:c r="AY38" t="n">
        <x:f>K38+U38</x:f>
        <x:v>2042.7163729512074</x:v>
      </x:c>
      <x:c r="AZ38" t="n">
        <x:f>L38+V38</x:f>
        <x:v>2373.636425369303</x:v>
      </x:c>
      <x:c r="BA38" t="n">
        <x:f>M38+W38</x:f>
        <x:v>2601.5055222047563</x:v>
      </x:c>
      <x:c r="BB38" t="n">
        <x:f>N38+X38</x:f>
        <x:v>2679.550687870899</x:v>
      </x:c>
      <x:c r="BC38" t="n">
        <x:f>AS38/'Inputs'!$B$14-1</x:f>
        <x:v>0.3599999999999999</x:v>
      </x:c>
      <x:c r="BD38" t="n">
        <x:f>AT38/AS38-1</x:f>
        <x:v>0.3599999999999999</x:v>
      </x:c>
      <x:c r="BE38" t="n">
        <x:f>AU38/AT38-1</x:f>
        <x:v>0.3599999999999999</x:v>
      </x:c>
      <x:c r="BF38" t="n">
        <x:f>AV38/AU38-1</x:f>
        <x:v>0.3600000000000001</x:v>
      </x:c>
      <x:c r="BG38" t="n">
        <x:f>AW38/AV38-1</x:f>
        <x:v>0.3600000000000001</x:v>
      </x:c>
      <x:c r="BH38" t="n">
        <x:f>AX38/AW38-1</x:f>
        <x:v>0.29400000000000004</x:v>
      </x:c>
      <x:c r="BI38" t="n">
        <x:f>AY38/AX38-1</x:f>
        <x:v>0.22799999999999998</x:v>
      </x:c>
      <x:c r="BJ38" t="n">
        <x:f>AZ38/AY38-1</x:f>
        <x:v>0.16200000000000014</x:v>
      </x:c>
      <x:c r="BK38" t="n">
        <x:f>BA38/AZ38-1</x:f>
        <x:v>0.09600000000000009</x:v>
      </x:c>
      <x:c r="BL38" t="n">
        <x:f>BB38/BA38-1</x:f>
        <x:v>0.030000000000000027</x:v>
      </x:c>
      <x:c r="BM38" t="n">
        <x:f>AH38*(1-'Assumptions'!$F$3)*(1+'Assumptions'!$D$3)*(1-'Assumptions'!$D$3/'Assumptions'!$E$3)</x:f>
        <x:v>572.2122615653449</x:v>
      </x:c>
      <x:c r="BN38" t="n">
        <x:f>SUMPRODUCT(AI38:AR38,'LMAT Model'!$B$83:$K$83)+BM38/('Assumptions'!$C$3-'Assumptions'!$D$3)*'LMAT Model'!$K$83</x:f>
        <x:v>4639.331595689682</x:v>
      </x:c>
      <x:c r="BO38" t="n">
        <x:f>'LMAT Model'!$B$94</x:f>
        <x:v>178</x:v>
      </x:c>
      <x:c r="BP38" t="n">
        <x:f>'Inputs'!$B$8</x:f>
        <x:v>23.088</x:v>
      </x:c>
    </x:row>
    <x:row r="39">
      <x:c r="A39" t="str">
        <x:v>LMAT</x:v>
      </x:c>
      <x:c r="B39" s="22" t="n">
        <x:v>0.37</x:v>
      </x:c>
      <x:c r="C39" s="42" t="n">
        <x:f>MIN((BN39+BO39)/BP39,(BN39+BO39+'Inputs'!$B$7)/(BP39+'Inputs'!$B$19))</x:f>
        <x:v>212.7706945243824</x:v>
      </x:c>
      <x:c r="D39" s="22" t="n">
        <x:f>C39/'Inputs'!$B$5-1</x:f>
        <x:v>1.6375442484738119</x:v>
      </x:c>
      <x:c r="E39" t="n">
        <x:f>'Inputs'!$B$14*(1+$B39)^1</x:f>
        <x:v>378.53100000000006</x:v>
      </x:c>
      <x:c r="F39" t="n">
        <x:f>'Inputs'!$B$14*(1+$B39)^2</x:f>
        <x:v>518.58747</x:v>
      </x:c>
      <x:c r="G39" t="n">
        <x:f>'Inputs'!$B$14*(1+$B39)^3</x:f>
        <x:v>710.4648339000003</x:v>
      </x:c>
      <x:c r="H39" t="n">
        <x:f>'Inputs'!$B$14*(1+$B39)^4</x:f>
        <x:v>973.3368224430003</x:v>
      </x:c>
      <x:c r="I39" t="n">
        <x:f>'Inputs'!$B$14*(1+$B39)^5</x:f>
        <x:v>1333.4714467469105</x:v>
      </x:c>
      <x:c r="J39" t="n">
        <x:f>I39*(1+($BG39+('Assumptions'!$D$3-$BG39)*(6-5)/5))</x:f>
        <x:v>1736.1798236644775</x:v>
      </x:c>
      <x:c r="K39" t="n">
        <x:f>J39*(1+($BG39+('Assumptions'!$D$3-$BG39)*(7-5)/5))</x:f>
        <x:v>2142.445902401965</x:v>
      </x:c>
      <x:c r="L39" t="n">
        <x:f>K39*(1+($BG39+('Assumptions'!$D$3-$BG39)*(8-5)/5))</x:f>
        <x:v>2498.091922200692</x:v>
      </x:c>
      <x:c r="M39" t="n">
        <x:f>L39*(1+($BG39+('Assumptions'!$D$3-$BG39)*(9-5)/5))</x:f>
        <x:v>2742.90493057636</x:v>
      </x:c>
      <x:c r="N39" t="n">
        <x:f>M39*(1+($BG39+('Assumptions'!$D$3-$BG39)*(10-5)/5))</x:f>
        <x:v>2825.192078493651</x:v>
      </x:c>
      <x:c r="O39" t="n">
        <x:f>0</x:f>
        <x:v>0</x:v>
      </x:c>
      <x:c r="P39" t="n">
        <x:f>0</x:f>
        <x:v>0</x:v>
      </x:c>
      <x:c r="Q39" t="n">
        <x:f>0</x:f>
        <x:v>0</x:v>
      </x:c>
      <x:c r="R39" t="n">
        <x:f>0</x:f>
        <x:v>0</x:v>
      </x:c>
      <x:c r="S39" t="n">
        <x:f>0</x:f>
        <x:v>0</x:v>
      </x:c>
      <x:c r="T39" t="n">
        <x:f>S39*(1+($BG39+('Assumptions'!$D$3-$BG39)*(6-5)/5))</x:f>
        <x:v>0</x:v>
      </x:c>
      <x:c r="U39" t="n">
        <x:f>T39*(1+($BG39+('Assumptions'!$D$3-$BG39)*(7-5)/5))</x:f>
        <x:v>0</x:v>
      </x:c>
      <x:c r="V39" t="n">
        <x:f>U39*(1+($BG39+('Assumptions'!$D$3-$BG39)*(8-5)/5))</x:f>
        <x:v>0</x:v>
      </x:c>
      <x:c r="W39" t="n">
        <x:f>V39*(1+($BG39+('Assumptions'!$D$3-$BG39)*(9-5)/5))</x:f>
        <x:v>0</x:v>
      </x:c>
      <x:c r="X39" t="n">
        <x:f>W39*(1+($BG39+('Assumptions'!$D$3-$BG39)*(10-5)/5))</x:f>
        <x:v>0</x:v>
      </x:c>
      <x:c r="Y39" t="n">
        <x:f>E39*'LMAT Model'!$B$62+O39*'LMAT Model'!$B$63+'LMAT Model'!$B$73+'LMAT Model'!$B$74</x:f>
        <x:v>105.98868000000003</x:v>
      </x:c>
      <x:c r="Z39" t="n">
        <x:f>F39*'LMAT Model'!$C$62+P39*'LMAT Model'!$C$63+'LMAT Model'!$C$73+'LMAT Model'!$C$74</x:f>
        <x:v>150.3903663</x:v>
      </x:c>
      <x:c r="AA39" t="n">
        <x:f>G39*'LMAT Model'!$D$62+Q39*'LMAT Model'!$D$63+'LMAT Model'!$D$73+'LMAT Model'!$D$74</x:f>
        <x:v>213.13945017000006</x:v>
      </x:c>
      <x:c r="AB39" t="n">
        <x:f>H39*'LMAT Model'!$E$62+R39*'LMAT Model'!$E$63+'LMAT Model'!$E$73+'LMAT Model'!$E$74</x:f>
        <x:v>296.8677308451151</x:v>
      </x:c>
      <x:c r="AC39" t="n">
        <x:f>I39*'LMAT Model'!$F$62+S39*'LMAT Model'!$F$63+'LMAT Model'!$F$73+'LMAT Model'!$F$74</x:f>
        <x:v>413.37614849154227</x:v>
      </x:c>
      <x:c r="AD39" t="n">
        <x:f>AX39*$AC39/$AW39</x:f>
        <x:v>538.215745335988</x:v>
      </x:c>
      <x:c r="AE39" t="n">
        <x:f>AY39*$AC39/$AW39</x:f>
        <x:v>664.1582297446092</x:v>
      </x:c>
      <x:c r="AF39" t="n">
        <x:f>AZ39*$AC39/$AW39</x:f>
        <x:v>774.4084958822145</x:v>
      </x:c>
      <x:c r="AG39" t="n">
        <x:f>BA39*$AC39/$AW39</x:f>
        <x:v>850.3005284786717</x:v>
      </x:c>
      <x:c r="AH39" t="n">
        <x:f>BB39*$AC39/$AW39</x:f>
        <x:v>875.8095443330318</x:v>
      </x:c>
      <x:c r="AI39" t="n">
        <x:f>Y39*(1-'Assumptions'!$F$3)+AS39*'Assumptions'!$G$3-AS39*'LMAT Model'!$B$65-(AS39-'Inputs'!$B$14)*'Assumptions'!$H$3-'Assumptions'!$I$3</x:f>
        <x:v>52.14561180000001</x:v>
      </x:c>
      <x:c r="AJ39" t="n">
        <x:f>Z39*(1-'Assumptions'!$F$3)+AT39*'Assumptions'!$G$3-AT39*'LMAT Model'!$C$65-(AT39-AS39)*'Assumptions'!$H$3-0</x:f>
        <x:v>79.49075293800001</x:v>
      </x:c>
      <x:c r="AK39" t="n">
        <x:f>AA39*(1-'Assumptions'!$F$3)+AU39*'Assumptions'!$G$3-AU39*'LMAT Model'!$D$65-(AU39-AT39)*'Assumptions'!$H$3-0</x:f>
        <x:v>114.3018642627</x:v>
      </x:c>
      <x:c r="AL39" t="n">
        <x:f>AB39*(1-'Assumptions'!$F$3)+AV39*'Assumptions'!$G$3-AV39*'LMAT Model'!$E$65-(AV39-AU39)*'Assumptions'!$H$3-0</x:f>
        <x:v>160.29223396518248</x:v>
      </x:c>
      <x:c r="AM39" t="n">
        <x:f>AC39*(1-'Assumptions'!$F$3)+AW39*'Assumptions'!$G$3-AW39*'LMAT Model'!$F$65-(AW39-AV39)*'Assumptions'!$H$3-0</x:f>
        <x:v>224.66755202993824</x:v>
      </x:c>
      <x:c r="AN39" t="n">
        <x:f>AD39*(1-'Assumptions'!$F$3)+AX39*'Assumptions'!$G$3-AX39*'LMAT Model'!$G$65-(AX39-AW39)*'Assumptions'!$H$3-0</x:f>
        <x:v>307.7401406459881</x:v>
      </x:c>
      <x:c r="AO39" t="n">
        <x:f>AE39*(1-'Assumptions'!$F$3)+AY39*'Assumptions'!$G$3-AY39*'LMAT Model'!$H$65-(AY39-AX39)*'Assumptions'!$H$3-0</x:f>
        <x:v>400.60682698427104</x:v>
      </x:c>
      <x:c r="AP39" t="n">
        <x:f>AF39*(1-'Assumptions'!$F$3)+AZ39*'Assumptions'!$G$3-AZ39*'LMAT Model'!$I$65-(AZ39-AY39)*'Assumptions'!$H$3-0</x:f>
        <x:v>494.26141270577244</x:v>
      </x:c>
      <x:c r="AQ39" t="n">
        <x:f>AG39*(1-'Assumptions'!$F$3)+BA39*'Assumptions'!$G$3-BA39*'LMAT Model'!$J$65-(BA39-AZ39)*'Assumptions'!$H$3-0</x:f>
        <x:v>576.2068850645051</x:v>
      </x:c>
      <x:c r="AR39" t="n">
        <x:f>AH39*(1-'Assumptions'!$F$3)+BB39*'Assumptions'!$G$3-BB39*'LMAT Model'!$K$65-(BB39-BA39)*'Assumptions'!$H$3-0</x:f>
        <x:v>632.563249279659</x:v>
      </x:c>
      <x:c r="AS39" t="n">
        <x:f>E39+O39</x:f>
        <x:v>378.53100000000006</x:v>
      </x:c>
      <x:c r="AT39" t="n">
        <x:f>F39+P39</x:f>
        <x:v>518.58747</x:v>
      </x:c>
      <x:c r="AU39" t="n">
        <x:f>G39+Q39</x:f>
        <x:v>710.4648339000003</x:v>
      </x:c>
      <x:c r="AV39" t="n">
        <x:f>H39+R39</x:f>
        <x:v>973.3368224430003</x:v>
      </x:c>
      <x:c r="AW39" t="n">
        <x:f>I39+S39</x:f>
        <x:v>1333.4714467469105</x:v>
      </x:c>
      <x:c r="AX39" t="n">
        <x:f>J39+T39</x:f>
        <x:v>1736.1798236644775</x:v>
      </x:c>
      <x:c r="AY39" t="n">
        <x:f>K39+U39</x:f>
        <x:v>2142.445902401965</x:v>
      </x:c>
      <x:c r="AZ39" t="n">
        <x:f>L39+V39</x:f>
        <x:v>2498.091922200692</x:v>
      </x:c>
      <x:c r="BA39" t="n">
        <x:f>M39+W39</x:f>
        <x:v>2742.90493057636</x:v>
      </x:c>
      <x:c r="BB39" t="n">
        <x:f>N39+X39</x:f>
        <x:v>2825.192078493651</x:v>
      </x:c>
      <x:c r="BC39" t="n">
        <x:f>AS39/'Inputs'!$B$14-1</x:f>
        <x:v>0.3700000000000001</x:v>
      </x:c>
      <x:c r="BD39" t="n">
        <x:f>AT39/AS39-1</x:f>
        <x:v>0.3699999999999999</x:v>
      </x:c>
      <x:c r="BE39" t="n">
        <x:f>AU39/AT39-1</x:f>
        <x:v>0.37000000000000033</x:v>
      </x:c>
      <x:c r="BF39" t="n">
        <x:f>AV39/AU39-1</x:f>
        <x:v>0.3699999999999999</x:v>
      </x:c>
      <x:c r="BG39" t="n">
        <x:f>AW39/AV39-1</x:f>
        <x:v>0.3700000000000001</x:v>
      </x:c>
      <x:c r="BH39" t="n">
        <x:f>AX39/AW39-1</x:f>
        <x:v>0.30200000000000005</x:v>
      </x:c>
      <x:c r="BI39" t="n">
        <x:f>AY39/AX39-1</x:f>
        <x:v>0.23399999999999999</x:v>
      </x:c>
      <x:c r="BJ39" t="n">
        <x:f>AZ39/AY39-1</x:f>
        <x:v>0.16600000000000015</x:v>
      </x:c>
      <x:c r="BK39" t="n">
        <x:f>BA39/AZ39-1</x:f>
        <x:v>0.09800000000000009</x:v>
      </x:c>
      <x:c r="BL39" t="n">
        <x:f>BB39/BA39-1</x:f>
        <x:v>0.030000000000000027</x:v>
      </x:c>
      <x:c r="BM39" t="n">
        <x:f>AH39*(1-'Assumptions'!$F$3)*(1+'Assumptions'!$D$3)*(1-'Assumptions'!$D$3/'Assumptions'!$E$3)</x:f>
        <x:v>603.3136659474296</x:v>
      </x:c>
      <x:c r="BN39" t="n">
        <x:f>SUMPRODUCT(AI39:AR39,'LMAT Model'!$B$83:$K$83)+BM39/('Assumptions'!$C$3-'Assumptions'!$D$3)*'LMAT Model'!$K$83</x:f>
        <x:v>4868.977907377625</x:v>
      </x:c>
      <x:c r="BO39" t="n">
        <x:f>'LMAT Model'!$B$94</x:f>
        <x:v>178</x:v>
      </x:c>
      <x:c r="BP39" t="n">
        <x:f>'Inputs'!$B$8</x:f>
        <x:v>23.088</x:v>
      </x:c>
    </x:row>
    <x:row r="40">
      <x:c r="A40" t="str">
        <x:v>LMAT</x:v>
      </x:c>
      <x:c r="B40" s="22" t="n">
        <x:v>0.38</x:v>
      </x:c>
      <x:c r="C40" s="42" t="n">
        <x:f>MIN((BN40+BO40)/BP40,(BN40+BO40+'Inputs'!$B$7)/(BP40+'Inputs'!$B$19))</x:f>
        <x:v>222.55323359552233</x:v>
      </x:c>
      <x:c r="D40" s="22" t="n">
        <x:f>C40/'Inputs'!$B$5-1</x:f>
        <x:v>1.7588103829865172</x:v>
      </x:c>
      <x:c r="E40" t="n">
        <x:f>'Inputs'!$B$14*(1+$B40)^1</x:f>
        <x:v>381.294</x:v>
      </x:c>
      <x:c r="F40" t="n">
        <x:f>'Inputs'!$B$14*(1+$B40)^2</x:f>
        <x:v>526.18572</x:v>
      </x:c>
      <x:c r="G40" t="n">
        <x:f>'Inputs'!$B$14*(1+$B40)^3</x:f>
        <x:v>726.1362935999999</x:v>
      </x:c>
      <x:c r="H40" t="n">
        <x:f>'Inputs'!$B$14*(1+$B40)^4</x:f>
        <x:v>1002.0680851679997</x:v>
      </x:c>
      <x:c r="I40" t="n">
        <x:f>'Inputs'!$B$14*(1+$B40)^5</x:f>
        <x:v>1382.8539575318396</x:v>
      </x:c>
      <x:c r="J40" t="n">
        <x:f>I40*(1+($BG40+('Assumptions'!$D$3-$BG40)*(6-5)/5))</x:f>
        <x:v>1811.53868436671</x:v>
      </x:c>
      <x:c r="K40" t="n">
        <x:f>J40*(1+($BG40+('Assumptions'!$D$3-$BG40)*(7-5)/5))</x:f>
        <x:v>2246.3079686147203</x:v>
      </x:c>
      <x:c r="L40" t="n">
        <x:f>K40*(1+($BG40+('Assumptions'!$D$3-$BG40)*(8-5)/5))</x:f>
        <x:v>2628.1803232792226</x:v>
      </x:c>
      <x:c r="M40" t="n">
        <x:f>L40*(1+($BG40+('Assumptions'!$D$3-$BG40)*(9-5)/5))</x:f>
        <x:v>2890.998355607145</x:v>
      </x:c>
      <x:c r="N40" t="n">
        <x:f>M40*(1+($BG40+('Assumptions'!$D$3-$BG40)*(10-5)/5))</x:f>
        <x:v>2977.7283062753595</x:v>
      </x:c>
      <x:c r="O40" t="n">
        <x:f>0</x:f>
        <x:v>0</x:v>
      </x:c>
      <x:c r="P40" t="n">
        <x:f>0</x:f>
        <x:v>0</x:v>
      </x:c>
      <x:c r="Q40" t="n">
        <x:f>0</x:f>
        <x:v>0</x:v>
      </x:c>
      <x:c r="R40" t="n">
        <x:f>0</x:f>
        <x:v>0</x:v>
      </x:c>
      <x:c r="S40" t="n">
        <x:f>0</x:f>
        <x:v>0</x:v>
      </x:c>
      <x:c r="T40" t="n">
        <x:f>S40*(1+($BG40+('Assumptions'!$D$3-$BG40)*(6-5)/5))</x:f>
        <x:v>0</x:v>
      </x:c>
      <x:c r="U40" t="n">
        <x:f>T40*(1+($BG40+('Assumptions'!$D$3-$BG40)*(7-5)/5))</x:f>
        <x:v>0</x:v>
      </x:c>
      <x:c r="V40" t="n">
        <x:f>U40*(1+($BG40+('Assumptions'!$D$3-$BG40)*(8-5)/5))</x:f>
        <x:v>0</x:v>
      </x:c>
      <x:c r="W40" t="n">
        <x:f>V40*(1+($BG40+('Assumptions'!$D$3-$BG40)*(9-5)/5))</x:f>
        <x:v>0</x:v>
      </x:c>
      <x:c r="X40" t="n">
        <x:f>W40*(1+($BG40+('Assumptions'!$D$3-$BG40)*(10-5)/5))</x:f>
        <x:v>0</x:v>
      </x:c>
      <x:c r="Y40" t="n">
        <x:f>E40*'LMAT Model'!$B$62+O40*'LMAT Model'!$B$63+'LMAT Model'!$B$73+'LMAT Model'!$B$74</x:f>
        <x:v>106.76232</x:v>
      </x:c>
      <x:c r="Z40" t="n">
        <x:f>F40*'LMAT Model'!$C$62+P40*'LMAT Model'!$C$63+'LMAT Model'!$C$73+'LMAT Model'!$C$74</x:f>
        <x:v>152.59385879999996</x:v>
      </x:c>
      <x:c r="AA40" t="n">
        <x:f>G40*'LMAT Model'!$D$62+Q40*'LMAT Model'!$D$63+'LMAT Model'!$D$73+'LMAT Model'!$D$74</x:f>
        <x:v>217.84088807999998</x:v>
      </x:c>
      <x:c r="AB40" t="n">
        <x:f>H40*'LMAT Model'!$E$62+R40*'LMAT Model'!$E$63+'LMAT Model'!$E$73+'LMAT Model'!$E$74</x:f>
        <x:v>305.6307659762399</x:v>
      </x:c>
      <x:c r="AC40" t="n">
        <x:f>I40*'LMAT Model'!$F$62+S40*'LMAT Model'!$F$63+'LMAT Model'!$F$73+'LMAT Model'!$F$74</x:f>
        <x:v>428.6847268348703</x:v>
      </x:c>
      <x:c r="AD40" t="n">
        <x:f>AX40*$AC40/$AW40</x:f>
        <x:v>561.5769921536801</x:v>
      </x:c>
      <x:c r="AE40" t="n">
        <x:f>AY40*$AC40/$AW40</x:f>
        <x:v>696.3554702705633</x:v>
      </x:c>
      <x:c r="AF40" t="n">
        <x:f>AZ40*$AC40/$AW40</x:f>
        <x:v>814.7359002165591</x:v>
      </x:c>
      <x:c r="AG40" t="n">
        <x:f>BA40*$AC40/$AW40</x:f>
        <x:v>896.209490238215</x:v>
      </x:c>
      <x:c r="AH40" t="n">
        <x:f>BB40*$AC40/$AW40</x:f>
        <x:v>923.0957749453615</x:v>
      </x:c>
      <x:c r="AI40" t="n">
        <x:f>Y40*(1-'Assumptions'!$F$3)+AS40*'Assumptions'!$G$3-AS40*'LMAT Model'!$B$65-(AS40-'Inputs'!$B$14)*'Assumptions'!$H$3-'Assumptions'!$I$3</x:f>
        <x:v>52.08427320000001</x:v>
      </x:c>
      <x:c r="AJ40" t="n">
        <x:f>Z40*(1-'Assumptions'!$F$3)+AT40*'Assumptions'!$G$3-AT40*'LMAT Model'!$C$65-(AT40-AS40)*'Assumptions'!$H$3-0</x:f>
        <x:v>80.01530848799999</x:v>
      </x:c>
      <x:c r="AK40" t="n">
        <x:f>AA40*(1-'Assumptions'!$F$3)+AU40*'Assumptions'!$G$3-AU40*'LMAT Model'!$D$65-(AU40-AT40)*'Assumptions'!$H$3-0</x:f>
        <x:v>115.9397615448</x:v>
      </x:c>
      <x:c r="AL40" t="n">
        <x:f>AB40*(1-'Assumptions'!$F$3)+AV40*'Assumptions'!$G$3-AV40*'LMAT Model'!$E$65-(AV40-AU40)*'Assumptions'!$H$3-0</x:f>
        <x:v>163.80472965546238</x:v>
      </x:c>
      <x:c r="AM40" t="n">
        <x:f>AC40*(1-'Assumptions'!$F$3)+AW40*'Assumptions'!$G$3-AW40*'LMAT Model'!$F$65-(AW40-AV40)*'Assumptions'!$H$3-0</x:f>
        <x:v>231.30537196315896</x:v>
      </x:c>
      <x:c r="AN40" t="n">
        <x:f>AD40*(1-'Assumptions'!$F$3)+AX40*'Assumptions'!$G$3-AX40*'LMAT Model'!$G$65-(AX40-AW40)*'Assumptions'!$H$3-0</x:f>
        <x:v>319.1433334429432</x:v>
      </x:c>
      <x:c r="AO40" t="n">
        <x:f>AE40*(1-'Assumptions'!$F$3)+AY40*'Assumptions'!$G$3-AY40*'LMAT Model'!$H$65-(AY40-AX40)*'Assumptions'!$H$3-0</x:f>
        <x:v>418.0016821855121</x:v>
      </x:c>
      <x:c r="AP40" t="n">
        <x:f>AF40*(1-'Assumptions'!$F$3)+AZ40*'Assumptions'!$G$3-AZ40*'LMAT Model'!$I$65-(AZ40-AY40)*'Assumptions'!$H$3-0</x:f>
        <x:v>518.2277409753532</x:v>
      </x:c>
      <x:c r="AQ40" t="n">
        <x:f>AG40*(1-'Assumptions'!$F$3)+BA40*'Assumptions'!$G$3-BA40*'LMAT Model'!$J$65-(BA40-AZ40)*'Assumptions'!$H$3-0</x:f>
        <x:v>606.2160733675855</x:v>
      </x:c>
      <x:c r="AR40" t="n">
        <x:f>AH40*(1-'Assumptions'!$F$3)+BB40*'Assumptions'!$G$3-BB40*'LMAT Model'!$K$65-(BB40-BA40)*'Assumptions'!$H$3-0</x:f>
        <x:v>666.7162587734086</x:v>
      </x:c>
      <x:c r="AS40" t="n">
        <x:f>E40+O40</x:f>
        <x:v>381.294</x:v>
      </x:c>
      <x:c r="AT40" t="n">
        <x:f>F40+P40</x:f>
        <x:v>526.18572</x:v>
      </x:c>
      <x:c r="AU40" t="n">
        <x:f>G40+Q40</x:f>
        <x:v>726.1362935999999</x:v>
      </x:c>
      <x:c r="AV40" t="n">
        <x:f>H40+R40</x:f>
        <x:v>1002.0680851679997</x:v>
      </x:c>
      <x:c r="AW40" t="n">
        <x:f>I40+S40</x:f>
        <x:v>1382.8539575318396</x:v>
      </x:c>
      <x:c r="AX40" t="n">
        <x:f>J40+T40</x:f>
        <x:v>1811.53868436671</x:v>
      </x:c>
      <x:c r="AY40" t="n">
        <x:f>K40+U40</x:f>
        <x:v>2246.3079686147203</x:v>
      </x:c>
      <x:c r="AZ40" t="n">
        <x:f>L40+V40</x:f>
        <x:v>2628.1803232792226</x:v>
      </x:c>
      <x:c r="BA40" t="n">
        <x:f>M40+W40</x:f>
        <x:v>2890.998355607145</x:v>
      </x:c>
      <x:c r="BB40" t="n">
        <x:f>N40+X40</x:f>
        <x:v>2977.7283062753595</x:v>
      </x:c>
      <x:c r="BC40" t="n">
        <x:f>AS40/'Inputs'!$B$14-1</x:f>
        <x:v>0.3799999999999999</x:v>
      </x:c>
      <x:c r="BD40" t="n">
        <x:f>AT40/AS40-1</x:f>
        <x:v>0.3799999999999999</x:v>
      </x:c>
      <x:c r="BE40" t="n">
        <x:f>AU40/AT40-1</x:f>
        <x:v>0.3800000000000001</x:v>
      </x:c>
      <x:c r="BF40" t="n">
        <x:f>AV40/AU40-1</x:f>
        <x:v>0.37999999999999967</x:v>
      </x:c>
      <x:c r="BG40" t="n">
        <x:f>AW40/AV40-1</x:f>
        <x:v>0.3799999999999999</x:v>
      </x:c>
      <x:c r="BH40" t="n">
        <x:f>AX40/AW40-1</x:f>
        <x:v>0.31000000000000005</x:v>
      </x:c>
      <x:c r="BI40" t="n">
        <x:f>AY40/AX40-1</x:f>
        <x:v>0.24</x:v>
      </x:c>
      <x:c r="BJ40" t="n">
        <x:f>AZ40/AY40-1</x:f>
        <x:v>0.16999999999999993</x:v>
      </x:c>
      <x:c r="BK40" t="n">
        <x:f>BA40/AZ40-1</x:f>
        <x:v>0.10000000000000009</x:v>
      </x:c>
      <x:c r="BL40" t="n">
        <x:f>BB40/BA40-1</x:f>
        <x:v>0.030000000000000027</x:v>
      </x:c>
      <x:c r="BM40" t="n">
        <x:f>AH40*(1-'Assumptions'!$F$3)*(1+'Assumptions'!$D$3)*(1-'Assumptions'!$D$3/'Assumptions'!$E$3)</x:f>
        <x:v>635.8874479119615</x:v>
      </x:c>
      <x:c r="BN40" t="n">
        <x:f>SUMPRODUCT(AI40:AR40,'LMAT Model'!$B$83:$K$83)+BM40/('Assumptions'!$C$3-'Assumptions'!$D$3)*'LMAT Model'!$K$83</x:f>
        <x:v>5108.9533733317585</x:v>
      </x:c>
      <x:c r="BO40" t="n">
        <x:f>'LMAT Model'!$B$94</x:f>
        <x:v>178</x:v>
      </x:c>
      <x:c r="BP40" t="n">
        <x:f>'Inputs'!$B$8</x:f>
        <x:v>23.088</x:v>
      </x:c>
    </x:row>
    <x:row r="41">
      <x:c r="A41" t="str">
        <x:v>LMAT</x:v>
      </x:c>
      <x:c r="B41" s="22" t="n">
        <x:v>0.39</x:v>
      </x:c>
      <x:c r="C41" s="42" t="n">
        <x:f>MIN((BN41+BO41)/BP41,(BN41+BO41+'Inputs'!$B$7)/(BP41+'Inputs'!$B$19))</x:f>
        <x:v>232.77329036636613</x:v>
      </x:c>
      <x:c r="D41" s="22" t="n">
        <x:f>C41/'Inputs'!$B$5-1</x:f>
        <x:v>1.885500066522451</x:v>
      </x:c>
      <x:c r="E41" t="n">
        <x:f>'Inputs'!$B$14*(1+$B41)^1</x:f>
        <x:v>384.0570000000001</x:v>
      </x:c>
      <x:c r="F41" t="n">
        <x:f>'Inputs'!$B$14*(1+$B41)^2</x:f>
        <x:v>533.8392300000002</x:v>
      </x:c>
      <x:c r="G41" t="n">
        <x:f>'Inputs'!$B$14*(1+$B41)^3</x:f>
        <x:v>742.0365297000003</x:v>
      </x:c>
      <x:c r="H41" t="n">
        <x:f>'Inputs'!$B$14*(1+$B41)^4</x:f>
        <x:v>1031.4307762830003</x:v>
      </x:c>
      <x:c r="I41" t="n">
        <x:f>'Inputs'!$B$14*(1+$B41)^5</x:f>
        <x:v>1433.6887790333708</x:v>
      </x:c>
      <x:c r="J41" t="n">
        <x:f>I41*(1+($BG41+('Assumptions'!$D$3-$BG41)*(6-5)/5))</x:f>
        <x:v>1889.6018107659831</x:v>
      </x:c>
      <x:c r="K41" t="n">
        <x:f>J41*(1+($BG41+('Assumptions'!$D$3-$BG41)*(7-5)/5))</x:f>
        <x:v>2354.4438562144155</x:v>
      </x:c>
      <x:c r="L41" t="n">
        <x:f>K41*(1+($BG41+('Assumptions'!$D$3-$BG41)*(8-5)/5))</x:f>
        <x:v>2764.1170871957243</x:v>
      </x:c>
      <x:c r="M41" t="n">
        <x:f>L41*(1+($BG41+('Assumptions'!$D$3-$BG41)*(9-5)/5))</x:f>
        <x:v>3046.0570300896884</x:v>
      </x:c>
      <x:c r="N41" t="n">
        <x:f>M41*(1+($BG41+('Assumptions'!$D$3-$BG41)*(10-5)/5))</x:f>
        <x:v>3137.4387409923793</x:v>
      </x:c>
      <x:c r="O41" t="n">
        <x:f>0</x:f>
        <x:v>0</x:v>
      </x:c>
      <x:c r="P41" t="n">
        <x:f>0</x:f>
        <x:v>0</x:v>
      </x:c>
      <x:c r="Q41" t="n">
        <x:f>0</x:f>
        <x:v>0</x:v>
      </x:c>
      <x:c r="R41" t="n">
        <x:f>0</x:f>
        <x:v>0</x:v>
      </x:c>
      <x:c r="S41" t="n">
        <x:f>0</x:f>
        <x:v>0</x:v>
      </x:c>
      <x:c r="T41" t="n">
        <x:f>S41*(1+($BG41+('Assumptions'!$D$3-$BG41)*(6-5)/5))</x:f>
        <x:v>0</x:v>
      </x:c>
      <x:c r="U41" t="n">
        <x:f>T41*(1+($BG41+('Assumptions'!$D$3-$BG41)*(7-5)/5))</x:f>
        <x:v>0</x:v>
      </x:c>
      <x:c r="V41" t="n">
        <x:f>U41*(1+($BG41+('Assumptions'!$D$3-$BG41)*(8-5)/5))</x:f>
        <x:v>0</x:v>
      </x:c>
      <x:c r="W41" t="n">
        <x:f>V41*(1+($BG41+('Assumptions'!$D$3-$BG41)*(9-5)/5))</x:f>
        <x:v>0</x:v>
      </x:c>
      <x:c r="X41" t="n">
        <x:f>W41*(1+($BG41+('Assumptions'!$D$3-$BG41)*(10-5)/5))</x:f>
        <x:v>0</x:v>
      </x:c>
      <x:c r="Y41" t="n">
        <x:f>E41*'LMAT Model'!$B$62+O41*'LMAT Model'!$B$63+'LMAT Model'!$B$73+'LMAT Model'!$B$74</x:f>
        <x:v>107.53596000000003</x:v>
      </x:c>
      <x:c r="Z41" t="n">
        <x:f>F41*'LMAT Model'!$C$62+P41*'LMAT Model'!$C$63+'LMAT Model'!$C$73+'LMAT Model'!$C$74</x:f>
        <x:v>154.81337670000005</x:v>
      </x:c>
      <x:c r="AA41" t="n">
        <x:f>G41*'LMAT Model'!$D$62+Q41*'LMAT Model'!$D$63+'LMAT Model'!$D$73+'LMAT Model'!$D$74</x:f>
        <x:v>222.61095891000008</x:v>
      </x:c>
      <x:c r="AB41" t="n">
        <x:f>H41*'LMAT Model'!$E$62+R41*'LMAT Model'!$E$63+'LMAT Model'!$E$73+'LMAT Model'!$E$74</x:f>
        <x:v>314.5863867663151</x:v>
      </x:c>
      <x:c r="AC41" t="n">
        <x:f>I41*'LMAT Model'!$F$62+S41*'LMAT Model'!$F$63+'LMAT Model'!$F$73+'LMAT Model'!$F$74</x:f>
        <x:v>444.44352150034496</x:v>
      </x:c>
      <x:c r="AD41" t="n">
        <x:f>AX41*$AC41/$AW41</x:f>
        <x:v>585.7765613374547</x:v>
      </x:c>
      <x:c r="AE41" t="n">
        <x:f>AY41*$AC41/$AW41</x:f>
        <x:v>729.8775954264688</x:v>
      </x:c>
      <x:c r="AF41" t="n">
        <x:f>AZ41*$AC41/$AW41</x:f>
        <x:v>856.8762970306746</x:v>
      </x:c>
      <x:c r="AG41" t="n">
        <x:f>BA41*$AC41/$AW41</x:f>
        <x:v>944.2776793278035</x:v>
      </x:c>
      <x:c r="AH41" t="n">
        <x:f>BB41*$AC41/$AW41</x:f>
        <x:v>972.6060097076377</x:v>
      </x:c>
      <x:c r="AI41" t="n">
        <x:f>Y41*(1-'Assumptions'!$F$3)+AS41*'Assumptions'!$G$3-AS41*'LMAT Model'!$B$65-(AS41-'Inputs'!$B$14)*'Assumptions'!$H$3-'Assumptions'!$I$3</x:f>
        <x:v>52.02293460000001</x:v>
      </x:c>
      <x:c r="AJ41" t="n">
        <x:f>Z41*(1-'Assumptions'!$F$3)+AT41*'Assumptions'!$G$3-AT41*'LMAT Model'!$C$65-(AT41-AS41)*'Assumptions'!$H$3-0</x:f>
        <x:v>80.53905724200001</x:v>
      </x:c>
      <x:c r="AK41" t="n">
        <x:f>AA41*(1-'Assumptions'!$F$3)+AU41*'Assumptions'!$G$3-AU41*'LMAT Model'!$D$65-(AU41-AT41)*'Assumptions'!$H$3-0</x:f>
        <x:v>117.58876719210004</x:v>
      </x:c>
      <x:c r="AL41" t="n">
        <x:f>AB41*(1-'Assumptions'!$F$3)+AV41*'Assumptions'!$G$3-AV41*'LMAT Model'!$E$65-(AV41-AU41)*'Assumptions'!$H$3-0</x:f>
        <x:v>167.36782334689445</x:v>
      </x:c>
      <x:c r="AM41" t="n">
        <x:f>AC41*(1-'Assumptions'!$F$3)+AW41*'Assumptions'!$G$3-AW41*'LMAT Model'!$F$65-(AW41-AV41)*'Assumptions'!$H$3-0</x:f>
        <x:v>238.0892918125101</x:v>
      </x:c>
      <x:c r="AN41" t="n">
        <x:f>AD41*(1-'Assumptions'!$F$3)+AX41*'Assumptions'!$G$3-AX41*'LMAT Model'!$G$65-(AX41-AW41)*'Assumptions'!$H$3-0</x:f>
        <x:v>330.8821802641349</x:v>
      </x:c>
      <x:c r="AO41" t="n">
        <x:f>AE41*(1-'Assumptions'!$F$3)+AY41*'Assumptions'!$G$3-AY41*'LMAT Model'!$H$65-(AY41-AX41)*'Assumptions'!$H$3-0</x:f>
        <x:v>436.0210827899047</x:v>
      </x:c>
      <x:c r="AP41" t="n">
        <x:f>AF41*(1-'Assumptions'!$F$3)+AZ41*'Assumptions'!$G$3-AZ41*'LMAT Model'!$I$65-(AZ41-AY41)*'Assumptions'!$H$3-0</x:f>
        <x:v>543.180557181633</x:v>
      </x:c>
      <x:c r="AQ41" t="n">
        <x:f>AG41*(1-'Assumptions'!$F$3)+BA41*'Assumptions'!$G$3-BA41*'LMAT Model'!$J$65-(BA41-AZ41)*'Assumptions'!$H$3-0</x:f>
        <x:v>637.5745642730706</x:v>
      </x:c>
      <x:c r="AR41" t="n">
        <x:f>AH41*(1-'Assumptions'!$F$3)+BB41*'Assumptions'!$G$3-BB41*'LMAT Model'!$K$65-(BB41-BA41)*'Assumptions'!$H$3-0</x:f>
        <x:v>702.4755801652238</x:v>
      </x:c>
      <x:c r="AS41" t="n">
        <x:f>E41+O41</x:f>
        <x:v>384.0570000000001</x:v>
      </x:c>
      <x:c r="AT41" t="n">
        <x:f>F41+P41</x:f>
        <x:v>533.8392300000002</x:v>
      </x:c>
      <x:c r="AU41" t="n">
        <x:f>G41+Q41</x:f>
        <x:v>742.0365297000003</x:v>
      </x:c>
      <x:c r="AV41" t="n">
        <x:f>H41+R41</x:f>
        <x:v>1031.4307762830003</x:v>
      </x:c>
      <x:c r="AW41" t="n">
        <x:f>I41+S41</x:f>
        <x:v>1433.6887790333708</x:v>
      </x:c>
      <x:c r="AX41" t="n">
        <x:f>J41+T41</x:f>
        <x:v>1889.6018107659831</x:v>
      </x:c>
      <x:c r="AY41" t="n">
        <x:f>K41+U41</x:f>
        <x:v>2354.4438562144155</x:v>
      </x:c>
      <x:c r="AZ41" t="n">
        <x:f>L41+V41</x:f>
        <x:v>2764.1170871957243</x:v>
      </x:c>
      <x:c r="BA41" t="n">
        <x:f>M41+W41</x:f>
        <x:v>3046.0570300896884</x:v>
      </x:c>
      <x:c r="BB41" t="n">
        <x:f>N41+X41</x:f>
        <x:v>3137.4387409923793</x:v>
      </x:c>
      <x:c r="BC41" t="n">
        <x:f>AS41/'Inputs'!$B$14-1</x:f>
        <x:v>0.3900000000000001</x:v>
      </x:c>
      <x:c r="BD41" t="n">
        <x:f>AT41/AS41-1</x:f>
        <x:v>0.3900000000000001</x:v>
      </x:c>
      <x:c r="BE41" t="n">
        <x:f>AU41/AT41-1</x:f>
        <x:v>0.3900000000000001</x:v>
      </x:c>
      <x:c r="BF41" t="n">
        <x:f>AV41/AU41-1</x:f>
        <x:v>0.3899999999999999</x:v>
      </x:c>
      <x:c r="BG41" t="n">
        <x:f>AW41/AV41-1</x:f>
        <x:v>0.39000000000000035</x:v>
      </x:c>
      <x:c r="BH41" t="n">
        <x:f>AX41/AW41-1</x:f>
        <x:v>0.3180000000000003</x:v>
      </x:c>
      <x:c r="BI41" t="n">
        <x:f>AY41/AX41-1</x:f>
        <x:v>0.24600000000000022</x:v>
      </x:c>
      <x:c r="BJ41" t="n">
        <x:f>AZ41/AY41-1</x:f>
        <x:v>0.17400000000000015</x:v>
      </x:c>
      <x:c r="BK41" t="n">
        <x:f>BA41/AZ41-1</x:f>
        <x:v>0.10200000000000009</x:v>
      </x:c>
      <x:c r="BL41" t="n">
        <x:f>BB41/BA41-1</x:f>
        <x:v>0.030000000000000027</x:v>
      </x:c>
      <x:c r="BM41" t="n">
        <x:f>AH41*(1-'Assumptions'!$F$3)*(1+'Assumptions'!$D$3)*(1-'Assumptions'!$D$3/'Assumptions'!$E$3)</x:f>
        <x:v>669.9932662712422</x:v>
      </x:c>
      <x:c r="BN41" t="n">
        <x:f>SUMPRODUCT(AI41:AR41,'LMAT Model'!$B$83:$K$83)+BM41/('Assumptions'!$C$3-'Assumptions'!$D$3)*'LMAT Model'!$K$83</x:f>
        <x:v>5359.661585977328</x:v>
      </x:c>
      <x:c r="BO41" t="n">
        <x:f>'LMAT Model'!$B$94</x:f>
        <x:v>178</x:v>
      </x:c>
      <x:c r="BP41" t="n">
        <x:f>'Inputs'!$B$8</x:f>
        <x:v>23.088</x:v>
      </x:c>
    </x:row>
    <x:row r="42">
      <x:c r="A42" t="str">
        <x:v>LMAT</x:v>
      </x:c>
      <x:c r="B42" s="22" t="n">
        <x:v>0.4</x:v>
      </x:c>
      <x:c r="C42" s="42" t="n">
        <x:f>MIN((BN42+BO42)/BP42,(BN42+BO42+'Inputs'!$B$7)/(BP42+'Inputs'!$B$19))</x:f>
        <x:v>243.44785898726516</x:v>
      </x:c>
      <x:c r="D42" s="22" t="n">
        <x:f>C42/'Inputs'!$B$5-1</x:f>
        <x:v>2.0178239616618963</x:v>
      </x:c>
      <x:c r="E42" t="n">
        <x:f>'Inputs'!$B$14*(1+$B42)^1</x:f>
        <x:v>386.82</x:v>
      </x:c>
      <x:c r="F42" t="n">
        <x:f>'Inputs'!$B$14*(1+$B42)^2</x:f>
        <x:v>541.548</x:v>
      </x:c>
      <x:c r="G42" t="n">
        <x:f>'Inputs'!$B$14*(1+$B42)^3</x:f>
        <x:v>758.1671999999999</x:v>
      </x:c>
      <x:c r="H42" t="n">
        <x:f>'Inputs'!$B$14*(1+$B42)^4</x:f>
        <x:v>1061.4340799999998</x:v>
      </x:c>
      <x:c r="I42" t="n">
        <x:f>'Inputs'!$B$14*(1+$B42)^5</x:f>
        <x:v>1486.0077119999996</x:v>
      </x:c>
      <x:c r="J42" t="n">
        <x:f>I42*(1+($BG42+('Assumptions'!$D$3-$BG42)*(6-5)/5))</x:f>
        <x:v>1970.4462261119995</x:v>
      </x:c>
      <x:c r="K42" t="n">
        <x:f>J42*(1+($BG42+('Assumptions'!$D$3-$BG42)*(7-5)/5))</x:f>
        <x:v>2466.9986750922235</x:v>
      </x:c>
      <x:c r="L42" t="n">
        <x:f>K42*(1+($BG42+('Assumptions'!$D$3-$BG42)*(8-5)/5))</x:f>
        <x:v>2906.124439258639</x:v>
      </x:c>
      <x:c r="M42" t="n">
        <x:f>L42*(1+($BG42+('Assumptions'!$D$3-$BG42)*(9-5)/5))</x:f>
        <x:v>3208.361380941538</x:v>
      </x:c>
      <x:c r="N42" t="n">
        <x:f>M42*(1+($BG42+('Assumptions'!$D$3-$BG42)*(10-5)/5))</x:f>
        <x:v>3304.612222369784</x:v>
      </x:c>
      <x:c r="O42" t="n">
        <x:f>0</x:f>
        <x:v>0</x:v>
      </x:c>
      <x:c r="P42" t="n">
        <x:f>0</x:f>
        <x:v>0</x:v>
      </x:c>
      <x:c r="Q42" t="n">
        <x:f>0</x:f>
        <x:v>0</x:v>
      </x:c>
      <x:c r="R42" t="n">
        <x:f>0</x:f>
        <x:v>0</x:v>
      </x:c>
      <x:c r="S42" t="n">
        <x:f>0</x:f>
        <x:v>0</x:v>
      </x:c>
      <x:c r="T42" t="n">
        <x:f>S42*(1+($BG42+('Assumptions'!$D$3-$BG42)*(6-5)/5))</x:f>
        <x:v>0</x:v>
      </x:c>
      <x:c r="U42" t="n">
        <x:f>T42*(1+($BG42+('Assumptions'!$D$3-$BG42)*(7-5)/5))</x:f>
        <x:v>0</x:v>
      </x:c>
      <x:c r="V42" t="n">
        <x:f>U42*(1+($BG42+('Assumptions'!$D$3-$BG42)*(8-5)/5))</x:f>
        <x:v>0</x:v>
      </x:c>
      <x:c r="W42" t="n">
        <x:f>V42*(1+($BG42+('Assumptions'!$D$3-$BG42)*(9-5)/5))</x:f>
        <x:v>0</x:v>
      </x:c>
      <x:c r="X42" t="n">
        <x:f>W42*(1+($BG42+('Assumptions'!$D$3-$BG42)*(10-5)/5))</x:f>
        <x:v>0</x:v>
      </x:c>
      <x:c r="Y42" t="n">
        <x:f>E42*'LMAT Model'!$B$62+O42*'LMAT Model'!$B$63+'LMAT Model'!$B$73+'LMAT Model'!$B$74</x:f>
        <x:v>108.3096</x:v>
      </x:c>
      <x:c r="Z42" t="n">
        <x:f>F42*'LMAT Model'!$C$62+P42*'LMAT Model'!$C$63+'LMAT Model'!$C$73+'LMAT Model'!$C$74</x:f>
        <x:v>157.04891999999998</x:v>
      </x:c>
      <x:c r="AA42" t="n">
        <x:f>G42*'LMAT Model'!$D$62+Q42*'LMAT Model'!$D$63+'LMAT Model'!$D$73+'LMAT Model'!$D$74</x:f>
        <x:v>227.45015999999995</x:v>
      </x:c>
      <x:c r="AB42" t="n">
        <x:f>H42*'LMAT Model'!$E$62+R42*'LMAT Model'!$E$63+'LMAT Model'!$E$73+'LMAT Model'!$E$74</x:f>
        <x:v>323.7373943999999</x:v>
      </x:c>
      <x:c r="AC42" t="n">
        <x:f>I42*'LMAT Model'!$F$62+S42*'LMAT Model'!$F$63+'LMAT Model'!$F$73+'LMAT Model'!$F$74</x:f>
        <x:v>460.6623907199999</x:v>
      </x:c>
      <x:c r="AD42" t="n">
        <x:f>AX42*$AC42/$AW42</x:f>
        <x:v>610.8383300947199</x:v>
      </x:c>
      <x:c r="AE42" t="n">
        <x:f>AY42*$AC42/$AW42</x:f>
        <x:v>764.7695892785894</x:v>
      </x:c>
      <x:c r="AF42" t="n">
        <x:f>AZ42*$AC42/$AW42</x:f>
        <x:v>900.8985761701781</x:v>
      </x:c>
      <x:c r="AG42" t="n">
        <x:f>BA42*$AC42/$AW42</x:f>
        <x:v>994.5920280918767</x:v>
      </x:c>
      <x:c r="AH42" t="n">
        <x:f>BB42*$AC42/$AW42</x:f>
        <x:v>1024.429788934633</x:v>
      </x:c>
      <x:c r="AI42" t="n">
        <x:f>Y42*(1-'Assumptions'!$F$3)+AS42*'Assumptions'!$G$3-AS42*'LMAT Model'!$B$65-(AS42-'Inputs'!$B$14)*'Assumptions'!$H$3-'Assumptions'!$I$3</x:f>
        <x:v>51.96159600000002</x:v>
      </x:c>
      <x:c r="AJ42" t="n">
        <x:f>Z42*(1-'Assumptions'!$F$3)+AT42*'Assumptions'!$G$3-AT42*'LMAT Model'!$C$65-(AT42-AS42)*'Assumptions'!$H$3-0</x:f>
        <x:v>81.06199919999999</x:v>
      </x:c>
      <x:c r="AK42" t="n">
        <x:f>AA42*(1-'Assumptions'!$F$3)+AU42*'Assumptions'!$G$3-AU42*'LMAT Model'!$D$65-(AU42-AT42)*'Assumptions'!$H$3-0</x:f>
        <x:v>119.2488696</x:v>
      </x:c>
      <x:c r="AL42" t="n">
        <x:f>AB42*(1-'Assumptions'!$F$3)+AV42*'Assumptions'!$G$3-AV42*'LMAT Model'!$E$65-(AV42-AU42)*'Assumptions'!$H$3-0</x:f>
        <x:v>170.98186694399996</x:v>
      </x:c>
      <x:c r="AM42" t="n">
        <x:f>AC42*(1-'Assumptions'!$F$3)+AW42*'Assumptions'!$G$3-AW42*'LMAT Model'!$F$65-(AW42-AV42)*'Assumptions'!$H$3-0</x:f>
        <x:v>245.02144302719995</x:v>
      </x:c>
      <x:c r="AN42" t="n">
        <x:f>AD42*(1-'Assumptions'!$F$3)+AX42*'Assumptions'!$G$3-AX42*'LMAT Model'!$G$65-(AX42-AW42)*'Assumptions'!$H$3-0</x:f>
        <x:v>342.9640414956672</x:v>
      </x:c>
      <x:c r="AO42" t="n">
        <x:f>AE42*(1-'Assumptions'!$F$3)+AY42*'Assumptions'!$G$3-AY42*'LMAT Model'!$H$65-(AY42-AX42)*'Assumptions'!$H$3-0</x:f>
        <x:v>454.68283121081527</x:v>
      </x:c>
      <x:c r="AP42" t="n">
        <x:f>AF42*(1-'Assumptions'!$F$3)+AZ42*'Assumptions'!$G$3-AZ42*'LMAT Model'!$I$65-(AZ42-AY42)*'Assumptions'!$H$3-0</x:f>
        <x:v>569.1533699347666</x:v>
      </x:c>
      <x:c r="AQ42" t="n">
        <x:f>AG42*(1-'Assumptions'!$F$3)+BA42*'Assumptions'!$G$3-BA42*'LMAT Model'!$J$65-(BA42-AZ42)*'Assumptions'!$H$3-0</x:f>
        <x:v>670.3336378580519</x:v>
      </x:c>
      <x:c r="AR42" t="n">
        <x:f>AH42*(1-'Assumptions'!$F$3)+BB42*'Assumptions'!$G$3-BB42*'LMAT Model'!$K$65-(BB42-BA42)*'Assumptions'!$H$3-0</x:f>
        <x:v>739.9058849499756</x:v>
      </x:c>
      <x:c r="AS42" t="n">
        <x:f>E42+O42</x:f>
        <x:v>386.82</x:v>
      </x:c>
      <x:c r="AT42" t="n">
        <x:f>F42+P42</x:f>
        <x:v>541.548</x:v>
      </x:c>
      <x:c r="AU42" t="n">
        <x:f>G42+Q42</x:f>
        <x:v>758.1671999999999</x:v>
      </x:c>
      <x:c r="AV42" t="n">
        <x:f>H42+R42</x:f>
        <x:v>1061.4340799999998</x:v>
      </x:c>
      <x:c r="AW42" t="n">
        <x:f>I42+S42</x:f>
        <x:v>1486.0077119999996</x:v>
      </x:c>
      <x:c r="AX42" t="n">
        <x:f>J42+T42</x:f>
        <x:v>1970.4462261119995</x:v>
      </x:c>
      <x:c r="AY42" t="n">
        <x:f>K42+U42</x:f>
        <x:v>2466.9986750922235</x:v>
      </x:c>
      <x:c r="AZ42" t="n">
        <x:f>L42+V42</x:f>
        <x:v>2906.124439258639</x:v>
      </x:c>
      <x:c r="BA42" t="n">
        <x:f>M42+W42</x:f>
        <x:v>3208.361380941538</x:v>
      </x:c>
      <x:c r="BB42" t="n">
        <x:f>N42+X42</x:f>
        <x:v>3304.612222369784</x:v>
      </x:c>
      <x:c r="BC42" t="n">
        <x:f>AS42/'Inputs'!$B$14-1</x:f>
        <x:v>0.3999999999999999</x:v>
      </x:c>
      <x:c r="BD42" t="n">
        <x:f>AT42/AS42-1</x:f>
        <x:v>0.40000000000000013</x:v>
      </x:c>
      <x:c r="BE42" t="n">
        <x:f>AU42/AT42-1</x:f>
        <x:v>0.3999999999999997</x:v>
      </x:c>
      <x:c r="BF42" t="n">
        <x:f>AV42/AU42-1</x:f>
        <x:v>0.3999999999999999</x:v>
      </x:c>
      <x:c r="BG42" t="n">
        <x:f>AW42/AV42-1</x:f>
        <x:v>0.3999999999999999</x:v>
      </x:c>
      <x:c r="BH42" t="n">
        <x:f>AX42/AW42-1</x:f>
        <x:v>0.32600000000000007</x:v>
      </x:c>
      <x:c r="BI42" t="n">
        <x:f>AY42/AX42-1</x:f>
        <x:v>0.252</x:v>
      </x:c>
      <x:c r="BJ42" t="n">
        <x:f>AZ42/AY42-1</x:f>
        <x:v>0.17799999999999994</x:v>
      </x:c>
      <x:c r="BK42" t="n">
        <x:f>BA42/AZ42-1</x:f>
        <x:v>0.10400000000000009</x:v>
      </x:c>
      <x:c r="BL42" t="n">
        <x:f>BB42/BA42-1</x:f>
        <x:v>0.030000000000000027</x:v>
      </x:c>
      <x:c r="BM42" t="n">
        <x:f>AH42*(1-'Assumptions'!$F$3)*(1+'Assumptions'!$D$3)*(1-'Assumptions'!$D$3/'Assumptions'!$E$3)</x:f>
        <x:v>705.6928021246671</x:v>
      </x:c>
      <x:c r="BN42" t="n">
        <x:f>SUMPRODUCT(AI42:AR42,'LMAT Model'!$B$83:$K$83)+BM42/('Assumptions'!$C$3-'Assumptions'!$D$3)*'LMAT Model'!$K$83</x:f>
        <x:v>5621.519428816602</x:v>
      </x:c>
      <x:c r="BO42" t="n">
        <x:f>'LMAT Model'!$B$94</x:f>
        <x:v>178</x:v>
      </x:c>
      <x:c r="BP42" t="n">
        <x:f>'Inputs'!$B$8</x:f>
        <x:v>23.088</x:v>
      </x:c>
    </x:row>
    <x:row r="43">
      <x:c r="A43" t="str">
        <x:v>LMAT</x:v>
      </x:c>
      <x:c r="B43" s="22" t="n">
        <x:v>0.41</x:v>
      </x:c>
      <x:c r="C43" s="42" t="n">
        <x:f>MIN((BN43+BO43)/BP43,(BN43+BO43+'Inputs'!$B$7)/(BP43+'Inputs'!$B$19))</x:f>
        <x:v>254.5944899504698</x:v>
      </x:c>
      <x:c r="D43" s="22" t="n">
        <x:f>C43/'Inputs'!$B$5-1</x:f>
        <x:v>2.1559996275005555</x:v>
      </x:c>
      <x:c r="E43" t="n">
        <x:f>'Inputs'!$B$14*(1+$B43)^1</x:f>
        <x:v>389.58299999999997</x:v>
      </x:c>
      <x:c r="F43" t="n">
        <x:f>'Inputs'!$B$14*(1+$B43)^2</x:f>
        <x:v>549.3120299999999</x:v>
      </x:c>
      <x:c r="G43" t="n">
        <x:f>'Inputs'!$B$14*(1+$B43)^3</x:f>
        <x:v>774.5299622999999</x:v>
      </x:c>
      <x:c r="H43" t="n">
        <x:f>'Inputs'!$B$14*(1+$B43)^4</x:f>
        <x:v>1092.0872468429998</x:v>
      </x:c>
      <x:c r="I43" t="n">
        <x:f>'Inputs'!$B$14*(1+$B43)^5</x:f>
        <x:v>1539.8430180486296</x:v>
      </x:c>
      <x:c r="J43" t="n">
        <x:f>I43*(1+($BG43+('Assumptions'!$D$3-$BG43)*(6-5)/5))</x:f>
        <x:v>2054.150586076872</x:v>
      </x:c>
      <x:c r="K43" t="n">
        <x:f>J43*(1+($BG43+('Assumptions'!$D$3-$BG43)*(7-5)/5))</x:f>
        <x:v>2584.1214372847053</x:v>
      </x:c>
      <x:c r="L43" t="n">
        <x:f>K43*(1+($BG43+('Assumptions'!$D$3-$BG43)*(8-5)/5))</x:f>
        <x:v>3054.4315388705213</x:v>
      </x:c>
      <x:c r="M43" t="n">
        <x:f>L43*(1+($BG43+('Assumptions'!$D$3-$BG43)*(9-5)/5))</x:f>
        <x:v>3378.2012819907964</x:v>
      </x:c>
      <x:c r="N43" t="n">
        <x:f>M43*(1+($BG43+('Assumptions'!$D$3-$BG43)*(10-5)/5))</x:f>
        <x:v>3479.54732045052</x:v>
      </x:c>
      <x:c r="O43" t="n">
        <x:f>0</x:f>
        <x:v>0</x:v>
      </x:c>
      <x:c r="P43" t="n">
        <x:f>0</x:f>
        <x:v>0</x:v>
      </x:c>
      <x:c r="Q43" t="n">
        <x:f>0</x:f>
        <x:v>0</x:v>
      </x:c>
      <x:c r="R43" t="n">
        <x:f>0</x:f>
        <x:v>0</x:v>
      </x:c>
      <x:c r="S43" t="n">
        <x:f>0</x:f>
        <x:v>0</x:v>
      </x:c>
      <x:c r="T43" t="n">
        <x:f>S43*(1+($BG43+('Assumptions'!$D$3-$BG43)*(6-5)/5))</x:f>
        <x:v>0</x:v>
      </x:c>
      <x:c r="U43" t="n">
        <x:f>T43*(1+($BG43+('Assumptions'!$D$3-$BG43)*(7-5)/5))</x:f>
        <x:v>0</x:v>
      </x:c>
      <x:c r="V43" t="n">
        <x:f>U43*(1+($BG43+('Assumptions'!$D$3-$BG43)*(8-5)/5))</x:f>
        <x:v>0</x:v>
      </x:c>
      <x:c r="W43" t="n">
        <x:f>V43*(1+($BG43+('Assumptions'!$D$3-$BG43)*(9-5)/5))</x:f>
        <x:v>0</x:v>
      </x:c>
      <x:c r="X43" t="n">
        <x:f>W43*(1+($BG43+('Assumptions'!$D$3-$BG43)*(10-5)/5))</x:f>
        <x:v>0</x:v>
      </x:c>
      <x:c r="Y43" t="n">
        <x:f>E43*'LMAT Model'!$B$62+O43*'LMAT Model'!$B$63+'LMAT Model'!$B$73+'LMAT Model'!$B$74</x:f>
        <x:v>109.08324</x:v>
      </x:c>
      <x:c r="Z43" t="n">
        <x:f>F43*'LMAT Model'!$C$62+P43*'LMAT Model'!$C$63+'LMAT Model'!$C$73+'LMAT Model'!$C$74</x:f>
        <x:v>159.30048869999996</x:v>
      </x:c>
      <x:c r="AA43" t="n">
        <x:f>G43*'LMAT Model'!$D$62+Q43*'LMAT Model'!$D$63+'LMAT Model'!$D$73+'LMAT Model'!$D$74</x:f>
        <x:v>232.35898868999993</x:v>
      </x:c>
      <x:c r="AB43" t="n">
        <x:f>H43*'LMAT Model'!$E$62+R43*'LMAT Model'!$E$63+'LMAT Model'!$E$73+'LMAT Model'!$E$74</x:f>
        <x:v>333.0866102871149</x:v>
      </x:c>
      <x:c r="AC43" t="n">
        <x:f>I43*'LMAT Model'!$F$62+S43*'LMAT Model'!$F$63+'LMAT Model'!$F$73+'LMAT Model'!$F$74</x:f>
        <x:v>477.35133559507517</x:v>
      </x:c>
      <x:c r="AD43" t="n">
        <x:f>AX43*$AC43/$AW43</x:f>
        <x:v>636.7866816838304</x:v>
      </x:c>
      <x:c r="AE43" t="n">
        <x:f>AY43*$AC43/$AW43</x:f>
        <x:v>801.0776455582586</x:v>
      </x:c>
      <x:c r="AF43" t="n">
        <x:f>AZ43*$AC43/$AW43</x:f>
        <x:v>946.8737770498617</x:v>
      </x:c>
      <x:c r="AG43" t="n">
        <x:f>BA43*$AC43/$AW43</x:f>
        <x:v>1047.2423974171468</x:v>
      </x:c>
      <x:c r="AH43" t="n">
        <x:f>BB43*$AC43/$AW43</x:f>
        <x:v>1078.6596693396611</x:v>
      </x:c>
      <x:c r="AI43" t="n">
        <x:f>Y43*(1-'Assumptions'!$F$3)+AS43*'Assumptions'!$G$3-AS43*'LMAT Model'!$B$65-(AS43-'Inputs'!$B$14)*'Assumptions'!$H$3-'Assumptions'!$I$3</x:f>
        <x:v>51.900257400000015</x:v>
      </x:c>
      <x:c r="AJ43" t="n">
        <x:f>Z43*(1-'Assumptions'!$F$3)+AT43*'Assumptions'!$G$3-AT43*'LMAT Model'!$C$65-(AT43-AS43)*'Assumptions'!$H$3-0</x:f>
        <x:v>81.58413436199999</x:v>
      </x:c>
      <x:c r="AK43" t="n">
        <x:f>AA43*(1-'Assumptions'!$F$3)+AU43*'Assumptions'!$G$3-AU43*'LMAT Model'!$D$65-(AU43-AT43)*'Assumptions'!$H$3-0</x:f>
        <x:v>120.92005716389997</x:v>
      </x:c>
      <x:c r="AL43" t="n">
        <x:f>AB43*(1-'Assumptions'!$F$3)+AV43*'Assumptions'!$G$3-AV43*'LMAT Model'!$E$65-(AV43-AU43)*'Assumptions'!$H$3-0</x:f>
        <x:v>174.64721213910232</x:v>
      </x:c>
      <x:c r="AM43" t="n">
        <x:f>AC43*(1-'Assumptions'!$F$3)+AW43*'Assumptions'!$G$3-AW43*'LMAT Model'!$F$65-(AW43-AV43)*'Assumptions'!$H$3-0</x:f>
        <x:v>252.1039725847191</x:v>
      </x:c>
      <x:c r="AN43" t="n">
        <x:f>AD43*(1-'Assumptions'!$F$3)+AX43*'Assumptions'!$G$3-AX43*'LMAT Model'!$G$65-(AX43-AW43)*'Assumptions'!$H$3-0</x:f>
        <x:v>355.39638450283087</x:v>
      </x:c>
      <x:c r="AO43" t="n">
        <x:f>AE43*(1-'Assumptions'!$F$3)+AY43*'Assumptions'!$G$3-AY43*'LMAT Model'!$H$65-(AY43-AX43)*'Assumptions'!$H$3-0</x:f>
        <x:v>474.0051076600514</x:v>
      </x:c>
      <x:c r="AP43" t="n">
        <x:f>AF43*(1-'Assumptions'!$F$3)+AZ43*'Assumptions'!$G$3-AZ43*'LMAT Model'!$I$65-(AZ43-AY43)*'Assumptions'!$H$3-0</x:f>
        <x:v>596.1805894988047</x:v>
      </x:c>
      <x:c r="AQ43" t="n">
        <x:f>AG43*(1-'Assumptions'!$F$3)+BA43*'Assumptions'!$G$3-BA43*'LMAT Model'!$J$65-(BA43-AZ43)*'Assumptions'!$H$3-0</x:f>
        <x:v>704.5461747094143</x:v>
      </x:c>
      <x:c r="AR43" t="n">
        <x:f>AH43*(1-'Assumptions'!$F$3)+BB43*'Assumptions'!$G$3-BB43*'LMAT Model'!$K$65-(BB43-BA43)*'Assumptions'!$H$3-0</x:f>
        <x:v>779.0740232501535</x:v>
      </x:c>
      <x:c r="AS43" t="n">
        <x:f>E43+O43</x:f>
        <x:v>389.58299999999997</x:v>
      </x:c>
      <x:c r="AT43" t="n">
        <x:f>F43+P43</x:f>
        <x:v>549.3120299999999</x:v>
      </x:c>
      <x:c r="AU43" t="n">
        <x:f>G43+Q43</x:f>
        <x:v>774.5299622999999</x:v>
      </x:c>
      <x:c r="AV43" t="n">
        <x:f>H43+R43</x:f>
        <x:v>1092.0872468429998</x:v>
      </x:c>
      <x:c r="AW43" t="n">
        <x:f>I43+S43</x:f>
        <x:v>1539.8430180486296</x:v>
      </x:c>
      <x:c r="AX43" t="n">
        <x:f>J43+T43</x:f>
        <x:v>2054.150586076872</x:v>
      </x:c>
      <x:c r="AY43" t="n">
        <x:f>K43+U43</x:f>
        <x:v>2584.1214372847053</x:v>
      </x:c>
      <x:c r="AZ43" t="n">
        <x:f>L43+V43</x:f>
        <x:v>3054.4315388705213</x:v>
      </x:c>
      <x:c r="BA43" t="n">
        <x:f>M43+W43</x:f>
        <x:v>3378.2012819907964</x:v>
      </x:c>
      <x:c r="BB43" t="n">
        <x:f>N43+X43</x:f>
        <x:v>3479.54732045052</x:v>
      </x:c>
      <x:c r="BC43" t="n">
        <x:f>AS43/'Inputs'!$B$14-1</x:f>
        <x:v>0.4099999999999999</x:v>
      </x:c>
      <x:c r="BD43" t="n">
        <x:f>AT43/AS43-1</x:f>
        <x:v>0.4099999999999999</x:v>
      </x:c>
      <x:c r="BE43" t="n">
        <x:f>AU43/AT43-1</x:f>
        <x:v>0.4099999999999999</x:v>
      </x:c>
      <x:c r="BF43" t="n">
        <x:f>AV43/AU43-1</x:f>
        <x:v>0.4099999999999999</x:v>
      </x:c>
      <x:c r="BG43" t="n">
        <x:f>AW43/AV43-1</x:f>
        <x:v>0.4099999999999999</x:v>
      </x:c>
      <x:c r="BH43" t="n">
        <x:f>AX43/AW43-1</x:f>
        <x:v>0.3340000000000001</x:v>
      </x:c>
      <x:c r="BI43" t="n">
        <x:f>AY43/AX43-1</x:f>
        <x:v>0.258</x:v>
      </x:c>
      <x:c r="BJ43" t="n">
        <x:f>AZ43/AY43-1</x:f>
        <x:v>0.18199999999999994</x:v>
      </x:c>
      <x:c r="BK43" t="n">
        <x:f>BA43/AZ43-1</x:f>
        <x:v>0.10599999999999987</x:v>
      </x:c>
      <x:c r="BL43" t="n">
        <x:f>BB43/BA43-1</x:f>
        <x:v>0.030000000000000027</x:v>
      </x:c>
      <x:c r="BM43" t="n">
        <x:f>AH43*(1-'Assumptions'!$F$3)*(1+'Assumptions'!$D$3)*(1-'Assumptions'!$D$3/'Assumptions'!$E$3)</x:f>
        <x:v>743.0498144599964</x:v>
      </x:c>
      <x:c r="BN43" t="n">
        <x:f>SUMPRODUCT(AI43:AR43,'LMAT Model'!$B$83:$K$83)+BM43/('Assumptions'!$C$3-'Assumptions'!$D$3)*'LMAT Model'!$K$83</x:f>
        <x:v>5894.957432974976</x:v>
      </x:c>
      <x:c r="BO43" t="n">
        <x:f>'LMAT Model'!$B$94</x:f>
        <x:v>178</x:v>
      </x:c>
      <x:c r="BP43" t="n">
        <x:f>'Inputs'!$B$8</x:f>
        <x:v>23.088</x:v>
      </x:c>
    </x:row>
    <x:row r="44">
      <x:c r="A44" t="str">
        <x:v>LMAT</x:v>
      </x:c>
      <x:c r="B44" s="22" t="n">
        <x:v>0.42</x:v>
      </x:c>
      <x:c r="C44" s="42" t="n">
        <x:f>MIN((BN44+BO44)/BP44,(BN44+BO44+'Inputs'!$B$7)/(BP44+'Inputs'!$B$19))</x:f>
        <x:v>266.2313049279488</x:v>
      </x:c>
      <x:c r="D44" s="22" t="n">
        <x:f>C44/'Inputs'!$B$5-1</x:f>
        <x:v>2.3002517035818624</x:v>
      </x:c>
      <x:c r="E44" t="n">
        <x:f>'Inputs'!$B$14*(1+$B44)^1</x:f>
        <x:v>392.346</x:v>
      </x:c>
      <x:c r="F44" t="n">
        <x:f>'Inputs'!$B$14*(1+$B44)^2</x:f>
        <x:v>557.13132</x:v>
      </x:c>
      <x:c r="G44" t="n">
        <x:f>'Inputs'!$B$14*(1+$B44)^3</x:f>
        <x:v>791.1264744</x:v>
      </x:c>
      <x:c r="H44" t="n">
        <x:f>'Inputs'!$B$14*(1+$B44)^4</x:f>
        <x:v>1123.3995936479998</x:v>
      </x:c>
      <x:c r="I44" t="n">
        <x:f>'Inputs'!$B$14*(1+$B44)^5</x:f>
        <x:v>1595.2274229801596</x:v>
      </x:c>
      <x:c r="J44" t="n">
        <x:f>I44*(1+($BG44+('Assumptions'!$D$3-$BG44)*(6-5)/5))</x:f>
        <x:v>2140.795201639374</x:v>
      </x:c>
      <x:c r="K44" t="n">
        <x:f>J44*(1+($BG44+('Assumptions'!$D$3-$BG44)*(7-5)/5))</x:f>
        <x:v>2705.965134872169</x:v>
      </x:c>
      <x:c r="L44" t="n">
        <x:f>K44*(1+($BG44+('Assumptions'!$D$3-$BG44)*(8-5)/5))</x:f>
        <x:v>3209.2746499583923</x:v>
      </x:c>
      <x:c r="M44" t="n">
        <x:f>L44*(1+($BG44+('Assumptions'!$D$3-$BG44)*(9-5)/5))</x:f>
        <x:v>3555.876312153899</x:v>
      </x:c>
      <x:c r="N44" t="n">
        <x:f>M44*(1+($BG44+('Assumptions'!$D$3-$BG44)*(10-5)/5))</x:f>
        <x:v>3662.552601518516</x:v>
      </x:c>
      <x:c r="O44" t="n">
        <x:f>0</x:f>
        <x:v>0</x:v>
      </x:c>
      <x:c r="P44" t="n">
        <x:f>0</x:f>
        <x:v>0</x:v>
      </x:c>
      <x:c r="Q44" t="n">
        <x:f>0</x:f>
        <x:v>0</x:v>
      </x:c>
      <x:c r="R44" t="n">
        <x:f>0</x:f>
        <x:v>0</x:v>
      </x:c>
      <x:c r="S44" t="n">
        <x:f>0</x:f>
        <x:v>0</x:v>
      </x:c>
      <x:c r="T44" t="n">
        <x:f>S44*(1+($BG44+('Assumptions'!$D$3-$BG44)*(6-5)/5))</x:f>
        <x:v>0</x:v>
      </x:c>
      <x:c r="U44" t="n">
        <x:f>T44*(1+($BG44+('Assumptions'!$D$3-$BG44)*(7-5)/5))</x:f>
        <x:v>0</x:v>
      </x:c>
      <x:c r="V44" t="n">
        <x:f>U44*(1+($BG44+('Assumptions'!$D$3-$BG44)*(8-5)/5))</x:f>
        <x:v>0</x:v>
      </x:c>
      <x:c r="W44" t="n">
        <x:f>V44*(1+($BG44+('Assumptions'!$D$3-$BG44)*(9-5)/5))</x:f>
        <x:v>0</x:v>
      </x:c>
      <x:c r="X44" t="n">
        <x:f>W44*(1+($BG44+('Assumptions'!$D$3-$BG44)*(10-5)/5))</x:f>
        <x:v>0</x:v>
      </x:c>
      <x:c r="Y44" t="n">
        <x:f>E44*'LMAT Model'!$B$62+O44*'LMAT Model'!$B$63+'LMAT Model'!$B$73+'LMAT Model'!$B$74</x:f>
        <x:v>109.85688000000002</x:v>
      </x:c>
      <x:c r="Z44" t="n">
        <x:f>F44*'LMAT Model'!$C$62+P44*'LMAT Model'!$C$63+'LMAT Model'!$C$73+'LMAT Model'!$C$74</x:f>
        <x:v>161.56808279999998</x:v>
      </x:c>
      <x:c r="AA44" t="n">
        <x:f>G44*'LMAT Model'!$D$62+Q44*'LMAT Model'!$D$63+'LMAT Model'!$D$73+'LMAT Model'!$D$74</x:f>
        <x:v>237.33794232</x:v>
      </x:c>
      <x:c r="AB44" t="n">
        <x:f>H44*'LMAT Model'!$E$62+R44*'LMAT Model'!$E$63+'LMAT Model'!$E$73+'LMAT Model'!$E$74</x:f>
        <x:v>342.63687606263994</x:v>
      </x:c>
      <x:c r="AC44" t="n">
        <x:f>I44*'LMAT Model'!$F$62+S44*'LMAT Model'!$F$63+'LMAT Model'!$F$73+'LMAT Model'!$F$74</x:f>
        <x:v>494.5205011238495</x:v>
      </x:c>
      <x:c r="AD44" t="n">
        <x:f>AX44*$AC44/$AW44</x:f>
        <x:v>663.6465125082061</x:v>
      </x:c>
      <x:c r="AE44" t="n">
        <x:f>AY44*$AC44/$AW44</x:f>
        <x:v>838.8491918103724</x:v>
      </x:c>
      <x:c r="AF44" t="n">
        <x:f>AZ44*$AC44/$AW44</x:f>
        <x:v>994.8751414871016</x:v>
      </x:c>
      <x:c r="AG44" t="n">
        <x:f>BA44*$AC44/$AW44</x:f>
        <x:v>1102.3216567677089</x:v>
      </x:c>
      <x:c r="AH44" t="n">
        <x:f>BB44*$AC44/$AW44</x:f>
        <x:v>1135.3913064707401</x:v>
      </x:c>
      <x:c r="AI44" t="n">
        <x:f>Y44*(1-'Assumptions'!$F$3)+AS44*'Assumptions'!$G$3-AS44*'LMAT Model'!$B$65-(AS44-'Inputs'!$B$14)*'Assumptions'!$H$3-'Assumptions'!$I$3</x:f>
        <x:v>51.83891880000003</x:v>
      </x:c>
      <x:c r="AJ44" t="n">
        <x:f>Z44*(1-'Assumptions'!$F$3)+AT44*'Assumptions'!$G$3-AT44*'LMAT Model'!$C$65-(AT44-AS44)*'Assumptions'!$H$3-0</x:f>
        <x:v>82.10546272800002</x:v>
      </x:c>
      <x:c r="AK44" t="n">
        <x:f>AA44*(1-'Assumptions'!$F$3)+AU44*'Assumptions'!$G$3-AU44*'LMAT Model'!$D$65-(AU44-AT44)*'Assumptions'!$H$3-0</x:f>
        <x:v>122.6023182792</x:v>
      </x:c>
      <x:c r="AL44" t="n">
        <x:f>AB44*(1-'Assumptions'!$F$3)+AV44*'Assumptions'!$G$3-AV44*'LMAT Model'!$E$65-(AV44-AU44)*'Assumptions'!$H$3-0</x:f>
        <x:v>178.36421041232637</x:v>
      </x:c>
      <x:c r="AM44" t="n">
        <x:f>AC44*(1-'Assumptions'!$F$3)+AW44*'Assumptions'!$G$3-AW44*'LMAT Model'!$F$65-(AW44-AV44)*'Assumptions'!$H$3-0</x:f>
        <x:v>259.339042992828</x:v>
      </x:c>
      <x:c r="AN44" t="n">
        <x:f>AD44*(1-'Assumptions'!$F$3)+AX44*'Assumptions'!$G$3-AX44*'LMAT Model'!$G$65-(AX44-AW44)*'Assumptions'!$H$3-0</x:f>
        <x:v>368.1867844064204</x:v>
      </x:c>
      <x:c r="AO44" t="n">
        <x:f>AE44*(1-'Assumptions'!$F$3)+AY44*'Assumptions'!$G$3-AY44*'LMAT Model'!$H$65-(AY44-AX44)*'Assumptions'!$H$3-0</x:f>
        <x:v>494.0064754579794</x:v>
      </x:c>
      <x:c r="AP44" t="n">
        <x:f>AF44*(1-'Assumptions'!$F$3)+AZ44*'Assumptions'!$G$3-AZ44*'LMAT Model'!$I$65-(AZ44-AY44)*'Assumptions'!$H$3-0</x:f>
        <x:v>624.2975458105738</x:v>
      </x:c>
      <x:c r="AQ44" t="n">
        <x:f>AG44*(1-'Assumptions'!$F$3)+BA44*'Assumptions'!$G$3-BA44*'LMAT Model'!$J$65-(BA44-AZ44)*'Assumptions'!$H$3-0</x:f>
        <x:v>740.2666952777228</x:v>
      </x:c>
      <x:c r="AR44" t="n">
        <x:f>AH44*(1-'Assumptions'!$F$3)+BB44*'Assumptions'!$G$3-BB44*'LMAT Model'!$K$65-(BB44-BA44)*'Assumptions'!$H$3-0</x:f>
        <x:v>820.0490833563081</x:v>
      </x:c>
      <x:c r="AS44" t="n">
        <x:f>E44+O44</x:f>
        <x:v>392.346</x:v>
      </x:c>
      <x:c r="AT44" t="n">
        <x:f>F44+P44</x:f>
        <x:v>557.13132</x:v>
      </x:c>
      <x:c r="AU44" t="n">
        <x:f>G44+Q44</x:f>
        <x:v>791.1264744</x:v>
      </x:c>
      <x:c r="AV44" t="n">
        <x:f>H44+R44</x:f>
        <x:v>1123.3995936479998</x:v>
      </x:c>
      <x:c r="AW44" t="n">
        <x:f>I44+S44</x:f>
        <x:v>1595.2274229801596</x:v>
      </x:c>
      <x:c r="AX44" t="n">
        <x:f>J44+T44</x:f>
        <x:v>2140.795201639374</x:v>
      </x:c>
      <x:c r="AY44" t="n">
        <x:f>K44+U44</x:f>
        <x:v>2705.965134872169</x:v>
      </x:c>
      <x:c r="AZ44" t="n">
        <x:f>L44+V44</x:f>
        <x:v>3209.2746499583923</x:v>
      </x:c>
      <x:c r="BA44" t="n">
        <x:f>M44+W44</x:f>
        <x:v>3555.876312153899</x:v>
      </x:c>
      <x:c r="BB44" t="n">
        <x:f>N44+X44</x:f>
        <x:v>3662.552601518516</x:v>
      </x:c>
      <x:c r="BC44" t="n">
        <x:f>AS44/'Inputs'!$B$14-1</x:f>
        <x:v>0.41999999999999993</x:v>
      </x:c>
      <x:c r="BD44" t="n">
        <x:f>AT44/AS44-1</x:f>
        <x:v>0.41999999999999993</x:v>
      </x:c>
      <x:c r="BE44" t="n">
        <x:f>AU44/AT44-1</x:f>
        <x:v>0.42000000000000015</x:v>
      </x:c>
      <x:c r="BF44" t="n">
        <x:f>AV44/AU44-1</x:f>
        <x:v>0.4199999999999997</x:v>
      </x:c>
      <x:c r="BG44" t="n">
        <x:f>AW44/AV44-1</x:f>
        <x:v>0.41999999999999993</x:v>
      </x:c>
      <x:c r="BH44" t="n">
        <x:f>AX44/AW44-1</x:f>
        <x:v>0.3420000000000001</x:v>
      </x:c>
      <x:c r="BI44" t="n">
        <x:f>AY44/AX44-1</x:f>
        <x:v>0.264</x:v>
      </x:c>
      <x:c r="BJ44" t="n">
        <x:f>AZ44/AY44-1</x:f>
        <x:v>0.18599999999999994</x:v>
      </x:c>
      <x:c r="BK44" t="n">
        <x:f>BA44/AZ44-1</x:f>
        <x:v>0.1080000000000001</x:v>
      </x:c>
      <x:c r="BL44" t="n">
        <x:f>BB44/BA44-1</x:f>
        <x:v>0.030000000000000027</x:v>
      </x:c>
      <x:c r="BM44" t="n">
        <x:f>AH44*(1-'Assumptions'!$F$3)*(1+'Assumptions'!$D$3)*(1-'Assumptions'!$D$3/'Assumptions'!$E$3)</x:f>
        <x:v>782.13019694066</x:v>
      </x:c>
      <x:c r="BN44" t="n">
        <x:f>SUMPRODUCT(AI44:AR44,'LMAT Model'!$B$83:$K$83)+BM44/('Assumptions'!$C$3-'Assumptions'!$D$3)*'LMAT Model'!$K$83</x:f>
        <x:v>6180.420141187514</x:v>
      </x:c>
      <x:c r="BO44" t="n">
        <x:f>'LMAT Model'!$B$94</x:f>
        <x:v>178</x:v>
      </x:c>
      <x:c r="BP44" t="n">
        <x:f>'Inputs'!$B$8</x:f>
        <x:v>23.088</x:v>
      </x:c>
    </x:row>
    <x:row r="45">
      <x:c r="A45" t="str">
        <x:v>LMAT</x:v>
      </x:c>
      <x:c r="B45" s="22" t="n">
        <x:v>0.43</x:v>
      </x:c>
      <x:c r="C45" s="42" t="n">
        <x:f>MIN((BN45+BO45)/BP45,(BN45+BO45+'Inputs'!$B$7)/(BP45+'Inputs'!$B$19))</x:f>
        <x:v>278.37701191711636</x:v>
      </x:c>
      <x:c r="D45" s="22" t="n">
        <x:f>C45/'Inputs'!$B$5-1</x:f>
        <x:v>2.4508120976461676</x:v>
      </x:c>
      <x:c r="E45" t="n">
        <x:f>'Inputs'!$B$14*(1+$B45)^1</x:f>
        <x:v>395.109</x:v>
      </x:c>
      <x:c r="F45" t="n">
        <x:f>'Inputs'!$B$14*(1+$B45)^2</x:f>
        <x:v>565.00587</x:v>
      </x:c>
      <x:c r="G45" t="n">
        <x:f>'Inputs'!$B$14*(1+$B45)^3</x:f>
        <x:v>807.9583941</x:v>
      </x:c>
      <x:c r="H45" t="n">
        <x:f>'Inputs'!$B$14*(1+$B45)^4</x:f>
        <x:v>1155.3805035629998</x:v>
      </x:c>
      <x:c r="I45" t="n">
        <x:f>'Inputs'!$B$14*(1+$B45)^5</x:f>
        <x:v>1652.1941200950896</x:v>
      </x:c>
      <x:c r="J45" t="n">
        <x:f>I45*(1+($BG45+('Assumptions'!$D$3-$BG45)*(6-5)/5))</x:f>
        <x:v>2230.462062128371</x:v>
      </x:c>
      <x:c r="K45" t="n">
        <x:f>J45*(1+($BG45+('Assumptions'!$D$3-$BG45)*(7-5)/5))</x:f>
        <x:v>2832.6868189030315</x:v>
      </x:c>
      <x:c r="L45" t="n">
        <x:f>K45*(1+($BG45+('Assumptions'!$D$3-$BG45)*(8-5)/5))</x:f>
        <x:v>3370.897314494607</x:v>
      </x:c>
      <x:c r="M45" t="n">
        <x:f>L45*(1+($BG45+('Assumptions'!$D$3-$BG45)*(9-5)/5))</x:f>
        <x:v>3741.6960190890136</x:v>
      </x:c>
      <x:c r="N45" t="n">
        <x:f>M45*(1+($BG45+('Assumptions'!$D$3-$BG45)*(10-5)/5))</x:f>
        <x:v>3853.9468996616843</x:v>
      </x:c>
      <x:c r="O45" t="n">
        <x:f>0</x:f>
        <x:v>0</x:v>
      </x:c>
      <x:c r="P45" t="n">
        <x:f>0</x:f>
        <x:v>0</x:v>
      </x:c>
      <x:c r="Q45" t="n">
        <x:f>0</x:f>
        <x:v>0</x:v>
      </x:c>
      <x:c r="R45" t="n">
        <x:f>0</x:f>
        <x:v>0</x:v>
      </x:c>
      <x:c r="S45" t="n">
        <x:f>0</x:f>
        <x:v>0</x:v>
      </x:c>
      <x:c r="T45" t="n">
        <x:f>S45*(1+($BG45+('Assumptions'!$D$3-$BG45)*(6-5)/5))</x:f>
        <x:v>0</x:v>
      </x:c>
      <x:c r="U45" t="n">
        <x:f>T45*(1+($BG45+('Assumptions'!$D$3-$BG45)*(7-5)/5))</x:f>
        <x:v>0</x:v>
      </x:c>
      <x:c r="V45" t="n">
        <x:f>U45*(1+($BG45+('Assumptions'!$D$3-$BG45)*(8-5)/5))</x:f>
        <x:v>0</x:v>
      </x:c>
      <x:c r="W45" t="n">
        <x:f>V45*(1+($BG45+('Assumptions'!$D$3-$BG45)*(9-5)/5))</x:f>
        <x:v>0</x:v>
      </x:c>
      <x:c r="X45" t="n">
        <x:f>W45*(1+($BG45+('Assumptions'!$D$3-$BG45)*(10-5)/5))</x:f>
        <x:v>0</x:v>
      </x:c>
      <x:c r="Y45" t="n">
        <x:f>E45*'LMAT Model'!$B$62+O45*'LMAT Model'!$B$63+'LMAT Model'!$B$73+'LMAT Model'!$B$74</x:f>
        <x:v>110.63052</x:v>
      </x:c>
      <x:c r="Z45" t="n">
        <x:f>F45*'LMAT Model'!$C$62+P45*'LMAT Model'!$C$63+'LMAT Model'!$C$73+'LMAT Model'!$C$74</x:f>
        <x:v>163.85170229999997</x:v>
      </x:c>
      <x:c r="AA45" t="n">
        <x:f>G45*'LMAT Model'!$D$62+Q45*'LMAT Model'!$D$63+'LMAT Model'!$D$73+'LMAT Model'!$D$74</x:f>
        <x:v>242.38751822999998</x:v>
      </x:c>
      <x:c r="AB45" t="n">
        <x:f>H45*'LMAT Model'!$E$62+R45*'LMAT Model'!$E$63+'LMAT Model'!$E$73+'LMAT Model'!$E$74</x:f>
        <x:v>352.3910535867149</x:v>
      </x:c>
      <x:c r="AC45" t="n">
        <x:f>I45*'LMAT Model'!$F$62+S45*'LMAT Model'!$F$63+'LMAT Model'!$F$73+'LMAT Model'!$F$74</x:f>
        <x:v>512.1801772294777</x:v>
      </x:c>
      <x:c r="AD45" t="n">
        <x:f>AX45*$AC45/$AW45</x:f>
        <x:v>691.443239259795</x:v>
      </x:c>
      <x:c r="AE45" t="n">
        <x:f>AY45*$AC45/$AW45</x:f>
        <x:v>878.1329138599397</x:v>
      </x:c>
      <x:c r="AF45" t="n">
        <x:f>AZ45*$AC45/$AW45</x:f>
        <x:v>1044.978167493328</x:v>
      </x:c>
      <x:c r="AG45" t="n">
        <x:f>BA45*$AC45/$AW45</x:f>
        <x:v>1159.9257659175942</x:v>
      </x:c>
      <x:c r="AH45" t="n">
        <x:f>BB45*$AC45/$AW45</x:f>
        <x:v>1194.723538895122</x:v>
      </x:c>
      <x:c r="AI45" t="n">
        <x:f>Y45*(1-'Assumptions'!$F$3)+AS45*'Assumptions'!$G$3-AS45*'LMAT Model'!$B$65-(AS45-'Inputs'!$B$14)*'Assumptions'!$H$3-'Assumptions'!$I$3</x:f>
        <x:v>51.77758020000001</x:v>
      </x:c>
      <x:c r="AJ45" t="n">
        <x:f>Z45*(1-'Assumptions'!$F$3)+AT45*'Assumptions'!$G$3-AT45*'LMAT Model'!$C$65-(AT45-AS45)*'Assumptions'!$H$3-0</x:f>
        <x:v>82.62598429799996</x:v>
      </x:c>
      <x:c r="AK45" t="n">
        <x:f>AA45*(1-'Assumptions'!$F$3)+AU45*'Assumptions'!$G$3-AU45*'LMAT Model'!$D$65-(AU45-AT45)*'Assumptions'!$H$3-0</x:f>
        <x:v>124.29564134130003</x:v>
      </x:c>
      <x:c r="AL45" t="n">
        <x:f>AB45*(1-'Assumptions'!$F$3)+AV45*'Assumptions'!$G$3-AV45*'LMAT Model'!$E$65-(AV45-AU45)*'Assumptions'!$H$3-0</x:f>
        <x:v>182.13321303159833</x:v>
      </x:c>
      <x:c r="AM45" t="n">
        <x:f>AC45*(1-'Assumptions'!$F$3)+AW45*'Assumptions'!$G$3-AW45*'LMAT Model'!$F$65-(AW45-AV45)*'Assumptions'!$H$3-0</x:f>
        <x:v>266.72883229154695</x:v>
      </x:c>
      <x:c r="AN45" t="n">
        <x:f>AD45*(1-'Assumptions'!$F$3)+AX45*'Assumptions'!$G$3-AX45*'LMAT Model'!$G$65-(AX45-AW45)*'Assumptions'!$H$3-0</x:f>
        <x:v>381.34292485914756</x:v>
      </x:c>
      <x:c r="AO45" t="n">
        <x:f>AE45*(1-'Assumptions'!$F$3)+AY45*'Assumptions'!$G$3-AY45*'LMAT Model'!$H$65-(AY45-AX45)*'Assumptions'!$H$3-0</x:f>
        <x:v>514.7058863808672</x:v>
      </x:c>
      <x:c r="AP45" t="n">
        <x:f>AF45*(1-'Assumptions'!$F$3)+AZ45*'Assumptions'!$G$3-AZ45*'LMAT Model'!$I$65-(AZ45-AY45)*'Assumptions'!$H$3-0</x:f>
        <x:v>653.5405067363939</x:v>
      </x:c>
      <x:c r="AQ45" t="n">
        <x:f>AG45*(1-'Assumptions'!$F$3)+BA45*'Assumptions'!$G$3-BA45*'LMAT Model'!$J$65-(BA45-AZ45)*'Assumptions'!$H$3-0</x:f>
        <x:v>777.551399945213</x:v>
      </x:c>
      <x:c r="AR45" t="n">
        <x:f>AH45*(1-'Assumptions'!$F$3)+BB45*'Assumptions'!$G$3-BB45*'LMAT Model'!$K$65-(BB45-BA45)*'Assumptions'!$H$3-0</x:f>
        <x:v>862.90245253027</x:v>
      </x:c>
      <x:c r="AS45" t="n">
        <x:f>E45+O45</x:f>
        <x:v>395.109</x:v>
      </x:c>
      <x:c r="AT45" t="n">
        <x:f>F45+P45</x:f>
        <x:v>565.00587</x:v>
      </x:c>
      <x:c r="AU45" t="n">
        <x:f>G45+Q45</x:f>
        <x:v>807.9583941</x:v>
      </x:c>
      <x:c r="AV45" t="n">
        <x:f>H45+R45</x:f>
        <x:v>1155.3805035629998</x:v>
      </x:c>
      <x:c r="AW45" t="n">
        <x:f>I45+S45</x:f>
        <x:v>1652.1941200950896</x:v>
      </x:c>
      <x:c r="AX45" t="n">
        <x:f>J45+T45</x:f>
        <x:v>2230.462062128371</x:v>
      </x:c>
      <x:c r="AY45" t="n">
        <x:f>K45+U45</x:f>
        <x:v>2832.6868189030315</x:v>
      </x:c>
      <x:c r="AZ45" t="n">
        <x:f>L45+V45</x:f>
        <x:v>3370.897314494607</x:v>
      </x:c>
      <x:c r="BA45" t="n">
        <x:f>M45+W45</x:f>
        <x:v>3741.6960190890136</x:v>
      </x:c>
      <x:c r="BB45" t="n">
        <x:f>N45+X45</x:f>
        <x:v>3853.9468996616843</x:v>
      </x:c>
      <x:c r="BC45" t="n">
        <x:f>AS45/'Inputs'!$B$14-1</x:f>
        <x:v>0.42999999999999994</x:v>
      </x:c>
      <x:c r="BD45" t="n">
        <x:f>AT45/AS45-1</x:f>
        <x:v>0.42999999999999994</x:v>
      </x:c>
      <x:c r="BE45" t="n">
        <x:f>AU45/AT45-1</x:f>
        <x:v>0.42999999999999994</x:v>
      </x:c>
      <x:c r="BF45" t="n">
        <x:f>AV45/AU45-1</x:f>
        <x:v>0.42999999999999994</x:v>
      </x:c>
      <x:c r="BG45" t="n">
        <x:f>AW45/AV45-1</x:f>
        <x:v>0.42999999999999994</x:v>
      </x:c>
      <x:c r="BH45" t="n">
        <x:f>AX45/AW45-1</x:f>
        <x:v>0.3500000000000001</x:v>
      </x:c>
      <x:c r="BI45" t="n">
        <x:f>AY45/AX45-1</x:f>
        <x:v>0.27</x:v>
      </x:c>
      <x:c r="BJ45" t="n">
        <x:f>AZ45/AY45-1</x:f>
        <x:v>0.18999999999999995</x:v>
      </x:c>
      <x:c r="BK45" t="n">
        <x:f>BA45/AZ45-1</x:f>
        <x:v>0.10999999999999988</x:v>
      </x:c>
      <x:c r="BL45" t="n">
        <x:f>BB45/BA45-1</x:f>
        <x:v>0.030000000000000027</x:v>
      </x:c>
      <x:c r="BM45" t="n">
        <x:f>AH45*(1-'Assumptions'!$F$3)*(1+'Assumptions'!$D$3)*(1-'Assumptions'!$D$3/'Assumptions'!$E$3)</x:f>
        <x:v>823.0020358974493</x:v>
      </x:c>
      <x:c r="BN45" t="n">
        <x:f>SUMPRODUCT(AI45:AR45,'LMAT Model'!$B$83:$K$83)+BM45/('Assumptions'!$C$3-'Assumptions'!$D$3)*'LMAT Model'!$K$83</x:f>
        <x:v>6478.3664793387825</x:v>
      </x:c>
      <x:c r="BO45" t="n">
        <x:f>'LMAT Model'!$B$94</x:f>
        <x:v>178</x:v>
      </x:c>
      <x:c r="BP45" t="n">
        <x:f>'Inputs'!$B$8</x:f>
        <x:v>23.088</x:v>
      </x:c>
    </x:row>
    <x:row r="46">
      <x:c r="A46" t="str">
        <x:v>LMAT</x:v>
      </x:c>
      <x:c r="B46" s="22" t="n">
        <x:v>0.44</x:v>
      </x:c>
      <x:c r="C46" s="42" t="n">
        <x:f>MIN((BN46+BO46)/BP46,(BN46+BO46+'Inputs'!$B$7)/(BP46+'Inputs'!$B$19))</x:f>
        <x:v>291.0509206990966</x:v>
      </x:c>
      <x:c r="D46" s="22" t="n">
        <x:f>C46/'Inputs'!$B$5-1</x:f>
        <x:v>2.6079201772542033</x:v>
      </x:c>
      <x:c r="E46" t="n">
        <x:f>'Inputs'!$B$14*(1+$B46)^1</x:f>
        <x:v>397.872</x:v>
      </x:c>
      <x:c r="F46" t="n">
        <x:f>'Inputs'!$B$14*(1+$B46)^2</x:f>
        <x:v>572.93568</x:v>
      </x:c>
      <x:c r="G46" t="n">
        <x:f>'Inputs'!$B$14*(1+$B46)^3</x:f>
        <x:v>825.0273791999999</x:v>
      </x:c>
      <x:c r="H46" t="n">
        <x:f>'Inputs'!$B$14*(1+$B46)^4</x:f>
        <x:v>1188.0394260479998</x:v>
      </x:c>
      <x:c r="I46" t="n">
        <x:f>'Inputs'!$B$14*(1+$B46)^5</x:f>
        <x:v>1710.7767735091197</x:v>
      </x:c>
      <x:c r="J46" t="n">
        <x:f>I46*(1+($BG46+('Assumptions'!$D$3-$BG46)*(6-5)/5))</x:f>
        <x:v>2323.2348584253846</x:v>
      </x:c>
      <x:c r="K46" t="n">
        <x:f>J46*(1+($BG46+('Assumptions'!$D$3-$BG46)*(7-5)/5))</x:f>
        <x:v>2964.4476793507906</x:v>
      </x:c>
      <x:c r="L46" t="n">
        <x:f>K46*(1+($BG46+('Assumptions'!$D$3-$BG46)*(8-5)/5))</x:f>
        <x:v>3539.550529144844</x:v>
      </x:c>
      <x:c r="M46" t="n">
        <x:f>L46*(1+($BG46+('Assumptions'!$D$3-$BG46)*(9-5)/5))</x:f>
        <x:v>3935.9801884090666</x:v>
      </x:c>
      <x:c r="N46" t="n">
        <x:f>M46*(1+($BG46+('Assumptions'!$D$3-$BG46)*(10-5)/5))</x:f>
        <x:v>4054.059594061339</x:v>
      </x:c>
      <x:c r="O46" t="n">
        <x:f>0</x:f>
        <x:v>0</x:v>
      </x:c>
      <x:c r="P46" t="n">
        <x:f>0</x:f>
        <x:v>0</x:v>
      </x:c>
      <x:c r="Q46" t="n">
        <x:f>0</x:f>
        <x:v>0</x:v>
      </x:c>
      <x:c r="R46" t="n">
        <x:f>0</x:f>
        <x:v>0</x:v>
      </x:c>
      <x:c r="S46" t="n">
        <x:f>0</x:f>
        <x:v>0</x:v>
      </x:c>
      <x:c r="T46" t="n">
        <x:f>S46*(1+($BG46+('Assumptions'!$D$3-$BG46)*(6-5)/5))</x:f>
        <x:v>0</x:v>
      </x:c>
      <x:c r="U46" t="n">
        <x:f>T46*(1+($BG46+('Assumptions'!$D$3-$BG46)*(7-5)/5))</x:f>
        <x:v>0</x:v>
      </x:c>
      <x:c r="V46" t="n">
        <x:f>U46*(1+($BG46+('Assumptions'!$D$3-$BG46)*(8-5)/5))</x:f>
        <x:v>0</x:v>
      </x:c>
      <x:c r="W46" t="n">
        <x:f>V46*(1+($BG46+('Assumptions'!$D$3-$BG46)*(9-5)/5))</x:f>
        <x:v>0</x:v>
      </x:c>
      <x:c r="X46" t="n">
        <x:f>W46*(1+($BG46+('Assumptions'!$D$3-$BG46)*(10-5)/5))</x:f>
        <x:v>0</x:v>
      </x:c>
      <x:c r="Y46" t="n">
        <x:f>E46*'LMAT Model'!$B$62+O46*'LMAT Model'!$B$63+'LMAT Model'!$B$73+'LMAT Model'!$B$74</x:f>
        <x:v>111.40416000000002</x:v>
      </x:c>
      <x:c r="Z46" t="n">
        <x:f>F46*'LMAT Model'!$C$62+P46*'LMAT Model'!$C$63+'LMAT Model'!$C$73+'LMAT Model'!$C$74</x:f>
        <x:v>166.1513472</x:v>
      </x:c>
      <x:c r="AA46" t="n">
        <x:f>G46*'LMAT Model'!$D$62+Q46*'LMAT Model'!$D$63+'LMAT Model'!$D$73+'LMAT Model'!$D$74</x:f>
        <x:v>247.50821375999996</x:v>
      </x:c>
      <x:c r="AB46" t="n">
        <x:f>H46*'LMAT Model'!$E$62+R46*'LMAT Model'!$E$63+'LMAT Model'!$E$73+'LMAT Model'!$E$74</x:f>
        <x:v>362.35202494463994</x:v>
      </x:c>
      <x:c r="AC46" t="n">
        <x:f>I46*'LMAT Model'!$F$62+S46*'LMAT Model'!$F$63+'LMAT Model'!$F$73+'LMAT Model'!$F$74</x:f>
        <x:v>530.3407997878271</x:v>
      </x:c>
      <x:c r="AD46" t="n">
        <x:f>AX46*$AC46/$AW46</x:f>
        <x:v>720.2028061118692</x:v>
      </x:c>
      <x:c r="AE46" t="n">
        <x:f>AY46*$AC46/$AW46</x:f>
        <x:v>918.9787805987451</x:v>
      </x:c>
      <x:c r="AF46" t="n">
        <x:f>AZ46*$AC46/$AW46</x:f>
        <x:v>1097.2606640349015</x:v>
      </x:c>
      <x:c r="AG46" t="n">
        <x:f>BA46*$AC46/$AW46</x:f>
        <x:v>1220.1538584068105</x:v>
      </x:c>
      <x:c r="AH46" t="n">
        <x:f>BB46*$AC46/$AW46</x:f>
        <x:v>1256.7584741590151</x:v>
      </x:c>
      <x:c r="AI46" t="n">
        <x:f>Y46*(1-'Assumptions'!$F$3)+AS46*'Assumptions'!$G$3-AS46*'LMAT Model'!$B$65-(AS46-'Inputs'!$B$14)*'Assumptions'!$H$3-'Assumptions'!$I$3</x:f>
        <x:v>51.71624160000002</x:v>
      </x:c>
      <x:c r="AJ46" t="n">
        <x:f>Z46*(1-'Assumptions'!$F$3)+AT46*'Assumptions'!$G$3-AT46*'LMAT Model'!$C$65-(AT46-AS46)*'Assumptions'!$H$3-0</x:f>
        <x:v>83.14569907199999</x:v>
      </x:c>
      <x:c r="AK46" t="n">
        <x:f>AA46*(1-'Assumptions'!$F$3)+AU46*'Assumptions'!$G$3-AU46*'LMAT Model'!$D$65-(AU46-AT46)*'Assumptions'!$H$3-0</x:f>
        <x:v>126.00001474559997</x:v>
      </x:c>
      <x:c r="AL46" t="n">
        <x:f>AB46*(1-'Assumptions'!$F$3)+AV46*'Assumptions'!$G$3-AV46*'LMAT Model'!$E$65-(AV46-AU46)*'Assumptions'!$H$3-0</x:f>
        <x:v>185.95457105264643</x:v>
      </x:c>
      <x:c r="AM46" t="n">
        <x:f>AC46*(1-'Assumptions'!$F$3)+AW46*'Assumptions'!$G$3-AW46*'LMAT Model'!$F$65-(AW46-AV46)*'Assumptions'!$H$3-0</x:f>
        <x:v>274.2755340551454</x:v>
      </x:c>
      <x:c r="AN46" t="n">
        <x:f>AD46*(1-'Assumptions'!$F$3)+AX46*'Assumptions'!$G$3-AX46*'LMAT Model'!$G$65-(AX46-AW46)*'Assumptions'!$H$3-0</x:f>
        <x:v>394.8725988221527</x:v>
      </x:c>
      <x:c r="AO46" t="n">
        <x:f>AE46*(1-'Assumptions'!$F$3)+AY46*'Assumptions'!$G$3-AY46*'LMAT Model'!$H$65-(AY46-AX46)*'Assumptions'!$H$3-0</x:f>
        <x:v>536.122686045449</x:v>
      </x:c>
      <x:c r="AP46" t="n">
        <x:f>AF46*(1-'Assumptions'!$F$3)+AZ46*'Assumptions'!$G$3-AZ46*'LMAT Model'!$I$65-(AZ46-AY46)*'Assumptions'!$H$3-0</x:f>
        <x:v>683.9466965681687</x:v>
      </x:c>
      <x:c r="AQ46" t="n">
        <x:f>AG46*(1-'Assumptions'!$F$3)+BA46*'Assumptions'!$G$3-BA46*'LMAT Model'!$J$65-(BA46-AZ46)*'Assumptions'!$H$3-0</x:f>
        <x:v>816.4582098163594</x:v>
      </x:c>
      <x:c r="AR46" t="n">
        <x:f>AH46*(1-'Assumptions'!$F$3)+BB46*'Assumptions'!$G$3-BB46*'LMAT Model'!$K$65-(BB46-BA46)*'Assumptions'!$H$3-0</x:f>
        <x:v>907.7078790905222</x:v>
      </x:c>
      <x:c r="AS46" t="n">
        <x:f>E46+O46</x:f>
        <x:v>397.872</x:v>
      </x:c>
      <x:c r="AT46" t="n">
        <x:f>F46+P46</x:f>
        <x:v>572.93568</x:v>
      </x:c>
      <x:c r="AU46" t="n">
        <x:f>G46+Q46</x:f>
        <x:v>825.0273791999999</x:v>
      </x:c>
      <x:c r="AV46" t="n">
        <x:f>H46+R46</x:f>
        <x:v>1188.0394260479998</x:v>
      </x:c>
      <x:c r="AW46" t="n">
        <x:f>I46+S46</x:f>
        <x:v>1710.7767735091197</x:v>
      </x:c>
      <x:c r="AX46" t="n">
        <x:f>J46+T46</x:f>
        <x:v>2323.2348584253846</x:v>
      </x:c>
      <x:c r="AY46" t="n">
        <x:f>K46+U46</x:f>
        <x:v>2964.4476793507906</x:v>
      </x:c>
      <x:c r="AZ46" t="n">
        <x:f>L46+V46</x:f>
        <x:v>3539.550529144844</x:v>
      </x:c>
      <x:c r="BA46" t="n">
        <x:f>M46+W46</x:f>
        <x:v>3935.9801884090666</x:v>
      </x:c>
      <x:c r="BB46" t="n">
        <x:f>N46+X46</x:f>
        <x:v>4054.059594061339</x:v>
      </x:c>
      <x:c r="BC46" t="n">
        <x:f>AS46/'Inputs'!$B$14-1</x:f>
        <x:v>0.43999999999999995</x:v>
      </x:c>
      <x:c r="BD46" t="n">
        <x:f>AT46/AS46-1</x:f>
        <x:v>0.44000000000000017</x:v>
      </x:c>
      <x:c r="BE46" t="n">
        <x:f>AU46/AT46-1</x:f>
        <x:v>0.4399999999999997</x:v>
      </x:c>
      <x:c r="BF46" t="n">
        <x:f>AV46/AU46-1</x:f>
        <x:v>0.43999999999999995</x:v>
      </x:c>
      <x:c r="BG46" t="n">
        <x:f>AW46/AV46-1</x:f>
        <x:v>0.43999999999999995</x:v>
      </x:c>
      <x:c r="BH46" t="n">
        <x:f>AX46/AW46-1</x:f>
        <x:v>0.3580000000000001</x:v>
      </x:c>
      <x:c r="BI46" t="n">
        <x:f>AY46/AX46-1</x:f>
        <x:v>0.276</x:v>
      </x:c>
      <x:c r="BJ46" t="n">
        <x:f>AZ46/AY46-1</x:f>
        <x:v>0.19399999999999995</x:v>
      </x:c>
      <x:c r="BK46" t="n">
        <x:f>BA46/AZ46-1</x:f>
        <x:v>0.1120000000000001</x:v>
      </x:c>
      <x:c r="BL46" t="n">
        <x:f>BB46/BA46-1</x:f>
        <x:v>0.030000000000000027</x:v>
      </x:c>
      <x:c r="BM46" t="n">
        <x:f>AH46*(1-'Assumptions'!$F$3)*(1+'Assumptions'!$D$3)*(1-'Assumptions'!$D$3/'Assumptions'!$E$3)</x:f>
        <x:v>865.7356695430757</x:v>
      </x:c>
      <x:c r="BN46" t="n">
        <x:f>SUMPRODUCT(AI46:AR46,'LMAT Model'!$B$83:$K$83)+BM46/('Assumptions'!$C$3-'Assumptions'!$D$3)*'LMAT Model'!$K$83</x:f>
        <x:v>6789.270135669539</x:v>
      </x:c>
      <x:c r="BO46" t="n">
        <x:f>'LMAT Model'!$B$94</x:f>
        <x:v>178</x:v>
      </x:c>
      <x:c r="BP46" t="n">
        <x:f>'Inputs'!$B$8</x:f>
        <x:v>23.088</x:v>
      </x:c>
    </x:row>
    <x:row r="47">
      <x:c r="A47" t="str">
        <x:v>LMAT</x:v>
      </x:c>
      <x:c r="B47" s="22" t="n">
        <x:v>0.45</x:v>
      </x:c>
      <x:c r="C47" s="42" t="n">
        <x:f>MIN((BN47+BO47)/BP47,(BN47+BO47+'Inputs'!$B$7)/(BP47+'Inputs'!$B$19))</x:f>
        <x:v>304.27295861420254</x:v>
      </x:c>
      <x:c r="D47" s="22" t="n">
        <x:f>C47/'Inputs'!$B$5-1</x:f>
        <x:v>2.771822965342786</x:v>
      </x:c>
      <x:c r="E47" t="n">
        <x:f>'Inputs'!$B$14*(1+$B47)^1</x:f>
        <x:v>400.635</x:v>
      </x:c>
      <x:c r="F47" t="n">
        <x:f>'Inputs'!$B$14*(1+$B47)^2</x:f>
        <x:v>580.92075</x:v>
      </x:c>
      <x:c r="G47" t="n">
        <x:f>'Inputs'!$B$14*(1+$B47)^3</x:f>
        <x:v>842.3350875</x:v>
      </x:c>
      <x:c r="H47" t="n">
        <x:f>'Inputs'!$B$14*(1+$B47)^4</x:f>
        <x:v>1221.3858768750001</x:v>
      </x:c>
      <x:c r="I47" t="n">
        <x:f>'Inputs'!$B$14*(1+$B47)^5</x:f>
        <x:v>1771.0095214687499</x:v>
      </x:c>
      <x:c r="J47" t="n">
        <x:f>I47*(1+($BG47+('Assumptions'!$D$3-$BG47)*(6-5)/5))</x:f>
        <x:v>2419.1990063263115</x:v>
      </x:c>
      <x:c r="K47" t="n">
        <x:f>J47*(1+($BG47+('Assumptions'!$D$3-$BG47)*(7-5)/5))</x:f>
        <x:v>3101.4131261103307</x:v>
      </x:c>
      <x:c r="L47" t="n">
        <x:f>K47*(1+($BG47+('Assumptions'!$D$3-$BG47)*(8-5)/5))</x:f>
        <x:v>3715.492925080176</x:v>
      </x:c>
      <x:c r="M47" t="n">
        <x:f>L47*(1+($BG47+('Assumptions'!$D$3-$BG47)*(9-5)/5))</x:f>
        <x:v>4139.059118539316</x:v>
      </x:c>
      <x:c r="N47" t="n">
        <x:f>M47*(1+($BG47+('Assumptions'!$D$3-$BG47)*(10-5)/5))</x:f>
        <x:v>4263.230892095496</x:v>
      </x:c>
      <x:c r="O47" t="n">
        <x:f>0</x:f>
        <x:v>0</x:v>
      </x:c>
      <x:c r="P47" t="n">
        <x:f>0</x:f>
        <x:v>0</x:v>
      </x:c>
      <x:c r="Q47" t="n">
        <x:f>0</x:f>
        <x:v>0</x:v>
      </x:c>
      <x:c r="R47" t="n">
        <x:f>0</x:f>
        <x:v>0</x:v>
      </x:c>
      <x:c r="S47" t="n">
        <x:f>0</x:f>
        <x:v>0</x:v>
      </x:c>
      <x:c r="T47" t="n">
        <x:f>S47*(1+($BG47+('Assumptions'!$D$3-$BG47)*(6-5)/5))</x:f>
        <x:v>0</x:v>
      </x:c>
      <x:c r="U47" t="n">
        <x:f>T47*(1+($BG47+('Assumptions'!$D$3-$BG47)*(7-5)/5))</x:f>
        <x:v>0</x:v>
      </x:c>
      <x:c r="V47" t="n">
        <x:f>U47*(1+($BG47+('Assumptions'!$D$3-$BG47)*(8-5)/5))</x:f>
        <x:v>0</x:v>
      </x:c>
      <x:c r="W47" t="n">
        <x:f>V47*(1+($BG47+('Assumptions'!$D$3-$BG47)*(9-5)/5))</x:f>
        <x:v>0</x:v>
      </x:c>
      <x:c r="X47" t="n">
        <x:f>W47*(1+($BG47+('Assumptions'!$D$3-$BG47)*(10-5)/5))</x:f>
        <x:v>0</x:v>
      </x:c>
      <x:c r="Y47" t="n">
        <x:f>E47*'LMAT Model'!$B$62+O47*'LMAT Model'!$B$63+'LMAT Model'!$B$73+'LMAT Model'!$B$74</x:f>
        <x:v>112.1778</x:v>
      </x:c>
      <x:c r="Z47" t="n">
        <x:f>F47*'LMAT Model'!$C$62+P47*'LMAT Model'!$C$63+'LMAT Model'!$C$73+'LMAT Model'!$C$74</x:f>
        <x:v>168.4670175</x:v>
      </x:c>
      <x:c r="AA47" t="n">
        <x:f>G47*'LMAT Model'!$D$62+Q47*'LMAT Model'!$D$63+'LMAT Model'!$D$73+'LMAT Model'!$D$74</x:f>
        <x:v>252.70052625</x:v>
      </x:c>
      <x:c r="AB47" t="n">
        <x:f>H47*'LMAT Model'!$E$62+R47*'LMAT Model'!$E$63+'LMAT Model'!$E$73+'LMAT Model'!$E$74</x:f>
        <x:v>372.52269244687506</x:v>
      </x:c>
      <x:c r="AC47" t="n">
        <x:f>I47*'LMAT Model'!$F$62+S47*'LMAT Model'!$F$63+'LMAT Model'!$F$73+'LMAT Model'!$F$74</x:f>
        <x:v>549.0129516553125</x:v>
      </x:c>
      <x:c r="AD47" t="n">
        <x:f>AX47*$AC47/$AW47</x:f>
        <x:v>749.9516919611565</x:v>
      </x:c>
      <x:c r="AE47" t="n">
        <x:f>AY47*$AC47/$AW47</x:f>
        <x:v>961.4380690942024</x:v>
      </x:c>
      <x:c r="AF47" t="n">
        <x:f>AZ47*$AC47/$AW47</x:f>
        <x:v>1151.8028067748546</x:v>
      </x:c>
      <x:c r="AG47" t="n">
        <x:f>BA47*$AC47/$AW47</x:f>
        <x:v>1283.108326747188</x:v>
      </x:c>
      <x:c r="AH47" t="n">
        <x:f>BB47*$AC47/$AW47</x:f>
        <x:v>1321.6015765496036</x:v>
      </x:c>
      <x:c r="AI47" t="n">
        <x:f>Y47*(1-'Assumptions'!$F$3)+AS47*'Assumptions'!$G$3-AS47*'LMAT Model'!$B$65-(AS47-'Inputs'!$B$14)*'Assumptions'!$H$3-'Assumptions'!$I$3</x:f>
        <x:v>51.654903000000004</x:v>
      </x:c>
      <x:c r="AJ47" t="n">
        <x:f>Z47*(1-'Assumptions'!$F$3)+AT47*'Assumptions'!$G$3-AT47*'LMAT Model'!$C$65-(AT47-AS47)*'Assumptions'!$H$3-0</x:f>
        <x:v>83.66460705</x:v>
      </x:c>
      <x:c r="AK47" t="n">
        <x:f>AA47*(1-'Assumptions'!$F$3)+AU47*'Assumptions'!$G$3-AU47*'LMAT Model'!$D$65-(AU47-AT47)*'Assumptions'!$H$3-0</x:f>
        <x:v>127.7154268875</x:v>
      </x:c>
      <x:c r="AL47" t="n">
        <x:f>AB47*(1-'Assumptions'!$F$3)+AV47*'Assumptions'!$G$3-AV47*'LMAT Model'!$E$65-(AV47-AU47)*'Assumptions'!$H$3-0</x:f>
        <x:v>189.828635319</x:v>
      </x:c>
      <x:c r="AM47" t="n">
        <x:f>AC47*(1-'Assumptions'!$F$3)+AW47*'Assumptions'!$G$3-AW47*'LMAT Model'!$F$65-(AW47-AV47)*'Assumptions'!$H$3-0</x:f>
        <x:v>281.98135739413124</x:v>
      </x:c>
      <x:c r="AN47" t="n">
        <x:f>AD47*(1-'Assumptions'!$F$3)+AX47*'Assumptions'!$G$3-AX47*'LMAT Model'!$G$65-(AX47-AW47)*'Assumptions'!$H$3-0</x:f>
        <x:v>408.7837093416082</x:v>
      </x:c>
      <x:c r="AO47" t="n">
        <x:f>AE47*(1-'Assumptions'!$F$3)+AY47*'Assumptions'!$G$3-AY47*'LMAT Model'!$H$65-(AY47-AX47)*'Assumptions'!$H$3-0</x:f>
        <x:v>558.2766193307177</x:v>
      </x:c>
      <x:c r="AP47" t="n">
        <x:f>AF47*(1-'Assumptions'!$F$3)+AZ47*'Assumptions'!$G$3-AZ47*'LMAT Model'!$I$65-(AZ47-AY47)*'Assumptions'!$H$3-0</x:f>
        <x:v>715.5543147604243</x:v>
      </x:c>
      <x:c r="AQ47" t="n">
        <x:f>AG47*(1-'Assumptions'!$F$3)+BA47*'Assumptions'!$G$3-BA47*'LMAT Model'!$J$65-(BA47-AZ47)*'Assumptions'!$H$3-0</x:f>
        <x:v>857.0468082395641</x:v>
      </x:c>
      <x:c r="AR47" t="n">
        <x:f>AH47*(1-'Assumptions'!$F$3)+BB47*'Assumptions'!$G$3-BB47*'LMAT Model'!$K$65-(BB47-BA47)*'Assumptions'!$H$3-0</x:f>
        <x:v>954.5415357993</x:v>
      </x:c>
      <x:c r="AS47" t="n">
        <x:f>E47+O47</x:f>
        <x:v>400.635</x:v>
      </x:c>
      <x:c r="AT47" t="n">
        <x:f>F47+P47</x:f>
        <x:v>580.92075</x:v>
      </x:c>
      <x:c r="AU47" t="n">
        <x:f>G47+Q47</x:f>
        <x:v>842.3350875</x:v>
      </x:c>
      <x:c r="AV47" t="n">
        <x:f>H47+R47</x:f>
        <x:v>1221.3858768750001</x:v>
      </x:c>
      <x:c r="AW47" t="n">
        <x:f>I47+S47</x:f>
        <x:v>1771.0095214687499</x:v>
      </x:c>
      <x:c r="AX47" t="n">
        <x:f>J47+T47</x:f>
        <x:v>2419.1990063263115</x:v>
      </x:c>
      <x:c r="AY47" t="n">
        <x:f>K47+U47</x:f>
        <x:v>3101.4131261103307</x:v>
      </x:c>
      <x:c r="AZ47" t="n">
        <x:f>L47+V47</x:f>
        <x:v>3715.492925080176</x:v>
      </x:c>
      <x:c r="BA47" t="n">
        <x:f>M47+W47</x:f>
        <x:v>4139.059118539316</x:v>
      </x:c>
      <x:c r="BB47" t="n">
        <x:f>N47+X47</x:f>
        <x:v>4263.230892095496</x:v>
      </x:c>
      <x:c r="BC47" t="n">
        <x:f>AS47/'Inputs'!$B$14-1</x:f>
        <x:v>0.44999999999999996</x:v>
      </x:c>
      <x:c r="BD47" t="n">
        <x:f>AT47/AS47-1</x:f>
        <x:v>0.44999999999999996</x:v>
      </x:c>
      <x:c r="BE47" t="n">
        <x:f>AU47/AT47-1</x:f>
        <x:v>0.44999999999999996</x:v>
      </x:c>
      <x:c r="BF47" t="n">
        <x:f>AV47/AU47-1</x:f>
        <x:v>0.4500000000000002</x:v>
      </x:c>
      <x:c r="BG47" t="n">
        <x:f>AW47/AV47-1</x:f>
        <x:v>0.44999999999999973</x:v>
      </x:c>
      <x:c r="BH47" t="n">
        <x:f>AX47/AW47-1</x:f>
        <x:v>0.36599999999999944</x:v>
      </x:c>
      <x:c r="BI47" t="n">
        <x:f>AY47/AX47-1</x:f>
        <x:v>0.2819999999999998</x:v>
      </x:c>
      <x:c r="BJ47" t="n">
        <x:f>AZ47/AY47-1</x:f>
        <x:v>0.19799999999999995</x:v>
      </x:c>
      <x:c r="BK47" t="n">
        <x:f>BA47/AZ47-1</x:f>
        <x:v>0.11399999999999988</x:v>
      </x:c>
      <x:c r="BL47" t="n">
        <x:f>BB47/BA47-1</x:f>
        <x:v>0.030000000000000027</x:v>
      </x:c>
      <x:c r="BM47" t="n">
        <x:f>AH47*(1-'Assumptions'!$F$3)*(1+'Assumptions'!$D$3)*(1-'Assumptions'!$D$3/'Assumptions'!$E$3)</x:f>
        <x:v>910.4037484282662</x:v>
      </x:c>
      <x:c r="BN47" t="n">
        <x:f>SUMPRODUCT(AI47:AR47,'LMAT Model'!$B$83:$K$83)+BM47/('Assumptions'!$C$3-'Assumptions'!$D$3)*'LMAT Model'!$K$83</x:f>
        <x:v>7113.619947765003</x:v>
      </x:c>
      <x:c r="BO47" t="n">
        <x:f>'LMAT Model'!$B$94</x:f>
        <x:v>178</x:v>
      </x:c>
      <x:c r="BP47" t="n">
        <x:f>'Inputs'!$B$8</x:f>
        <x:v>23.088</x:v>
      </x:c>
    </x:row>
    <x:row r="48">
      <x:c r="A48" t="str">
        <x:v>LMAT</x:v>
      </x:c>
      <x:c r="B48" s="22" t="n">
        <x:v>0.46</x:v>
      </x:c>
      <x:c r="C48" s="42" t="n">
        <x:f>MIN((BN48+BO48)/BP48,(BN48+BO48+'Inputs'!$B$7)/(BP48+'Inputs'!$B$19))</x:f>
        <x:v>318.063686659357</x:v>
      </x:c>
      <x:c r="D48" s="22" t="n">
        <x:f>C48/'Inputs'!$B$5-1</x:f>
        <x:v>2.9427753397713774</x:v>
      </x:c>
      <x:c r="E48" t="n">
        <x:f>'Inputs'!$B$14*(1+$B48)^1</x:f>
        <x:v>403.398</x:v>
      </x:c>
      <x:c r="F48" t="n">
        <x:f>'Inputs'!$B$14*(1+$B48)^2</x:f>
        <x:v>588.9610799999999</x:v>
      </x:c>
      <x:c r="G48" t="n">
        <x:f>'Inputs'!$B$14*(1+$B48)^3</x:f>
        <x:v>859.8831767999999</x:v>
      </x:c>
      <x:c r="H48" t="n">
        <x:f>'Inputs'!$B$14*(1+$B48)^4</x:f>
        <x:v>1255.4294381279997</x:v>
      </x:c>
      <x:c r="I48" t="n">
        <x:f>'Inputs'!$B$14*(1+$B48)^5</x:f>
        <x:v>1832.9269796668796</x:v>
      </x:c>
      <x:c r="J48" t="n">
        <x:f>I48*(1+($BG48+('Assumptions'!$D$3-$BG48)*(6-5)/5))</x:f>
        <x:v>2518.441670062293</x:v>
      </x:c>
      <x:c r="K48" t="n">
        <x:f>J48*(1+($BG48+('Assumptions'!$D$3-$BG48)*(7-5)/5))</x:f>
        <x:v>3243.752871040233</x:v>
      </x:c>
      <x:c r="L48" t="n">
        <x:f>K48*(1+($BG48+('Assumptions'!$D$3-$BG48)*(8-5)/5))</x:f>
        <x:v>3898.99095099036</x:v>
      </x:c>
      <x:c r="M48" t="n">
        <x:f>L48*(1+($BG48+('Assumptions'!$D$3-$BG48)*(9-5)/5))</x:f>
        <x:v>4351.273901305242</x:v>
      </x:c>
      <x:c r="N48" t="n">
        <x:f>M48*(1+($BG48+('Assumptions'!$D$3-$BG48)*(10-5)/5))</x:f>
        <x:v>4481.8121183444</x:v>
      </x:c>
      <x:c r="O48" t="n">
        <x:f>0</x:f>
        <x:v>0</x:v>
      </x:c>
      <x:c r="P48" t="n">
        <x:f>0</x:f>
        <x:v>0</x:v>
      </x:c>
      <x:c r="Q48" t="n">
        <x:f>0</x:f>
        <x:v>0</x:v>
      </x:c>
      <x:c r="R48" t="n">
        <x:f>0</x:f>
        <x:v>0</x:v>
      </x:c>
      <x:c r="S48" t="n">
        <x:f>0</x:f>
        <x:v>0</x:v>
      </x:c>
      <x:c r="T48" t="n">
        <x:f>S48*(1+($BG48+('Assumptions'!$D$3-$BG48)*(6-5)/5))</x:f>
        <x:v>0</x:v>
      </x:c>
      <x:c r="U48" t="n">
        <x:f>T48*(1+($BG48+('Assumptions'!$D$3-$BG48)*(7-5)/5))</x:f>
        <x:v>0</x:v>
      </x:c>
      <x:c r="V48" t="n">
        <x:f>U48*(1+($BG48+('Assumptions'!$D$3-$BG48)*(8-5)/5))</x:f>
        <x:v>0</x:v>
      </x:c>
      <x:c r="W48" t="n">
        <x:f>V48*(1+($BG48+('Assumptions'!$D$3-$BG48)*(9-5)/5))</x:f>
        <x:v>0</x:v>
      </x:c>
      <x:c r="X48" t="n">
        <x:f>W48*(1+($BG48+('Assumptions'!$D$3-$BG48)*(10-5)/5))</x:f>
        <x:v>0</x:v>
      </x:c>
      <x:c r="Y48" t="n">
        <x:f>E48*'LMAT Model'!$B$62+O48*'LMAT Model'!$B$63+'LMAT Model'!$B$73+'LMAT Model'!$B$74</x:f>
        <x:v>112.95144000000002</x:v>
      </x:c>
      <x:c r="Z48" t="n">
        <x:f>F48*'LMAT Model'!$C$62+P48*'LMAT Model'!$C$63+'LMAT Model'!$C$73+'LMAT Model'!$C$74</x:f>
        <x:v>170.79871319999998</x:v>
      </x:c>
      <x:c r="AA48" t="n">
        <x:f>G48*'LMAT Model'!$D$62+Q48*'LMAT Model'!$D$63+'LMAT Model'!$D$73+'LMAT Model'!$D$74</x:f>
        <x:v>257.96495303999995</x:v>
      </x:c>
      <x:c r="AB48" t="n">
        <x:f>H48*'LMAT Model'!$E$62+R48*'LMAT Model'!$E$63+'LMAT Model'!$E$73+'LMAT Model'!$E$74</x:f>
        <x:v>382.9059786290399</x:v>
      </x:c>
      <x:c r="AC48" t="n">
        <x:f>I48*'LMAT Model'!$F$62+S48*'LMAT Model'!$F$63+'LMAT Model'!$F$73+'LMAT Model'!$F$74</x:f>
        <x:v>568.2073636967326</x:v>
      </x:c>
      <x:c r="AD48" t="n">
        <x:f>AX48*$AC48/$AW48</x:f>
        <x:v>780.7169177193107</x:v>
      </x:c>
      <x:c r="AE48" t="n">
        <x:f>AY48*$AC48/$AW48</x:f>
        <x:v>1005.5633900224722</x:v>
      </x:c>
      <x:c r="AF48" t="n">
        <x:f>AZ48*$AC48/$AW48</x:f>
        <x:v>1208.6871948070116</x:v>
      </x:c>
      <x:c r="AG48" t="n">
        <x:f>BA48*$AC48/$AW48</x:f>
        <x:v>1348.8949094046252</x:v>
      </x:c>
      <x:c r="AH48" t="n">
        <x:f>BB48*$AC48/$AW48</x:f>
        <x:v>1389.3617566867638</x:v>
      </x:c>
      <x:c r="AI48" t="n">
        <x:f>Y48*(1-'Assumptions'!$F$3)+AS48*'Assumptions'!$G$3-AS48*'LMAT Model'!$B$65-(AS48-'Inputs'!$B$14)*'Assumptions'!$H$3-'Assumptions'!$I$3</x:f>
        <x:v>51.59356440000002</x:v>
      </x:c>
      <x:c r="AJ48" t="n">
        <x:f>Z48*(1-'Assumptions'!$F$3)+AT48*'Assumptions'!$G$3-AT48*'LMAT Model'!$C$65-(AT48-AS48)*'Assumptions'!$H$3-0</x:f>
        <x:v>84.18270823200001</x:v>
      </x:c>
      <x:c r="AK48" t="n">
        <x:f>AA48*(1-'Assumptions'!$F$3)+AU48*'Assumptions'!$G$3-AU48*'LMAT Model'!$D$65-(AU48-AT48)*'Assumptions'!$H$3-0</x:f>
        <x:v>129.44186616239998</x:v>
      </x:c>
      <x:c r="AL48" t="n">
        <x:f>AB48*(1-'Assumptions'!$F$3)+AV48*'Assumptions'!$G$3-AV48*'LMAT Model'!$E$65-(AV48-AU48)*'Assumptions'!$H$3-0</x:f>
        <x:v>193.75575646199042</x:v>
      </x:c>
      <x:c r="AM48" t="n">
        <x:f>AC48*(1-'Assumptions'!$F$3)+AW48*'Assumptions'!$G$3-AW48*'LMAT Model'!$F$65-(AW48-AV48)*'Assumptions'!$H$3-0</x:f>
        <x:v>289.84852695724</x:v>
      </x:c>
      <x:c r="AN48" t="n">
        <x:f>AD48*(1-'Assumptions'!$F$3)+AX48*'Assumptions'!$G$3-AX48*'LMAT Model'!$G$65-(AX48-AW48)*'Assumptions'!$H$3-0</x:f>
        <x:v>423.0842703254196</x:v>
      </x:c>
      <x:c r="AO48" t="n">
        <x:f>AE48*(1-'Assumptions'!$F$3)+AY48*'Assumptions'!$G$3-AY48*'LMAT Model'!$H$65-(AY48-AX48)*'Assumptions'!$H$3-0</x:f>
        <x:v>581.1878358369515</x:v>
      </x:c>
      <x:c r="AP48" t="n">
        <x:f>AF48*(1-'Assumptions'!$F$3)+AZ48*'Assumptions'!$G$3-AZ48*'LMAT Model'!$I$65-(AZ48-AY48)*'Assumptions'!$H$3-0</x:f>
        <x:v>748.4025549098478</x:v>
      </x:c>
      <x:c r="AQ48" t="n">
        <x:f>AG48*(1-'Assumptions'!$F$3)+BA48*'Assumptions'!$G$3-BA48*'LMAT Model'!$J$65-(BA48-AZ48)*'Assumptions'!$H$3-0</x:f>
        <x:v>899.3786830685661</x:v>
      </x:c>
      <x:c r="AR48" t="n">
        <x:f>AH48*(1-'Assumptions'!$F$3)+BB48*'Assumptions'!$G$3-BB48*'LMAT Model'!$K$65-(BB48-BA48)*'Assumptions'!$H$3-0</x:f>
        <x:v>1003.4820845712122</x:v>
      </x:c>
      <x:c r="AS48" t="n">
        <x:f>E48+O48</x:f>
        <x:v>403.398</x:v>
      </x:c>
      <x:c r="AT48" t="n">
        <x:f>F48+P48</x:f>
        <x:v>588.9610799999999</x:v>
      </x:c>
      <x:c r="AU48" t="n">
        <x:f>G48+Q48</x:f>
        <x:v>859.8831767999999</x:v>
      </x:c>
      <x:c r="AV48" t="n">
        <x:f>H48+R48</x:f>
        <x:v>1255.4294381279997</x:v>
      </x:c>
      <x:c r="AW48" t="n">
        <x:f>I48+S48</x:f>
        <x:v>1832.9269796668796</x:v>
      </x:c>
      <x:c r="AX48" t="n">
        <x:f>J48+T48</x:f>
        <x:v>2518.441670062293</x:v>
      </x:c>
      <x:c r="AY48" t="n">
        <x:f>K48+U48</x:f>
        <x:v>3243.752871040233</x:v>
      </x:c>
      <x:c r="AZ48" t="n">
        <x:f>L48+V48</x:f>
        <x:v>3898.99095099036</x:v>
      </x:c>
      <x:c r="BA48" t="n">
        <x:f>M48+W48</x:f>
        <x:v>4351.273901305242</x:v>
      </x:c>
      <x:c r="BB48" t="n">
        <x:f>N48+X48</x:f>
        <x:v>4481.8121183444</x:v>
      </x:c>
      <x:c r="BC48" t="n">
        <x:f>AS48/'Inputs'!$B$14-1</x:f>
        <x:v>0.45999999999999996</x:v>
      </x:c>
      <x:c r="BD48" t="n">
        <x:f>AT48/AS48-1</x:f>
        <x:v>0.45999999999999974</x:v>
      </x:c>
      <x:c r="BE48" t="n">
        <x:f>AU48/AT48-1</x:f>
        <x:v>0.45999999999999996</x:v>
      </x:c>
      <x:c r="BF48" t="n">
        <x:f>AV48/AU48-1</x:f>
        <x:v>0.45999999999999974</x:v>
      </x:c>
      <x:c r="BG48" t="n">
        <x:f>AW48/AV48-1</x:f>
        <x:v>0.45999999999999996</x:v>
      </x:c>
      <x:c r="BH48" t="n">
        <x:f>AX48/AW48-1</x:f>
        <x:v>0.3740000000000001</x:v>
      </x:c>
      <x:c r="BI48" t="n">
        <x:f>AY48/AX48-1</x:f>
        <x:v>0.28800000000000003</x:v>
      </x:c>
      <x:c r="BJ48" t="n">
        <x:f>AZ48/AY48-1</x:f>
        <x:v>0.20199999999999996</x:v>
      </x:c>
      <x:c r="BK48" t="n">
        <x:f>BA48/AZ48-1</x:f>
        <x:v>0.1160000000000001</x:v>
      </x:c>
      <x:c r="BL48" t="n">
        <x:f>BB48/BA48-1</x:f>
        <x:v>0.030000000000000027</x:v>
      </x:c>
      <x:c r="BM48" t="n">
        <x:f>AH48*(1-'Assumptions'!$F$3)*(1+'Assumptions'!$D$3)*(1-'Assumptions'!$D$3/'Assumptions'!$E$3)</x:f>
        <x:v>957.0812971582709</x:v>
      </x:c>
      <x:c r="BN48" t="n">
        <x:f>SUMPRODUCT(AI48:AR48,'LMAT Model'!$B$83:$K$83)+BM48/('Assumptions'!$C$3-'Assumptions'!$D$3)*'LMAT Model'!$K$83</x:f>
        <x:v>7451.920297440687</x:v>
      </x:c>
      <x:c r="BO48" t="n">
        <x:f>'LMAT Model'!$B$94</x:f>
        <x:v>178</x:v>
      </x:c>
      <x:c r="BP48" t="n">
        <x:f>'Inputs'!$B$8</x:f>
        <x:v>23.088</x:v>
      </x:c>
    </x:row>
    <x:row r="49">
      <x:c r="A49" t="str">
        <x:v>LMAT</x:v>
      </x:c>
      <x:c r="B49" s="22" t="n">
        <x:v>0.47</x:v>
      </x:c>
      <x:c r="C49" s="42" t="n">
        <x:f>MIN((BN49+BO49)/BP49,(BN49+BO49+'Inputs'!$B$7)/(BP49+'Inputs'!$B$19))</x:f>
        <x:v>332.4443159122182</x:v>
      </x:c>
      <x:c r="D49" s="22" t="n">
        <x:f>C49/'Inputs'!$B$5-1</x:f>
        <x:v>3.1210402369185344</x:v>
      </x:c>
      <x:c r="E49" t="n">
        <x:f>'Inputs'!$B$14*(1+$B49)^1</x:f>
        <x:v>406.161</x:v>
      </x:c>
      <x:c r="F49" t="n">
        <x:f>'Inputs'!$B$14*(1+$B49)^2</x:f>
        <x:v>597.0566699999999</x:v>
      </x:c>
      <x:c r="G49" t="n">
        <x:f>'Inputs'!$B$14*(1+$B49)^3</x:f>
        <x:v>877.6733049</x:v>
      </x:c>
      <x:c r="H49" t="n">
        <x:f>'Inputs'!$B$14*(1+$B49)^4</x:f>
        <x:v>1290.1797582029997</x:v>
      </x:c>
      <x:c r="I49" t="n">
        <x:f>'Inputs'!$B$14*(1+$B49)^5</x:f>
        <x:v>1896.5642445584097</x:v>
      </x:c>
      <x:c r="J49" t="n">
        <x:f>I49*(1+($BG49+('Assumptions'!$D$3-$BG49)*(6-5)/5))</x:f>
        <x:v>2621.0517859797224</x:v>
      </x:c>
      <x:c r="K49" t="n">
        <x:f>J49*(1+($BG49+('Assumptions'!$D$3-$BG49)*(7-5)/5))</x:f>
        <x:v>3391.641011057761</x:v>
      </x:c>
      <x:c r="L49" t="n">
        <x:f>K49*(1+($BG49+('Assumptions'!$D$3-$BG49)*(8-5)/5))</x:f>
        <x:v>4090.3190593356594</x:v>
      </x:c>
      <x:c r="M49" t="n">
        <x:f>L49*(1+($BG49+('Assumptions'!$D$3-$BG49)*(9-5)/5))</x:f>
        <x:v>4572.976708337268</x:v>
      </x:c>
      <x:c r="N49" t="n">
        <x:f>M49*(1+($BG49+('Assumptions'!$D$3-$BG49)*(10-5)/5))</x:f>
        <x:v>4710.166009587386</x:v>
      </x:c>
      <x:c r="O49" t="n">
        <x:f>0</x:f>
        <x:v>0</x:v>
      </x:c>
      <x:c r="P49" t="n">
        <x:f>0</x:f>
        <x:v>0</x:v>
      </x:c>
      <x:c r="Q49" t="n">
        <x:f>0</x:f>
        <x:v>0</x:v>
      </x:c>
      <x:c r="R49" t="n">
        <x:f>0</x:f>
        <x:v>0</x:v>
      </x:c>
      <x:c r="S49" t="n">
        <x:f>0</x:f>
        <x:v>0</x:v>
      </x:c>
      <x:c r="T49" t="n">
        <x:f>S49*(1+($BG49+('Assumptions'!$D$3-$BG49)*(6-5)/5))</x:f>
        <x:v>0</x:v>
      </x:c>
      <x:c r="U49" t="n">
        <x:f>T49*(1+($BG49+('Assumptions'!$D$3-$BG49)*(7-5)/5))</x:f>
        <x:v>0</x:v>
      </x:c>
      <x:c r="V49" t="n">
        <x:f>U49*(1+($BG49+('Assumptions'!$D$3-$BG49)*(8-5)/5))</x:f>
        <x:v>0</x:v>
      </x:c>
      <x:c r="W49" t="n">
        <x:f>V49*(1+($BG49+('Assumptions'!$D$3-$BG49)*(9-5)/5))</x:f>
        <x:v>0</x:v>
      </x:c>
      <x:c r="X49" t="n">
        <x:f>W49*(1+($BG49+('Assumptions'!$D$3-$BG49)*(10-5)/5))</x:f>
        <x:v>0</x:v>
      </x:c>
      <x:c r="Y49" t="n">
        <x:f>E49*'LMAT Model'!$B$62+O49*'LMAT Model'!$B$63+'LMAT Model'!$B$73+'LMAT Model'!$B$74</x:f>
        <x:v>113.72508</x:v>
      </x:c>
      <x:c r="Z49" t="n">
        <x:f>F49*'LMAT Model'!$C$62+P49*'LMAT Model'!$C$63+'LMAT Model'!$C$73+'LMAT Model'!$C$74</x:f>
        <x:v>173.14643429999998</x:v>
      </x:c>
      <x:c r="AA49" t="n">
        <x:f>G49*'LMAT Model'!$D$62+Q49*'LMAT Model'!$D$63+'LMAT Model'!$D$73+'LMAT Model'!$D$74</x:f>
        <x:v>263.30199146999996</x:v>
      </x:c>
      <x:c r="AB49" t="n">
        <x:f>H49*'LMAT Model'!$E$62+R49*'LMAT Model'!$E$63+'LMAT Model'!$E$73+'LMAT Model'!$E$74</x:f>
        <x:v>393.5048262519149</x:v>
      </x:c>
      <x:c r="AC49" t="n">
        <x:f>I49*'LMAT Model'!$F$62+S49*'LMAT Model'!$F$63+'LMAT Model'!$F$73+'LMAT Model'!$F$74</x:f>
        <x:v>587.934915813107</x:v>
      </x:c>
      <x:c r="AD49" t="n">
        <x:f>AX49*$AC49/$AW49</x:f>
        <x:v>812.5260536537139</x:v>
      </x:c>
      <x:c r="AE49" t="n">
        <x:f>AY49*$AC49/$AW49</x:f>
        <x:v>1051.4087134279057</x:v>
      </x:c>
      <x:c r="AF49" t="n">
        <x:f>AZ49*$AC49/$AW49</x:f>
        <x:v>1267.9989083940543</x:v>
      </x:c>
      <x:c r="AG49" t="n">
        <x:f>BA49*$AC49/$AW49</x:f>
        <x:v>1417.6227795845532</x:v>
      </x:c>
      <x:c r="AH49" t="n">
        <x:f>BB49*$AC49/$AW49</x:f>
        <x:v>1460.1514629720896</x:v>
      </x:c>
      <x:c r="AI49" t="n">
        <x:f>Y49*(1-'Assumptions'!$F$3)+AS49*'Assumptions'!$G$3-AS49*'LMAT Model'!$B$65-(AS49-'Inputs'!$B$14)*'Assumptions'!$H$3-'Assumptions'!$I$3</x:f>
        <x:v>51.53222580000003</x:v>
      </x:c>
      <x:c r="AJ49" t="n">
        <x:f>Z49*(1-'Assumptions'!$F$3)+AT49*'Assumptions'!$G$3-AT49*'LMAT Model'!$C$65-(AT49-AS49)*'Assumptions'!$H$3-0</x:f>
        <x:v>84.70000261799998</x:v>
      </x:c>
      <x:c r="AK49" t="n">
        <x:f>AA49*(1-'Assumptions'!$F$3)+AU49*'Assumptions'!$G$3-AU49*'LMAT Model'!$D$65-(AU49-AT49)*'Assumptions'!$H$3-0</x:f>
        <x:v>131.17932096569996</x:v>
      </x:c>
      <x:c r="AL49" t="n">
        <x:f>AB49*(1-'Assumptions'!$F$3)+AV49*'Assumptions'!$G$3-AV49*'LMAT Model'!$E$65-(AV49-AU49)*'Assumptions'!$H$3-0</x:f>
        <x:v>197.73628490075038</x:v>
      </x:c>
      <x:c r="AM49" t="n">
        <x:f>AC49*(1-'Assumptions'!$F$3)+AW49*'Assumptions'!$G$3-AW49*'LMAT Model'!$F$65-(AW49-AV49)*'Assumptions'!$H$3-0</x:f>
        <x:v>297.8792829334249</x:v>
      </x:c>
      <x:c r="AN49" t="n">
        <x:f>AD49*(1-'Assumptions'!$F$3)+AX49*'Assumptions'!$G$3-AX49*'LMAT Model'!$G$65-(AX49-AW49)*'Assumptions'!$H$3-0</x:f>
        <x:v>437.782407320022</x:v>
      </x:c>
      <x:c r="AO49" t="n">
        <x:f>AE49*(1-'Assumptions'!$F$3)+AY49*'Assumptions'!$G$3-AY49*'LMAT Model'!$H$65-(AY49-AX49)*'Assumptions'!$H$3-0</x:f>
        <x:v>604.8768953819707</x:v>
      </x:c>
      <x:c r="AP49" t="n">
        <x:f>AF49*(1-'Assumptions'!$F$3)+AZ49*'Assumptions'!$G$3-AZ49*'LMAT Model'!$I$65-(AZ49-AY49)*'Assumptions'!$H$3-0</x:f>
        <x:v>782.5316239788863</x:v>
      </x:c>
      <x:c r="AQ49" t="n">
        <x:f>AG49*(1-'Assumptions'!$F$3)+BA49*'Assumptions'!$G$3-BA49*'LMAT Model'!$J$65-(BA49-AZ49)*'Assumptions'!$H$3-0</x:f>
        <x:v>943.517169672204</x:v>
      </x:c>
      <x:c r="AR49" t="n">
        <x:f>AH49*(1-'Assumptions'!$F$3)+BB49*'Assumptions'!$G$3-BB49*'LMAT Model'!$K$65-(BB49-BA49)*'Assumptions'!$H$3-0</x:f>
        <x:v>1054.6107425233242</x:v>
      </x:c>
      <x:c r="AS49" t="n">
        <x:f>E49+O49</x:f>
        <x:v>406.161</x:v>
      </x:c>
      <x:c r="AT49" t="n">
        <x:f>F49+P49</x:f>
        <x:v>597.0566699999999</x:v>
      </x:c>
      <x:c r="AU49" t="n">
        <x:f>G49+Q49</x:f>
        <x:v>877.6733049</x:v>
      </x:c>
      <x:c r="AV49" t="n">
        <x:f>H49+R49</x:f>
        <x:v>1290.1797582029997</x:v>
      </x:c>
      <x:c r="AW49" t="n">
        <x:f>I49+S49</x:f>
        <x:v>1896.5642445584097</x:v>
      </x:c>
      <x:c r="AX49" t="n">
        <x:f>J49+T49</x:f>
        <x:v>2621.0517859797224</x:v>
      </x:c>
      <x:c r="AY49" t="n">
        <x:f>K49+U49</x:f>
        <x:v>3391.641011057761</x:v>
      </x:c>
      <x:c r="AZ49" t="n">
        <x:f>L49+V49</x:f>
        <x:v>4090.3190593356594</x:v>
      </x:c>
      <x:c r="BA49" t="n">
        <x:f>M49+W49</x:f>
        <x:v>4572.976708337268</x:v>
      </x:c>
      <x:c r="BB49" t="n">
        <x:f>N49+X49</x:f>
        <x:v>4710.166009587386</x:v>
      </x:c>
      <x:c r="BC49" t="n">
        <x:f>AS49/'Inputs'!$B$14-1</x:f>
        <x:v>0.47</x:v>
      </x:c>
      <x:c r="BD49" t="n">
        <x:f>AT49/AS49-1</x:f>
        <x:v>0.46999999999999975</x:v>
      </x:c>
      <x:c r="BE49" t="n">
        <x:f>AU49/AT49-1</x:f>
        <x:v>0.47</x:v>
      </x:c>
      <x:c r="BF49" t="n">
        <x:f>AV49/AU49-1</x:f>
        <x:v>0.46999999999999975</x:v>
      </x:c>
      <x:c r="BG49" t="n">
        <x:f>AW49/AV49-1</x:f>
        <x:v>0.4700000000000002</x:v>
      </x:c>
      <x:c r="BH49" t="n">
        <x:f>AX49/AW49-1</x:f>
        <x:v>0.3820000000000001</x:v>
      </x:c>
      <x:c r="BI49" t="n">
        <x:f>AY49/AX49-1</x:f>
        <x:v>0.29400000000000004</x:v>
      </x:c>
      <x:c r="BJ49" t="n">
        <x:f>AZ49/AY49-1</x:f>
        <x:v>0.20599999999999996</x:v>
      </x:c>
      <x:c r="BK49" t="n">
        <x:f>BA49/AZ49-1</x:f>
        <x:v>0.1180000000000001</x:v>
      </x:c>
      <x:c r="BL49" t="n">
        <x:f>BB49/BA49-1</x:f>
        <x:v>0.030000000000000027</x:v>
      </x:c>
      <x:c r="BM49" t="n">
        <x:f>AH49*(1-'Assumptions'!$F$3)*(1+'Assumptions'!$D$3)*(1-'Assumptions'!$D$3/'Assumptions'!$E$3)</x:f>
        <x:v>1005.8457773888056</x:v>
      </x:c>
      <x:c r="BN49" t="n">
        <x:f>SUMPRODUCT(AI49:AR49,'LMAT Model'!$B$83:$K$83)+BM49/('Assumptions'!$C$3-'Assumptions'!$D$3)*'LMAT Model'!$K$83</x:f>
        <x:v>7804.691513642626</x:v>
      </x:c>
      <x:c r="BO49" t="n">
        <x:f>'LMAT Model'!$B$94</x:f>
        <x:v>178</x:v>
      </x:c>
      <x:c r="BP49" t="n">
        <x:f>'Inputs'!$B$8</x:f>
        <x:v>23.088</x:v>
      </x:c>
    </x:row>
    <x:row r="50">
      <x:c r="A50" t="str">
        <x:v>LMAT</x:v>
      </x:c>
      <x:c r="B50" s="22" t="n">
        <x:v>0.48</x:v>
      </x:c>
      <x:c r="C50" s="42" t="n">
        <x:f>MIN((BN50+BO50)/BP50,(BN50+BO50+'Inputs'!$B$7)/(BP50+'Inputs'!$B$19))</x:f>
        <x:v>347.43672428683027</x:v>
      </x:c>
      <x:c r="D50" s="22" t="n">
        <x:f>C50/'Inputs'!$B$5-1</x:f>
        <x:v>3.306888859388004</x:v>
      </x:c>
      <x:c r="E50" t="n">
        <x:f>'Inputs'!$B$14*(1+$B50)^1</x:f>
        <x:v>408.92400000000004</x:v>
      </x:c>
      <x:c r="F50" t="n">
        <x:f>'Inputs'!$B$14*(1+$B50)^2</x:f>
        <x:v>605.20752</x:v>
      </x:c>
      <x:c r="G50" t="n">
        <x:f>'Inputs'!$B$14*(1+$B50)^3</x:f>
        <x:v>895.7071296</x:v>
      </x:c>
      <x:c r="H50" t="n">
        <x:f>'Inputs'!$B$14*(1+$B50)^4</x:f>
        <x:v>1325.646551808</x:v>
      </x:c>
      <x:c r="I50" t="n">
        <x:f>'Inputs'!$B$14*(1+$B50)^5</x:f>
        <x:v>1961.95689667584</x:v>
      </x:c>
      <x:c r="J50" t="n">
        <x:f>I50*(1+($BG50+('Assumptions'!$D$3-$BG50)*(6-5)/5))</x:f>
        <x:v>2727.120086379418</x:v>
      </x:c>
      <x:c r="K50" t="n">
        <x:f>J50*(1+($BG50+('Assumptions'!$D$3-$BG50)*(7-5)/5))</x:f>
        <x:v>3545.2561122932434</x:v>
      </x:c>
      <x:c r="L50" t="n">
        <x:f>K50*(1+($BG50+('Assumptions'!$D$3-$BG50)*(8-5)/5))</x:f>
        <x:v>4289.759895874824</x:v>
      </x:c>
      <x:c r="M50" t="n">
        <x:f>L50*(1+($BG50+('Assumptions'!$D$3-$BG50)*(9-5)/5))</x:f>
        <x:v>4804.531083379803</x:v>
      </x:c>
      <x:c r="N50" t="n">
        <x:f>M50*(1+($BG50+('Assumptions'!$D$3-$BG50)*(10-5)/5))</x:f>
        <x:v>4948.667015881198</x:v>
      </x:c>
      <x:c r="O50" t="n">
        <x:f>0</x:f>
        <x:v>0</x:v>
      </x:c>
      <x:c r="P50" t="n">
        <x:f>0</x:f>
        <x:v>0</x:v>
      </x:c>
      <x:c r="Q50" t="n">
        <x:f>0</x:f>
        <x:v>0</x:v>
      </x:c>
      <x:c r="R50" t="n">
        <x:f>0</x:f>
        <x:v>0</x:v>
      </x:c>
      <x:c r="S50" t="n">
        <x:f>0</x:f>
        <x:v>0</x:v>
      </x:c>
      <x:c r="T50" t="n">
        <x:f>S50*(1+($BG50+('Assumptions'!$D$3-$BG50)*(6-5)/5))</x:f>
        <x:v>0</x:v>
      </x:c>
      <x:c r="U50" t="n">
        <x:f>T50*(1+($BG50+('Assumptions'!$D$3-$BG50)*(7-5)/5))</x:f>
        <x:v>0</x:v>
      </x:c>
      <x:c r="V50" t="n">
        <x:f>U50*(1+($BG50+('Assumptions'!$D$3-$BG50)*(8-5)/5))</x:f>
        <x:v>0</x:v>
      </x:c>
      <x:c r="W50" t="n">
        <x:f>V50*(1+($BG50+('Assumptions'!$D$3-$BG50)*(9-5)/5))</x:f>
        <x:v>0</x:v>
      </x:c>
      <x:c r="X50" t="n">
        <x:f>W50*(1+($BG50+('Assumptions'!$D$3-$BG50)*(10-5)/5))</x:f>
        <x:v>0</x:v>
      </x:c>
      <x:c r="Y50" t="n">
        <x:f>E50*'LMAT Model'!$B$62+O50*'LMAT Model'!$B$63+'LMAT Model'!$B$73+'LMAT Model'!$B$74</x:f>
        <x:v>114.49872000000002</x:v>
      </x:c>
      <x:c r="Z50" t="n">
        <x:f>F50*'LMAT Model'!$C$62+P50*'LMAT Model'!$C$63+'LMAT Model'!$C$73+'LMAT Model'!$C$74</x:f>
        <x:v>175.5101808</x:v>
      </x:c>
      <x:c r="AA50" t="n">
        <x:f>G50*'LMAT Model'!$D$62+Q50*'LMAT Model'!$D$63+'LMAT Model'!$D$73+'LMAT Model'!$D$74</x:f>
        <x:v>268.71213888</x:v>
      </x:c>
      <x:c r="AB50" t="n">
        <x:f>H50*'LMAT Model'!$E$62+R50*'LMAT Model'!$E$63+'LMAT Model'!$E$73+'LMAT Model'!$E$74</x:f>
        <x:v>404.32219830144</x:v>
      </x:c>
      <x:c r="AC50" t="n">
        <x:f>I50*'LMAT Model'!$F$62+S50*'LMAT Model'!$F$63+'LMAT Model'!$F$73+'LMAT Model'!$F$74</x:f>
        <x:v>608.2066379695104</x:v>
      </x:c>
      <x:c r="AD50" t="n">
        <x:f>AX50*$AC50/$AW50</x:f>
        <x:v>845.4072267776196</x:v>
      </x:c>
      <x:c r="AE50" t="n">
        <x:f>AY50*$AC50/$AW50</x:f>
        <x:v>1099.0293948109056</x:v>
      </x:c>
      <x:c r="AF50" t="n">
        <x:f>AZ50*$AC50/$AW50</x:f>
        <x:v>1329.8255677211955</x:v>
      </x:c>
      <x:c r="AG50" t="n">
        <x:f>BA50*$AC50/$AW50</x:f>
        <x:v>1489.4046358477392</x:v>
      </x:c>
      <x:c r="AH50" t="n">
        <x:f>BB50*$AC50/$AW50</x:f>
        <x:v>1534.0867749231713</x:v>
      </x:c>
      <x:c r="AI50" t="n">
        <x:f>Y50*(1-'Assumptions'!$F$3)+AS50*'Assumptions'!$G$3-AS50*'LMAT Model'!$B$65-(AS50-'Inputs'!$B$14)*'Assumptions'!$H$3-'Assumptions'!$I$3</x:f>
        <x:v>51.47088720000001</x:v>
      </x:c>
      <x:c r="AJ50" t="n">
        <x:f>Z50*(1-'Assumptions'!$F$3)+AT50*'Assumptions'!$G$3-AT50*'LMAT Model'!$C$65-(AT50-AS50)*'Assumptions'!$H$3-0</x:f>
        <x:v>85.21649020799997</x:v>
      </x:c>
      <x:c r="AK50" t="n">
        <x:f>AA50*(1-'Assumptions'!$F$3)+AU50*'Assumptions'!$G$3-AU50*'LMAT Model'!$D$65-(AU50-AT50)*'Assumptions'!$H$3-0</x:f>
        <x:v>132.92777969280002</x:v>
      </x:c>
      <x:c r="AL50" t="n">
        <x:f>AB50*(1-'Assumptions'!$F$3)+AV50*'Assumptions'!$G$3-AV50*'LMAT Model'!$E$65-(AV50-AU50)*'Assumptions'!$H$3-0</x:f>
        <x:v>201.77057084221437</x:v>
      </x:c>
      <x:c r="AM50" t="n">
        <x:f>AC50*(1-'Assumptions'!$F$3)+AW50*'Assumptions'!$G$3-AW50*'LMAT Model'!$F$65-(AW50-AV50)*'Assumptions'!$H$3-0</x:f>
        <x:v>306.0758810538455</x:v>
      </x:c>
      <x:c r="AN50" t="n">
        <x:f>AD50*(1-'Assumptions'!$F$3)+AX50*'Assumptions'!$G$3-AX50*'LMAT Model'!$G$65-(AX50-AW50)*'Assumptions'!$H$3-0</x:f>
        <x:v>452.88635828727087</x:v>
      </x:c>
      <x:c r="AO50" t="n">
        <x:f>AE50*(1-'Assumptions'!$F$3)+AY50*'Assumptions'!$G$3-AY50*'LMAT Model'!$H$65-(AY50-AX50)*'Assumptions'!$H$3-0</x:f>
        <x:v>629.3647735346422</x:v>
      </x:c>
      <x:c r="AP50" t="n">
        <x:f>AF50*(1-'Assumptions'!$F$3)+AZ50*'Assumptions'!$G$3-AZ50*'LMAT Model'!$I$65-(AZ50-AY50)*'Assumptions'!$H$3-0</x:f>
        <x:v>817.9827617649709</x:v>
      </x:c>
      <x:c r="AQ50" t="n">
        <x:f>AG50*(1-'Assumptions'!$F$3)+BA50*'Assumptions'!$G$3-BA50*'LMAT Model'!$J$65-(BA50-AZ50)*'Assumptions'!$H$3-0</x:f>
        <x:v>989.5274947012375</x:v>
      </x:c>
      <x:c r="AR50" t="n">
        <x:f>AH50*(1-'Assumptions'!$F$3)+BB50*'Assumptions'!$G$3-BB50*'LMAT Model'!$K$65-(BB50-BA50)*'Assumptions'!$H$3-0</x:f>
        <x:v>1108.0113493868835</x:v>
      </x:c>
      <x:c r="AS50" t="n">
        <x:f>E50+O50</x:f>
        <x:v>408.92400000000004</x:v>
      </x:c>
      <x:c r="AT50" t="n">
        <x:f>F50+P50</x:f>
        <x:v>605.20752</x:v>
      </x:c>
      <x:c r="AU50" t="n">
        <x:f>G50+Q50</x:f>
        <x:v>895.7071296</x:v>
      </x:c>
      <x:c r="AV50" t="n">
        <x:f>H50+R50</x:f>
        <x:v>1325.646551808</x:v>
      </x:c>
      <x:c r="AW50" t="n">
        <x:f>I50+S50</x:f>
        <x:v>1961.95689667584</x:v>
      </x:c>
      <x:c r="AX50" t="n">
        <x:f>J50+T50</x:f>
        <x:v>2727.120086379418</x:v>
      </x:c>
      <x:c r="AY50" t="n">
        <x:f>K50+U50</x:f>
        <x:v>3545.2561122932434</x:v>
      </x:c>
      <x:c r="AZ50" t="n">
        <x:f>L50+V50</x:f>
        <x:v>4289.759895874824</x:v>
      </x:c>
      <x:c r="BA50" t="n">
        <x:f>M50+W50</x:f>
        <x:v>4804.531083379803</x:v>
      </x:c>
      <x:c r="BB50" t="n">
        <x:f>N50+X50</x:f>
        <x:v>4948.667015881198</x:v>
      </x:c>
      <x:c r="BC50" t="n">
        <x:f>AS50/'Inputs'!$B$14-1</x:f>
        <x:v>0.48</x:v>
      </x:c>
      <x:c r="BD50" t="n">
        <x:f>AT50/AS50-1</x:f>
        <x:v>0.48</x:v>
      </x:c>
      <x:c r="BE50" t="n">
        <x:f>AU50/AT50-1</x:f>
        <x:v>0.48</x:v>
      </x:c>
      <x:c r="BF50" t="n">
        <x:f>AV50/AU50-1</x:f>
        <x:v>0.47999999999999976</x:v>
      </x:c>
      <x:c r="BG50" t="n">
        <x:f>AW50/AV50-1</x:f>
        <x:v>0.48</x:v>
      </x:c>
      <x:c r="BH50" t="n">
        <x:f>AX50/AW50-1</x:f>
        <x:v>0.3900000000000001</x:v>
      </x:c>
      <x:c r="BI50" t="n">
        <x:f>AY50/AX50-1</x:f>
        <x:v>0.30000000000000004</x:v>
      </x:c>
      <x:c r="BJ50" t="n">
        <x:f>AZ50/AY50-1</x:f>
        <x:v>0.20999999999999974</x:v>
      </x:c>
      <x:c r="BK50" t="n">
        <x:f>BA50/AZ50-1</x:f>
        <x:v>0.1200000000000001</x:v>
      </x:c>
      <x:c r="BL50" t="n">
        <x:f>BB50/BA50-1</x:f>
        <x:v>0.030000000000000027</x:v>
      </x:c>
      <x:c r="BM50" t="n">
        <x:f>AH50*(1-'Assumptions'!$F$3)*(1+'Assumptions'!$D$3)*(1-'Assumptions'!$D$3/'Assumptions'!$E$3)</x:f>
        <x:v>1056.7771521206755</x:v>
      </x:c>
      <x:c r="BN50" t="n">
        <x:f>SUMPRODUCT(AI50:AR50,'LMAT Model'!$B$83:$K$83)+BM50/('Assumptions'!$C$3-'Assumptions'!$D$3)*'LMAT Model'!$K$83</x:f>
        <x:v>8172.470283480235</x:v>
      </x:c>
      <x:c r="BO50" t="n">
        <x:f>'LMAT Model'!$B$94</x:f>
        <x:v>178</x:v>
      </x:c>
      <x:c r="BP50" t="n">
        <x:f>'Inputs'!$B$8</x:f>
        <x:v>23.088</x:v>
      </x:c>
    </x:row>
    <x:row r="51">
      <x:c r="A51" t="str">
        <x:v>LMAT</x:v>
      </x:c>
      <x:c r="B51" s="22" t="n">
        <x:v>0.49</x:v>
      </x:c>
      <x:c r="C51" s="42" t="n">
        <x:f>MIN((BN51+BO51)/BP51,(BN51+BO51+'Inputs'!$B$7)/(BP51+'Inputs'!$B$19))</x:f>
        <x:v>363.0634736256514</x:v>
      </x:c>
      <x:c r="D51" s="22" t="n">
        <x:f>C51/'Inputs'!$B$5-1</x:f>
        <x:v>3.500600887884609</x:v>
      </x:c>
      <x:c r="E51" t="n">
        <x:f>'Inputs'!$B$14*(1+$B51)^1</x:f>
        <x:v>411.687</x:v>
      </x:c>
      <x:c r="F51" t="n">
        <x:f>'Inputs'!$B$14*(1+$B51)^2</x:f>
        <x:v>613.41363</x:v>
      </x:c>
      <x:c r="G51" t="n">
        <x:f>'Inputs'!$B$14*(1+$B51)^3</x:f>
        <x:v>913.9863087</x:v>
      </x:c>
      <x:c r="H51" t="n">
        <x:f>'Inputs'!$B$14*(1+$B51)^4</x:f>
        <x:v>1361.839599963</x:v>
      </x:c>
      <x:c r="I51" t="n">
        <x:f>'Inputs'!$B$14*(1+$B51)^5</x:f>
        <x:v>2029.14100394487</x:v>
      </x:c>
      <x:c r="J51" t="n">
        <x:f>I51*(1+($BG51+('Assumptions'!$D$3-$BG51)*(6-5)/5))</x:f>
        <x:v>2836.7391235149285</x:v>
      </x:c>
      <x:c r="K51" t="n">
        <x:f>J51*(1+($BG51+('Assumptions'!$D$3-$BG51)*(7-5)/5))</x:f>
        <x:v>3704.7812953104967</x:v>
      </x:c>
      <x:c r="L51" t="n">
        <x:f>K51*(1+($BG51+('Assumptions'!$D$3-$BG51)*(8-5)/5))</x:f>
        <x:v>4497.604492506943</x:v>
      </x:c>
      <x:c r="M51" t="n">
        <x:f>L51*(1+($BG51+('Assumptions'!$D$3-$BG51)*(9-5)/5))</x:f>
        <x:v>5046.312240592789</x:v>
      </x:c>
      <x:c r="N51" t="n">
        <x:f>M51*(1+($BG51+('Assumptions'!$D$3-$BG51)*(10-5)/5))</x:f>
        <x:v>5197.701607810573</x:v>
      </x:c>
      <x:c r="O51" t="n">
        <x:f>0</x:f>
        <x:v>0</x:v>
      </x:c>
      <x:c r="P51" t="n">
        <x:f>0</x:f>
        <x:v>0</x:v>
      </x:c>
      <x:c r="Q51" t="n">
        <x:f>0</x:f>
        <x:v>0</x:v>
      </x:c>
      <x:c r="R51" t="n">
        <x:f>0</x:f>
        <x:v>0</x:v>
      </x:c>
      <x:c r="S51" t="n">
        <x:f>0</x:f>
        <x:v>0</x:v>
      </x:c>
      <x:c r="T51" t="n">
        <x:f>S51*(1+($BG51+('Assumptions'!$D$3-$BG51)*(6-5)/5))</x:f>
        <x:v>0</x:v>
      </x:c>
      <x:c r="U51" t="n">
        <x:f>T51*(1+($BG51+('Assumptions'!$D$3-$BG51)*(7-5)/5))</x:f>
        <x:v>0</x:v>
      </x:c>
      <x:c r="V51" t="n">
        <x:f>U51*(1+($BG51+('Assumptions'!$D$3-$BG51)*(8-5)/5))</x:f>
        <x:v>0</x:v>
      </x:c>
      <x:c r="W51" t="n">
        <x:f>V51*(1+($BG51+('Assumptions'!$D$3-$BG51)*(9-5)/5))</x:f>
        <x:v>0</x:v>
      </x:c>
      <x:c r="X51" t="n">
        <x:f>W51*(1+($BG51+('Assumptions'!$D$3-$BG51)*(10-5)/5))</x:f>
        <x:v>0</x:v>
      </x:c>
      <x:c r="Y51" t="n">
        <x:f>E51*'LMAT Model'!$B$62+O51*'LMAT Model'!$B$63+'LMAT Model'!$B$73+'LMAT Model'!$B$74</x:f>
        <x:v>115.27236000000002</x:v>
      </x:c>
      <x:c r="Z51" t="n">
        <x:f>F51*'LMAT Model'!$C$62+P51*'LMAT Model'!$C$63+'LMAT Model'!$C$73+'LMAT Model'!$C$74</x:f>
        <x:v>177.88995269999998</x:v>
      </x:c>
      <x:c r="AA51" t="n">
        <x:f>G51*'LMAT Model'!$D$62+Q51*'LMAT Model'!$D$63+'LMAT Model'!$D$73+'LMAT Model'!$D$74</x:f>
        <x:v>274.19589261</x:v>
      </x:c>
      <x:c r="AB51" t="n">
        <x:f>H51*'LMAT Model'!$E$62+R51*'LMAT Model'!$E$63+'LMAT Model'!$E$73+'LMAT Model'!$E$74</x:f>
        <x:v>415.36107798871495</x:v>
      </x:c>
      <x:c r="AC51" t="n">
        <x:f>I51*'LMAT Model'!$F$62+S51*'LMAT Model'!$F$63+'LMAT Model'!$F$73+'LMAT Model'!$F$74</x:f>
        <x:v>629.0337112229097</x:v>
      </x:c>
      <x:c r="AD51" t="n">
        <x:f>AX51*$AC51/$AW51</x:f>
        <x:v>879.3891282896278</x:v>
      </x:c>
      <x:c r="AE51" t="n">
        <x:f>AY51*$AC51/$AW51</x:f>
        <x:v>1148.482201546254</x:v>
      </x:c>
      <x:c r="AF51" t="n">
        <x:f>AZ51*$AC51/$AW51</x:f>
        <x:v>1394.2573926771524</x:v>
      </x:c>
      <x:c r="AG51" t="n">
        <x:f>BA51*$AC51/$AW51</x:f>
        <x:v>1564.3567945837647</x:v>
      </x:c>
      <x:c r="AH51" t="n">
        <x:f>BB51*$AC51/$AW51</x:f>
        <x:v>1611.2874984212774</x:v>
      </x:c>
      <x:c r="AI51" t="n">
        <x:f>Y51*(1-'Assumptions'!$F$3)+AS51*'Assumptions'!$G$3-AS51*'LMAT Model'!$B$65-(AS51-'Inputs'!$B$14)*'Assumptions'!$H$3-'Assumptions'!$I$3</x:f>
        <x:v>51.40954860000001</x:v>
      </x:c>
      <x:c r="AJ51" t="n">
        <x:f>Z51*(1-'Assumptions'!$F$3)+AT51*'Assumptions'!$G$3-AT51*'LMAT Model'!$C$65-(AT51-AS51)*'Assumptions'!$H$3-0</x:f>
        <x:v>85.73217100199997</x:v>
      </x:c>
      <x:c r="AK51" t="n">
        <x:f>AA51*(1-'Assumptions'!$F$3)+AU51*'Assumptions'!$G$3-AU51*'LMAT Model'!$D$65-(AU51-AT51)*'Assumptions'!$H$3-0</x:f>
        <x:v>134.6872307391</x:v>
      </x:c>
      <x:c r="AL51" t="n">
        <x:f>AB51*(1-'Assumptions'!$F$3)+AV51*'Assumptions'!$G$3-AV51*'LMAT Model'!$E$65-(AV51-AU51)*'Assumptions'!$H$3-0</x:f>
        <x:v>205.85896428111835</x:v>
      </x:c>
      <x:c r="AM51" t="n">
        <x:f>AC51*(1-'Assumptions'!$F$3)+AW51*'Assumptions'!$G$3-AW51*'LMAT Model'!$F$65-(AW51-AV51)*'Assumptions'!$H$3-0</x:f>
        <x:v>314.44059259385693</x:v>
      </x:c>
      <x:c r="AN51" t="n">
        <x:f>AD51*(1-'Assumptions'!$F$3)+AX51*'Assumptions'!$G$3-AX51*'LMAT Model'!$G$65-(AX51-AW51)*'Assumptions'!$H$3-0</x:f>
        <x:v>468.40447438142905</x:v>
      </x:c>
      <x:c r="AO51" t="n">
        <x:f>AE51*(1-'Assumptions'!$F$3)+AY51*'Assumptions'!$G$3-AY51*'LMAT Model'!$H$65-(AY51-AX51)*'Assumptions'!$H$3-0</x:f>
        <x:v>654.6728671856197</x:v>
      </x:c>
      <x:c r="AP51" t="n">
        <x:f>AF51*(1-'Assumptions'!$F$3)+AZ51*'Assumptions'!$G$3-AZ51*'LMAT Model'!$I$65-(AZ51-AY51)*'Assumptions'!$H$3-0</x:f>
        <x:v>854.7982606169185</x:v>
      </x:c>
      <x:c r="AQ51" t="n">
        <x:f>AG51*(1-'Assumptions'!$F$3)+BA51*'Assumptions'!$G$3-BA51*'LMAT Model'!$J$65-(BA51-AZ51)*'Assumptions'!$H$3-0</x:f>
        <x:v>1037.4768206209526</x:v>
      </x:c>
      <x:c r="AR51" t="n">
        <x:f>AH51*(1-'Assumptions'!$F$3)+BB51*'Assumptions'!$G$3-BB51*'LMAT Model'!$K$65-(BB51-BA51)*'Assumptions'!$H$3-0</x:f>
        <x:v>1163.7704363010275</x:v>
      </x:c>
      <x:c r="AS51" t="n">
        <x:f>E51+O51</x:f>
        <x:v>411.687</x:v>
      </x:c>
      <x:c r="AT51" t="n">
        <x:f>F51+P51</x:f>
        <x:v>613.41363</x:v>
      </x:c>
      <x:c r="AU51" t="n">
        <x:f>G51+Q51</x:f>
        <x:v>913.9863087</x:v>
      </x:c>
      <x:c r="AV51" t="n">
        <x:f>H51+R51</x:f>
        <x:v>1361.839599963</x:v>
      </x:c>
      <x:c r="AW51" t="n">
        <x:f>I51+S51</x:f>
        <x:v>2029.14100394487</x:v>
      </x:c>
      <x:c r="AX51" t="n">
        <x:f>J51+T51</x:f>
        <x:v>2836.7391235149285</x:v>
      </x:c>
      <x:c r="AY51" t="n">
        <x:f>K51+U51</x:f>
        <x:v>3704.7812953104967</x:v>
      </x:c>
      <x:c r="AZ51" t="n">
        <x:f>L51+V51</x:f>
        <x:v>4497.604492506943</x:v>
      </x:c>
      <x:c r="BA51" t="n">
        <x:f>M51+W51</x:f>
        <x:v>5046.312240592789</x:v>
      </x:c>
      <x:c r="BB51" t="n">
        <x:f>N51+X51</x:f>
        <x:v>5197.701607810573</x:v>
      </x:c>
      <x:c r="BC51" t="n">
        <x:f>AS51/'Inputs'!$B$14-1</x:f>
        <x:v>0.49</x:v>
      </x:c>
      <x:c r="BD51" t="n">
        <x:f>AT51/AS51-1</x:f>
        <x:v>0.49</x:v>
      </x:c>
      <x:c r="BE51" t="n">
        <x:f>AU51/AT51-1</x:f>
        <x:v>0.49</x:v>
      </x:c>
      <x:c r="BF51" t="n">
        <x:f>AV51/AU51-1</x:f>
        <x:v>0.49</x:v>
      </x:c>
      <x:c r="BG51" t="n">
        <x:f>AW51/AV51-1</x:f>
        <x:v>0.49</x:v>
      </x:c>
      <x:c r="BH51" t="n">
        <x:f>AX51/AW51-1</x:f>
        <x:v>0.39800000000000013</x:v>
      </x:c>
      <x:c r="BI51" t="n">
        <x:f>AY51/AX51-1</x:f>
        <x:v>0.30600000000000005</x:v>
      </x:c>
      <x:c r="BJ51" t="n">
        <x:f>AZ51/AY51-1</x:f>
        <x:v>0.21399999999999997</x:v>
      </x:c>
      <x:c r="BK51" t="n">
        <x:f>BA51/AZ51-1</x:f>
        <x:v>0.12199999999999989</x:v>
      </x:c>
      <x:c r="BL51" t="n">
        <x:f>BB51/BA51-1</x:f>
        <x:v>0.030000000000000027</x:v>
      </x:c>
      <x:c r="BM51" t="n">
        <x:f>AH51*(1-'Assumptions'!$F$3)*(1+'Assumptions'!$D$3)*(1-'Assumptions'!$D$3/'Assumptions'!$E$3)</x:f>
        <x:v>1109.9579513124747</x:v>
      </x:c>
      <x:c r="BN51" t="n">
        <x:f>SUMPRODUCT(AI51:AR51,'LMAT Model'!$B$83:$K$83)+BM51/('Assumptions'!$C$3-'Assumptions'!$D$3)*'LMAT Model'!$K$83</x:f>
        <x:v>8555.810071510856</x:v>
      </x:c>
      <x:c r="BO51" t="n">
        <x:f>'LMAT Model'!$B$94</x:f>
        <x:v>178</x:v>
      </x:c>
      <x:c r="BP51" t="n">
        <x:f>'Inputs'!$B$8</x:f>
        <x:v>23.088</x:v>
      </x:c>
    </x:row>
    <x:row r="52">
      <x:c r="A52" t="str">
        <x:v>LMAT</x:v>
      </x:c>
      <x:c r="B52" s="22" t="n">
        <x:v>0.5</x:v>
      </x:c>
      <x:c r="C52" s="42" t="n">
        <x:f>MIN((BN52+BO52)/BP52,(BN52+BO52+'Inputs'!$B$7)/(BP52+'Inputs'!$B$19))</x:f>
        <x:v>379.34782713286955</x:v>
      </x:c>
      <x:c r="D52" s="22" t="n">
        <x:f>C52/'Inputs'!$B$5-1</x:f>
        <x:v>3.7024646973208073</x:v>
      </x:c>
      <x:c r="E52" t="n">
        <x:f>'Inputs'!$B$14*(1+$B52)^1</x:f>
        <x:v>414.45000000000005</x:v>
      </x:c>
      <x:c r="F52" t="n">
        <x:f>'Inputs'!$B$14*(1+$B52)^2</x:f>
        <x:v>621.6750000000001</x:v>
      </x:c>
      <x:c r="G52" t="n">
        <x:f>'Inputs'!$B$14*(1+$B52)^3</x:f>
        <x:v>932.5125</x:v>
      </x:c>
      <x:c r="H52" t="n">
        <x:f>'Inputs'!$B$14*(1+$B52)^4</x:f>
        <x:v>1398.76875</x:v>
      </x:c>
      <x:c r="I52" t="n">
        <x:f>'Inputs'!$B$14*(1+$B52)^5</x:f>
        <x:v>2098.1531250000003</x:v>
      </x:c>
      <x:c r="J52" t="n">
        <x:f>I52*(1+($BG52+('Assumptions'!$D$3-$BG52)*(6-5)/5))</x:f>
        <x:v>2950.0032937500005</x:v>
      </x:c>
      <x:c r="K52" t="n">
        <x:f>J52*(1+($BG52+('Assumptions'!$D$3-$BG52)*(7-5)/5))</x:f>
        <x:v>3870.404321400001</x:v>
      </x:c>
      <x:c r="L52" t="n">
        <x:f>K52*(1+($BG52+('Assumptions'!$D$3-$BG52)*(8-5)/5))</x:f>
        <x:v>4714.152463465201</x:v>
      </x:c>
      <x:c r="M52" t="n">
        <x:f>L52*(1+($BG52+('Assumptions'!$D$3-$BG52)*(9-5)/5))</x:f>
        <x:v>5298.707368934887</x:v>
      </x:c>
      <x:c r="N52" t="n">
        <x:f>M52*(1+($BG52+('Assumptions'!$D$3-$BG52)*(10-5)/5))</x:f>
        <x:v>5457.668590002934</x:v>
      </x:c>
      <x:c r="O52" t="n">
        <x:f>0</x:f>
        <x:v>0</x:v>
      </x:c>
      <x:c r="P52" t="n">
        <x:f>0</x:f>
        <x:v>0</x:v>
      </x:c>
      <x:c r="Q52" t="n">
        <x:f>0</x:f>
        <x:v>0</x:v>
      </x:c>
      <x:c r="R52" t="n">
        <x:f>0</x:f>
        <x:v>0</x:v>
      </x:c>
      <x:c r="S52" t="n">
        <x:f>0</x:f>
        <x:v>0</x:v>
      </x:c>
      <x:c r="T52" t="n">
        <x:f>S52*(1+($BG52+('Assumptions'!$D$3-$BG52)*(6-5)/5))</x:f>
        <x:v>0</x:v>
      </x:c>
      <x:c r="U52" t="n">
        <x:f>T52*(1+($BG52+('Assumptions'!$D$3-$BG52)*(7-5)/5))</x:f>
        <x:v>0</x:v>
      </x:c>
      <x:c r="V52" t="n">
        <x:f>U52*(1+($BG52+('Assumptions'!$D$3-$BG52)*(8-5)/5))</x:f>
        <x:v>0</x:v>
      </x:c>
      <x:c r="W52" t="n">
        <x:f>V52*(1+($BG52+('Assumptions'!$D$3-$BG52)*(9-5)/5))</x:f>
        <x:v>0</x:v>
      </x:c>
      <x:c r="X52" t="n">
        <x:f>W52*(1+($BG52+('Assumptions'!$D$3-$BG52)*(10-5)/5))</x:f>
        <x:v>0</x:v>
      </x:c>
      <x:c r="Y52" t="n">
        <x:f>E52*'LMAT Model'!$B$62+O52*'LMAT Model'!$B$63+'LMAT Model'!$B$73+'LMAT Model'!$B$74</x:f>
        <x:v>116.04600000000002</x:v>
      </x:c>
      <x:c r="Z52" t="n">
        <x:f>F52*'LMAT Model'!$C$62+P52*'LMAT Model'!$C$63+'LMAT Model'!$C$73+'LMAT Model'!$C$74</x:f>
        <x:v>180.28575</x:v>
      </x:c>
      <x:c r="AA52" t="n">
        <x:f>G52*'LMAT Model'!$D$62+Q52*'LMAT Model'!$D$63+'LMAT Model'!$D$73+'LMAT Model'!$D$74</x:f>
        <x:v>279.75375</x:v>
      </x:c>
      <x:c r="AB52" t="n">
        <x:f>H52*'LMAT Model'!$E$62+R52*'LMAT Model'!$E$63+'LMAT Model'!$E$73+'LMAT Model'!$E$74</x:f>
        <x:v>426.62446874999995</x:v>
      </x:c>
      <x:c r="AC52" t="n">
        <x:f>I52*'LMAT Model'!$F$62+S52*'LMAT Model'!$F$63+'LMAT Model'!$F$73+'LMAT Model'!$F$74</x:f>
        <x:v>650.4274687500001</x:v>
      </x:c>
      <x:c r="AD52" t="n">
        <x:f>AX52*$AC52/$AW52</x:f>
        <x:v>914.5010210625002</x:v>
      </x:c>
      <x:c r="AE52" t="n">
        <x:f>AY52*$AC52/$AW52</x:f>
        <x:v>1199.8253396340003</x:v>
      </x:c>
      <x:c r="AF52" t="n">
        <x:f>AZ52*$AC52/$AW52</x:f>
        <x:v>1461.3872636742126</x:v>
      </x:c>
      <x:c r="AG52" t="n">
        <x:f>BA52*$AC52/$AW52</x:f>
        <x:v>1642.5992843698152</x:v>
      </x:c>
      <x:c r="AH52" t="n">
        <x:f>BB52*$AC52/$AW52</x:f>
        <x:v>1691.8772629009097</x:v>
      </x:c>
      <x:c r="AI52" t="n">
        <x:f>Y52*(1-'Assumptions'!$F$3)+AS52*'Assumptions'!$G$3-AS52*'LMAT Model'!$B$65-(AS52-'Inputs'!$B$14)*'Assumptions'!$H$3-'Assumptions'!$I$3</x:f>
        <x:v>51.348210000000016</x:v>
      </x:c>
      <x:c r="AJ52" t="n">
        <x:f>Z52*(1-'Assumptions'!$F$3)+AT52*'Assumptions'!$G$3-AT52*'LMAT Model'!$C$65-(AT52-AS52)*'Assumptions'!$H$3-0</x:f>
        <x:v>86.24704499999999</x:v>
      </x:c>
      <x:c r="AK52" t="n">
        <x:f>AA52*(1-'Assumptions'!$F$3)+AU52*'Assumptions'!$G$3-AU52*'LMAT Model'!$D$65-(AU52-AT52)*'Assumptions'!$H$3-0</x:f>
        <x:v>136.4576625</x:v>
      </x:c>
      <x:c r="AL52" t="n">
        <x:f>AB52*(1-'Assumptions'!$F$3)+AV52*'Assumptions'!$G$3-AV52*'LMAT Model'!$E$65-(AV52-AU52)*'Assumptions'!$H$3-0</x:f>
        <x:v>210.00181500000002</x:v>
      </x:c>
      <x:c r="AM52" t="n">
        <x:f>AC52*(1-'Assumptions'!$F$3)+AW52*'Assumptions'!$G$3-AW52*'LMAT Model'!$F$65-(AW52-AV52)*'Assumptions'!$H$3-0</x:f>
        <x:v>322.9757043750001</x:v>
      </x:c>
      <x:c r="AN52" t="n">
        <x:f>AD52*(1-'Assumptions'!$F$3)+AX52*'Assumptions'!$G$3-AX52*'LMAT Model'!$G$65-(AX52-AW52)*'Assumptions'!$H$3-0</x:f>
        <x:v>484.34522072625003</x:v>
      </x:c>
      <x:c r="AO52" t="n">
        <x:f>AE52*(1-'Assumptions'!$F$3)+AY52*'Assumptions'!$G$3-AY52*'LMAT Model'!$H$65-(AY52-AX52)*'Assumptions'!$H$3-0</x:f>
        <x:v>680.82300015534</x:v>
      </x:c>
      <x:c r="AP52" t="n">
        <x:f>AF52*(1-'Assumptions'!$F$3)+AZ52*'Assumptions'!$G$3-AZ52*'LMAT Model'!$I$65-(AZ52-AY52)*'Assumptions'!$H$3-0</x:f>
        <x:v>893.0214854000795</x:v>
      </x:c>
      <x:c r="AQ52" t="n">
        <x:f>AG52*(1-'Assumptions'!$F$3)+BA52*'Assumptions'!$G$3-BA52*'LMAT Model'!$J$65-(BA52-AZ52)*'Assumptions'!$H$3-0</x:f>
        <x:v>1087.4342910183577</x:v>
      </x:c>
      <x:c r="AR52" t="n">
        <x:f>AH52*(1-'Assumptions'!$F$3)+BB52*'Assumptions'!$G$3-BB52*'LMAT Model'!$K$65-(BB52-BA52)*'Assumptions'!$H$3-0</x:f>
        <x:v>1221.9772960090258</x:v>
      </x:c>
      <x:c r="AS52" t="n">
        <x:f>E52+O52</x:f>
        <x:v>414.45000000000005</x:v>
      </x:c>
      <x:c r="AT52" t="n">
        <x:f>F52+P52</x:f>
        <x:v>621.6750000000001</x:v>
      </x:c>
      <x:c r="AU52" t="n">
        <x:f>G52+Q52</x:f>
        <x:v>932.5125</x:v>
      </x:c>
      <x:c r="AV52" t="n">
        <x:f>H52+R52</x:f>
        <x:v>1398.76875</x:v>
      </x:c>
      <x:c r="AW52" t="n">
        <x:f>I52+S52</x:f>
        <x:v>2098.1531250000003</x:v>
      </x:c>
      <x:c r="AX52" t="n">
        <x:f>J52+T52</x:f>
        <x:v>2950.0032937500005</x:v>
      </x:c>
      <x:c r="AY52" t="n">
        <x:f>K52+U52</x:f>
        <x:v>3870.404321400001</x:v>
      </x:c>
      <x:c r="AZ52" t="n">
        <x:f>L52+V52</x:f>
        <x:v>4714.152463465201</x:v>
      </x:c>
      <x:c r="BA52" t="n">
        <x:f>M52+W52</x:f>
        <x:v>5298.707368934887</x:v>
      </x:c>
      <x:c r="BB52" t="n">
        <x:f>N52+X52</x:f>
        <x:v>5457.668590002934</x:v>
      </x:c>
      <x:c r="BC52" t="n">
        <x:f>AS52/'Inputs'!$B$14-1</x:f>
        <x:v>0.5</x:v>
      </x:c>
      <x:c r="BD52" t="n">
        <x:f>AT52/AS52-1</x:f>
        <x:v>0.5</x:v>
      </x:c>
      <x:c r="BE52" t="n">
        <x:f>AU52/AT52-1</x:f>
        <x:v>0.5</x:v>
      </x:c>
      <x:c r="BF52" t="n">
        <x:f>AV52/AU52-1</x:f>
        <x:v>0.4999999999999998</x:v>
      </x:c>
      <x:c r="BG52" t="n">
        <x:f>AW52/AV52-1</x:f>
        <x:v>0.5000000000000002</x:v>
      </x:c>
      <x:c r="BH52" t="n">
        <x:f>AX52/AW52-1</x:f>
        <x:v>0.40600000000000014</x:v>
      </x:c>
      <x:c r="BI52" t="n">
        <x:f>AY52/AX52-1</x:f>
        <x:v>0.3120000000000003</x:v>
      </x:c>
      <x:c r="BJ52" t="n">
        <x:f>AZ52/AY52-1</x:f>
        <x:v>0.21799999999999997</x:v>
      </x:c>
      <x:c r="BK52" t="n">
        <x:f>BA52/AZ52-1</x:f>
        <x:v>0.12400000000000011</x:v>
      </x:c>
      <x:c r="BL52" t="n">
        <x:f>BB52/BA52-1</x:f>
        <x:v>0.030000000000000027</x:v>
      </x:c>
      <x:c r="BM52" t="n">
        <x:f>AH52*(1-'Assumptions'!$F$3)*(1+'Assumptions'!$D$3)*(1-'Assumptions'!$D$3/'Assumptions'!$E$3)</x:f>
        <x:v>1165.4733388309724</x:v>
      </x:c>
      <x:c r="BN52" t="n">
        <x:f>SUMPRODUCT(AI52:AR52,'LMAT Model'!$B$83:$K$83)+BM52/('Assumptions'!$C$3-'Assumptions'!$D$3)*'LMAT Model'!$K$83</x:f>
        <x:v>8955.281547396424</x:v>
      </x:c>
      <x:c r="BO52" t="n">
        <x:f>'LMAT Model'!$B$94</x:f>
        <x:v>178</x:v>
      </x:c>
      <x:c r="BP52" t="n">
        <x:f>'Inputs'!$B$8</x:f>
        <x:v>23.088</x:v>
      </x:c>
    </x:row>
    <x:row r="53">
      <x:c r="A53" t="str">
        <x:v>LMAT</x:v>
      </x:c>
      <x:c r="B53" s="22" t="n">
        <x:v>0.51</x:v>
      </x:c>
      <x:c r="C53" s="42" t="n">
        <x:f>MIN((BN53+BO53)/BP53,(BN53+BO53+'Inputs'!$B$7)/(BP53+'Inputs'!$B$19))</x:f>
        <x:v>396.3137671539502</x:v>
      </x:c>
      <x:c r="D53" s="22" t="n">
        <x:f>C53/'Inputs'!$B$5-1</x:f>
        <x:v>3.9127775772152003</x:v>
      </x:c>
      <x:c r="E53" t="n">
        <x:f>'Inputs'!$B$14*(1+$B53)^1</x:f>
        <x:v>417.213</x:v>
      </x:c>
      <x:c r="F53" t="n">
        <x:f>'Inputs'!$B$14*(1+$B53)^2</x:f>
        <x:v>629.99163</x:v>
      </x:c>
      <x:c r="G53" t="n">
        <x:f>'Inputs'!$B$14*(1+$B53)^3</x:f>
        <x:v>951.2873613</x:v>
      </x:c>
      <x:c r="H53" t="n">
        <x:f>'Inputs'!$B$14*(1+$B53)^4</x:f>
        <x:v>1436.443915563</x:v>
      </x:c>
      <x:c r="I53" t="n">
        <x:f>'Inputs'!$B$14*(1+$B53)^5</x:f>
        <x:v>2169.03031250013</x:v>
      </x:c>
      <x:c r="J53" t="n">
        <x:f>I53*(1+($BG53+('Assumptions'!$D$3-$BG53)*(6-5)/5))</x:f>
        <x:v>3067.0088618751843</x:v>
      </x:c>
      <x:c r="K53" t="n">
        <x:f>J53*(1+($BG53+('Assumptions'!$D$3-$BG53)*(7-5)/5))</x:f>
        <x:v>4042.317679951493</x:v>
      </x:c>
      <x:c r="L53" t="n">
        <x:f>K53*(1+($BG53+('Assumptions'!$D$3-$BG53)*(8-5)/5))</x:f>
        <x:v>4939.712204900725</x:v>
      </x:c>
      <x:c r="M53" t="n">
        <x:f>L53*(1+($BG53+('Assumptions'!$D$3-$BG53)*(9-5)/5))</x:f>
        <x:v>5562.115942718216</x:v>
      </x:c>
      <x:c r="N53" t="n">
        <x:f>M53*(1+($BG53+('Assumptions'!$D$3-$BG53)*(10-5)/5))</x:f>
        <x:v>5728.979420999763</x:v>
      </x:c>
      <x:c r="O53" t="n">
        <x:f>0</x:f>
        <x:v>0</x:v>
      </x:c>
      <x:c r="P53" t="n">
        <x:f>0</x:f>
        <x:v>0</x:v>
      </x:c>
      <x:c r="Q53" t="n">
        <x:f>0</x:f>
        <x:v>0</x:v>
      </x:c>
      <x:c r="R53" t="n">
        <x:f>0</x:f>
        <x:v>0</x:v>
      </x:c>
      <x:c r="S53" t="n">
        <x:f>0</x:f>
        <x:v>0</x:v>
      </x:c>
      <x:c r="T53" t="n">
        <x:f>S53*(1+($BG53+('Assumptions'!$D$3-$BG53)*(6-5)/5))</x:f>
        <x:v>0</x:v>
      </x:c>
      <x:c r="U53" t="n">
        <x:f>T53*(1+($BG53+('Assumptions'!$D$3-$BG53)*(7-5)/5))</x:f>
        <x:v>0</x:v>
      </x:c>
      <x:c r="V53" t="n">
        <x:f>U53*(1+($BG53+('Assumptions'!$D$3-$BG53)*(8-5)/5))</x:f>
        <x:v>0</x:v>
      </x:c>
      <x:c r="W53" t="n">
        <x:f>V53*(1+($BG53+('Assumptions'!$D$3-$BG53)*(9-5)/5))</x:f>
        <x:v>0</x:v>
      </x:c>
      <x:c r="X53" t="n">
        <x:f>W53*(1+($BG53+('Assumptions'!$D$3-$BG53)*(10-5)/5))</x:f>
        <x:v>0</x:v>
      </x:c>
      <x:c r="Y53" t="n">
        <x:f>E53*'LMAT Model'!$B$62+O53*'LMAT Model'!$B$63+'LMAT Model'!$B$73+'LMAT Model'!$B$74</x:f>
        <x:v>116.81964000000002</x:v>
      </x:c>
      <x:c r="Z53" t="n">
        <x:f>F53*'LMAT Model'!$C$62+P53*'LMAT Model'!$C$63+'LMAT Model'!$C$73+'LMAT Model'!$C$74</x:f>
        <x:v>182.6975727</x:v>
      </x:c>
      <x:c r="AA53" t="n">
        <x:f>G53*'LMAT Model'!$D$62+Q53*'LMAT Model'!$D$63+'LMAT Model'!$D$73+'LMAT Model'!$D$74</x:f>
        <x:v>285.38620839</x:v>
      </x:c>
      <x:c r="AB53" t="n">
        <x:f>H53*'LMAT Model'!$E$62+R53*'LMAT Model'!$E$63+'LMAT Model'!$E$73+'LMAT Model'!$E$74</x:f>
        <x:v>438.11539424671497</x:v>
      </x:c>
      <x:c r="AC53" t="n">
        <x:f>I53*'LMAT Model'!$F$62+S53*'LMAT Model'!$F$63+'LMAT Model'!$F$73+'LMAT Model'!$F$74</x:f>
        <x:v>672.3993968750403</x:v>
      </x:c>
      <x:c r="AD53" t="n">
        <x:f>AX53*$AC53/$AW53</x:f>
        <x:v>950.7727471813071</x:v>
      </x:c>
      <x:c r="AE53" t="n">
        <x:f>AY53*$AC53/$AW53</x:f>
        <x:v>1253.118480784963</x:v>
      </x:c>
      <x:c r="AF53" t="n">
        <x:f>AZ53*$AC53/$AW53</x:f>
        <x:v>1531.3107835192247</x:v>
      </x:c>
      <x:c r="AG53" t="n">
        <x:f>BA53*$AC53/$AW53</x:f>
        <x:v>1724.2559422426468</x:v>
      </x:c>
      <x:c r="AH53" t="n">
        <x:f>BB53*$AC53/$AW53</x:f>
        <x:v>1775.9836205099264</x:v>
      </x:c>
      <x:c r="AI53" t="n">
        <x:f>Y53*(1-'Assumptions'!$F$3)+AS53*'Assumptions'!$G$3-AS53*'LMAT Model'!$B$65-(AS53-'Inputs'!$B$14)*'Assumptions'!$H$3-'Assumptions'!$I$3</x:f>
        <x:v>51.28687140000003</x:v>
      </x:c>
      <x:c r="AJ53" t="n">
        <x:f>Z53*(1-'Assumptions'!$F$3)+AT53*'Assumptions'!$G$3-AT53*'LMAT Model'!$C$65-(AT53-AS53)*'Assumptions'!$H$3-0</x:f>
        <x:v>86.76111220200002</x:v>
      </x:c>
      <x:c r="AK53" t="n">
        <x:f>AA53*(1-'Assumptions'!$F$3)+AU53*'Assumptions'!$G$3-AU53*'LMAT Model'!$D$65-(AU53-AT53)*'Assumptions'!$H$3-0</x:f>
        <x:v>138.23906337089994</x:v>
      </x:c>
      <x:c r="AL53" t="n">
        <x:f>AB53*(1-'Assumptions'!$F$3)+AV53*'Assumptions'!$G$3-AV53*'LMAT Model'!$E$65-(AV53-AU53)*'Assumptions'!$H$3-0</x:f>
        <x:v>214.19947256919843</x:v>
      </x:c>
      <x:c r="AM53" t="n">
        <x:f>AC53*(1-'Assumptions'!$F$3)+AW53*'Assumptions'!$G$3-AW53*'LMAT Model'!$F$65-(AW53-AV53)*'Assumptions'!$H$3-0</x:f>
        <x:v>331.6835187669901</x:v>
      </x:c>
      <x:c r="AN53" t="n">
        <x:f>AD53*(1-'Assumptions'!$F$3)+AX53*'Assumptions'!$G$3-AX53*'LMAT Model'!$G$65-(AX53-AW53)*'Assumptions'!$H$3-0</x:f>
        <x:v>500.717177192155</x:v>
      </x:c>
      <x:c r="AO53" t="n">
        <x:f>AE53*(1-'Assumptions'!$F$3)+AY53*'Assumptions'!$G$3-AY53*'LMAT Model'!$H$65-(AY53-AX53)*'Assumptions'!$H$3-0</x:f>
        <x:v>707.8374288392635</x:v>
      </x:c>
      <x:c r="AP53" t="n">
        <x:f>AF53*(1-'Assumptions'!$F$3)+AZ53*'Assumptions'!$G$3-AZ53*'LMAT Model'!$I$65-(AZ53-AY53)*'Assumptions'!$H$3-0</x:f>
        <x:v>932.696893711784</x:v>
      </x:c>
      <x:c r="AQ53" t="n">
        <x:f>AG53*(1-'Assumptions'!$F$3)+BA53*'Assumptions'!$G$3-BA53*'LMAT Model'!$J$65-(BA53-AZ53)*'Assumptions'!$H$3-0</x:f>
        <x:v>1139.4710766927976</x:v>
      </x:c>
      <x:c r="AR53" t="n">
        <x:f>AH53*(1-'Assumptions'!$F$3)+BB53*'Assumptions'!$G$3-BB53*'LMAT Model'!$K$65-(BB53-BA53)*'Assumptions'!$H$3-0</x:f>
        <x:v>1282.7240544777894</x:v>
      </x:c>
      <x:c r="AS53" t="n">
        <x:f>E53+O53</x:f>
        <x:v>417.213</x:v>
      </x:c>
      <x:c r="AT53" t="n">
        <x:f>F53+P53</x:f>
        <x:v>629.99163</x:v>
      </x:c>
      <x:c r="AU53" t="n">
        <x:f>G53+Q53</x:f>
        <x:v>951.2873613</x:v>
      </x:c>
      <x:c r="AV53" t="n">
        <x:f>H53+R53</x:f>
        <x:v>1436.443915563</x:v>
      </x:c>
      <x:c r="AW53" t="n">
        <x:f>I53+S53</x:f>
        <x:v>2169.03031250013</x:v>
      </x:c>
      <x:c r="AX53" t="n">
        <x:f>J53+T53</x:f>
        <x:v>3067.0088618751843</x:v>
      </x:c>
      <x:c r="AY53" t="n">
        <x:f>K53+U53</x:f>
        <x:v>4042.317679951493</x:v>
      </x:c>
      <x:c r="AZ53" t="n">
        <x:f>L53+V53</x:f>
        <x:v>4939.712204900725</x:v>
      </x:c>
      <x:c r="BA53" t="n">
        <x:f>M53+W53</x:f>
        <x:v>5562.115942718216</x:v>
      </x:c>
      <x:c r="BB53" t="n">
        <x:f>N53+X53</x:f>
        <x:v>5728.979420999763</x:v>
      </x:c>
      <x:c r="BC53" t="n">
        <x:f>AS53/'Inputs'!$B$14-1</x:f>
        <x:v>0.51</x:v>
      </x:c>
      <x:c r="BD53" t="n">
        <x:f>AT53/AS53-1</x:f>
        <x:v>0.5099999999999998</x:v>
      </x:c>
      <x:c r="BE53" t="n">
        <x:f>AU53/AT53-1</x:f>
        <x:v>0.51</x:v>
      </x:c>
      <x:c r="BF53" t="n">
        <x:f>AV53/AU53-1</x:f>
        <x:v>0.51</x:v>
      </x:c>
      <x:c r="BG53" t="n">
        <x:f>AW53/AV53-1</x:f>
        <x:v>0.51</x:v>
      </x:c>
      <x:c r="BH53" t="n">
        <x:f>AX53/AW53-1</x:f>
        <x:v>0.41400000000000015</x:v>
      </x:c>
      <x:c r="BI53" t="n">
        <x:f>AY53/AX53-1</x:f>
        <x:v>0.31800000000000006</x:v>
      </x:c>
      <x:c r="BJ53" t="n">
        <x:f>AZ53/AY53-1</x:f>
        <x:v>0.22199999999999998</x:v>
      </x:c>
      <x:c r="BK53" t="n">
        <x:f>BA53/AZ53-1</x:f>
        <x:v>0.1259999999999999</x:v>
      </x:c>
      <x:c r="BL53" t="n">
        <x:f>BB53/BA53-1</x:f>
        <x:v>0.030000000000000027</x:v>
      </x:c>
      <x:c r="BM53" t="n">
        <x:f>AH53*(1-'Assumptions'!$F$3)*(1+'Assumptions'!$D$3)*(1-'Assumptions'!$D$3/'Assumptions'!$E$3)</x:f>
        <x:v>1223.41118075895</x:v>
      </x:c>
      <x:c r="BN53" t="n">
        <x:f>SUMPRODUCT(AI53:AR53,'LMAT Model'!$B$83:$K$83)+BM53/('Assumptions'!$C$3-'Assumptions'!$D$3)*'LMAT Model'!$K$83</x:f>
        <x:v>9371.473022053553</x:v>
      </x:c>
      <x:c r="BO53" t="n">
        <x:f>'LMAT Model'!$B$94</x:f>
        <x:v>178</x:v>
      </x:c>
      <x:c r="BP53" t="n">
        <x:f>'Inputs'!$B$8</x:f>
        <x:v>23.088</x:v>
      </x:c>
    </x:row>
    <x:row r="54">
      <x:c r="A54" t="str">
        <x:v>LMAT</x:v>
      </x:c>
      <x:c r="B54" s="22" t="n">
        <x:v>0.52</x:v>
      </x:c>
      <x:c r="C54" s="42" t="n">
        <x:f>MIN((BN54+BO54)/BP54,(BN54+BO54+'Inputs'!$B$7)/(BP54+'Inputs'!$B$19))</x:f>
        <x:v>413.9860133064219</x:v>
      </x:c>
      <x:c r="D54" s="22" t="n">
        <x:f>C54/'Inputs'!$B$5-1</x:f>
        <x:v>4.131845956445047</x:v>
      </x:c>
      <x:c r="E54" t="n">
        <x:f>'Inputs'!$B$14*(1+$B54)^1</x:f>
        <x:v>419.976</x:v>
      </x:c>
      <x:c r="F54" t="n">
        <x:f>'Inputs'!$B$14*(1+$B54)^2</x:f>
        <x:v>638.36352</x:v>
      </x:c>
      <x:c r="G54" t="n">
        <x:f>'Inputs'!$B$14*(1+$B54)^3</x:f>
        <x:v>970.3125504000001</x:v>
      </x:c>
      <x:c r="H54" t="n">
        <x:f>'Inputs'!$B$14*(1+$B54)^4</x:f>
        <x:v>1474.875076608</x:v>
      </x:c>
      <x:c r="I54" t="n">
        <x:f>'Inputs'!$B$14*(1+$B54)^5</x:f>
        <x:v>2241.81011644416</x:v>
      </x:c>
      <x:c r="J54" t="n">
        <x:f>I54*(1+($BG54+('Assumptions'!$D$3-$BG54)*(6-5)/5))</x:f>
        <x:v>3187.853985583596</x:v>
      </x:c>
      <x:c r="K54" t="n">
        <x:f>J54*(1+($BG54+('Assumptions'!$D$3-$BG54)*(7-5)/5))</x:f>
        <x:v>4220.718676912681</x:v>
      </x:c>
      <x:c r="L54" t="n">
        <x:f>K54*(1+($BG54+('Assumptions'!$D$3-$BG54)*(8-5)/5))</x:f>
        <x:v>5174.601097894947</x:v>
      </x:c>
      <x:c r="M54" t="n">
        <x:f>L54*(1+($BG54+('Assumptions'!$D$3-$BG54)*(9-5)/5))</x:f>
        <x:v>5836.950038425501</x:v>
      </x:c>
      <x:c r="N54" t="n">
        <x:f>M54*(1+($BG54+('Assumptions'!$D$3-$BG54)*(10-5)/5))</x:f>
        <x:v>6012.0585395782655</x:v>
      </x:c>
      <x:c r="O54" t="n">
        <x:f>0</x:f>
        <x:v>0</x:v>
      </x:c>
      <x:c r="P54" t="n">
        <x:f>0</x:f>
        <x:v>0</x:v>
      </x:c>
      <x:c r="Q54" t="n">
        <x:f>0</x:f>
        <x:v>0</x:v>
      </x:c>
      <x:c r="R54" t="n">
        <x:f>0</x:f>
        <x:v>0</x:v>
      </x:c>
      <x:c r="S54" t="n">
        <x:f>0</x:f>
        <x:v>0</x:v>
      </x:c>
      <x:c r="T54" t="n">
        <x:f>S54*(1+($BG54+('Assumptions'!$D$3-$BG54)*(6-5)/5))</x:f>
        <x:v>0</x:v>
      </x:c>
      <x:c r="U54" t="n">
        <x:f>T54*(1+($BG54+('Assumptions'!$D$3-$BG54)*(7-5)/5))</x:f>
        <x:v>0</x:v>
      </x:c>
      <x:c r="V54" t="n">
        <x:f>U54*(1+($BG54+('Assumptions'!$D$3-$BG54)*(8-5)/5))</x:f>
        <x:v>0</x:v>
      </x:c>
      <x:c r="W54" t="n">
        <x:f>V54*(1+($BG54+('Assumptions'!$D$3-$BG54)*(9-5)/5))</x:f>
        <x:v>0</x:v>
      </x:c>
      <x:c r="X54" t="n">
        <x:f>W54*(1+($BG54+('Assumptions'!$D$3-$BG54)*(10-5)/5))</x:f>
        <x:v>0</x:v>
      </x:c>
      <x:c r="Y54" t="n">
        <x:f>E54*'LMAT Model'!$B$62+O54*'LMAT Model'!$B$63+'LMAT Model'!$B$73+'LMAT Model'!$B$74</x:f>
        <x:v>117.59328000000001</x:v>
      </x:c>
      <x:c r="Z54" t="n">
        <x:f>F54*'LMAT Model'!$C$62+P54*'LMAT Model'!$C$63+'LMAT Model'!$C$73+'LMAT Model'!$C$74</x:f>
        <x:v>185.12542079999997</x:v>
      </x:c>
      <x:c r="AA54" t="n">
        <x:f>G54*'LMAT Model'!$D$62+Q54*'LMAT Model'!$D$63+'LMAT Model'!$D$73+'LMAT Model'!$D$74</x:f>
        <x:v>291.09376512</x:v>
      </x:c>
      <x:c r="AB54" t="n">
        <x:f>H54*'LMAT Model'!$E$62+R54*'LMAT Model'!$E$63+'LMAT Model'!$E$73+'LMAT Model'!$E$74</x:f>
        <x:v>449.83689836544</x:v>
      </x:c>
      <x:c r="AC54" t="n">
        <x:f>I54*'LMAT Model'!$F$62+S54*'LMAT Model'!$F$63+'LMAT Model'!$F$73+'LMAT Model'!$F$74</x:f>
        <x:v>694.9611360976896</x:v>
      </x:c>
      <x:c r="AD54" t="n">
        <x:f>AX54*$AC54/$AW54</x:f>
        <x:v>988.2347355309148</x:v>
      </x:c>
      <x:c r="AE54" t="n">
        <x:f>AY54*$AC54/$AW54</x:f>
        <x:v>1308.4227898429313</x:v>
      </x:c>
      <x:c r="AF54" t="n">
        <x:f>AZ54*$AC54/$AW54</x:f>
        <x:v>1604.1263403474336</x:v>
      </x:c>
      <x:c r="AG54" t="n">
        <x:f>BA54*$AC54/$AW54</x:f>
        <x:v>1809.4545119119052</x:v>
      </x:c>
      <x:c r="AH54" t="n">
        <x:f>BB54*$AC54/$AW54</x:f>
        <x:v>1863.7381472692623</x:v>
      </x:c>
      <x:c r="AI54" t="n">
        <x:f>Y54*(1-'Assumptions'!$F$3)+AS54*'Assumptions'!$G$3-AS54*'LMAT Model'!$B$65-(AS54-'Inputs'!$B$14)*'Assumptions'!$H$3-'Assumptions'!$I$3</x:f>
        <x:v>51.22553280000001</x:v>
      </x:c>
      <x:c r="AJ54" t="n">
        <x:f>Z54*(1-'Assumptions'!$F$3)+AT54*'Assumptions'!$G$3-AT54*'LMAT Model'!$C$65-(AT54-AS54)*'Assumptions'!$H$3-0</x:f>
        <x:v>87.274372608</x:v>
      </x:c>
      <x:c r="AK54" t="n">
        <x:f>AA54*(1-'Assumptions'!$F$3)+AU54*'Assumptions'!$G$3-AU54*'LMAT Model'!$D$65-(AU54-AT54)*'Assumptions'!$H$3-0</x:f>
        <x:v>140.0314217472</x:v>
      </x:c>
      <x:c r="AL54" t="n">
        <x:f>AB54*(1-'Assumptions'!$F$3)+AV54*'Assumptions'!$G$3-AV54*'LMAT Model'!$E$65-(AV54-AU54)*'Assumptions'!$H$3-0</x:f>
        <x:v>218.45228634685444</x:v>
      </x:c>
      <x:c r="AM54" t="n">
        <x:f>AC54*(1-'Assumptions'!$F$3)+AW54*'Assumptions'!$G$3-AW54*'LMAT Model'!$F$65-(AW54-AV54)*'Assumptions'!$H$3-0</x:f>
        <x:v>340.5663536897065</x:v>
      </x:c>
      <x:c r="AN54" t="n">
        <x:f>AD54*(1-'Assumptions'!$F$3)+AX54*'Assumptions'!$G$3-AX54*'LMAT Model'!$G$65-(AX54-AW54)*'Assumptions'!$H$3-0</x:f>
        <x:v>517.529039173507</x:v>
      </x:c>
      <x:c r="AO54" t="n">
        <x:f>AE54*(1-'Assumptions'!$F$3)+AY54*'Assumptions'!$G$3-AY54*'LMAT Model'!$H$65-(AY54-AX54)*'Assumptions'!$H$3-0</x:f>
        <x:v>735.7388478903747</x:v>
      </x:c>
      <x:c r="AP54" t="n">
        <x:f>AF54*(1-'Assumptions'!$F$3)+AZ54*'Assumptions'!$G$3-AZ54*'LMAT Model'!$I$65-(AZ54-AY54)*'Assumptions'!$H$3-0</x:f>
        <x:v>973.8700563486536</x:v>
      </x:c>
      <x:c r="AQ54" t="n">
        <x:f>AG54*(1-'Assumptions'!$F$3)+BA54*'Assumptions'!$G$3-BA54*'LMAT Model'!$J$65-(BA54-AZ54)*'Assumptions'!$H$3-0</x:f>
        <x:v>1193.6604225388933</x:v>
      </x:c>
      <x:c r="AR54" t="n">
        <x:f>AH54*(1-'Assumptions'!$F$3)+BB54*'Assumptions'!$G$3-BB54*'LMAT Model'!$K$65-(BB54-BA54)*'Assumptions'!$H$3-0</x:f>
        <x:v>1346.105743961612</x:v>
      </x:c>
      <x:c r="AS54" t="n">
        <x:f>E54+O54</x:f>
        <x:v>419.976</x:v>
      </x:c>
      <x:c r="AT54" t="n">
        <x:f>F54+P54</x:f>
        <x:v>638.36352</x:v>
      </x:c>
      <x:c r="AU54" t="n">
        <x:f>G54+Q54</x:f>
        <x:v>970.3125504000001</x:v>
      </x:c>
      <x:c r="AV54" t="n">
        <x:f>H54+R54</x:f>
        <x:v>1474.875076608</x:v>
      </x:c>
      <x:c r="AW54" t="n">
        <x:f>I54+S54</x:f>
        <x:v>2241.81011644416</x:v>
      </x:c>
      <x:c r="AX54" t="n">
        <x:f>J54+T54</x:f>
        <x:v>3187.853985583596</x:v>
      </x:c>
      <x:c r="AY54" t="n">
        <x:f>K54+U54</x:f>
        <x:v>4220.718676912681</x:v>
      </x:c>
      <x:c r="AZ54" t="n">
        <x:f>L54+V54</x:f>
        <x:v>5174.601097894947</x:v>
      </x:c>
      <x:c r="BA54" t="n">
        <x:f>M54+W54</x:f>
        <x:v>5836.950038425501</x:v>
      </x:c>
      <x:c r="BB54" t="n">
        <x:f>N54+X54</x:f>
        <x:v>6012.0585395782655</x:v>
      </x:c>
      <x:c r="BC54" t="n">
        <x:f>AS54/'Inputs'!$B$14-1</x:f>
        <x:v>0.52</x:v>
      </x:c>
      <x:c r="BD54" t="n">
        <x:f>AT54/AS54-1</x:f>
        <x:v>0.52</x:v>
      </x:c>
      <x:c r="BE54" t="n">
        <x:f>AU54/AT54-1</x:f>
        <x:v>0.5200000000000002</x:v>
      </x:c>
      <x:c r="BF54" t="n">
        <x:f>AV54/AU54-1</x:f>
        <x:v>0.5199999999999998</x:v>
      </x:c>
      <x:c r="BG54" t="n">
        <x:f>AW54/AV54-1</x:f>
        <x:v>0.52</x:v>
      </x:c>
      <x:c r="BH54" t="n">
        <x:f>AX54/AW54-1</x:f>
        <x:v>0.42200000000000015</x:v>
      </x:c>
      <x:c r="BI54" t="n">
        <x:f>AY54/AX54-1</x:f>
        <x:v>0.32399999999999984</x:v>
      </x:c>
      <x:c r="BJ54" t="n">
        <x:f>AZ54/AY54-1</x:f>
        <x:v>0.22599999999999998</x:v>
      </x:c>
      <x:c r="BK54" t="n">
        <x:f>BA54/AZ54-1</x:f>
        <x:v>0.1280000000000001</x:v>
      </x:c>
      <x:c r="BL54" t="n">
        <x:f>BB54/BA54-1</x:f>
        <x:v>0.030000000000000027</x:v>
      </x:c>
      <x:c r="BM54" t="n">
        <x:f>AH54*(1-'Assumptions'!$F$3)*(1+'Assumptions'!$D$3)*(1-'Assumptions'!$D$3/'Assumptions'!$E$3)</x:f>
        <x:v>1283.8621150804931</x:v>
      </x:c>
      <x:c r="BN54" t="n">
        <x:f>SUMPRODUCT(AI54:AR54,'LMAT Model'!$B$83:$K$83)+BM54/('Assumptions'!$C$3-'Assumptions'!$D$3)*'LMAT Model'!$K$83</x:f>
        <x:v>9804.990892419837</x:v>
      </x:c>
      <x:c r="BO54" t="n">
        <x:f>'LMAT Model'!$B$94</x:f>
        <x:v>178</x:v>
      </x:c>
      <x:c r="BP54" t="n">
        <x:f>'Inputs'!$B$8</x:f>
        <x:v>23.088</x:v>
      </x:c>
    </x:row>
    <x:row r="55">
      <x:c r="A55" t="str">
        <x:v>LMAT</x:v>
      </x:c>
      <x:c r="B55" s="22" t="n">
        <x:v>0.53</x:v>
      </x:c>
      <x:c r="C55" s="42" t="n">
        <x:f>MIN((BN55+BO55)/BP55,(BN55+BO55+'Inputs'!$B$7)/(BP55+'Inputs'!$B$19))</x:f>
        <x:v>432.39004096693145</x:v>
      </x:c>
      <x:c r="D55" s="22" t="n">
        <x:f>C55/'Inputs'!$B$5-1</x:f>
        <x:v>4.359985632415166</x:v>
      </x:c>
      <x:c r="E55" t="n">
        <x:f>'Inputs'!$B$14*(1+$B55)^1</x:f>
        <x:v>422.73900000000003</x:v>
      </x:c>
      <x:c r="F55" t="n">
        <x:f>'Inputs'!$B$14*(1+$B55)^2</x:f>
        <x:v>646.79067</x:v>
      </x:c>
      <x:c r="G55" t="n">
        <x:f>'Inputs'!$B$14*(1+$B55)^3</x:f>
        <x:v>989.5897251000001</x:v>
      </x:c>
      <x:c r="H55" t="n">
        <x:f>'Inputs'!$B$14*(1+$B55)^4</x:f>
        <x:v>1514.072279403</x:v>
      </x:c>
      <x:c r="I55" t="n">
        <x:f>'Inputs'!$B$14*(1+$B55)^5</x:f>
        <x:v>2316.5305874865903</x:v>
      </x:c>
      <x:c r="J55" t="n">
        <x:f>I55*(1+($BG55+('Assumptions'!$D$3-$BG55)*(6-5)/5))</x:f>
        <x:v>3312.6387401058246</x:v>
      </x:c>
      <x:c r="K55" t="n">
        <x:f>J55*(1+($BG55+('Assumptions'!$D$3-$BG55)*(7-5)/5))</x:f>
        <x:v>4405.809524340747</x:v>
      </x:c>
      <x:c r="L55" t="n">
        <x:f>K55*(1+($BG55+('Assumptions'!$D$3-$BG55)*(8-5)/5))</x:f>
        <x:v>5419.145714939119</x:v>
      </x:c>
      <x:c r="M55" t="n">
        <x:f>L55*(1+($BG55+('Assumptions'!$D$3-$BG55)*(9-5)/5))</x:f>
        <x:v>6123.634657881205</x:v>
      </x:c>
      <x:c r="N55" t="n">
        <x:f>M55*(1+($BG55+('Assumptions'!$D$3-$BG55)*(10-5)/5))</x:f>
        <x:v>6307.343697617642</x:v>
      </x:c>
      <x:c r="O55" t="n">
        <x:f>0</x:f>
        <x:v>0</x:v>
      </x:c>
      <x:c r="P55" t="n">
        <x:f>0</x:f>
        <x:v>0</x:v>
      </x:c>
      <x:c r="Q55" t="n">
        <x:f>0</x:f>
        <x:v>0</x:v>
      </x:c>
      <x:c r="R55" t="n">
        <x:f>0</x:f>
        <x:v>0</x:v>
      </x:c>
      <x:c r="S55" t="n">
        <x:f>0</x:f>
        <x:v>0</x:v>
      </x:c>
      <x:c r="T55" t="n">
        <x:f>S55*(1+($BG55+('Assumptions'!$D$3-$BG55)*(6-5)/5))</x:f>
        <x:v>0</x:v>
      </x:c>
      <x:c r="U55" t="n">
        <x:f>T55*(1+($BG55+('Assumptions'!$D$3-$BG55)*(7-5)/5))</x:f>
        <x:v>0</x:v>
      </x:c>
      <x:c r="V55" t="n">
        <x:f>U55*(1+($BG55+('Assumptions'!$D$3-$BG55)*(8-5)/5))</x:f>
        <x:v>0</x:v>
      </x:c>
      <x:c r="W55" t="n">
        <x:f>V55*(1+($BG55+('Assumptions'!$D$3-$BG55)*(9-5)/5))</x:f>
        <x:v>0</x:v>
      </x:c>
      <x:c r="X55" t="n">
        <x:f>W55*(1+($BG55+('Assumptions'!$D$3-$BG55)*(10-5)/5))</x:f>
        <x:v>0</x:v>
      </x:c>
      <x:c r="Y55" t="n">
        <x:f>E55*'LMAT Model'!$B$62+O55*'LMAT Model'!$B$63+'LMAT Model'!$B$73+'LMAT Model'!$B$74</x:f>
        <x:v>118.36692000000002</x:v>
      </x:c>
      <x:c r="Z55" t="n">
        <x:f>F55*'LMAT Model'!$C$62+P55*'LMAT Model'!$C$63+'LMAT Model'!$C$73+'LMAT Model'!$C$74</x:f>
        <x:v>187.56929429999997</x:v>
      </x:c>
      <x:c r="AA55" t="n">
        <x:f>G55*'LMAT Model'!$D$62+Q55*'LMAT Model'!$D$63+'LMAT Model'!$D$73+'LMAT Model'!$D$74</x:f>
        <x:v>296.87691753</x:v>
      </x:c>
      <x:c r="AB55" t="n">
        <x:f>H55*'LMAT Model'!$E$62+R55*'LMAT Model'!$E$63+'LMAT Model'!$E$73+'LMAT Model'!$E$74</x:f>
        <x:v>461.792045217915</x:v>
      </x:c>
      <x:c r="AC55" t="n">
        <x:f>I55*'LMAT Model'!$F$62+S55*'LMAT Model'!$F$63+'LMAT Model'!$F$73+'LMAT Model'!$F$74</x:f>
        <x:v>718.124482120843</x:v>
      </x:c>
      <x:c r="AD55" t="n">
        <x:f>AX55*$AC55/$AW55</x:f>
        <x:v>1026.9180094328055</x:v>
      </x:c>
      <x:c r="AE55" t="n">
        <x:f>AY55*$AC55/$AW55</x:f>
        <x:v>1365.8009525456316</x:v>
      </x:c>
      <x:c r="AF55" t="n">
        <x:f>AZ55*$AC55/$AW55</x:f>
        <x:v>1679.935171631127</x:v>
      </x:c>
      <x:c r="AG55" t="n">
        <x:f>BA55*$AC55/$AW55</x:f>
        <x:v>1898.3267439431738</x:v>
      </x:c>
      <x:c r="AH55" t="n">
        <x:f>BB55*$AC55/$AW55</x:f>
        <x:v>1955.276546261469</x:v>
      </x:c>
      <x:c r="AI55" t="n">
        <x:f>Y55*(1-'Assumptions'!$F$3)+AS55*'Assumptions'!$G$3-AS55*'LMAT Model'!$B$65-(AS55-'Inputs'!$B$14)*'Assumptions'!$H$3-'Assumptions'!$I$3</x:f>
        <x:v>51.16419420000002</x:v>
      </x:c>
      <x:c r="AJ55" t="n">
        <x:f>Z55*(1-'Assumptions'!$F$3)+AT55*'Assumptions'!$G$3-AT55*'LMAT Model'!$C$65-(AT55-AS55)*'Assumptions'!$H$3-0</x:f>
        <x:v>87.78682621799999</x:v>
      </x:c>
      <x:c r="AK55" t="n">
        <x:f>AA55*(1-'Assumptions'!$F$3)+AU55*'Assumptions'!$G$3-AU55*'LMAT Model'!$D$65-(AU55-AT55)*'Assumptions'!$H$3-0</x:f>
        <x:v>141.83472602429998</x:v>
      </x:c>
      <x:c r="AL55" t="n">
        <x:f>AB55*(1-'Assumptions'!$F$3)+AV55*'Assumptions'!$G$3-AV55*'LMAT Model'!$E$65-(AV55-AU55)*'Assumptions'!$H$3-0</x:f>
        <x:v>222.76060547891046</x:v>
      </x:c>
      <x:c r="AM55" t="n">
        <x:f>AC55*(1-'Assumptions'!$F$3)+AW55*'Assumptions'!$G$3-AW55*'LMAT Model'!$F$65-(AW55-AV55)*'Assumptions'!$H$3-0</x:f>
        <x:v>349.626542615182</x:v>
      </x:c>
      <x:c r="AN55" t="n">
        <x:f>AD55*(1-'Assumptions'!$F$3)+AX55*'Assumptions'!$G$3-AX55*'LMAT Model'!$G$65-(AX55-AW55)*'Assumptions'!$H$3-0</x:f>
        <x:v>534.7896183659792</x:v>
      </x:c>
      <x:c r="AO55" t="n">
        <x:f>AE55*(1-'Assumptions'!$F$3)+AY55*'Assumptions'!$G$3-AY55*'LMAT Model'!$H$65-(AY55-AX55)*'Assumptions'!$H$3-0</x:f>
        <x:v>764.5503959389442</x:v>
      </x:c>
      <x:c r="AP55" t="n">
        <x:f>AF55*(1-'Assumptions'!$F$3)+AZ55*'Assumptions'!$G$3-AZ55*'LMAT Model'!$I$65-(AZ55-AY55)*'Assumptions'!$H$3-0</x:f>
        <x:v>1016.5876780273356</x:v>
      </x:c>
      <x:c r="AQ55" t="n">
        <x:f>AG55*(1-'Assumptions'!$F$3)+BA55*'Assumptions'!$G$3-BA55*'LMAT Model'!$J$65-(BA55-AZ55)*'Assumptions'!$H$3-0</x:f>
        <x:v>1250.0776952307262</x:v>
      </x:c>
      <x:c r="AR55" t="n">
        <x:f>AH55*(1-'Assumptions'!$F$3)+BB55*'Assumptions'!$G$3-BB55*'LMAT Model'!$K$65-(BB55-BA55)*'Assumptions'!$H$3-0</x:f>
        <x:v>1412.220377531248</x:v>
      </x:c>
      <x:c r="AS55" t="n">
        <x:f>E55+O55</x:f>
        <x:v>422.73900000000003</x:v>
      </x:c>
      <x:c r="AT55" t="n">
        <x:f>F55+P55</x:f>
        <x:v>646.79067</x:v>
      </x:c>
      <x:c r="AU55" t="n">
        <x:f>G55+Q55</x:f>
        <x:v>989.5897251000001</x:v>
      </x:c>
      <x:c r="AV55" t="n">
        <x:f>H55+R55</x:f>
        <x:v>1514.072279403</x:v>
      </x:c>
      <x:c r="AW55" t="n">
        <x:f>I55+S55</x:f>
        <x:v>2316.5305874865903</x:v>
      </x:c>
      <x:c r="AX55" t="n">
        <x:f>J55+T55</x:f>
        <x:v>3312.6387401058246</x:v>
      </x:c>
      <x:c r="AY55" t="n">
        <x:f>K55+U55</x:f>
        <x:v>4405.809524340747</x:v>
      </x:c>
      <x:c r="AZ55" t="n">
        <x:f>L55+V55</x:f>
        <x:v>5419.145714939119</x:v>
      </x:c>
      <x:c r="BA55" t="n">
        <x:f>M55+W55</x:f>
        <x:v>6123.634657881205</x:v>
      </x:c>
      <x:c r="BB55" t="n">
        <x:f>N55+X55</x:f>
        <x:v>6307.343697617642</x:v>
      </x:c>
      <x:c r="BC55" t="n">
        <x:f>AS55/'Inputs'!$B$14-1</x:f>
        <x:v>0.53</x:v>
      </x:c>
      <x:c r="BD55" t="n">
        <x:f>AT55/AS55-1</x:f>
        <x:v>0.5299999999999998</x:v>
      </x:c>
      <x:c r="BE55" t="n">
        <x:f>AU55/AT55-1</x:f>
        <x:v>0.5300000000000002</x:v>
      </x:c>
      <x:c r="BF55" t="n">
        <x:f>AV55/AU55-1</x:f>
        <x:v>0.5299999999999998</x:v>
      </x:c>
      <x:c r="BG55" t="n">
        <x:f>AW55/AV55-1</x:f>
        <x:v>0.5300000000000002</x:v>
      </x:c>
      <x:c r="BH55" t="n">
        <x:f>AX55/AW55-1</x:f>
        <x:v>0.43000000000000016</x:v>
      </x:c>
      <x:c r="BI55" t="n">
        <x:f>AY55/AX55-1</x:f>
        <x:v>0.33000000000000007</x:v>
      </x:c>
      <x:c r="BJ55" t="n">
        <x:f>AZ55/AY55-1</x:f>
        <x:v>0.22999999999999998</x:v>
      </x:c>
      <x:c r="BK55" t="n">
        <x:f>BA55/AZ55-1</x:f>
        <x:v>0.13000000000000012</x:v>
      </x:c>
      <x:c r="BL55" t="n">
        <x:f>BB55/BA55-1</x:f>
        <x:v>0.030000000000000027</x:v>
      </x:c>
      <x:c r="BM55" t="n">
        <x:f>AH55*(1-'Assumptions'!$F$3)*(1+'Assumptions'!$D$3)*(1-'Assumptions'!$D$3/'Assumptions'!$E$3)</x:f>
        <x:v>1346.9196227638606</x:v>
      </x:c>
      <x:c r="BN55" t="n">
        <x:f>SUMPRODUCT(AI55:AR55,'LMAT Model'!$B$83:$K$83)+BM55/('Assumptions'!$C$3-'Assumptions'!$D$3)*'LMAT Model'!$K$83</x:f>
        <x:v>10256.460094959797</x:v>
      </x:c>
      <x:c r="BO55" t="n">
        <x:f>'LMAT Model'!$B$94</x:f>
        <x:v>178</x:v>
      </x:c>
      <x:c r="BP55" t="n">
        <x:f>'Inputs'!$B$8</x:f>
        <x:v>23.088</x:v>
      </x:c>
    </x:row>
    <x:row r="56">
      <x:c r="A56" t="str">
        <x:v>LMAT</x:v>
      </x:c>
      <x:c r="B56" s="22" t="n">
        <x:v>0.54</x:v>
      </x:c>
      <x:c r="C56" s="42" t="n">
        <x:f>MIN((BN56+BO56)/BP56,(BN56+BO56+'Inputs'!$B$7)/(BP56+'Inputs'!$B$19))</x:f>
        <x:v>451.5521001196662</x:v>
      </x:c>
      <x:c r="D56" s="22" t="n">
        <x:f>C56/'Inputs'!$B$5-1</x:f>
        <x:v>4.597522004706411</x:v>
      </x:c>
      <x:c r="E56" t="n">
        <x:f>'Inputs'!$B$14*(1+$B56)^1</x:f>
        <x:v>425.502</x:v>
      </x:c>
      <x:c r="F56" t="n">
        <x:f>'Inputs'!$B$14*(1+$B56)^2</x:f>
        <x:v>655.27308</x:v>
      </x:c>
      <x:c r="G56" t="n">
        <x:f>'Inputs'!$B$14*(1+$B56)^3</x:f>
        <x:v>1009.1205432</x:v>
      </x:c>
      <x:c r="H56" t="n">
        <x:f>'Inputs'!$B$14*(1+$B56)^4</x:f>
        <x:v>1554.045636528</x:v>
      </x:c>
      <x:c r="I56" t="n">
        <x:f>'Inputs'!$B$14*(1+$B56)^5</x:f>
        <x:v>2393.23028025312</x:v>
      </x:c>
      <x:c r="J56" t="n">
        <x:f>I56*(1+($BG56+('Assumptions'!$D$3-$BG56)*(6-5)/5))</x:f>
        <x:v>3441.4651430039867</x:v>
      </x:c>
      <x:c r="K56" t="n">
        <x:f>J56*(1+($BG56+('Assumptions'!$D$3-$BG56)*(7-5)/5))</x:f>
        <x:v>4597.797431053326</x:v>
      </x:c>
      <x:c r="L56" t="n">
        <x:f>K56*(1+($BG56+('Assumptions'!$D$3-$BG56)*(8-5)/5))</x:f>
        <x:v>5673.682029919804</x:v>
      </x:c>
      <x:c r="M56" t="n">
        <x:f>L56*(1+($BG56+('Assumptions'!$D$3-$BG56)*(9-5)/5))</x:f>
        <x:v>6422.608057869219</x:v>
      </x:c>
      <x:c r="N56" t="n">
        <x:f>M56*(1+($BG56+('Assumptions'!$D$3-$BG56)*(10-5)/5))</x:f>
        <x:v>6615.286299605295</x:v>
      </x:c>
      <x:c r="O56" t="n">
        <x:f>0</x:f>
        <x:v>0</x:v>
      </x:c>
      <x:c r="P56" t="n">
        <x:f>0</x:f>
        <x:v>0</x:v>
      </x:c>
      <x:c r="Q56" t="n">
        <x:f>0</x:f>
        <x:v>0</x:v>
      </x:c>
      <x:c r="R56" t="n">
        <x:f>0</x:f>
        <x:v>0</x:v>
      </x:c>
      <x:c r="S56" t="n">
        <x:f>0</x:f>
        <x:v>0</x:v>
      </x:c>
      <x:c r="T56" t="n">
        <x:f>S56*(1+($BG56+('Assumptions'!$D$3-$BG56)*(6-5)/5))</x:f>
        <x:v>0</x:v>
      </x:c>
      <x:c r="U56" t="n">
        <x:f>T56*(1+($BG56+('Assumptions'!$D$3-$BG56)*(7-5)/5))</x:f>
        <x:v>0</x:v>
      </x:c>
      <x:c r="V56" t="n">
        <x:f>U56*(1+($BG56+('Assumptions'!$D$3-$BG56)*(8-5)/5))</x:f>
        <x:v>0</x:v>
      </x:c>
      <x:c r="W56" t="n">
        <x:f>V56*(1+($BG56+('Assumptions'!$D$3-$BG56)*(9-5)/5))</x:f>
        <x:v>0</x:v>
      </x:c>
      <x:c r="X56" t="n">
        <x:f>W56*(1+($BG56+('Assumptions'!$D$3-$BG56)*(10-5)/5))</x:f>
        <x:v>0</x:v>
      </x:c>
      <x:c r="Y56" t="n">
        <x:f>E56*'LMAT Model'!$B$62+O56*'LMAT Model'!$B$63+'LMAT Model'!$B$73+'LMAT Model'!$B$74</x:f>
        <x:v>119.14056000000001</x:v>
      </x:c>
      <x:c r="Z56" t="n">
        <x:f>F56*'LMAT Model'!$C$62+P56*'LMAT Model'!$C$63+'LMAT Model'!$C$73+'LMAT Model'!$C$74</x:f>
        <x:v>190.0291932</x:v>
      </x:c>
      <x:c r="AA56" t="n">
        <x:f>G56*'LMAT Model'!$D$62+Q56*'LMAT Model'!$D$63+'LMAT Model'!$D$73+'LMAT Model'!$D$74</x:f>
        <x:v>302.73616296</x:v>
      </x:c>
      <x:c r="AB56" t="n">
        <x:f>H56*'LMAT Model'!$E$62+R56*'LMAT Model'!$E$63+'LMAT Model'!$E$73+'LMAT Model'!$E$74</x:f>
        <x:v>473.98391914103996</x:v>
      </x:c>
      <x:c r="AC56" t="n">
        <x:f>I56*'LMAT Model'!$F$62+S56*'LMAT Model'!$F$63+'LMAT Model'!$F$73+'LMAT Model'!$F$74</x:f>
        <x:v>741.9013868784672</x:v>
      </x:c>
      <x:c r="AD56" t="n">
        <x:f>AX56*$AC56/$AW56</x:f>
        <x:v>1066.854194331236</x:v>
      </x:c>
      <x:c r="AE56" t="n">
        <x:f>AY56*$AC56/$AW56</x:f>
        <x:v>1425.3172036265312</x:v>
      </x:c>
      <x:c r="AF56" t="n">
        <x:f>AZ56*$AC56/$AW56</x:f>
        <x:v>1758.8414292751395</x:v>
      </x:c>
      <x:c r="AG56" t="n">
        <x:f>BA56*$AC56/$AW56</x:f>
        <x:v>1991.008497939458</x:v>
      </x:c>
      <x:c r="AH56" t="n">
        <x:f>BB56*$AC56/$AW56</x:f>
        <x:v>2050.7387528776417</x:v>
      </x:c>
      <x:c r="AI56" t="n">
        <x:f>Y56*(1-'Assumptions'!$F$3)+AS56*'Assumptions'!$G$3-AS56*'LMAT Model'!$B$65-(AS56-'Inputs'!$B$14)*'Assumptions'!$H$3-'Assumptions'!$I$3</x:f>
        <x:v>51.102855600000005</x:v>
      </x:c>
      <x:c r="AJ56" t="n">
        <x:f>Z56*(1-'Assumptions'!$F$3)+AT56*'Assumptions'!$G$3-AT56*'LMAT Model'!$C$65-(AT56-AS56)*'Assumptions'!$H$3-0</x:f>
        <x:v>88.29847303199998</x:v>
      </x:c>
      <x:c r="AK56" t="n">
        <x:f>AA56*(1-'Assumptions'!$F$3)+AU56*'Assumptions'!$G$3-AU56*'LMAT Model'!$D$65-(AU56-AT56)*'Assumptions'!$H$3-0</x:f>
        <x:v>143.64896459759996</x:v>
      </x:c>
      <x:c r="AL56" t="n">
        <x:f>AB56*(1-'Assumptions'!$F$3)+AV56*'Assumptions'!$G$3-AV56*'LMAT Model'!$E$65-(AV56-AU56)*'Assumptions'!$H$3-0</x:f>
        <x:v>227.12477889911042</x:v>
      </x:c>
      <x:c r="AM56" t="n">
        <x:f>AC56*(1-'Assumptions'!$F$3)+AW56*'Assumptions'!$G$3-AW56*'LMAT Model'!$F$65-(AW56-AV56)*'Assumptions'!$H$3-0</x:f>
        <x:v>358.8664345695919</x:v>
      </x:c>
      <x:c r="AN56" t="n">
        <x:f>AD56*(1-'Assumptions'!$F$3)+AX56*'Assumptions'!$G$3-AX56*'LMAT Model'!$G$65-(AX56-AW56)*'Assumptions'!$H$3-0</x:f>
        <x:v>552.50784354402</x:v>
      </x:c>
      <x:c r="AO56" t="n">
        <x:f>AE56*(1-'Assumptions'!$F$3)+AY56*'Assumptions'!$G$3-AY56*'LMAT Model'!$H$65-(AY56-AX56)*'Assumptions'!$H$3-0</x:f>
        <x:v>794.2956613495489</x:v>
      </x:c>
      <x:c r="AP56" t="n">
        <x:f>AF56*(1-'Assumptions'!$F$3)+AZ56*'Assumptions'!$G$3-AZ56*'LMAT Model'!$I$65-(AZ56-AY56)*'Assumptions'!$H$3-0</x:f>
        <x:v>1060.8976183602172</x:v>
      </x:c>
      <x:c r="AQ56" t="n">
        <x:f>AG56*(1-'Assumptions'!$F$3)+BA56*'Assumptions'!$G$3-BA56*'LMAT Model'!$J$65-(BA56-AZ56)*'Assumptions'!$H$3-0</x:f>
        <x:v>1308.8004317162765</x:v>
      </x:c>
      <x:c r="AR56" t="n">
        <x:f>AH56*(1-'Assumptions'!$F$3)+BB56*'Assumptions'!$G$3-BB56*'LMAT Model'!$K$65-(BB56-BA56)*'Assumptions'!$H$3-0</x:f>
        <x:v>1481.1690250896838</x:v>
      </x:c>
      <x:c r="AS56" t="n">
        <x:f>E56+O56</x:f>
        <x:v>425.502</x:v>
      </x:c>
      <x:c r="AT56" t="n">
        <x:f>F56+P56</x:f>
        <x:v>655.27308</x:v>
      </x:c>
      <x:c r="AU56" t="n">
        <x:f>G56+Q56</x:f>
        <x:v>1009.1205432</x:v>
      </x:c>
      <x:c r="AV56" t="n">
        <x:f>H56+R56</x:f>
        <x:v>1554.045636528</x:v>
      </x:c>
      <x:c r="AW56" t="n">
        <x:f>I56+S56</x:f>
        <x:v>2393.23028025312</x:v>
      </x:c>
      <x:c r="AX56" t="n">
        <x:f>J56+T56</x:f>
        <x:v>3441.4651430039867</x:v>
      </x:c>
      <x:c r="AY56" t="n">
        <x:f>K56+U56</x:f>
        <x:v>4597.797431053326</x:v>
      </x:c>
      <x:c r="AZ56" t="n">
        <x:f>L56+V56</x:f>
        <x:v>5673.682029919804</x:v>
      </x:c>
      <x:c r="BA56" t="n">
        <x:f>M56+W56</x:f>
        <x:v>6422.608057869219</x:v>
      </x:c>
      <x:c r="BB56" t="n">
        <x:f>N56+X56</x:f>
        <x:v>6615.286299605295</x:v>
      </x:c>
      <x:c r="BC56" t="n">
        <x:f>AS56/'Inputs'!$B$14-1</x:f>
        <x:v>0.54</x:v>
      </x:c>
      <x:c r="BD56" t="n">
        <x:f>AT56/AS56-1</x:f>
        <x:v>0.54</x:v>
      </x:c>
      <x:c r="BE56" t="n">
        <x:f>AU56/AT56-1</x:f>
        <x:v>0.54</x:v>
      </x:c>
      <x:c r="BF56" t="n">
        <x:f>AV56/AU56-1</x:f>
        <x:v>0.5399999999999998</x:v>
      </x:c>
      <x:c r="BG56" t="n">
        <x:f>AW56/AV56-1</x:f>
        <x:v>0.54</x:v>
      </x:c>
      <x:c r="BH56" t="n">
        <x:f>AX56/AW56-1</x:f>
        <x:v>0.43800000000000017</x:v>
      </x:c>
      <x:c r="BI56" t="n">
        <x:f>AY56/AX56-1</x:f>
        <x:v>0.3360000000000001</x:v>
      </x:c>
      <x:c r="BJ56" t="n">
        <x:f>AZ56/AY56-1</x:f>
        <x:v>0.23399999999999999</x:v>
      </x:c>
      <x:c r="BK56" t="n">
        <x:f>BA56/AZ56-1</x:f>
        <x:v>0.13200000000000012</x:v>
      </x:c>
      <x:c r="BL56" t="n">
        <x:f>BB56/BA56-1</x:f>
        <x:v>0.030000000000000027</x:v>
      </x:c>
      <x:c r="BM56" t="n">
        <x:f>AH56*(1-'Assumptions'!$F$3)*(1+'Assumptions'!$D$3)*(1-'Assumptions'!$D$3/'Assumptions'!$E$3)</x:f>
        <x:v>1412.680100262304</x:v>
      </x:c>
      <x:c r="BN56" t="n">
        <x:f>SUMPRODUCT(AI56:AR56,'LMAT Model'!$B$83:$K$83)+BM56/('Assumptions'!$C$3-'Assumptions'!$D$3)*'LMAT Model'!$K$83</x:f>
        <x:v>10726.524568035533</x:v>
      </x:c>
      <x:c r="BO56" t="n">
        <x:f>'LMAT Model'!$B$94</x:f>
        <x:v>178</x:v>
      </x:c>
      <x:c r="BP56" t="n">
        <x:f>'Inputs'!$B$8</x:f>
        <x:v>23.088</x:v>
      </x:c>
    </x:row>
    <x:row r="57">
      <x:c r="A57" t="str">
        <x:v>LMAT</x:v>
      </x:c>
      <x:c r="B57" s="22" t="n">
        <x:v>0.55</x:v>
      </x:c>
      <x:c r="C57" s="42" t="n">
        <x:f>MIN((BN57+BO57)/BP57,(BN57+BO57+'Inputs'!$B$7)/(BP57+'Inputs'!$B$19))</x:f>
        <x:v>471.49923457127727</x:v>
      </x:c>
      <x:c r="D57" s="22" t="n">
        <x:f>C57/'Inputs'!$B$5-1</x:f>
        <x:v>4.844790313267351</x:v>
      </x:c>
      <x:c r="E57" t="n">
        <x:f>'Inputs'!$B$14*(1+$B57)^1</x:f>
        <x:v>428.26500000000004</x:v>
      </x:c>
      <x:c r="F57" t="n">
        <x:f>'Inputs'!$B$14*(1+$B57)^2</x:f>
        <x:v>663.8107500000001</x:v>
      </x:c>
      <x:c r="G57" t="n">
        <x:f>'Inputs'!$B$14*(1+$B57)^3</x:f>
        <x:v>1028.9066625000003</x:v>
      </x:c>
      <x:c r="H57" t="n">
        <x:f>'Inputs'!$B$14*(1+$B57)^4</x:f>
        <x:v>1594.8053268750004</x:v>
      </x:c>
      <x:c r="I57" t="n">
        <x:f>'Inputs'!$B$14*(1+$B57)^5</x:f>
        <x:v>2471.9482566562506</x:v>
      </x:c>
      <x:c r="J57" t="n">
        <x:f>I57*(1+($BG57+('Assumptions'!$D$3-$BG57)*(6-5)/5))</x:f>
        <x:v>3574.4371791249378</x:v>
      </x:c>
      <x:c r="K57" t="n">
        <x:f>J57*(1+($BG57+('Assumptions'!$D$3-$BG57)*(7-5)/5))</x:f>
        <x:v>4796.894694385666</x:v>
      </x:c>
      <x:c r="L57" t="n">
        <x:f>K57*(1+($BG57+('Assumptions'!$D$3-$BG57)*(8-5)/5))</x:f>
        <x:v>5938.555631649455</x:v>
      </x:c>
      <x:c r="M57" t="n">
        <x:f>L57*(1+($BG57+('Assumptions'!$D$3-$BG57)*(9-5)/5))</x:f>
        <x:v>6734.322086290481</x:v>
      </x:c>
      <x:c r="N57" t="n">
        <x:f>M57*(1+($BG57+('Assumptions'!$D$3-$BG57)*(10-5)/5))</x:f>
        <x:v>6936.351748879196</x:v>
      </x:c>
      <x:c r="O57" t="n">
        <x:f>0</x:f>
        <x:v>0</x:v>
      </x:c>
      <x:c r="P57" t="n">
        <x:f>0</x:f>
        <x:v>0</x:v>
      </x:c>
      <x:c r="Q57" t="n">
        <x:f>0</x:f>
        <x:v>0</x:v>
      </x:c>
      <x:c r="R57" t="n">
        <x:f>0</x:f>
        <x:v>0</x:v>
      </x:c>
      <x:c r="S57" t="n">
        <x:f>0</x:f>
        <x:v>0</x:v>
      </x:c>
      <x:c r="T57" t="n">
        <x:f>S57*(1+($BG57+('Assumptions'!$D$3-$BG57)*(6-5)/5))</x:f>
        <x:v>0</x:v>
      </x:c>
      <x:c r="U57" t="n">
        <x:f>T57*(1+($BG57+('Assumptions'!$D$3-$BG57)*(7-5)/5))</x:f>
        <x:v>0</x:v>
      </x:c>
      <x:c r="V57" t="n">
        <x:f>U57*(1+($BG57+('Assumptions'!$D$3-$BG57)*(8-5)/5))</x:f>
        <x:v>0</x:v>
      </x:c>
      <x:c r="W57" t="n">
        <x:f>V57*(1+($BG57+('Assumptions'!$D$3-$BG57)*(9-5)/5))</x:f>
        <x:v>0</x:v>
      </x:c>
      <x:c r="X57" t="n">
        <x:f>W57*(1+($BG57+('Assumptions'!$D$3-$BG57)*(10-5)/5))</x:f>
        <x:v>0</x:v>
      </x:c>
      <x:c r="Y57" t="n">
        <x:f>E57*'LMAT Model'!$B$62+O57*'LMAT Model'!$B$63+'LMAT Model'!$B$73+'LMAT Model'!$B$74</x:f>
        <x:v>119.91420000000002</x:v>
      </x:c>
      <x:c r="Z57" t="n">
        <x:f>F57*'LMAT Model'!$C$62+P57*'LMAT Model'!$C$63+'LMAT Model'!$C$73+'LMAT Model'!$C$74</x:f>
        <x:v>192.5051175</x:v>
      </x:c>
      <x:c r="AA57" t="n">
        <x:f>G57*'LMAT Model'!$D$62+Q57*'LMAT Model'!$D$63+'LMAT Model'!$D$73+'LMAT Model'!$D$74</x:f>
        <x:v>308.67199875000006</x:v>
      </x:c>
      <x:c r="AB57" t="n">
        <x:f>H57*'LMAT Model'!$E$62+R57*'LMAT Model'!$E$63+'LMAT Model'!$E$73+'LMAT Model'!$E$74</x:f>
        <x:v>486.4156246968751</x:v>
      </x:c>
      <x:c r="AC57" t="n">
        <x:f>I57*'LMAT Model'!$F$62+S57*'LMAT Model'!$F$63+'LMAT Model'!$F$73+'LMAT Model'!$F$74</x:f>
        <x:v>766.3039595634377</x:v>
      </x:c>
      <x:c r="AD57" t="n">
        <x:f>AX57*$AC57/$AW57</x:f>
        <x:v>1108.0755255287306</x:v>
      </x:c>
      <x:c r="AE57" t="n">
        <x:f>AY57*$AC57/$AW57</x:f>
        <x:v>1487.0373552595565</x:v>
      </x:c>
      <x:c r="AF57" t="n">
        <x:f>AZ57*$AC57/$AW57</x:f>
        <x:v>1840.9522458113313</x:v>
      </x:c>
      <x:c r="AG57" t="n">
        <x:f>BA57*$AC57/$AW57</x:f>
        <x:v>2087.639846750049</x:v>
      </x:c>
      <x:c r="AH57" t="n">
        <x:f>BB57*$AC57/$AW57</x:f>
        <x:v>2150.269042152551</x:v>
      </x:c>
      <x:c r="AI57" t="n">
        <x:f>Y57*(1-'Assumptions'!$F$3)+AS57*'Assumptions'!$G$3-AS57*'LMAT Model'!$B$65-(AS57-'Inputs'!$B$14)*'Assumptions'!$H$3-'Assumptions'!$I$3</x:f>
        <x:v>51.04151700000001</x:v>
      </x:c>
      <x:c r="AJ57" t="n">
        <x:f>Z57*(1-'Assumptions'!$F$3)+AT57*'Assumptions'!$G$3-AT57*'LMAT Model'!$C$65-(AT57-AS57)*'Assumptions'!$H$3-0</x:f>
        <x:v>88.80931305</x:v>
      </x:c>
      <x:c r="AK57" t="n">
        <x:f>AA57*(1-'Assumptions'!$F$3)+AU57*'Assumptions'!$G$3-AU57*'LMAT Model'!$D$65-(AU57-AT57)*'Assumptions'!$H$3-0</x:f>
        <x:v>145.47412586250002</x:v>
      </x:c>
      <x:c r="AL57" t="n">
        <x:f>AB57*(1-'Assumptions'!$F$3)+AV57*'Assumptions'!$G$3-AV57*'LMAT Model'!$E$65-(AV57-AU57)*'Assumptions'!$H$3-0</x:f>
        <x:v>231.54515532900004</x:v>
      </x:c>
      <x:c r="AM57" t="n">
        <x:f>AC57*(1-'Assumptions'!$F$3)+AW57*'Assumptions'!$G$3-AW57*'LMAT Model'!$F$65-(AW57-AV57)*'Assumptions'!$H$3-0</x:f>
        <x:v>368.28839413524395</x:v>
      </x:c>
      <x:c r="AN57" t="n">
        <x:f>AD57*(1-'Assumptions'!$F$3)+AX57*'Assumptions'!$G$3-AX57*'LMAT Model'!$G$65-(AX57-AW57)*'Assumptions'!$H$3-0</x:f>
        <x:v>570.6927613384125</x:v>
      </x:c>
      <x:c r="AO57" t="n">
        <x:f>AE57*(1-'Assumptions'!$F$3)+AY57*'Assumptions'!$G$3-AY57*'LMAT Model'!$H$65-(AY57-AX57)*'Assumptions'!$H$3-0</x:f>
        <x:v>824.998688015367</x:v>
      </x:c>
      <x:c r="AP57" t="n">
        <x:f>AF57*(1-'Assumptions'!$F$3)+AZ57*'Assumptions'!$G$3-AZ57*'LMAT Model'!$I$65-(AZ57-AY57)*'Assumptions'!$H$3-0</x:f>
        <x:v>1106.8489130876928</x:v>
      </x:c>
      <x:c r="AQ57" t="n">
        <x:f>AG57*(1-'Assumptions'!$F$3)+BA57*'Assumptions'!$G$3-BA57*'LMAT Model'!$J$65-(BA57-AZ57)*'Assumptions'!$H$3-0</x:f>
        <x:v>1369.9083885311488</x:v>
      </x:c>
      <x:c r="AR57" t="n">
        <x:f>AH57*(1-'Assumptions'!$F$3)+BB57*'Assumptions'!$G$3-BB57*'LMAT Model'!$K$65-(BB57-BA57)*'Assumptions'!$H$3-0</x:f>
        <x:v>1553.0558908961382</x:v>
      </x:c>
      <x:c r="AS57" t="n">
        <x:f>E57+O57</x:f>
        <x:v>428.26500000000004</x:v>
      </x:c>
      <x:c r="AT57" t="n">
        <x:f>F57+P57</x:f>
        <x:v>663.8107500000001</x:v>
      </x:c>
      <x:c r="AU57" t="n">
        <x:f>G57+Q57</x:f>
        <x:v>1028.9066625000003</x:v>
      </x:c>
      <x:c r="AV57" t="n">
        <x:f>H57+R57</x:f>
        <x:v>1594.8053268750004</x:v>
      </x:c>
      <x:c r="AW57" t="n">
        <x:f>I57+S57</x:f>
        <x:v>2471.9482566562506</x:v>
      </x:c>
      <x:c r="AX57" t="n">
        <x:f>J57+T57</x:f>
        <x:v>3574.4371791249378</x:v>
      </x:c>
      <x:c r="AY57" t="n">
        <x:f>K57+U57</x:f>
        <x:v>4796.894694385666</x:v>
      </x:c>
      <x:c r="AZ57" t="n">
        <x:f>L57+V57</x:f>
        <x:v>5938.555631649455</x:v>
      </x:c>
      <x:c r="BA57" t="n">
        <x:f>M57+W57</x:f>
        <x:v>6734.322086290481</x:v>
      </x:c>
      <x:c r="BB57" t="n">
        <x:f>N57+X57</x:f>
        <x:v>6936.351748879196</x:v>
      </x:c>
      <x:c r="BC57" t="n">
        <x:f>AS57/'Inputs'!$B$14-1</x:f>
        <x:v>0.55</x:v>
      </x:c>
      <x:c r="BD57" t="n">
        <x:f>AT57/AS57-1</x:f>
        <x:v>0.55</x:v>
      </x:c>
      <x:c r="BE57" t="n">
        <x:f>AU57/AT57-1</x:f>
        <x:v>0.5500000000000003</x:v>
      </x:c>
      <x:c r="BF57" t="n">
        <x:f>AV57/AU57-1</x:f>
        <x:v>0.55</x:v>
      </x:c>
      <x:c r="BG57" t="n">
        <x:f>AW57/AV57-1</x:f>
        <x:v>0.5499999999999998</x:v>
      </x:c>
      <x:c r="BH57" t="n">
        <x:f>AX57/AW57-1</x:f>
        <x:v>0.44599999999999973</x:v>
      </x:c>
      <x:c r="BI57" t="n">
        <x:f>AY57/AX57-1</x:f>
        <x:v>0.34199999999999986</x:v>
      </x:c>
      <x:c r="BJ57" t="n">
        <x:f>AZ57/AY57-1</x:f>
        <x:v>0.238</x:v>
      </x:c>
      <x:c r="BK57" t="n">
        <x:f>BA57/AZ57-1</x:f>
        <x:v>0.1339999999999999</x:v>
      </x:c>
      <x:c r="BL57" t="n">
        <x:f>BB57/BA57-1</x:f>
        <x:v>0.030000000000000027</x:v>
      </x:c>
      <x:c r="BM57" t="n">
        <x:f>AH57*(1-'Assumptions'!$F$3)*(1+'Assumptions'!$D$3)*(1-'Assumptions'!$D$3/'Assumptions'!$E$3)</x:f>
        <x:v>1481.242933453375</x:v>
      </x:c>
      <x:c r="BN57" t="n">
        <x:f>SUMPRODUCT(AI57:AR57,'LMAT Model'!$B$83:$K$83)+BM57/('Assumptions'!$C$3-'Assumptions'!$D$3)*'LMAT Model'!$K$83</x:f>
        <x:v>11215.847723268003</x:v>
      </x:c>
      <x:c r="BO57" t="n">
        <x:f>'LMAT Model'!$B$94</x:f>
        <x:v>178</x:v>
      </x:c>
      <x:c r="BP57" t="n">
        <x:f>'Inputs'!$B$8</x:f>
        <x:v>23.088</x:v>
      </x:c>
    </x:row>
    <x:row r="58">
      <x:c r="A58" t="str">
        <x:v>LMAT</x:v>
      </x:c>
      <x:c r="B58" s="22" t="n">
        <x:v>0.56</x:v>
      </x:c>
      <x:c r="C58" s="42" t="n">
        <x:f>MIN((BN58+BO58)/BP58,(BN58+BO58+'Inputs'!$B$7)/(BP58+'Inputs'!$B$19))</x:f>
        <x:v>492.25930153748436</x:v>
      </x:c>
      <x:c r="D58" s="22" t="n">
        <x:f>C58/'Inputs'!$B$5-1</x:f>
        <x:v>5.102135881213393</x:v>
      </x:c>
      <x:c r="E58" t="n">
        <x:f>'Inputs'!$B$14*(1+$B58)^1</x:f>
        <x:v>431.028</x:v>
      </x:c>
      <x:c r="F58" t="n">
        <x:f>'Inputs'!$B$14*(1+$B58)^2</x:f>
        <x:v>672.4036800000001</x:v>
      </x:c>
      <x:c r="G58" t="n">
        <x:f>'Inputs'!$B$14*(1+$B58)^3</x:f>
        <x:v>1048.9497408000002</x:v>
      </x:c>
      <x:c r="H58" t="n">
        <x:f>'Inputs'!$B$14*(1+$B58)^4</x:f>
        <x:v>1636.3615956480005</x:v>
      </x:c>
      <x:c r="I58" t="n">
        <x:f>'Inputs'!$B$14*(1+$B58)^5</x:f>
        <x:v>2552.7240892108807</x:v>
      </x:c>
      <x:c r="J58" t="n">
        <x:f>I58*(1+($BG58+('Assumptions'!$D$3-$BG58)*(6-5)/5))</x:f>
        <x:v>3711.660825712621</x:v>
      </x:c>
      <x:c r="K58" t="n">
        <x:f>J58*(1+($BG58+('Assumptions'!$D$3-$BG58)*(7-5)/5))</x:f>
        <x:v>5003.318793060614</x:v>
      </x:c>
      <x:c r="L58" t="n">
        <x:f>K58*(1+($BG58+('Assumptions'!$D$3-$BG58)*(8-5)/5))</x:f>
        <x:v>6214.121940981282</x:v>
      </x:c>
      <x:c r="M58" t="n">
        <x:f>L58*(1+($BG58+('Assumptions'!$D$3-$BG58)*(9-5)/5))</x:f>
        <x:v>7059.242524954737</x:v>
      </x:c>
      <x:c r="N58" t="n">
        <x:f>M58*(1+($BG58+('Assumptions'!$D$3-$BG58)*(10-5)/5))</x:f>
        <x:v>7271.019800703379</x:v>
      </x:c>
      <x:c r="O58" t="n">
        <x:f>0</x:f>
        <x:v>0</x:v>
      </x:c>
      <x:c r="P58" t="n">
        <x:f>0</x:f>
        <x:v>0</x:v>
      </x:c>
      <x:c r="Q58" t="n">
        <x:f>0</x:f>
        <x:v>0</x:v>
      </x:c>
      <x:c r="R58" t="n">
        <x:f>0</x:f>
        <x:v>0</x:v>
      </x:c>
      <x:c r="S58" t="n">
        <x:f>0</x:f>
        <x:v>0</x:v>
      </x:c>
      <x:c r="T58" t="n">
        <x:f>S58*(1+($BG58+('Assumptions'!$D$3-$BG58)*(6-5)/5))</x:f>
        <x:v>0</x:v>
      </x:c>
      <x:c r="U58" t="n">
        <x:f>T58*(1+($BG58+('Assumptions'!$D$3-$BG58)*(7-5)/5))</x:f>
        <x:v>0</x:v>
      </x:c>
      <x:c r="V58" t="n">
        <x:f>U58*(1+($BG58+('Assumptions'!$D$3-$BG58)*(8-5)/5))</x:f>
        <x:v>0</x:v>
      </x:c>
      <x:c r="W58" t="n">
        <x:f>V58*(1+($BG58+('Assumptions'!$D$3-$BG58)*(9-5)/5))</x:f>
        <x:v>0</x:v>
      </x:c>
      <x:c r="X58" t="n">
        <x:f>W58*(1+($BG58+('Assumptions'!$D$3-$BG58)*(10-5)/5))</x:f>
        <x:v>0</x:v>
      </x:c>
      <x:c r="Y58" t="n">
        <x:f>E58*'LMAT Model'!$B$62+O58*'LMAT Model'!$B$63+'LMAT Model'!$B$73+'LMAT Model'!$B$74</x:f>
        <x:v>120.68784000000002</x:v>
      </x:c>
      <x:c r="Z58" t="n">
        <x:f>F58*'LMAT Model'!$C$62+P58*'LMAT Model'!$C$63+'LMAT Model'!$C$73+'LMAT Model'!$C$74</x:f>
        <x:v>194.99706720000003</x:v>
      </x:c>
      <x:c r="AA58" t="n">
        <x:f>G58*'LMAT Model'!$D$62+Q58*'LMAT Model'!$D$63+'LMAT Model'!$D$73+'LMAT Model'!$D$74</x:f>
        <x:v>314.68492224000005</x:v>
      </x:c>
      <x:c r="AB58" t="n">
        <x:f>H58*'LMAT Model'!$E$62+R58*'LMAT Model'!$E$63+'LMAT Model'!$E$73+'LMAT Model'!$E$74</x:f>
        <x:v>499.09028667264016</x:v>
      </x:c>
      <x:c r="AC58" t="n">
        <x:f>I58*'LMAT Model'!$F$62+S58*'LMAT Model'!$F$63+'LMAT Model'!$F$73+'LMAT Model'!$F$74</x:f>
        <x:v>791.344467655373</x:v>
      </x:c>
      <x:c r="AD58" t="n">
        <x:f>AX58*$AC58/$AW58</x:f>
        <x:v>1150.6148559709125</x:v>
      </x:c>
      <x:c r="AE58" t="n">
        <x:f>AY58*$AC58/$AW58</x:f>
        <x:v>1551.0288258487903</x:v>
      </x:c>
      <x:c r="AF58" t="n">
        <x:f>AZ58*$AC58/$AW58</x:f>
        <x:v>1926.3778017041973</x:v>
      </x:c>
      <x:c r="AG58" t="n">
        <x:f>BA58*$AC58/$AW58</x:f>
        <x:v>2188.3651827359686</x:v>
      </x:c>
      <x:c r="AH58" t="n">
        <x:f>BB58*$AC58/$AW58</x:f>
        <x:v>2254.0161382180477</x:v>
      </x:c>
      <x:c r="AI58" t="n">
        <x:f>Y58*(1-'Assumptions'!$F$3)+AS58*'Assumptions'!$G$3-AS58*'LMAT Model'!$B$65-(AS58-'Inputs'!$B$14)*'Assumptions'!$H$3-'Assumptions'!$I$3</x:f>
        <x:v>50.980178400000014</x:v>
      </x:c>
      <x:c r="AJ58" t="n">
        <x:f>Z58*(1-'Assumptions'!$F$3)+AT58*'Assumptions'!$G$3-AT58*'LMAT Model'!$C$65-(AT58-AS58)*'Assumptions'!$H$3-0</x:f>
        <x:v>89.31934627200002</x:v>
      </x:c>
      <x:c r="AK58" t="n">
        <x:f>AA58*(1-'Assumptions'!$F$3)+AU58*'Assumptions'!$G$3-AU58*'LMAT Model'!$D$65-(AU58-AT58)*'Assumptions'!$H$3-0</x:f>
        <x:v>147.3101982144</x:v>
      </x:c>
      <x:c r="AL58" t="n">
        <x:f>AB58*(1-'Assumptions'!$F$3)+AV58*'Assumptions'!$G$3-AV58*'LMAT Model'!$E$65-(AV58-AU58)*'Assumptions'!$H$3-0</x:f>
        <x:v>236.02208327792647</x:v>
      </x:c>
      <x:c r="AM58" t="n">
        <x:f>AC58*(1-'Assumptions'!$F$3)+AW58*'Assumptions'!$G$3-AW58*'LMAT Model'!$F$65-(AW58-AV58)*'Assumptions'!$H$3-0</x:f>
        <x:v>377.89480145256675</x:v>
      </x:c>
      <x:c r="AN58" t="n">
        <x:f>AD58*(1-'Assumptions'!$F$3)+AX58*'Assumptions'!$G$3-AX58*'LMAT Model'!$G$65-(AX58-AW58)*'Assumptions'!$H$3-0</x:f>
        <x:v>589.3535370139302</x:v>
      </x:c>
      <x:c r="AO58" t="n">
        <x:f>AE58*(1-'Assumptions'!$F$3)+AY58*'Assumptions'!$G$3-AY58*'LMAT Model'!$H$65-(AY58-AX58)*'Assumptions'!$H$3-0</x:f>
        <x:v>856.6839811897395</x:v>
      </x:c>
      <x:c r="AP58" t="n">
        <x:f>AF58*(1-'Assumptions'!$F$3)+AZ58*'Assumptions'!$G$3-AZ58*'LMAT Model'!$I$65-(AZ58-AY58)*'Assumptions'!$H$3-0</x:f>
        <x:v>1154.4917955685298</x:v>
      </x:c>
      <x:c r="AQ58" t="n">
        <x:f>AG58*(1-'Assumptions'!$F$3)+BA58*'Assumptions'!$G$3-BA58*'LMAT Model'!$J$65-(BA58-AZ58)*'Assumptions'!$H$3-0</x:f>
        <x:v>1433.4835919406678</x:v>
      </x:c>
      <x:c r="AR58" t="n">
        <x:f>AH58*(1-'Assumptions'!$F$3)+BB58*'Assumptions'!$G$3-BB58*'LMAT Model'!$K$65-(BB58-BA58)*'Assumptions'!$H$3-0</x:f>
        <x:v>1627.9883926200116</x:v>
      </x:c>
      <x:c r="AS58" t="n">
        <x:f>E58+O58</x:f>
        <x:v>431.028</x:v>
      </x:c>
      <x:c r="AT58" t="n">
        <x:f>F58+P58</x:f>
        <x:v>672.4036800000001</x:v>
      </x:c>
      <x:c r="AU58" t="n">
        <x:f>G58+Q58</x:f>
        <x:v>1048.9497408000002</x:v>
      </x:c>
      <x:c r="AV58" t="n">
        <x:f>H58+R58</x:f>
        <x:v>1636.3615956480005</x:v>
      </x:c>
      <x:c r="AW58" t="n">
        <x:f>I58+S58</x:f>
        <x:v>2552.7240892108807</x:v>
      </x:c>
      <x:c r="AX58" t="n">
        <x:f>J58+T58</x:f>
        <x:v>3711.660825712621</x:v>
      </x:c>
      <x:c r="AY58" t="n">
        <x:f>K58+U58</x:f>
        <x:v>5003.318793060614</x:v>
      </x:c>
      <x:c r="AZ58" t="n">
        <x:f>L58+V58</x:f>
        <x:v>6214.121940981282</x:v>
      </x:c>
      <x:c r="BA58" t="n">
        <x:f>M58+W58</x:f>
        <x:v>7059.242524954737</x:v>
      </x:c>
      <x:c r="BB58" t="n">
        <x:f>N58+X58</x:f>
        <x:v>7271.019800703379</x:v>
      </x:c>
      <x:c r="BC58" t="n">
        <x:f>AS58/'Inputs'!$B$14-1</x:f>
        <x:v>0.56</x:v>
      </x:c>
      <x:c r="BD58" t="n">
        <x:f>AT58/AS58-1</x:f>
        <x:v>0.5600000000000003</x:v>
      </x:c>
      <x:c r="BE58" t="n">
        <x:f>AU58/AT58-1</x:f>
        <x:v>0.56</x:v>
      </x:c>
      <x:c r="BF58" t="n">
        <x:f>AV58/AU58-1</x:f>
        <x:v>0.5600000000000003</x:v>
      </x:c>
      <x:c r="BG58" t="n">
        <x:f>AW58/AV58-1</x:f>
        <x:v>0.56</x:v>
      </x:c>
      <x:c r="BH58" t="n">
        <x:f>AX58/AW58-1</x:f>
        <x:v>0.4540000000000002</x:v>
      </x:c>
      <x:c r="BI58" t="n">
        <x:f>AY58/AX58-1</x:f>
        <x:v>0.3480000000000001</x:v>
      </x:c>
      <x:c r="BJ58" t="n">
        <x:f>AZ58/AY58-1</x:f>
        <x:v>0.242</x:v>
      </x:c>
      <x:c r="BK58" t="n">
        <x:f>BA58/AZ58-1</x:f>
        <x:v>0.13600000000000012</x:v>
      </x:c>
      <x:c r="BL58" t="n">
        <x:f>BB58/BA58-1</x:f>
        <x:v>0.030000000000000027</x:v>
      </x:c>
      <x:c r="BM58" t="n">
        <x:f>AH58*(1-'Assumptions'!$F$3)*(1+'Assumptions'!$D$3)*(1-'Assumptions'!$D$3/'Assumptions'!$E$3)</x:f>
        <x:v>1552.7105730374374</x:v>
      </x:c>
      <x:c r="BN58" t="n">
        <x:f>SUMPRODUCT(AI58:AR58,'LMAT Model'!$B$83:$K$83)+BM58/('Assumptions'!$C$3-'Assumptions'!$D$3)*'LMAT Model'!$K$83</x:f>
        <x:v>11725.11292601603</x:v>
      </x:c>
      <x:c r="BO58" t="n">
        <x:f>'LMAT Model'!$B$94</x:f>
        <x:v>178</x:v>
      </x:c>
      <x:c r="BP58" t="n">
        <x:f>'Inputs'!$B$8</x:f>
        <x:v>23.088</x:v>
      </x:c>
    </x:row>
    <x:row r="59">
      <x:c r="A59" t="str">
        <x:v>LMAT</x:v>
      </x:c>
      <x:c r="B59" s="22" t="n">
        <x:v>0.57</x:v>
      </x:c>
      <x:c r="C59" s="42" t="n">
        <x:f>MIN((BN59+BO59)/BP59,(BN59+BO59+'Inputs'!$B$7)/(BP59+'Inputs'!$B$19))</x:f>
        <x:v>513.8609916065932</x:v>
      </x:c>
      <x:c r="D59" s="22" t="n">
        <x:f>C59/'Inputs'!$B$5-1</x:f>
        <x:v>5.369914362298168</x:v>
      </x:c>
      <x:c r="E59" t="n">
        <x:f>'Inputs'!$B$14*(1+$B59)^1</x:f>
        <x:v>433.791</x:v>
      </x:c>
      <x:c r="F59" t="n">
        <x:f>'Inputs'!$B$14*(1+$B59)^2</x:f>
        <x:v>681.0518699999999</x:v>
      </x:c>
      <x:c r="G59" t="n">
        <x:f>'Inputs'!$B$14*(1+$B59)^3</x:f>
        <x:v>1069.2514358999997</x:v>
      </x:c>
      <x:c r="H59" t="n">
        <x:f>'Inputs'!$B$14*(1+$B59)^4</x:f>
        <x:v>1678.7247543629996</x:v>
      </x:c>
      <x:c r="I59" t="n">
        <x:f>'Inputs'!$B$14*(1+$B59)^5</x:f>
        <x:v>2635.5978643499093</x:v>
      </x:c>
      <x:c r="J59" t="n">
        <x:f>I59*(1+($BG59+('Assumptions'!$D$3-$BG59)*(6-5)/5))</x:f>
        <x:v>3853.2440776795665</x:v>
      </x:c>
      <x:c r="K59" t="n">
        <x:f>J59*(1+($BG59+('Assumptions'!$D$3-$BG59)*(7-5)/5))</x:f>
        <x:v>5217.292481178132</x:v>
      </x:c>
      <x:c r="L59" t="n">
        <x:f>K59*(1+($BG59+('Assumptions'!$D$3-$BG59)*(8-5)/5))</x:f>
        <x:v>6500.746431547953</x:v>
      </x:c>
      <x:c r="M59" t="n">
        <x:f>L59*(1+($BG59+('Assumptions'!$D$3-$BG59)*(9-5)/5))</x:f>
        <x:v>7397.849439101569</x:v>
      </x:c>
      <x:c r="N59" t="n">
        <x:f>M59*(1+($BG59+('Assumptions'!$D$3-$BG59)*(10-5)/5))</x:f>
        <x:v>7619.784922274616</x:v>
      </x:c>
      <x:c r="O59" t="n">
        <x:f>0</x:f>
        <x:v>0</x:v>
      </x:c>
      <x:c r="P59" t="n">
        <x:f>0</x:f>
        <x:v>0</x:v>
      </x:c>
      <x:c r="Q59" t="n">
        <x:f>0</x:f>
        <x:v>0</x:v>
      </x:c>
      <x:c r="R59" t="n">
        <x:f>0</x:f>
        <x:v>0</x:v>
      </x:c>
      <x:c r="S59" t="n">
        <x:f>0</x:f>
        <x:v>0</x:v>
      </x:c>
      <x:c r="T59" t="n">
        <x:f>S59*(1+($BG59+('Assumptions'!$D$3-$BG59)*(6-5)/5))</x:f>
        <x:v>0</x:v>
      </x:c>
      <x:c r="U59" t="n">
        <x:f>T59*(1+($BG59+('Assumptions'!$D$3-$BG59)*(7-5)/5))</x:f>
        <x:v>0</x:v>
      </x:c>
      <x:c r="V59" t="n">
        <x:f>U59*(1+($BG59+('Assumptions'!$D$3-$BG59)*(8-5)/5))</x:f>
        <x:v>0</x:v>
      </x:c>
      <x:c r="W59" t="n">
        <x:f>V59*(1+($BG59+('Assumptions'!$D$3-$BG59)*(9-5)/5))</x:f>
        <x:v>0</x:v>
      </x:c>
      <x:c r="X59" t="n">
        <x:f>W59*(1+($BG59+('Assumptions'!$D$3-$BG59)*(10-5)/5))</x:f>
        <x:v>0</x:v>
      </x:c>
      <x:c r="Y59" t="n">
        <x:f>E59*'LMAT Model'!$B$62+O59*'LMAT Model'!$B$63+'LMAT Model'!$B$73+'LMAT Model'!$B$74</x:f>
        <x:v>121.46148000000001</x:v>
      </x:c>
      <x:c r="Z59" t="n">
        <x:f>F59*'LMAT Model'!$C$62+P59*'LMAT Model'!$C$63+'LMAT Model'!$C$73+'LMAT Model'!$C$74</x:f>
        <x:v>197.50504229999996</x:v>
      </x:c>
      <x:c r="AA59" t="n">
        <x:f>G59*'LMAT Model'!$D$62+Q59*'LMAT Model'!$D$63+'LMAT Model'!$D$73+'LMAT Model'!$D$74</x:f>
        <x:v>320.7754307699999</x:v>
      </x:c>
      <x:c r="AB59" t="n">
        <x:f>H59*'LMAT Model'!$E$62+R59*'LMAT Model'!$E$63+'LMAT Model'!$E$73+'LMAT Model'!$E$74</x:f>
        <x:v>512.0110500807149</x:v>
      </x:c>
      <x:c r="AC59" t="n">
        <x:f>I59*'LMAT Model'!$F$62+S59*'LMAT Model'!$F$63+'LMAT Model'!$F$73+'LMAT Model'!$F$74</x:f>
        <x:v>817.0353379484719</x:v>
      </x:c>
      <x:c r="AD59" t="n">
        <x:f>AX59*$AC59/$AW59</x:f>
        <x:v>1194.5056640806658</x:v>
      </x:c>
      <x:c r="AE59" t="n">
        <x:f>AY59*$AC59/$AW59</x:f>
        <x:v>1617.3606691652212</x:v>
      </x:c>
      <x:c r="AF59" t="n">
        <x:f>AZ59*$AC59/$AW59</x:f>
        <x:v>2015.2313937798656</x:v>
      </x:c>
      <x:c r="AG59" t="n">
        <x:f>BA59*$AC59/$AW59</x:f>
        <x:v>2293.3333261214866</x:v>
      </x:c>
      <x:c r="AH59" t="n">
        <x:f>BB59*$AC59/$AW59</x:f>
        <x:v>2362.133325905131</x:v>
      </x:c>
      <x:c r="AI59" t="n">
        <x:f>Y59*(1-'Assumptions'!$F$3)+AS59*'Assumptions'!$G$3-AS59*'LMAT Model'!$B$65-(AS59-'Inputs'!$B$14)*'Assumptions'!$H$3-'Assumptions'!$I$3</x:f>
        <x:v>50.91883980000001</x:v>
      </x:c>
      <x:c r="AJ59" t="n">
        <x:f>Z59*(1-'Assumptions'!$F$3)+AT59*'Assumptions'!$G$3-AT59*'LMAT Model'!$C$65-(AT59-AS59)*'Assumptions'!$H$3-0</x:f>
        <x:v>89.82857269800002</x:v>
      </x:c>
      <x:c r="AK59" t="n">
        <x:f>AA59*(1-'Assumptions'!$F$3)+AU59*'Assumptions'!$G$3-AU59*'LMAT Model'!$D$65-(AU59-AT59)*'Assumptions'!$H$3-0</x:f>
        <x:v>149.15717004869998</x:v>
      </x:c>
      <x:c r="AL59" t="n">
        <x:f>AB59*(1-'Assumptions'!$F$3)+AV59*'Assumptions'!$G$3-AV59*'LMAT Model'!$E$65-(AV59-AU59)*'Assumptions'!$H$3-0</x:f>
        <x:v>240.55591104303835</x:v>
      </x:c>
      <x:c r="AM59" t="n">
        <x:f>AC59*(1-'Assumptions'!$F$3)+AW59*'Assumptions'!$G$3-AW59*'LMAT Model'!$F$65-(AW59-AV59)*'Assumptions'!$H$3-0</x:f>
        <x:v>387.6880522220999</x:v>
      </x:c>
      <x:c r="AN59" t="n">
        <x:f>AD59*(1-'Assumptions'!$F$3)+AX59*'Assumptions'!$G$3-AX59*'LMAT Model'!$G$65-(AX59-AW59)*'Assumptions'!$H$3-0</x:f>
        <x:v>608.4994552470869</x:v>
      </x:c>
      <x:c r="AO59" t="n">
        <x:f>AE59*(1-'Assumptions'!$F$3)+AY59*'Assumptions'!$G$3-AY59*'LMAT Model'!$H$65-(AY59-AX59)*'Assumptions'!$H$3-0</x:f>
        <x:v>889.3765133550073</x:v>
      </x:c>
      <x:c r="AP59" t="n">
        <x:f>AF59*(1-'Assumptions'!$F$3)+AZ59*'Assumptions'!$G$3-AZ59*'LMAT Model'!$I$65-(AZ59-AY59)*'Assumptions'!$H$3-0</x:f>
        <x:v>1203.8777185298995</x:v>
      </x:c>
      <x:c r="AQ59" t="n">
        <x:f>AG59*(1-'Assumptions'!$F$3)+BA59*'Assumptions'!$G$3-BA59*'LMAT Model'!$J$65-(BA59-AZ59)*'Assumptions'!$H$3-0</x:f>
        <x:v>1499.61038891949</x:v>
      </x:c>
      <x:c r="AR59" t="n">
        <x:f>AH59*(1-'Assumptions'!$F$3)+BB59*'Assumptions'!$G$3-BB59*'LMAT Model'!$K$65-(BB59-BA59)*'Assumptions'!$H$3-0</x:f>
        <x:v>1706.0772419467257</x:v>
      </x:c>
      <x:c r="AS59" t="n">
        <x:f>E59+O59</x:f>
        <x:v>433.791</x:v>
      </x:c>
      <x:c r="AT59" t="n">
        <x:f>F59+P59</x:f>
        <x:v>681.0518699999999</x:v>
      </x:c>
      <x:c r="AU59" t="n">
        <x:f>G59+Q59</x:f>
        <x:v>1069.2514358999997</x:v>
      </x:c>
      <x:c r="AV59" t="n">
        <x:f>H59+R59</x:f>
        <x:v>1678.7247543629996</x:v>
      </x:c>
      <x:c r="AW59" t="n">
        <x:f>I59+S59</x:f>
        <x:v>2635.5978643499093</x:v>
      </x:c>
      <x:c r="AX59" t="n">
        <x:f>J59+T59</x:f>
        <x:v>3853.2440776795665</x:v>
      </x:c>
      <x:c r="AY59" t="n">
        <x:f>K59+U59</x:f>
        <x:v>5217.292481178132</x:v>
      </x:c>
      <x:c r="AZ59" t="n">
        <x:f>L59+V59</x:f>
        <x:v>6500.746431547953</x:v>
      </x:c>
      <x:c r="BA59" t="n">
        <x:f>M59+W59</x:f>
        <x:v>7397.849439101569</x:v>
      </x:c>
      <x:c r="BB59" t="n">
        <x:f>N59+X59</x:f>
        <x:v>7619.784922274616</x:v>
      </x:c>
      <x:c r="BC59" t="n">
        <x:f>AS59/'Inputs'!$B$14-1</x:f>
        <x:v>0.5699999999999998</x:v>
      </x:c>
      <x:c r="BD59" t="n">
        <x:f>AT59/AS59-1</x:f>
        <x:v>0.5699999999999998</x:v>
      </x:c>
      <x:c r="BE59" t="n">
        <x:f>AU59/AT59-1</x:f>
        <x:v>0.5699999999999998</x:v>
      </x:c>
      <x:c r="BF59" t="n">
        <x:f>AV59/AU59-1</x:f>
        <x:v>0.5700000000000001</x:v>
      </x:c>
      <x:c r="BG59" t="n">
        <x:f>AW59/AV59-1</x:f>
        <x:v>0.5699999999999998</x:v>
      </x:c>
      <x:c r="BH59" t="n">
        <x:f>AX59/AW59-1</x:f>
        <x:v>0.46199999999999974</x:v>
      </x:c>
      <x:c r="BI59" t="n">
        <x:f>AY59/AX59-1</x:f>
        <x:v>0.35399999999999987</x:v>
      </x:c>
      <x:c r="BJ59" t="n">
        <x:f>AZ59/AY59-1</x:f>
        <x:v>0.246</x:v>
      </x:c>
      <x:c r="BK59" t="n">
        <x:f>BA59/AZ59-1</x:f>
        <x:v>0.1379999999999999</x:v>
      </x:c>
      <x:c r="BL59" t="n">
        <x:f>BB59/BA59-1</x:f>
        <x:v>0.030000000000000027</x:v>
      </x:c>
      <x:c r="BM59" t="n">
        <x:f>AH59*(1-'Assumptions'!$F$3)*(1+'Assumptions'!$D$3)*(1-'Assumptions'!$D$3/'Assumptions'!$E$3)</x:f>
        <x:v>1627.1886114163124</x:v>
      </x:c>
      <x:c r="BN59" t="n">
        <x:f>SUMPRODUCT(AI59:AR59,'LMAT Model'!$B$83:$K$83)+BM59/('Assumptions'!$C$3-'Assumptions'!$D$3)*'LMAT Model'!$K$83</x:f>
        <x:v>12255.02398510134</x:v>
      </x:c>
      <x:c r="BO59" t="n">
        <x:f>'LMAT Model'!$B$94</x:f>
        <x:v>178</x:v>
      </x:c>
      <x:c r="BP59" t="n">
        <x:f>'Inputs'!$B$8</x:f>
        <x:v>23.088</x:v>
      </x:c>
    </x:row>
    <x:row r="60">
      <x:c r="A60" t="str">
        <x:v>LMAT</x:v>
      </x:c>
      <x:c r="B60" s="22" t="n">
        <x:v>0.58</x:v>
      </x:c>
      <x:c r="C60" s="42" t="n">
        <x:f>MIN((BN60+BO60)/BP60,(BN60+BO60+'Inputs'!$B$7)/(BP60+'Inputs'!$B$19))</x:f>
        <x:v>536.3338490852091</x:v>
      </x:c>
      <x:c r="D60" s="22" t="n">
        <x:f>C60/'Inputs'!$B$5-1</x:f>
        <x:v>5.64849199312271</x:v>
      </x:c>
      <x:c r="E60" t="n">
        <x:f>'Inputs'!$B$14*(1+$B60)^1</x:f>
        <x:v>436.55400000000003</x:v>
      </x:c>
      <x:c r="F60" t="n">
        <x:f>'Inputs'!$B$14*(1+$B60)^2</x:f>
        <x:v>689.7553200000001</x:v>
      </x:c>
      <x:c r="G60" t="n">
        <x:f>'Inputs'!$B$14*(1+$B60)^3</x:f>
        <x:v>1089.8134056000004</x:v>
      </x:c>
      <x:c r="H60" t="n">
        <x:f>'Inputs'!$B$14*(1+$B60)^4</x:f>
        <x:v>1721.9051808480008</x:v>
      </x:c>
      <x:c r="I60" t="n">
        <x:f>'Inputs'!$B$14*(1+$B60)^5</x:f>
        <x:v>2720.610185739841</x:v>
      </x:c>
      <x:c r="J60" t="n">
        <x:f>I60*(1+($BG60+('Assumptions'!$D$3-$BG60)*(6-5)/5))</x:f>
        <x:v>3999.296973037567</x:v>
      </x:c>
      <x:c r="K60" t="n">
        <x:f>J60*(1+($BG60+('Assumptions'!$D$3-$BG60)*(7-5)/5))</x:f>
        <x:v>5439.043883331092</x:v>
      </x:c>
      <x:c r="L60" t="n">
        <x:f>K60*(1+($BG60+('Assumptions'!$D$3-$BG60)*(8-5)/5))</x:f>
        <x:v>6798.804854163865</x:v>
      </x:c>
      <x:c r="M60" t="n">
        <x:f>L60*(1+($BG60+('Assumptions'!$D$3-$BG60)*(9-5)/5))</x:f>
        <x:v>7750.637533746806</x:v>
      </x:c>
      <x:c r="N60" t="n">
        <x:f>M60*(1+($BG60+('Assumptions'!$D$3-$BG60)*(10-5)/5))</x:f>
        <x:v>7983.156659759211</x:v>
      </x:c>
      <x:c r="O60" t="n">
        <x:f>0</x:f>
        <x:v>0</x:v>
      </x:c>
      <x:c r="P60" t="n">
        <x:f>0</x:f>
        <x:v>0</x:v>
      </x:c>
      <x:c r="Q60" t="n">
        <x:f>0</x:f>
        <x:v>0</x:v>
      </x:c>
      <x:c r="R60" t="n">
        <x:f>0</x:f>
        <x:v>0</x:v>
      </x:c>
      <x:c r="S60" t="n">
        <x:f>0</x:f>
        <x:v>0</x:v>
      </x:c>
      <x:c r="T60" t="n">
        <x:f>S60*(1+($BG60+('Assumptions'!$D$3-$BG60)*(6-5)/5))</x:f>
        <x:v>0</x:v>
      </x:c>
      <x:c r="U60" t="n">
        <x:f>T60*(1+($BG60+('Assumptions'!$D$3-$BG60)*(7-5)/5))</x:f>
        <x:v>0</x:v>
      </x:c>
      <x:c r="V60" t="n">
        <x:f>U60*(1+($BG60+('Assumptions'!$D$3-$BG60)*(8-5)/5))</x:f>
        <x:v>0</x:v>
      </x:c>
      <x:c r="W60" t="n">
        <x:f>V60*(1+($BG60+('Assumptions'!$D$3-$BG60)*(9-5)/5))</x:f>
        <x:v>0</x:v>
      </x:c>
      <x:c r="X60" t="n">
        <x:f>W60*(1+($BG60+('Assumptions'!$D$3-$BG60)*(10-5)/5))</x:f>
        <x:v>0</x:v>
      </x:c>
      <x:c r="Y60" t="n">
        <x:f>E60*'LMAT Model'!$B$62+O60*'LMAT Model'!$B$63+'LMAT Model'!$B$73+'LMAT Model'!$B$74</x:f>
        <x:v>122.23512000000002</x:v>
      </x:c>
      <x:c r="Z60" t="n">
        <x:f>F60*'LMAT Model'!$C$62+P60*'LMAT Model'!$C$63+'LMAT Model'!$C$73+'LMAT Model'!$C$74</x:f>
        <x:v>200.0290428</x:v>
      </x:c>
      <x:c r="AA60" t="n">
        <x:f>G60*'LMAT Model'!$D$62+Q60*'LMAT Model'!$D$63+'LMAT Model'!$D$73+'LMAT Model'!$D$74</x:f>
        <x:v>326.9440216800001</x:v>
      </x:c>
      <x:c r="AB60" t="n">
        <x:f>H60*'LMAT Model'!$E$62+R60*'LMAT Model'!$E$63+'LMAT Model'!$E$73+'LMAT Model'!$E$74</x:f>
        <x:v>525.1810801586403</x:v>
      </x:c>
      <x:c r="AC60" t="n">
        <x:f>I60*'LMAT Model'!$F$62+S60*'LMAT Model'!$F$63+'LMAT Model'!$F$73+'LMAT Model'!$F$74</x:f>
        <x:v>843.3891575793508</x:v>
      </x:c>
      <x:c r="AD60" t="n">
        <x:f>AX60*$AC60/$AW60</x:f>
        <x:v>1239.782061641646</x:v>
      </x:c>
      <x:c r="AE60" t="n">
        <x:f>AY60*$AC60/$AW60</x:f>
        <x:v>1686.1036038326386</x:v>
      </x:c>
      <x:c r="AF60" t="n">
        <x:f>AZ60*$AC60/$AW60</x:f>
        <x:v>2107.629504790798</x:v>
      </x:c>
      <x:c r="AG60" t="n">
        <x:f>BA60*$AC60/$AW60</x:f>
        <x:v>2402.6976354615103</x:v>
      </x:c>
      <x:c r="AH60" t="n">
        <x:f>BB60*$AC60/$AW60</x:f>
        <x:v>2474.7785645253557</x:v>
      </x:c>
      <x:c r="AI60" t="n">
        <x:f>Y60*(1-'Assumptions'!$F$3)+AS60*'Assumptions'!$G$3-AS60*'LMAT Model'!$B$65-(AS60-'Inputs'!$B$14)*'Assumptions'!$H$3-'Assumptions'!$I$3</x:f>
        <x:v>50.857501200000016</x:v>
      </x:c>
      <x:c r="AJ60" t="n">
        <x:f>Z60*(1-'Assumptions'!$F$3)+AT60*'Assumptions'!$G$3-AT60*'LMAT Model'!$C$65-(AT60-AS60)*'Assumptions'!$H$3-0</x:f>
        <x:v>90.33699232800004</x:v>
      </x:c>
      <x:c r="AK60" t="n">
        <x:f>AA60*(1-'Assumptions'!$F$3)+AU60*'Assumptions'!$G$3-AU60*'LMAT Model'!$D$65-(AU60-AT60)*'Assumptions'!$H$3-0</x:f>
        <x:v>151.01502976080005</x:v>
      </x:c>
      <x:c r="AL60" t="n">
        <x:f>AB60*(1-'Assumptions'!$F$3)+AV60*'Assumptions'!$G$3-AV60*'LMAT Model'!$E$65-(AV60-AU60)*'Assumptions'!$H$3-0</x:f>
        <x:v>245.14698670928652</x:v>
      </x:c>
      <x:c r="AM60" t="n">
        <x:f>AC60*(1-'Assumptions'!$F$3)+AW60*'Assumptions'!$G$3-AW60*'LMAT Model'!$F$65-(AW60-AV60)*'Assumptions'!$H$3-0</x:f>
        <x:v>397.6705577064841</x:v>
      </x:c>
      <x:c r="AN60" t="n">
        <x:f>AD60*(1-'Assumptions'!$F$3)+AX60*'Assumptions'!$G$3-AX60*'LMAT Model'!$G$65-(AX60-AW60)*'Assumptions'!$H$3-0</x:f>
        <x:v>628.1399209039862</x:v>
      </x:c>
      <x:c r="AO60" t="n">
        <x:f>AE60*(1-'Assumptions'!$F$3)+AY60*'Assumptions'!$G$3-AY60*'LMAT Model'!$H$65-(AY60-AX60)*'Assumptions'!$H$3-0</x:f>
        <x:v>923.1017301286392</x:v>
      </x:c>
      <x:c r="AP60" t="n">
        <x:f>AF60*(1-'Assumptions'!$F$3)+AZ60*'Assumptions'!$G$3-AZ60*'LMAT Model'!$I$65-(AZ60-AY60)*'Assumptions'!$H$3-0</x:f>
        <x:v>1255.0593760786492</x:v>
      </x:c>
      <x:c r="AQ60" t="n">
        <x:f>AG60*(1-'Assumptions'!$F$3)+BA60*'Assumptions'!$G$3-BA60*'LMAT Model'!$J$65-(BA60-AZ60)*'Assumptions'!$H$3-0</x:f>
        <x:v>1568.3754989779372</x:v>
      </x:c>
      <x:c r="AR60" t="n">
        <x:f>AH60*(1-'Assumptions'!$F$3)+BB60*'Assumptions'!$G$3-BB60*'LMAT Model'!$K$65-(BB60-BA60)*'Assumptions'!$H$3-0</x:f>
        <x:v>1787.4365267576213</x:v>
      </x:c>
      <x:c r="AS60" t="n">
        <x:f>E60+O60</x:f>
        <x:v>436.55400000000003</x:v>
      </x:c>
      <x:c r="AT60" t="n">
        <x:f>F60+P60</x:f>
        <x:v>689.7553200000001</x:v>
      </x:c>
      <x:c r="AU60" t="n">
        <x:f>G60+Q60</x:f>
        <x:v>1089.8134056000004</x:v>
      </x:c>
      <x:c r="AV60" t="n">
        <x:f>H60+R60</x:f>
        <x:v>1721.9051808480008</x:v>
      </x:c>
      <x:c r="AW60" t="n">
        <x:f>I60+S60</x:f>
        <x:v>2720.610185739841</x:v>
      </x:c>
      <x:c r="AX60" t="n">
        <x:f>J60+T60</x:f>
        <x:v>3999.296973037567</x:v>
      </x:c>
      <x:c r="AY60" t="n">
        <x:f>K60+U60</x:f>
        <x:v>5439.043883331092</x:v>
      </x:c>
      <x:c r="AZ60" t="n">
        <x:f>L60+V60</x:f>
        <x:v>6798.804854163865</x:v>
      </x:c>
      <x:c r="BA60" t="n">
        <x:f>M60+W60</x:f>
        <x:v>7750.637533746806</x:v>
      </x:c>
      <x:c r="BB60" t="n">
        <x:f>N60+X60</x:f>
        <x:v>7983.156659759211</x:v>
      </x:c>
      <x:c r="BC60" t="n">
        <x:f>AS60/'Inputs'!$B$14-1</x:f>
        <x:v>0.5800000000000001</x:v>
      </x:c>
      <x:c r="BD60" t="n">
        <x:f>AT60/AS60-1</x:f>
        <x:v>0.5800000000000001</x:v>
      </x:c>
      <x:c r="BE60" t="n">
        <x:f>AU60/AT60-1</x:f>
        <x:v>0.5800000000000003</x:v>
      </x:c>
      <x:c r="BF60" t="n">
        <x:f>AV60/AU60-1</x:f>
        <x:v>0.5800000000000003</x:v>
      </x:c>
      <x:c r="BG60" t="n">
        <x:f>AW60/AV60-1</x:f>
        <x:v>0.5800000000000001</x:v>
      </x:c>
      <x:c r="BH60" t="n">
        <x:f>AX60/AW60-1</x:f>
        <x:v>0.4700000000000002</x:v>
      </x:c>
      <x:c r="BI60" t="n">
        <x:f>AY60/AX60-1</x:f>
        <x:v>0.3600000000000001</x:v>
      </x:c>
      <x:c r="BJ60" t="n">
        <x:f>AZ60/AY60-1</x:f>
        <x:v>0.25</x:v>
      </x:c>
      <x:c r="BK60" t="n">
        <x:f>BA60/AZ60-1</x:f>
        <x:v>0.14000000000000012</x:v>
      </x:c>
      <x:c r="BL60" t="n">
        <x:f>BB60/BA60-1</x:f>
        <x:v>0.030000000000000027</x:v>
      </x:c>
      <x:c r="BM60" t="n">
        <x:f>AH60*(1-'Assumptions'!$F$3)*(1+'Assumptions'!$D$3)*(1-'Assumptions'!$D$3/'Assumptions'!$E$3)</x:f>
        <x:v>1704.7858610731946</x:v>
      </x:c>
      <x:c r="BN60" t="n">
        <x:f>SUMPRODUCT(AI60:AR60,'LMAT Model'!$B$83:$K$83)+BM60/('Assumptions'!$C$3-'Assumptions'!$D$3)*'LMAT Model'!$K$83</x:f>
        <x:v>12806.305651909264</x:v>
      </x:c>
      <x:c r="BO60" t="n">
        <x:f>'LMAT Model'!$B$94</x:f>
        <x:v>178</x:v>
      </x:c>
      <x:c r="BP60" t="n">
        <x:f>'Inputs'!$B$8</x:f>
        <x:v>23.088</x:v>
      </x:c>
    </x:row>
    <x:row r="61">
      <x:c r="A61" t="str">
        <x:v>LMAT</x:v>
      </x:c>
      <x:c r="B61" s="22" t="n">
        <x:v>0.59</x:v>
      </x:c>
      <x:c r="C61" s="42" t="n">
        <x:f>MIN((BN61+BO61)/BP61,(BN61+BO61+'Inputs'!$B$7)/(BP61+'Inputs'!$B$19))</x:f>
        <x:v>559.7082927314525</x:v>
      </x:c>
      <x:c r="D61" s="22" t="n">
        <x:f>C61/'Inputs'!$B$5-1</x:f>
        <x:v>5.938245850148165</x:v>
      </x:c>
      <x:c r="E61" t="n">
        <x:f>'Inputs'!$B$14*(1+$B61)^1</x:f>
        <x:v>439.31699999999995</x:v>
      </x:c>
      <x:c r="F61" t="n">
        <x:f>'Inputs'!$B$14*(1+$B61)^2</x:f>
        <x:v>698.5140299999998</x:v>
      </x:c>
      <x:c r="G61" t="n">
        <x:f>'Inputs'!$B$14*(1+$B61)^3</x:f>
        <x:v>1110.6373076999996</x:v>
      </x:c>
      <x:c r="H61" t="n">
        <x:f>'Inputs'!$B$14*(1+$B61)^4</x:f>
        <x:v>1765.9133192429993</x:v>
      </x:c>
      <x:c r="I61" t="n">
        <x:f>'Inputs'!$B$14*(1+$B61)^5</x:f>
        <x:v>2807.8021775963684</x:v>
      </x:c>
      <x:c r="J61" t="n">
        <x:f>I61*(1+($BG61+('Assumptions'!$D$3-$BG61)*(6-5)/5))</x:f>
        <x:v>4149.9316184874315</x:v>
      </x:c>
      <x:c r="K61" t="n">
        <x:f>J61*(1+($BG61+('Assumptions'!$D$3-$BG61)*(7-5)/5))</x:f>
        <x:v>5668.806590853831</x:v>
      </x:c>
      <x:c r="L61" t="n">
        <x:f>K61*(1+($BG61+('Assumptions'!$D$3-$BG61)*(8-5)/5))</x:f>
        <x:v>7108.683464930704</x:v>
      </x:c>
      <x:c r="M61" t="n">
        <x:f>L61*(1+($BG61+('Assumptions'!$D$3-$BG61)*(9-5)/5))</x:f>
        <x:v>8118.116516950863</x:v>
      </x:c>
      <x:c r="N61" t="n">
        <x:f>M61*(1+($BG61+('Assumptions'!$D$3-$BG61)*(10-5)/5))</x:f>
        <x:v>8361.66001245939</x:v>
      </x:c>
      <x:c r="O61" t="n">
        <x:f>0</x:f>
        <x:v>0</x:v>
      </x:c>
      <x:c r="P61" t="n">
        <x:f>0</x:f>
        <x:v>0</x:v>
      </x:c>
      <x:c r="Q61" t="n">
        <x:f>0</x:f>
        <x:v>0</x:v>
      </x:c>
      <x:c r="R61" t="n">
        <x:f>0</x:f>
        <x:v>0</x:v>
      </x:c>
      <x:c r="S61" t="n">
        <x:f>0</x:f>
        <x:v>0</x:v>
      </x:c>
      <x:c r="T61" t="n">
        <x:f>S61*(1+($BG61+('Assumptions'!$D$3-$BG61)*(6-5)/5))</x:f>
        <x:v>0</x:v>
      </x:c>
      <x:c r="U61" t="n">
        <x:f>T61*(1+($BG61+('Assumptions'!$D$3-$BG61)*(7-5)/5))</x:f>
        <x:v>0</x:v>
      </x:c>
      <x:c r="V61" t="n">
        <x:f>U61*(1+($BG61+('Assumptions'!$D$3-$BG61)*(8-5)/5))</x:f>
        <x:v>0</x:v>
      </x:c>
      <x:c r="W61" t="n">
        <x:f>V61*(1+($BG61+('Assumptions'!$D$3-$BG61)*(9-5)/5))</x:f>
        <x:v>0</x:v>
      </x:c>
      <x:c r="X61" t="n">
        <x:f>W61*(1+($BG61+('Assumptions'!$D$3-$BG61)*(10-5)/5))</x:f>
        <x:v>0</x:v>
      </x:c>
      <x:c r="Y61" t="n">
        <x:f>E61*'LMAT Model'!$B$62+O61*'LMAT Model'!$B$63+'LMAT Model'!$B$73+'LMAT Model'!$B$74</x:f>
        <x:v>123.00876</x:v>
      </x:c>
      <x:c r="Z61" t="n">
        <x:f>F61*'LMAT Model'!$C$62+P61*'LMAT Model'!$C$63+'LMAT Model'!$C$73+'LMAT Model'!$C$74</x:f>
        <x:v>202.56906869999995</x:v>
      </x:c>
      <x:c r="AA61" t="n">
        <x:f>G61*'LMAT Model'!$D$62+Q61*'LMAT Model'!$D$63+'LMAT Model'!$D$73+'LMAT Model'!$D$74</x:f>
        <x:v>333.19119230999985</x:v>
      </x:c>
      <x:c r="AB61" t="n">
        <x:f>H61*'LMAT Model'!$E$62+R61*'LMAT Model'!$E$63+'LMAT Model'!$E$73+'LMAT Model'!$E$74</x:f>
        <x:v>538.6035623691148</x:v>
      </x:c>
      <x:c r="AC61" t="n">
        <x:f>I61*'LMAT Model'!$F$62+S61*'LMAT Model'!$F$63+'LMAT Model'!$F$73+'LMAT Model'!$F$74</x:f>
        <x:v>870.4186750548743</x:v>
      </x:c>
      <x:c r="AD61" t="n">
        <x:f>AX61*$AC61/$AW61</x:f>
        <x:v>1286.4788017311037</x:v>
      </x:c>
      <x:c r="AE61" t="n">
        <x:f>AY61*$AC61/$AW61</x:f>
        <x:v>1757.3300431646876</x:v>
      </x:c>
      <x:c r="AF61" t="n">
        <x:f>AZ61*$AC61/$AW61</x:f>
        <x:v>2203.6918741285185</x:v>
      </x:c>
      <x:c r="AG61" t="n">
        <x:f>BA61*$AC61/$AW61</x:f>
        <x:v>2516.6161202547673</x:v>
      </x:c>
      <x:c r="AH61" t="n">
        <x:f>BB61*$AC61/$AW61</x:f>
        <x:v>2592.1146038624106</x:v>
      </x:c>
      <x:c r="AI61" t="n">
        <x:f>Y61*(1-'Assumptions'!$F$3)+AS61*'Assumptions'!$G$3-AS61*'LMAT Model'!$B$65-(AS61-'Inputs'!$B$14)*'Assumptions'!$H$3-'Assumptions'!$I$3</x:f>
        <x:v>50.79616260000002</x:v>
      </x:c>
      <x:c r="AJ61" t="n">
        <x:f>Z61*(1-'Assumptions'!$F$3)+AT61*'Assumptions'!$G$3-AT61*'LMAT Model'!$C$65-(AT61-AS61)*'Assumptions'!$H$3-0</x:f>
        <x:v>90.84460516199997</x:v>
      </x:c>
      <x:c r="AK61" t="n">
        <x:f>AA61*(1-'Assumptions'!$F$3)+AU61*'Assumptions'!$G$3-AU61*'LMAT Model'!$D$65-(AU61-AT61)*'Assumptions'!$H$3-0</x:f>
        <x:v>152.88376574609993</x:v>
      </x:c>
      <x:c r="AL61" t="n">
        <x:f>AB61*(1-'Assumptions'!$F$3)+AV61*'Assumptions'!$G$3-AV61*'LMAT Model'!$E$65-(AV61-AU61)*'Assumptions'!$H$3-0</x:f>
        <x:v>249.79565814942234</x:v>
      </x:c>
      <x:c r="AM61" t="n">
        <x:f>AC61*(1-'Assumptions'!$F$3)+AW61*'Assumptions'!$G$3-AW61*'LMAT Model'!$F$65-(AW61-AV61)*'Assumptions'!$H$3-0</x:f>
        <x:v>407.8447447324477</x:v>
      </x:c>
      <x:c r="AN61" t="n">
        <x:f>AD61*(1-'Assumptions'!$F$3)+AX61*'Assumptions'!$G$3-AX61*'LMAT Model'!$G$65-(AX61-AW61)*'Assumptions'!$H$3-0</x:f>
        <x:v>648.284459818257</x:v>
      </x:c>
      <x:c r="AO61" t="n">
        <x:f>AE61*(1-'Assumptions'!$F$3)+AY61*'Assumptions'!$G$3-AY61*'LMAT Model'!$H$65-(AY61-AX61)*'Assumptions'!$H$3-0</x:f>
        <x:v>957.8855562066216</x:v>
      </x:c>
      <x:c r="AP61" t="n">
        <x:f>AF61*(1-'Assumptions'!$F$3)+AZ61*'Assumptions'!$G$3-AZ61*'LMAT Model'!$I$65-(AZ61-AY61)*'Assumptions'!$H$3-0</x:f>
        <x:v>1308.0907259753399</x:v>
      </x:c>
      <x:c r="AQ61" t="n">
        <x:f>AG61*(1-'Assumptions'!$F$3)+BA61*'Assumptions'!$G$3-BA61*'LMAT Model'!$J$65-(BA61-AZ61)*'Assumptions'!$H$3-0</x:f>
        <x:v>1639.8680668442323</x:v>
      </x:c>
      <x:c r="AR61" t="n">
        <x:f>AH61*(1-'Assumptions'!$F$3)+BB61*'Assumptions'!$G$3-BB61*'LMAT Model'!$K$65-(BB61-BA61)*'Assumptions'!$H$3-0</x:f>
        <x:v>1872.1837949061742</x:v>
      </x:c>
      <x:c r="AS61" t="n">
        <x:f>E61+O61</x:f>
        <x:v>439.31699999999995</x:v>
      </x:c>
      <x:c r="AT61" t="n">
        <x:f>F61+P61</x:f>
        <x:v>698.5140299999998</x:v>
      </x:c>
      <x:c r="AU61" t="n">
        <x:f>G61+Q61</x:f>
        <x:v>1110.6373076999996</x:v>
      </x:c>
      <x:c r="AV61" t="n">
        <x:f>H61+R61</x:f>
        <x:v>1765.9133192429993</x:v>
      </x:c>
      <x:c r="AW61" t="n">
        <x:f>I61+S61</x:f>
        <x:v>2807.8021775963684</x:v>
      </x:c>
      <x:c r="AX61" t="n">
        <x:f>J61+T61</x:f>
        <x:v>4149.9316184874315</x:v>
      </x:c>
      <x:c r="AY61" t="n">
        <x:f>K61+U61</x:f>
        <x:v>5668.806590853831</x:v>
      </x:c>
      <x:c r="AZ61" t="n">
        <x:f>L61+V61</x:f>
        <x:v>7108.683464930704</x:v>
      </x:c>
      <x:c r="BA61" t="n">
        <x:f>M61+W61</x:f>
        <x:v>8118.116516950863</x:v>
      </x:c>
      <x:c r="BB61" t="n">
        <x:f>N61+X61</x:f>
        <x:v>8361.66001245939</x:v>
      </x:c>
      <x:c r="BC61" t="n">
        <x:f>AS61/'Inputs'!$B$14-1</x:f>
        <x:v>0.5899999999999999</x:v>
      </x:c>
      <x:c r="BD61" t="n">
        <x:f>AT61/AS61-1</x:f>
        <x:v>0.5899999999999999</x:v>
      </x:c>
      <x:c r="BE61" t="n">
        <x:f>AU61/AT61-1</x:f>
        <x:v>0.5899999999999999</x:v>
      </x:c>
      <x:c r="BF61" t="n">
        <x:f>AV61/AU61-1</x:f>
        <x:v>0.5899999999999999</x:v>
      </x:c>
      <x:c r="BG61" t="n">
        <x:f>AW61/AV61-1</x:f>
        <x:v>0.5899999999999999</x:v>
      </x:c>
      <x:c r="BH61" t="n">
        <x:f>AX61/AW61-1</x:f>
        <x:v>0.47799999999999954</x:v>
      </x:c>
      <x:c r="BI61" t="n">
        <x:f>AY61/AX61-1</x:f>
        <x:v>0.3659999999999999</x:v>
      </x:c>
      <x:c r="BJ61" t="n">
        <x:f>AZ61/AY61-1</x:f>
        <x:v>0.254</x:v>
      </x:c>
      <x:c r="BK61" t="n">
        <x:f>BA61/AZ61-1</x:f>
        <x:v>0.1419999999999999</x:v>
      </x:c>
      <x:c r="BL61" t="n">
        <x:f>BB61/BA61-1</x:f>
        <x:v>0.030000000000000027</x:v>
      </x:c>
      <x:c r="BM61" t="n">
        <x:f>AH61*(1-'Assumptions'!$F$3)*(1+'Assumptions'!$D$3)*(1-'Assumptions'!$D$3/'Assumptions'!$E$3)</x:f>
        <x:v>1785.6144344750758</x:v>
      </x:c>
      <x:c r="BN61" t="n">
        <x:f>SUMPRODUCT(AI61:AR61,'LMAT Model'!$B$83:$K$83)+BM61/('Assumptions'!$C$3-'Assumptions'!$D$3)*'LMAT Model'!$K$83</x:f>
        <x:v>13379.704128995261</x:v>
      </x:c>
      <x:c r="BO61" t="n">
        <x:f>'LMAT Model'!$B$94</x:f>
        <x:v>178</x:v>
      </x:c>
      <x:c r="BP61" t="n">
        <x:f>'Inputs'!$B$8</x:f>
        <x:v>23.088</x:v>
      </x:c>
    </x:row>
    <x:row r="62">
      <x:c r="A62" t="str">
        <x:v>LMAT</x:v>
      </x:c>
      <x:c r="B62" s="22" t="n">
        <x:v>0.6</x:v>
      </x:c>
      <x:c r="C62" s="42" t="n">
        <x:f>MIN((BN62+BO62)/BP62,(BN62+BO62+'Inputs'!$B$7)/(BP62+'Inputs'!$B$19))</x:f>
        <x:v>584.0156368810825</x:v>
      </x:c>
      <x:c r="D62" s="22" t="n">
        <x:f>C62/'Inputs'!$B$5-1</x:f>
        <x:v>6.239564111579057</x:v>
      </x:c>
      <x:c r="E62" t="n">
        <x:f>'Inputs'!$B$14*(1+$B62)^1</x:f>
        <x:v>442.08000000000004</x:v>
      </x:c>
      <x:c r="F62" t="n">
        <x:f>'Inputs'!$B$14*(1+$B62)^2</x:f>
        <x:v>707.3280000000002</x:v>
      </x:c>
      <x:c r="G62" t="n">
        <x:f>'Inputs'!$B$14*(1+$B62)^3</x:f>
        <x:v>1131.7248000000004</x:v>
      </x:c>
      <x:c r="H62" t="n">
        <x:f>'Inputs'!$B$14*(1+$B62)^4</x:f>
        <x:v>1810.7596800000008</x:v>
      </x:c>
      <x:c r="I62" t="n">
        <x:f>'Inputs'!$B$14*(1+$B62)^5</x:f>
        <x:v>2897.2154880000016</x:v>
      </x:c>
      <x:c r="J62" t="n">
        <x:f>I62*(1+($BG62+('Assumptions'!$D$3-$BG62)*(6-5)/5))</x:f>
        <x:v>4305.262215168003</x:v>
      </x:c>
      <x:c r="K62" t="n">
        <x:f>J62*(1+($BG62+('Assumptions'!$D$3-$BG62)*(7-5)/5))</x:f>
        <x:v>5906.8197592105025</x:v>
      </x:c>
      <x:c r="L62" t="n">
        <x:f>K62*(1+($BG62+('Assumptions'!$D$3-$BG62)*(8-5)/5))</x:f>
        <x:v>7430.779257086812</x:v>
      </x:c>
      <x:c r="M62" t="n">
        <x:f>L62*(1+($BG62+('Assumptions'!$D$3-$BG62)*(9-5)/5))</x:f>
        <x:v>8500.811470107314</x:v>
      </x:c>
      <x:c r="N62" t="n">
        <x:f>M62*(1+($BG62+('Assumptions'!$D$3-$BG62)*(10-5)/5))</x:f>
        <x:v>8755.835814210533</x:v>
      </x:c>
      <x:c r="O62" t="n">
        <x:f>0</x:f>
        <x:v>0</x:v>
      </x:c>
      <x:c r="P62" t="n">
        <x:f>0</x:f>
        <x:v>0</x:v>
      </x:c>
      <x:c r="Q62" t="n">
        <x:f>0</x:f>
        <x:v>0</x:v>
      </x:c>
      <x:c r="R62" t="n">
        <x:f>0</x:f>
        <x:v>0</x:v>
      </x:c>
      <x:c r="S62" t="n">
        <x:f>0</x:f>
        <x:v>0</x:v>
      </x:c>
      <x:c r="T62" t="n">
        <x:f>S62*(1+($BG62+('Assumptions'!$D$3-$BG62)*(6-5)/5))</x:f>
        <x:v>0</x:v>
      </x:c>
      <x:c r="U62" t="n">
        <x:f>T62*(1+($BG62+('Assumptions'!$D$3-$BG62)*(7-5)/5))</x:f>
        <x:v>0</x:v>
      </x:c>
      <x:c r="V62" t="n">
        <x:f>U62*(1+($BG62+('Assumptions'!$D$3-$BG62)*(8-5)/5))</x:f>
        <x:v>0</x:v>
      </x:c>
      <x:c r="W62" t="n">
        <x:f>V62*(1+($BG62+('Assumptions'!$D$3-$BG62)*(9-5)/5))</x:f>
        <x:v>0</x:v>
      </x:c>
      <x:c r="X62" t="n">
        <x:f>W62*(1+($BG62+('Assumptions'!$D$3-$BG62)*(10-5)/5))</x:f>
        <x:v>0</x:v>
      </x:c>
      <x:c r="Y62" t="n">
        <x:f>E62*'LMAT Model'!$B$62+O62*'LMAT Model'!$B$63+'LMAT Model'!$B$73+'LMAT Model'!$B$74</x:f>
        <x:v>123.78240000000002</x:v>
      </x:c>
      <x:c r="Z62" t="n">
        <x:f>F62*'LMAT Model'!$C$62+P62*'LMAT Model'!$C$63+'LMAT Model'!$C$73+'LMAT Model'!$C$74</x:f>
        <x:v>205.12512000000004</x:v>
      </x:c>
      <x:c r="AA62" t="n">
        <x:f>G62*'LMAT Model'!$D$62+Q62*'LMAT Model'!$D$63+'LMAT Model'!$D$73+'LMAT Model'!$D$74</x:f>
        <x:v>339.51744000000014</x:v>
      </x:c>
      <x:c r="AB62" t="n">
        <x:f>H62*'LMAT Model'!$E$62+R62*'LMAT Model'!$E$63+'LMAT Model'!$E$73+'LMAT Model'!$E$74</x:f>
        <x:v>552.2817024000002</x:v>
      </x:c>
      <x:c r="AC62" t="n">
        <x:f>I62*'LMAT Model'!$F$62+S62*'LMAT Model'!$F$63+'LMAT Model'!$F$73+'LMAT Model'!$F$74</x:f>
        <x:v>898.1368012800006</x:v>
      </x:c>
      <x:c r="AD62" t="n">
        <x:f>AX62*$AC62/$AW62</x:f>
        <x:v>1334.631286702081</x:v>
      </x:c>
      <x:c r="AE62" t="n">
        <x:f>AY62*$AC62/$AW62</x:f>
        <x:v>1831.114125355256</x:v>
      </x:c>
      <x:c r="AF62" t="n">
        <x:f>AZ62*$AC62/$AW62</x:f>
        <x:v>2303.541569696912</x:v>
      </x:c>
      <x:c r="AG62" t="n">
        <x:f>BA62*$AC62/$AW62</x:f>
        <x:v>2635.251555733267</x:v>
      </x:c>
      <x:c r="AH62" t="n">
        <x:f>BB62*$AC62/$AW62</x:f>
        <x:v>2714.3091024052655</x:v>
      </x:c>
      <x:c r="AI62" t="n">
        <x:f>Y62*(1-'Assumptions'!$F$3)+AS62*'Assumptions'!$G$3-AS62*'LMAT Model'!$B$65-(AS62-'Inputs'!$B$14)*'Assumptions'!$H$3-'Assumptions'!$I$3</x:f>
        <x:v>50.73482400000001</x:v>
      </x:c>
      <x:c r="AJ62" t="n">
        <x:f>Z62*(1-'Assumptions'!$F$3)+AT62*'Assumptions'!$G$3-AT62*'LMAT Model'!$C$65-(AT62-AS62)*'Assumptions'!$H$3-0</x:f>
        <x:v>91.35141119999997</x:v>
      </x:c>
      <x:c r="AK62" t="n">
        <x:f>AA62*(1-'Assumptions'!$F$3)+AU62*'Assumptions'!$G$3-AU62*'LMAT Model'!$D$65-(AU62-AT62)*'Assumptions'!$H$3-0</x:f>
        <x:v>154.7633664</x:v>
      </x:c>
      <x:c r="AL62" t="n">
        <x:f>AB62*(1-'Assumptions'!$F$3)+AV62*'Assumptions'!$G$3-AV62*'LMAT Model'!$E$65-(AV62-AU62)*'Assumptions'!$H$3-0</x:f>
        <x:v>254.5022730240001</x:v>
      </x:c>
      <x:c r="AM62" t="n">
        <x:f>AC62*(1-'Assumptions'!$F$3)+AW62*'Assumptions'!$G$3-AW62*'LMAT Model'!$F$65-(AW62-AV62)*'Assumptions'!$H$3-0</x:f>
        <x:v>418.21305569280037</x:v>
      </x:c>
      <x:c r="AN62" t="n">
        <x:f>AD62*(1-'Assumptions'!$F$3)+AX62*'Assumptions'!$G$3-AX62*'LMAT Model'!$G$65-(AX62-AW62)*'Assumptions'!$H$3-0</x:f>
        <x:v>668.9427195691012</x:v>
      </x:c>
      <x:c r="AO62" t="n">
        <x:f>AE62*(1-'Assumptions'!$F$3)+AY62*'Assumptions'!$G$3-AY62*'LMAT Model'!$H$65-(AY62-AX62)*'Assumptions'!$H$3-0</x:f>
        <x:v>993.754401344167</x:v>
      </x:c>
      <x:c r="AP62" t="n">
        <x:f>AF62*(1-'Assumptions'!$F$3)+AZ62*'Assumptions'!$G$3-AZ62*'LMAT Model'!$I$65-(AZ62-AY62)*'Assumptions'!$H$3-0</x:f>
        <x:v>1363.0270121726678</x:v>
      </x:c>
      <x:c r="AQ62" t="n">
        <x:f>AG62*(1-'Assumptions'!$F$3)+BA62*'Assumptions'!$G$3-BA62*'LMAT Model'!$J$65-(BA62-AZ62)*'Assumptions'!$H$3-0</x:f>
        <x:v>1714.1797160120311</x:v>
      </x:c>
      <x:c r="AR62" t="n">
        <x:f>AH62*(1-'Assumptions'!$F$3)+BB62*'Assumptions'!$G$3-BB62*'LMAT Model'!$K$65-(BB62-BA62)*'Assumptions'!$H$3-0</x:f>
        <x:v>1960.4401396132087</x:v>
      </x:c>
      <x:c r="AS62" t="n">
        <x:f>E62+O62</x:f>
        <x:v>442.08000000000004</x:v>
      </x:c>
      <x:c r="AT62" t="n">
        <x:f>F62+P62</x:f>
        <x:v>707.3280000000002</x:v>
      </x:c>
      <x:c r="AU62" t="n">
        <x:f>G62+Q62</x:f>
        <x:v>1131.7248000000004</x:v>
      </x:c>
      <x:c r="AV62" t="n">
        <x:f>H62+R62</x:f>
        <x:v>1810.7596800000008</x:v>
      </x:c>
      <x:c r="AW62" t="n">
        <x:f>I62+S62</x:f>
        <x:v>2897.2154880000016</x:v>
      </x:c>
      <x:c r="AX62" t="n">
        <x:f>J62+T62</x:f>
        <x:v>4305.262215168003</x:v>
      </x:c>
      <x:c r="AY62" t="n">
        <x:f>K62+U62</x:f>
        <x:v>5906.8197592105025</x:v>
      </x:c>
      <x:c r="AZ62" t="n">
        <x:f>L62+V62</x:f>
        <x:v>7430.779257086812</x:v>
      </x:c>
      <x:c r="BA62" t="n">
        <x:f>M62+W62</x:f>
        <x:v>8500.811470107314</x:v>
      </x:c>
      <x:c r="BB62" t="n">
        <x:f>N62+X62</x:f>
        <x:v>8755.835814210533</x:v>
      </x:c>
      <x:c r="BC62" t="n">
        <x:f>AS62/'Inputs'!$B$14-1</x:f>
        <x:v>0.6000000000000001</x:v>
      </x:c>
      <x:c r="BD62" t="n">
        <x:f>AT62/AS62-1</x:f>
        <x:v>0.6000000000000003</x:v>
      </x:c>
      <x:c r="BE62" t="n">
        <x:f>AU62/AT62-1</x:f>
        <x:v>0.6000000000000001</x:v>
      </x:c>
      <x:c r="BF62" t="n">
        <x:f>AV62/AU62-1</x:f>
        <x:v>0.6000000000000001</x:v>
      </x:c>
      <x:c r="BG62" t="n">
        <x:f>AW62/AV62-1</x:f>
        <x:v>0.6000000000000003</x:v>
      </x:c>
      <x:c r="BH62" t="n">
        <x:f>AX62/AW62-1</x:f>
        <x:v>0.48600000000000043</x:v>
      </x:c>
      <x:c r="BI62" t="n">
        <x:f>AY62/AX62-1</x:f>
        <x:v>0.37200000000000033</x:v>
      </x:c>
      <x:c r="BJ62" t="n">
        <x:f>AZ62/AY62-1</x:f>
        <x:v>0.258</x:v>
      </x:c>
      <x:c r="BK62" t="n">
        <x:f>BA62/AZ62-1</x:f>
        <x:v>0.14400000000000013</x:v>
      </x:c>
      <x:c r="BL62" t="n">
        <x:f>BB62/BA62-1</x:f>
        <x:v>0.030000000000000027</x:v>
      </x:c>
      <x:c r="BM62" t="n">
        <x:f>AH62*(1-'Assumptions'!$F$3)*(1+'Assumptions'!$D$3)*(1-'Assumptions'!$D$3/'Assumptions'!$E$3)</x:f>
        <x:v>1869.7898255193008</x:v>
      </x:c>
      <x:c r="BN62" t="n">
        <x:f>SUMPRODUCT(AI62:AR62,'LMAT Model'!$B$83:$K$83)+BM62/('Assumptions'!$C$3-'Assumptions'!$D$3)*'LMAT Model'!$K$83</x:f>
        <x:v>13975.987588329837</x:v>
      </x:c>
      <x:c r="BO62" t="n">
        <x:f>'LMAT Model'!$B$94</x:f>
        <x:v>178</x:v>
      </x:c>
      <x:c r="BP62" t="n">
        <x:f>'Inputs'!$B$8</x:f>
        <x:v>23.088</x:v>
      </x:c>
    </x:row>
    <x:row r="63">
      <x:c r="A63" t="str">
        <x:v>WINA</x:v>
      </x:c>
      <x:c r="B63" s="22" t="n">
        <x:v>0</x:v>
      </x:c>
      <x:c r="C63" s="42" t="n">
        <x:f>(BN63+BO63)/BP63</x:f>
        <x:v>116.77183767714786</x:v>
      </x:c>
      <x:c r="D63" s="22" t="n">
        <x:f>C63/'Inputs'!$C$5-1</x:f>
        <x:v>-0.6329891640407711</x:v>
      </x:c>
      <x:c r="E63" t="n">
        <x:f>'Inputs'!$C$14*(1+$B63)^1</x:f>
        <x:v>88.5</x:v>
      </x:c>
      <x:c r="F63" t="n">
        <x:f>'Inputs'!$C$14*(1+$B63)^2</x:f>
        <x:v>88.5</x:v>
      </x:c>
      <x:c r="G63" t="n">
        <x:f>'Inputs'!$C$14*(1+$B63)^3</x:f>
        <x:v>88.5</x:v>
      </x:c>
      <x:c r="H63" t="n">
        <x:f>'Inputs'!$C$14*(1+$B63)^4</x:f>
        <x:v>88.5</x:v>
      </x:c>
      <x:c r="I63" t="n">
        <x:f>'Inputs'!$C$14*(1+$B63)^5</x:f>
        <x:v>88.5</x:v>
      </x:c>
      <x:c r="J63" t="n">
        <x:f>I63*(1+($BG63+('Assumptions'!$D$6-$BG63)*(6-5)/5))</x:f>
        <x:v>88.9425</x:v>
      </x:c>
      <x:c r="K63" t="n">
        <x:f>J63*(1+($BG63+('Assumptions'!$D$6-$BG63)*(7-5)/5))</x:f>
        <x:v>89.831925</x:v>
      </x:c>
      <x:c r="L63" t="n">
        <x:f>K63*(1+($BG63+('Assumptions'!$D$6-$BG63)*(8-5)/5))</x:f>
        <x:v>91.17940387499999</x:v>
      </x:c>
      <x:c r="M63" t="n">
        <x:f>L63*(1+($BG63+('Assumptions'!$D$6-$BG63)*(9-5)/5))</x:f>
        <x:v>93.0029919525</x:v>
      </x:c>
      <x:c r="N63" t="n">
        <x:f>M63*(1+($BG63+('Assumptions'!$D$6-$BG63)*(10-5)/5))</x:f>
        <x:v>95.32806675131249</x:v>
      </x:c>
      <x:c r="O63" t="n">
        <x:f>0</x:f>
        <x:v>0</x:v>
      </x:c>
      <x:c r="P63" t="n">
        <x:f>0</x:f>
        <x:v>0</x:v>
      </x:c>
      <x:c r="Q63" t="n">
        <x:f>0</x:f>
        <x:v>0</x:v>
      </x:c>
      <x:c r="R63" t="n">
        <x:f>0</x:f>
        <x:v>0</x:v>
      </x:c>
      <x:c r="S63" t="n">
        <x:f>0</x:f>
        <x:v>0</x:v>
      </x:c>
      <x:c r="T63" t="n">
        <x:f>S63*(1+($BG63+('Assumptions'!$D$6-$BG63)*(6-5)/5))</x:f>
        <x:v>0</x:v>
      </x:c>
      <x:c r="U63" t="n">
        <x:f>T63*(1+($BG63+('Assumptions'!$D$6-$BG63)*(7-5)/5))</x:f>
        <x:v>0</x:v>
      </x:c>
      <x:c r="V63" t="n">
        <x:f>U63*(1+($BG63+('Assumptions'!$D$6-$BG63)*(8-5)/5))</x:f>
        <x:v>0</x:v>
      </x:c>
      <x:c r="W63" t="n">
        <x:f>V63*(1+($BG63+('Assumptions'!$D$6-$BG63)*(9-5)/5))</x:f>
        <x:v>0</x:v>
      </x:c>
      <x:c r="X63" t="n">
        <x:f>W63*(1+($BG63+('Assumptions'!$D$6-$BG63)*(10-5)/5))</x:f>
        <x:v>0</x:v>
      </x:c>
      <x:c r="Y63" t="n">
        <x:f>E63*'WINA Model'!$B$62+O63*'WINA Model'!$B$63+'WINA Model'!$B$73+'WINA Model'!$B$74</x:f>
        <x:v>53.985</x:v>
      </x:c>
      <x:c r="Z63" t="n">
        <x:f>F63*'WINA Model'!$C$62+P63*'WINA Model'!$C$63+'WINA Model'!$C$73+'WINA Model'!$C$74</x:f>
        <x:v>54.4275</x:v>
      </x:c>
      <x:c r="AA63" t="n">
        <x:f>G63*'WINA Model'!$D$62+Q63*'WINA Model'!$D$63+'WINA Model'!$D$73+'WINA Model'!$D$74</x:f>
        <x:v>54.87</x:v>
      </x:c>
      <x:c r="AB63" t="n">
        <x:f>H63*'WINA Model'!$E$62+R63*'WINA Model'!$E$63+'WINA Model'!$E$73+'WINA Model'!$E$74</x:f>
        <x:v>55.3125</x:v>
      </x:c>
      <x:c r="AC63" t="n">
        <x:f>I63*'WINA Model'!$F$62+S63*'WINA Model'!$F$63+'WINA Model'!$F$73+'WINA Model'!$F$74</x:f>
        <x:v>55.755</x:v>
      </x:c>
      <x:c r="AD63" t="n">
        <x:f>AX63*$AC63/$AW63</x:f>
        <x:v>56.033775</x:v>
      </x:c>
      <x:c r="AE63" t="n">
        <x:f>AY63*$AC63/$AW63</x:f>
        <x:v>56.594112749999994</x:v>
      </x:c>
      <x:c r="AF63" t="n">
        <x:f>AZ63*$AC63/$AW63</x:f>
        <x:v>57.443024441249996</x:v>
      </x:c>
      <x:c r="AG63" t="n">
        <x:f>BA63*$AC63/$AW63</x:f>
        <x:v>58.591884930075</x:v>
      </x:c>
      <x:c r="AH63" t="n">
        <x:f>BB63*$AC63/$AW63</x:f>
        <x:v>60.056682053326874</x:v>
      </x:c>
      <x:c r="AI63" t="n">
        <x:f>Y63*(1-'Assumptions'!$F$6)+AS63*'Assumptions'!$G$6-AS63*'WINA Model'!$B$65-(AS63-'Inputs'!$C$14)*'Assumptions'!$H$6-'Assumptions'!$I$6</x:f>
        <x:v>38.6391</x:v>
      </x:c>
      <x:c r="AJ63" t="n">
        <x:f>Z63*(1-'Assumptions'!$F$6)+AT63*'Assumptions'!$G$6-AT63*'WINA Model'!$C$65-(AT63-AS63)*'Assumptions'!$H$6-0</x:f>
        <x:v>39.417899999999996</x:v>
      </x:c>
      <x:c r="AK63" t="n">
        <x:f>AA63*(1-'Assumptions'!$F$6)+AU63*'Assumptions'!$G$6-AU63*'WINA Model'!$D$65-(AU63-AT63)*'Assumptions'!$H$6-0</x:f>
        <x:v>40.1967</x:v>
      </x:c>
      <x:c r="AL63" t="n">
        <x:f>AB63*(1-'Assumptions'!$F$6)+AV63*'Assumptions'!$G$6-AV63*'WINA Model'!$E$65-(AV63-AU63)*'Assumptions'!$H$6-0</x:f>
        <x:v>40.7985</x:v>
      </x:c>
      <x:c r="AM63" t="n">
        <x:f>AC63*(1-'Assumptions'!$F$6)+AW63*'Assumptions'!$G$6-AW63*'WINA Model'!$F$65-(AW63-AV63)*'Assumptions'!$H$6-0</x:f>
        <x:v>41.3118</x:v>
      </x:c>
      <x:c r="AN63" t="n">
        <x:f>AD63*(1-'Assumptions'!$F$6)+AX63*'Assumptions'!$G$6-AX63*'WINA Model'!$G$65-(AX63-AW63)*'Assumptions'!$H$6-0</x:f>
        <x:v>41.509509</x:v>
      </x:c>
      <x:c r="AO63" t="n">
        <x:f>AE63*(1-'Assumptions'!$F$6)+AY63*'Assumptions'!$G$6-AY63*'WINA Model'!$H$65-(AY63-AX63)*'Assumptions'!$H$6-0</x:f>
        <x:v>41.91575409</x:v>
      </x:c>
      <x:c r="AP63" t="n">
        <x:f>AF63*(1-'Assumptions'!$F$6)+AZ63*'Assumptions'!$G$6-AZ63*'WINA Model'!$I$65-(AZ63-AY63)*'Assumptions'!$H$6-0</x:f>
        <x:v>42.53559615135</x:v>
      </x:c>
      <x:c r="AQ63" t="n">
        <x:f>AG63*(1-'Assumptions'!$F$6)+BA63*'Assumptions'!$G$6-BA63*'WINA Model'!$J$65-(BA63-AZ63)*'Assumptions'!$H$6-0</x:f>
        <x:v>43.377324881877</x:v>
      </x:c>
      <x:c r="AR63" t="n">
        <x:f>AH63*(1-'Assumptions'!$F$6)+BB63*'Assumptions'!$G$6-BB63*'WINA Model'!$K$65-(BB63-BA63)*'Assumptions'!$H$6-0</x:f>
        <x:v>44.45264006353643</x:v>
      </x:c>
      <x:c r="AS63" t="n">
        <x:f>E63+O63</x:f>
        <x:v>88.5</x:v>
      </x:c>
      <x:c r="AT63" t="n">
        <x:f>F63+P63</x:f>
        <x:v>88.5</x:v>
      </x:c>
      <x:c r="AU63" t="n">
        <x:f>G63+Q63</x:f>
        <x:v>88.5</x:v>
      </x:c>
      <x:c r="AV63" t="n">
        <x:f>H63+R63</x:f>
        <x:v>88.5</x:v>
      </x:c>
      <x:c r="AW63" t="n">
        <x:f>I63+S63</x:f>
        <x:v>88.5</x:v>
      </x:c>
      <x:c r="AX63" t="n">
        <x:f>J63+T63</x:f>
        <x:v>88.9425</x:v>
      </x:c>
      <x:c r="AY63" t="n">
        <x:f>K63+U63</x:f>
        <x:v>89.831925</x:v>
      </x:c>
      <x:c r="AZ63" t="n">
        <x:f>L63+V63</x:f>
        <x:v>91.17940387499999</x:v>
      </x:c>
      <x:c r="BA63" t="n">
        <x:f>M63+W63</x:f>
        <x:v>93.0029919525</x:v>
      </x:c>
      <x:c r="BB63" t="n">
        <x:f>N63+X63</x:f>
        <x:v>95.32806675131249</x:v>
      </x:c>
      <x:c r="BC63" t="n">
        <x:f>AS63/'Inputs'!$C$14-1</x:f>
        <x:v>0</x:v>
      </x:c>
      <x:c r="BD63" t="n">
        <x:f>AT63/AS63-1</x:f>
        <x:v>0</x:v>
      </x:c>
      <x:c r="BE63" t="n">
        <x:f>AU63/AT63-1</x:f>
        <x:v>0</x:v>
      </x:c>
      <x:c r="BF63" t="n">
        <x:f>AV63/AU63-1</x:f>
        <x:v>0</x:v>
      </x:c>
      <x:c r="BG63" t="n">
        <x:f>AW63/AV63-1</x:f>
        <x:v>0</x:v>
      </x:c>
      <x:c r="BH63" t="n">
        <x:f>AX63/AW63-1</x:f>
        <x:v>0.004999999999999893</x:v>
      </x:c>
      <x:c r="BI63" t="n">
        <x:f>AY63/AX63-1</x:f>
        <x:v>0.010000000000000009</x:v>
      </x:c>
      <x:c r="BJ63" t="n">
        <x:f>AZ63/AY63-1</x:f>
        <x:v>0.014999999999999902</x:v>
      </x:c>
      <x:c r="BK63" t="n">
        <x:f>BA63/AZ63-1</x:f>
        <x:v>0.020000000000000018</x:v>
      </x:c>
      <x:c r="BL63" t="n">
        <x:f>BB63/BA63-1</x:f>
        <x:v>0.02499999999999991</x:v>
      </x:c>
      <x:c r="BM63" t="n">
        <x:f>AH63*(1-'Assumptions'!$F$6)*(1+'Assumptions'!$D$6)*(1-'Assumptions'!$D$6/'Assumptions'!$E$6)</x:f>
        <x:v>43.442429939574374</x:v>
      </x:c>
      <x:c r="BN63" t="n">
        <x:f>SUMPRODUCT(AI63:AR63,'WINA Model'!$B$83:$K$83)+BM63/('Assumptions'!$C$6-'Assumptions'!$D$6)*'WINA Model'!$K$83</x:f>
        <x:v>475.05832551136564</x:v>
      </x:c>
      <x:c r="BO63" t="n">
        <x:f>'WINA Model'!$B$94</x:f>
        <x:v>-42.825500000000005</x:v>
      </x:c>
      <x:c r="BP63" t="n">
        <x:f>'Inputs'!$C$8</x:f>
        <x:v>3.701516</x:v>
      </x:c>
    </x:row>
    <x:row r="64">
      <x:c r="A64" t="str">
        <x:v>WINA</x:v>
      </x:c>
      <x:c r="B64" s="22" t="n">
        <x:v>0.01</x:v>
      </x:c>
      <x:c r="C64" s="42" t="n">
        <x:f>(BN64+BO64)/BP64</x:f>
        <x:v>124.09118548585121</x:v>
      </x:c>
      <x:c r="D64" s="22" t="n">
        <x:f>C64/'Inputs'!$C$5-1</x:f>
        <x:v>-0.6099846450455693</x:v>
      </x:c>
      <x:c r="E64" t="n">
        <x:f>'Inputs'!$C$14*(1+$B64)^1</x:f>
        <x:v>89.385</x:v>
      </x:c>
      <x:c r="F64" t="n">
        <x:f>'Inputs'!$C$14*(1+$B64)^2</x:f>
        <x:v>90.27885</x:v>
      </x:c>
      <x:c r="G64" t="n">
        <x:f>'Inputs'!$C$14*(1+$B64)^3</x:f>
        <x:v>91.18163849999999</x:v>
      </x:c>
      <x:c r="H64" t="n">
        <x:f>'Inputs'!$C$14*(1+$B64)^4</x:f>
        <x:v>92.093454885</x:v>
      </x:c>
      <x:c r="I64" t="n">
        <x:f>'Inputs'!$C$14*(1+$B64)^5</x:f>
        <x:v>93.01438943385</x:v>
      </x:c>
      <x:c r="J64" t="n">
        <x:f>I64*(1+($BG64+('Assumptions'!$D$6-$BG64)*(6-5)/5))</x:f>
        <x:v>94.22357649649004</x:v>
      </x:c>
      <x:c r="K64" t="n">
        <x:f>J64*(1+($BG64+('Assumptions'!$D$6-$BG64)*(7-5)/5))</x:f>
        <x:v>95.73115372043388</x:v>
      </x:c>
      <x:c r="L64" t="n">
        <x:f>K64*(1+($BG64+('Assumptions'!$D$6-$BG64)*(8-5)/5))</x:f>
        <x:v>97.55004564112211</x:v>
      </x:c>
      <x:c r="M64" t="n">
        <x:f>L64*(1+($BG64+('Assumptions'!$D$6-$BG64)*(9-5)/5))</x:f>
        <x:v>99.6961466452268</x:v>
      </x:c>
      <x:c r="N64" t="n">
        <x:f>M64*(1+($BG64+('Assumptions'!$D$6-$BG64)*(10-5)/5))</x:f>
        <x:v>102.18855031135746</x:v>
      </x:c>
      <x:c r="O64" t="n">
        <x:f>0</x:f>
        <x:v>0</x:v>
      </x:c>
      <x:c r="P64" t="n">
        <x:f>0</x:f>
        <x:v>0</x:v>
      </x:c>
      <x:c r="Q64" t="n">
        <x:f>0</x:f>
        <x:v>0</x:v>
      </x:c>
      <x:c r="R64" t="n">
        <x:f>0</x:f>
        <x:v>0</x:v>
      </x:c>
      <x:c r="S64" t="n">
        <x:f>0</x:f>
        <x:v>0</x:v>
      </x:c>
      <x:c r="T64" t="n">
        <x:f>S64*(1+($BG64+('Assumptions'!$D$6-$BG64)*(6-5)/5))</x:f>
        <x:v>0</x:v>
      </x:c>
      <x:c r="U64" t="n">
        <x:f>T64*(1+($BG64+('Assumptions'!$D$6-$BG64)*(7-5)/5))</x:f>
        <x:v>0</x:v>
      </x:c>
      <x:c r="V64" t="n">
        <x:f>U64*(1+($BG64+('Assumptions'!$D$6-$BG64)*(8-5)/5))</x:f>
        <x:v>0</x:v>
      </x:c>
      <x:c r="W64" t="n">
        <x:f>V64*(1+($BG64+('Assumptions'!$D$6-$BG64)*(9-5)/5))</x:f>
        <x:v>0</x:v>
      </x:c>
      <x:c r="X64" t="n">
        <x:f>W64*(1+($BG64+('Assumptions'!$D$6-$BG64)*(10-5)/5))</x:f>
        <x:v>0</x:v>
      </x:c>
      <x:c r="Y64" t="n">
        <x:f>E64*'WINA Model'!$B$62+O64*'WINA Model'!$B$63+'WINA Model'!$B$73+'WINA Model'!$B$74</x:f>
        <x:v>54.52485</x:v>
      </x:c>
      <x:c r="Z64" t="n">
        <x:f>F64*'WINA Model'!$C$62+P64*'WINA Model'!$C$63+'WINA Model'!$C$73+'WINA Model'!$C$74</x:f>
        <x:v>55.52149275</x:v>
      </x:c>
      <x:c r="AA64" t="n">
        <x:f>G64*'WINA Model'!$D$62+Q64*'WINA Model'!$D$63+'WINA Model'!$D$73+'WINA Model'!$D$74</x:f>
        <x:v>56.532615869999994</x:v>
      </x:c>
      <x:c r="AB64" t="n">
        <x:f>H64*'WINA Model'!$E$62+R64*'WINA Model'!$E$63+'WINA Model'!$E$73+'WINA Model'!$E$74</x:f>
        <x:v>57.558409303125</x:v>
      </x:c>
      <x:c r="AC64" t="n">
        <x:f>I64*'WINA Model'!$F$62+S64*'WINA Model'!$F$63+'WINA Model'!$F$73+'WINA Model'!$F$74</x:f>
        <x:v>58.5990653433255</x:v>
      </x:c>
      <x:c r="AD64" t="n">
        <x:f>AX64*$AC64/$AW64</x:f>
        <x:v>59.360853192788724</x:v>
      </x:c>
      <x:c r="AE64" t="n">
        <x:f>AY64*$AC64/$AW64</x:f>
        <x:v>60.310626843873344</x:v>
      </x:c>
      <x:c r="AF64" t="n">
        <x:f>AZ64*$AC64/$AW64</x:f>
        <x:v>61.45652875390693</x:v>
      </x:c>
      <x:c r="AG64" t="n">
        <x:f>BA64*$AC64/$AW64</x:f>
        <x:v>62.80857238649289</x:v>
      </x:c>
      <x:c r="AH64" t="n">
        <x:f>BB64*$AC64/$AW64</x:f>
        <x:v>64.3787866961552</x:v>
      </x:c>
      <x:c r="AI64" t="n">
        <x:f>Y64*(1-'Assumptions'!$F$6)+AS64*'Assumptions'!$G$6-AS64*'WINA Model'!$B$65-(AS64-'Inputs'!$C$14)*'Assumptions'!$H$6-'Assumptions'!$I$6</x:f>
        <x:v>39.007791000000005</x:v>
      </x:c>
      <x:c r="AJ64" t="n">
        <x:f>Z64*(1-'Assumptions'!$F$6)+AT64*'Assumptions'!$G$6-AT64*'WINA Model'!$C$65-(AT64-AS64)*'Assumptions'!$H$6-0</x:f>
        <x:v>40.19232279</x:v>
      </x:c>
      <x:c r="AK64" t="n">
        <x:f>AA64*(1-'Assumptions'!$F$6)+AU64*'Assumptions'!$G$6-AU64*'WINA Model'!$D$65-(AU64-AT64)*'Assumptions'!$H$6-0</x:f>
        <x:v>41.3966444367</x:v>
      </x:c>
      <x:c r="AL64" t="n">
        <x:f>AB64*(1-'Assumptions'!$F$6)+AV64*'Assumptions'!$G$6-AV64*'WINA Model'!$E$65-(AV64-AU64)*'Assumptions'!$H$6-0</x:f>
        <x:v>42.436846374285004</x:v>
      </x:c>
      <x:c r="AM64" t="n">
        <x:f>AC64*(1-'Assumptions'!$F$6)+AW64*'Assumptions'!$G$6-AW64*'WINA Model'!$F$65-(AW64-AV64)*'Assumptions'!$H$6-0</x:f>
        <x:v>43.40069829674418</x:v>
      </x:c>
      <x:c r="AN64" t="n">
        <x:f>AD64*(1-'Assumptions'!$F$6)+AX64*'Assumptions'!$G$6-AX64*'WINA Model'!$G$65-(AX64-AW64)*'Assumptions'!$H$6-0</x:f>
        <x:v>43.959381767308756</x:v>
      </x:c>
      <x:c r="AO64" t="n">
        <x:f>AE64*(1-'Assumptions'!$F$6)+AY64*'Assumptions'!$G$6-AY64*'WINA Model'!$H$65-(AY64-AX64)*'Assumptions'!$H$6-0</x:f>
        <x:v>44.65715101221965</x:v>
      </x:c>
      <x:c r="AP64" t="n">
        <x:f>AF64*(1-'Assumptions'!$F$6)+AZ64*'Assumptions'!$G$6-AZ64*'WINA Model'!$I$65-(AZ64-AY64)*'Assumptions'!$H$6-0</x:f>
        <x:v>45.499983466862034</x:v>
      </x:c>
      <x:c r="AQ64" t="n">
        <x:f>AG64*(1-'Assumptions'!$F$6)+BA64*'Assumptions'!$G$6-BA64*'WINA Model'!$J$65-(BA64-AZ64)*'Assumptions'!$H$6-0</x:f>
        <x:v>46.49523923390978</x:v>
      </x:c>
      <x:c r="AR64" t="n">
        <x:f>AH64*(1-'Assumptions'!$F$6)+BB64*'Assumptions'!$G$6-BB64*'WINA Model'!$K$65-(BB64-BA64)*'Assumptions'!$H$6-0</x:f>
        <x:v>47.65176721201905</x:v>
      </x:c>
      <x:c r="AS64" t="n">
        <x:f>E64+O64</x:f>
        <x:v>89.385</x:v>
      </x:c>
      <x:c r="AT64" t="n">
        <x:f>F64+P64</x:f>
        <x:v>90.27885</x:v>
      </x:c>
      <x:c r="AU64" t="n">
        <x:f>G64+Q64</x:f>
        <x:v>91.18163849999999</x:v>
      </x:c>
      <x:c r="AV64" t="n">
        <x:f>H64+R64</x:f>
        <x:v>92.093454885</x:v>
      </x:c>
      <x:c r="AW64" t="n">
        <x:f>I64+S64</x:f>
        <x:v>93.01438943385</x:v>
      </x:c>
      <x:c r="AX64" t="n">
        <x:f>J64+T64</x:f>
        <x:v>94.22357649649004</x:v>
      </x:c>
      <x:c r="AY64" t="n">
        <x:f>K64+U64</x:f>
        <x:v>95.73115372043388</x:v>
      </x:c>
      <x:c r="AZ64" t="n">
        <x:f>L64+V64</x:f>
        <x:v>97.55004564112211</x:v>
      </x:c>
      <x:c r="BA64" t="n">
        <x:f>M64+W64</x:f>
        <x:v>99.6961466452268</x:v>
      </x:c>
      <x:c r="BB64" t="n">
        <x:f>N64+X64</x:f>
        <x:v>102.18855031135746</x:v>
      </x:c>
      <x:c r="BC64" t="n">
        <x:f>AS64/'Inputs'!$C$14-1</x:f>
        <x:v>0.010000000000000009</x:v>
      </x:c>
      <x:c r="BD64" t="n">
        <x:f>AT64/AS64-1</x:f>
        <x:v>0.010000000000000009</x:v>
      </x:c>
      <x:c r="BE64" t="n">
        <x:f>AU64/AT64-1</x:f>
        <x:v>0.009999999999999787</x:v>
      </x:c>
      <x:c r="BF64" t="n">
        <x:f>AV64/AU64-1</x:f>
        <x:v>0.010000000000000009</x:v>
      </x:c>
      <x:c r="BG64" t="n">
        <x:f>AW64/AV64-1</x:f>
        <x:v>0.010000000000000009</x:v>
      </x:c>
      <x:c r="BH64" t="n">
        <x:f>AX64/AW64-1</x:f>
        <x:v>0.0129999999999999</x:v>
      </x:c>
      <x:c r="BI64" t="n">
        <x:f>AY64/AX64-1</x:f>
        <x:v>0.016000000000000014</x:v>
      </x:c>
      <x:c r="BJ64" t="n">
        <x:f>AZ64/AY64-1</x:f>
        <x:v>0.018999999999999906</x:v>
      </x:c>
      <x:c r="BK64" t="n">
        <x:f>BA64/AZ64-1</x:f>
        <x:v>0.02200000000000002</x:v>
      </x:c>
      <x:c r="BL64" t="n">
        <x:f>BB64/BA64-1</x:f>
        <x:v>0.02499999999999991</x:v>
      </x:c>
      <x:c r="BM64" t="n">
        <x:f>AH64*(1-'Assumptions'!$F$6)*(1+'Assumptions'!$D$6)*(1-'Assumptions'!$D$6/'Assumptions'!$E$6)</x:f>
        <x:v>46.56885520514027</x:v>
      </x:c>
      <x:c r="BN64" t="n">
        <x:f>SUMPRODUCT(AI64:AR64,'WINA Model'!$B$83:$K$83)+BM64/('Assumptions'!$C$6-'Assumptions'!$D$6)*'WINA Model'!$K$83</x:f>
        <x:v>502.151008534846</x:v>
      </x:c>
      <x:c r="BO64" t="n">
        <x:f>'WINA Model'!$B$94</x:f>
        <x:v>-42.825500000000005</x:v>
      </x:c>
      <x:c r="BP64" t="n">
        <x:f>'Inputs'!$C$8</x:f>
        <x:v>3.701516</x:v>
      </x:c>
    </x:row>
    <x:row r="65">
      <x:c r="A65" t="str">
        <x:v>WINA</x:v>
      </x:c>
      <x:c r="B65" s="22" t="n">
        <x:v>0.02</x:v>
      </x:c>
      <x:c r="C65" s="42" t="n">
        <x:f>(BN65+BO65)/BP65</x:f>
        <x:v>131.81497276848168</x:v>
      </x:c>
      <x:c r="D65" s="22" t="n">
        <x:f>C65/'Inputs'!$C$5-1</x:f>
        <x:v>-0.5857089833470105</x:v>
      </x:c>
      <x:c r="E65" t="n">
        <x:f>'Inputs'!$C$14*(1+$B65)^1</x:f>
        <x:v>90.27</x:v>
      </x:c>
      <x:c r="F65" t="n">
        <x:f>'Inputs'!$C$14*(1+$B65)^2</x:f>
        <x:v>92.0754</x:v>
      </x:c>
      <x:c r="G65" t="n">
        <x:f>'Inputs'!$C$14*(1+$B65)^3</x:f>
        <x:v>93.91690799999999</x:v>
      </x:c>
      <x:c r="H65" t="n">
        <x:f>'Inputs'!$C$14*(1+$B65)^4</x:f>
        <x:v>95.79524616</x:v>
      </x:c>
      <x:c r="I65" t="n">
        <x:f>'Inputs'!$C$14*(1+$B65)^5</x:f>
        <x:v>97.71115108320001</x:v>
      </x:c>
      <x:c r="J65" t="n">
        <x:f>I65*(1+($BG65+('Assumptions'!$D$6-$BG65)*(6-5)/5))</x:f>
        <x:v>99.7630852559472</x:v>
      </x:c>
      <x:c r="K65" t="n">
        <x:f>J65*(1+($BG65+('Assumptions'!$D$6-$BG65)*(7-5)/5))</x:f>
        <x:v>101.95787313157804</x:v>
      </x:c>
      <x:c r="L65" t="n">
        <x:f>K65*(1+($BG65+('Assumptions'!$D$6-$BG65)*(8-5)/5))</x:f>
        <x:v>104.30290421360432</x:v>
      </x:c>
      <x:c r="M65" t="n">
        <x:f>L65*(1+($BG65+('Assumptions'!$D$6-$BG65)*(9-5)/5))</x:f>
        <x:v>106.80617391473083</x:v>
      </x:c>
      <x:c r="N65" t="n">
        <x:f>M65*(1+($BG65+('Assumptions'!$D$6-$BG65)*(10-5)/5))</x:f>
        <x:v>109.4763282625991</x:v>
      </x:c>
      <x:c r="O65" t="n">
        <x:f>0</x:f>
        <x:v>0</x:v>
      </x:c>
      <x:c r="P65" t="n">
        <x:f>0</x:f>
        <x:v>0</x:v>
      </x:c>
      <x:c r="Q65" t="n">
        <x:f>0</x:f>
        <x:v>0</x:v>
      </x:c>
      <x:c r="R65" t="n">
        <x:f>0</x:f>
        <x:v>0</x:v>
      </x:c>
      <x:c r="S65" t="n">
        <x:f>0</x:f>
        <x:v>0</x:v>
      </x:c>
      <x:c r="T65" t="n">
        <x:f>S65*(1+($BG65+('Assumptions'!$D$6-$BG65)*(6-5)/5))</x:f>
        <x:v>0</x:v>
      </x:c>
      <x:c r="U65" t="n">
        <x:f>T65*(1+($BG65+('Assumptions'!$D$6-$BG65)*(7-5)/5))</x:f>
        <x:v>0</x:v>
      </x:c>
      <x:c r="V65" t="n">
        <x:f>U65*(1+($BG65+('Assumptions'!$D$6-$BG65)*(8-5)/5))</x:f>
        <x:v>0</x:v>
      </x:c>
      <x:c r="W65" t="n">
        <x:f>V65*(1+($BG65+('Assumptions'!$D$6-$BG65)*(9-5)/5))</x:f>
        <x:v>0</x:v>
      </x:c>
      <x:c r="X65" t="n">
        <x:f>W65*(1+($BG65+('Assumptions'!$D$6-$BG65)*(10-5)/5))</x:f>
        <x:v>0</x:v>
      </x:c>
      <x:c r="Y65" t="n">
        <x:f>E65*'WINA Model'!$B$62+O65*'WINA Model'!$B$63+'WINA Model'!$B$73+'WINA Model'!$B$74</x:f>
        <x:v>55.064699999999995</x:v>
      </x:c>
      <x:c r="Z65" t="n">
        <x:f>F65*'WINA Model'!$C$62+P65*'WINA Model'!$C$63+'WINA Model'!$C$73+'WINA Model'!$C$74</x:f>
        <x:v>56.626371</x:v>
      </x:c>
      <x:c r="AA65" t="n">
        <x:f>G65*'WINA Model'!$D$62+Q65*'WINA Model'!$D$63+'WINA Model'!$D$73+'WINA Model'!$D$74</x:f>
        <x:v>58.228482959999994</x:v>
      </x:c>
      <x:c r="AB65" t="n">
        <x:f>H65*'WINA Model'!$E$62+R65*'WINA Model'!$E$63+'WINA Model'!$E$73+'WINA Model'!$E$74</x:f>
        <x:v>59.87202885000001</x:v>
      </x:c>
      <x:c r="AC65" t="n">
        <x:f>I65*'WINA Model'!$F$62+S65*'WINA Model'!$F$63+'WINA Model'!$F$73+'WINA Model'!$F$74</x:f>
        <x:v>61.558025182416</x:v>
      </x:c>
      <x:c r="AD65" t="n">
        <x:f>AX65*$AC65/$AW65</x:f>
        <x:v>62.85074371124673</x:v>
      </x:c>
      <x:c r="AE65" t="n">
        <x:f>AY65*$AC65/$AW65</x:f>
        <x:v>64.23346007289416</x:v>
      </x:c>
      <x:c r="AF65" t="n">
        <x:f>AZ65*$AC65/$AW65</x:f>
        <x:v>65.71082965457072</x:v>
      </x:c>
      <x:c r="AG65" t="n">
        <x:f>BA65*$AC65/$AW65</x:f>
        <x:v>67.28788956628043</x:v>
      </x:c>
      <x:c r="AH65" t="n">
        <x:f>BB65*$AC65/$AW65</x:f>
        <x:v>68.97008680543743</x:v>
      </x:c>
      <x:c r="AI65" t="n">
        <x:f>Y65*(1-'Assumptions'!$F$6)+AS65*'Assumptions'!$G$6-AS65*'WINA Model'!$B$65-(AS65-'Inputs'!$C$14)*'Assumptions'!$H$6-'Assumptions'!$I$6</x:f>
        <x:v>39.376481999999996</x:v>
      </x:c>
      <x:c r="AJ65" t="n">
        <x:f>Z65*(1-'Assumptions'!$F$6)+AT65*'Assumptions'!$G$6-AT65*'WINA Model'!$C$65-(AT65-AS65)*'Assumptions'!$H$6-0</x:f>
        <x:v>40.97427516</x:v>
      </x:c>
      <x:c r="AK65" t="n">
        <x:f>AA65*(1-'Assumptions'!$F$6)+AU65*'Assumptions'!$G$6-AU65*'WINA Model'!$D$65-(AU65-AT65)*'Assumptions'!$H$6-0</x:f>
        <x:v>42.6202294536</x:v>
      </x:c>
      <x:c r="AL65" t="n">
        <x:f>AB65*(1-'Assumptions'!$F$6)+AV65*'Assumptions'!$G$6-AV65*'WINA Model'!$E$65-(AV65-AU65)*'Assumptions'!$H$6-0</x:f>
        <x:v>44.12404171656001</x:v>
      </x:c>
      <x:c r="AM65" t="n">
        <x:f>AC65*(1-'Assumptions'!$F$6)+AW65*'Assumptions'!$G$6-AW65*'WINA Model'!$F$65-(AW65-AV65)*'Assumptions'!$H$6-0</x:f>
        <x:v>45.57324722717376</x:v>
      </x:c>
      <x:c r="AN65" t="n">
        <x:f>AD65*(1-'Assumptions'!$F$6)+AX65*'Assumptions'!$G$6-AX65*'WINA Model'!$G$65-(AX65-AW65)*'Assumptions'!$H$6-0</x:f>
        <x:v>46.52836951402121</x:v>
      </x:c>
      <x:c r="AO65" t="n">
        <x:f>AE65*(1-'Assumptions'!$F$6)+AY65*'Assumptions'!$G$6-AY65*'WINA Model'!$H$65-(AY65-AX65)*'Assumptions'!$H$6-0</x:f>
        <x:v>47.55003942030801</x:v>
      </x:c>
      <x:c r="AP65" t="n">
        <x:f>AF65*(1-'Assumptions'!$F$6)+AZ65*'Assumptions'!$G$6-AZ65*'WINA Model'!$I$65-(AZ65-AY65)*'Assumptions'!$H$6-0</x:f>
        <x:v>48.641695065269964</x:v>
      </x:c>
      <x:c r="AQ65" t="n">
        <x:f>AG65*(1-'Assumptions'!$F$6)+BA65*'Assumptions'!$G$6-BA65*'WINA Model'!$J$65-(BA65-AZ65)*'Assumptions'!$H$6-0</x:f>
        <x:v>49.80705658937383</x:v>
      </x:c>
      <x:c r="AR65" t="n">
        <x:f>AH65*(1-'Assumptions'!$F$6)+BB65*'Assumptions'!$G$6-BB65*'WINA Model'!$K$65-(BB65-BA65)*'Assumptions'!$H$6-0</x:f>
        <x:v>51.050146946023894</x:v>
      </x:c>
      <x:c r="AS65" t="n">
        <x:f>E65+O65</x:f>
        <x:v>90.27</x:v>
      </x:c>
      <x:c r="AT65" t="n">
        <x:f>F65+P65</x:f>
        <x:v>92.0754</x:v>
      </x:c>
      <x:c r="AU65" t="n">
        <x:f>G65+Q65</x:f>
        <x:v>93.91690799999999</x:v>
      </x:c>
      <x:c r="AV65" t="n">
        <x:f>H65+R65</x:f>
        <x:v>95.79524616</x:v>
      </x:c>
      <x:c r="AW65" t="n">
        <x:f>I65+S65</x:f>
        <x:v>97.71115108320001</x:v>
      </x:c>
      <x:c r="AX65" t="n">
        <x:f>J65+T65</x:f>
        <x:v>99.7630852559472</x:v>
      </x:c>
      <x:c r="AY65" t="n">
        <x:f>K65+U65</x:f>
        <x:v>101.95787313157804</x:v>
      </x:c>
      <x:c r="AZ65" t="n">
        <x:f>L65+V65</x:f>
        <x:v>104.30290421360432</x:v>
      </x:c>
      <x:c r="BA65" t="n">
        <x:f>M65+W65</x:f>
        <x:v>106.80617391473083</x:v>
      </x:c>
      <x:c r="BB65" t="n">
        <x:f>N65+X65</x:f>
        <x:v>109.4763282625991</x:v>
      </x:c>
      <x:c r="BC65" t="n">
        <x:f>AS65/'Inputs'!$C$14-1</x:f>
        <x:v>0.020000000000000018</x:v>
      </x:c>
      <x:c r="BD65" t="n">
        <x:f>AT65/AS65-1</x:f>
        <x:v>0.020000000000000018</x:v>
      </x:c>
      <x:c r="BE65" t="n">
        <x:f>AU65/AT65-1</x:f>
        <x:v>0.019999999999999796</x:v>
      </x:c>
      <x:c r="BF65" t="n">
        <x:f>AV65/AU65-1</x:f>
        <x:v>0.02000000000000024</x:v>
      </x:c>
      <x:c r="BG65" t="n">
        <x:f>AW65/AV65-1</x:f>
        <x:v>0.020000000000000018</x:v>
      </x:c>
      <x:c r="BH65" t="n">
        <x:f>AX65/AW65-1</x:f>
        <x:v>0.020999999999999908</x:v>
      </x:c>
      <x:c r="BI65" t="n">
        <x:f>AY65/AX65-1</x:f>
        <x:v>0.02200000000000002</x:v>
      </x:c>
      <x:c r="BJ65" t="n">
        <x:f>AZ65/AY65-1</x:f>
        <x:v>0.02299999999999991</x:v>
      </x:c>
      <x:c r="BK65" t="n">
        <x:f>BA65/AZ65-1</x:f>
        <x:v>0.02400000000000002</x:v>
      </x:c>
      <x:c r="BL65" t="n">
        <x:f>BB65/BA65-1</x:f>
        <x:v>0.02499999999999991</x:v>
      </x:c>
      <x:c r="BM65" t="n">
        <x:f>AH65*(1-'Assumptions'!$F$6)*(1+'Assumptions'!$D$6)*(1-'Assumptions'!$D$6/'Assumptions'!$E$6)</x:f>
        <x:v>49.890004934190344</x:v>
      </x:c>
      <x:c r="BN65" t="n">
        <x:f>SUMPRODUCT(AI65:AR65,'WINA Model'!$B$83:$K$83)+BM65/('Assumptions'!$C$6-'Assumptions'!$D$6)*'WINA Model'!$K$83</x:f>
        <x:v>530.7407307420992</x:v>
      </x:c>
      <x:c r="BO65" t="n">
        <x:f>'WINA Model'!$B$94</x:f>
        <x:v>-42.825500000000005</x:v>
      </x:c>
      <x:c r="BP65" t="n">
        <x:f>'Inputs'!$C$8</x:f>
        <x:v>3.701516</x:v>
      </x:c>
    </x:row>
    <x:row r="66">
      <x:c r="A66" t="str">
        <x:v>WINA</x:v>
      </x:c>
      <x:c r="B66" s="22" t="n">
        <x:v>0.03</x:v>
      </x:c>
      <x:c r="C66" s="42" t="n">
        <x:f>(BN66+BO66)/BP66</x:f>
        <x:v>139.96320182479758</x:v>
      </x:c>
      <x:c r="D66" s="22" t="n">
        <x:f>C66/'Inputs'!$C$5-1</x:f>
        <x:v>-0.5600993122393765</x:v>
      </x:c>
      <x:c r="E66" t="n">
        <x:f>'Inputs'!$C$14*(1+$B66)^1</x:f>
        <x:v>91.155</x:v>
      </x:c>
      <x:c r="F66" t="n">
        <x:f>'Inputs'!$C$14*(1+$B66)^2</x:f>
        <x:v>93.88964999999999</x:v>
      </x:c>
      <x:c r="G66" t="n">
        <x:f>'Inputs'!$C$14*(1+$B66)^3</x:f>
        <x:v>96.7063395</x:v>
      </x:c>
      <x:c r="H66" t="n">
        <x:f>'Inputs'!$C$14*(1+$B66)^4</x:f>
        <x:v>99.60752968499999</x:v>
      </x:c>
      <x:c r="I66" t="n">
        <x:f>'Inputs'!$C$14*(1+$B66)^5</x:f>
        <x:v>102.59575557554999</x:v>
      </x:c>
      <x:c r="J66" t="n">
        <x:f>I66*(1+($BG66+('Assumptions'!$D$6-$BG66)*(6-5)/5))</x:f>
        <x:v>105.57103248724093</x:v>
      </x:c>
      <x:c r="K66" t="n">
        <x:f>J66*(1+($BG66+('Assumptions'!$D$6-$BG66)*(7-5)/5))</x:f>
        <x:v>108.52702139688368</x:v>
      </x:c>
      <x:c r="L66" t="n">
        <x:f>K66*(1+($BG66+('Assumptions'!$D$6-$BG66)*(8-5)/5))</x:f>
        <x:v>111.45725097459953</x:v>
      </x:c>
      <x:c r="M66" t="n">
        <x:f>L66*(1+($BG66+('Assumptions'!$D$6-$BG66)*(9-5)/5))</x:f>
        <x:v>114.35513949993913</x:v>
      </x:c>
      <x:c r="N66" t="n">
        <x:f>M66*(1+($BG66+('Assumptions'!$D$6-$BG66)*(10-5)/5))</x:f>
        <x:v>117.2140179874376</x:v>
      </x:c>
      <x:c r="O66" t="n">
        <x:f>0</x:f>
        <x:v>0</x:v>
      </x:c>
      <x:c r="P66" t="n">
        <x:f>0</x:f>
        <x:v>0</x:v>
      </x:c>
      <x:c r="Q66" t="n">
        <x:f>0</x:f>
        <x:v>0</x:v>
      </x:c>
      <x:c r="R66" t="n">
        <x:f>0</x:f>
        <x:v>0</x:v>
      </x:c>
      <x:c r="S66" t="n">
        <x:f>0</x:f>
        <x:v>0</x:v>
      </x:c>
      <x:c r="T66" t="n">
        <x:f>S66*(1+($BG66+('Assumptions'!$D$6-$BG66)*(6-5)/5))</x:f>
        <x:v>0</x:v>
      </x:c>
      <x:c r="U66" t="n">
        <x:f>T66*(1+($BG66+('Assumptions'!$D$6-$BG66)*(7-5)/5))</x:f>
        <x:v>0</x:v>
      </x:c>
      <x:c r="V66" t="n">
        <x:f>U66*(1+($BG66+('Assumptions'!$D$6-$BG66)*(8-5)/5))</x:f>
        <x:v>0</x:v>
      </x:c>
      <x:c r="W66" t="n">
        <x:f>V66*(1+($BG66+('Assumptions'!$D$6-$BG66)*(9-5)/5))</x:f>
        <x:v>0</x:v>
      </x:c>
      <x:c r="X66" t="n">
        <x:f>W66*(1+($BG66+('Assumptions'!$D$6-$BG66)*(10-5)/5))</x:f>
        <x:v>0</x:v>
      </x:c>
      <x:c r="Y66" t="n">
        <x:f>E66*'WINA Model'!$B$62+O66*'WINA Model'!$B$63+'WINA Model'!$B$73+'WINA Model'!$B$74</x:f>
        <x:v>55.604549999999996</x:v>
      </x:c>
      <x:c r="Z66" t="n">
        <x:f>F66*'WINA Model'!$C$62+P66*'WINA Model'!$C$63+'WINA Model'!$C$73+'WINA Model'!$C$74</x:f>
        <x:v>57.74213474999999</x:v>
      </x:c>
      <x:c r="AA66" t="n">
        <x:f>G66*'WINA Model'!$D$62+Q66*'WINA Model'!$D$63+'WINA Model'!$D$73+'WINA Model'!$D$74</x:f>
        <x:v>59.957930489999995</x:v>
      </x:c>
      <x:c r="AB66" t="n">
        <x:f>H66*'WINA Model'!$E$62+R66*'WINA Model'!$E$63+'WINA Model'!$E$73+'WINA Model'!$E$74</x:f>
        <x:v>62.25470605312499</x:v>
      </x:c>
      <x:c r="AC66" t="n">
        <x:f>I66*'WINA Model'!$F$62+S66*'WINA Model'!$F$63+'WINA Model'!$F$73+'WINA Model'!$F$74</x:f>
        <x:v>64.6353260125965</x:v>
      </x:c>
      <x:c r="AD66" t="n">
        <x:f>AX66*$AC66/$AW66</x:f>
        <x:v>66.50975046696179</x:v>
      </x:c>
      <x:c r="AE66" t="n">
        <x:f>AY66*$AC66/$AW66</x:f>
        <x:v>68.37202348003672</x:v>
      </x:c>
      <x:c r="AF66" t="n">
        <x:f>AZ66*$AC66/$AW66</x:f>
        <x:v>70.2180681139977</x:v>
      </x:c>
      <x:c r="AG66" t="n">
        <x:f>BA66*$AC66/$AW66</x:f>
        <x:v>72.04373788496166</x:v>
      </x:c>
      <x:c r="AH66" t="n">
        <x:f>BB66*$AC66/$AW66</x:f>
        <x:v>73.84483133208569</x:v>
      </x:c>
      <x:c r="AI66" t="n">
        <x:f>Y66*(1-'Assumptions'!$F$6)+AS66*'Assumptions'!$G$6-AS66*'WINA Model'!$B$65-(AS66-'Inputs'!$C$14)*'Assumptions'!$H$6-'Assumptions'!$I$6</x:f>
        <x:v>39.745172999999994</x:v>
      </x:c>
      <x:c r="AJ66" t="n">
        <x:f>Z66*(1-'Assumptions'!$F$6)+AT66*'Assumptions'!$G$6-AT66*'WINA Model'!$C$65-(AT66-AS66)*'Assumptions'!$H$6-0</x:f>
        <x:v>41.76375710999999</x:v>
      </x:c>
      <x:c r="AK66" t="n">
        <x:f>AA66*(1-'Assumptions'!$F$6)+AU66*'Assumptions'!$G$6-AU66*'WINA Model'!$D$65-(AU66-AT66)*'Assumptions'!$H$6-0</x:f>
        <x:v>43.86768561089999</x:v>
      </x:c>
      <x:c r="AL66" t="n">
        <x:f>AB66*(1-'Assumptions'!$F$6)+AV66*'Assumptions'!$G$6-AV66*'WINA Model'!$E$65-(AV66-AU66)*'Assumptions'!$H$6-0</x:f>
        <x:v>45.86104738108499</x:v>
      </x:c>
      <x:c r="AM66" t="n">
        <x:f>AC66*(1-'Assumptions'!$F$6)+AW66*'Assumptions'!$G$6-AW66*'WINA Model'!$F$65-(AW66-AV66)*'Assumptions'!$H$6-0</x:f>
        <x:v>47.83193418485573</x:v>
      </x:c>
      <x:c r="AN66" t="n">
        <x:f>AD66*(1-'Assumptions'!$F$6)+AX66*'Assumptions'!$G$6-AX66*'WINA Model'!$G$65-(AX66-AW66)*'Assumptions'!$H$6-0</x:f>
        <x:v>49.221052426810246</x:v>
      </x:c>
      <x:c r="AO66" t="n">
        <x:f>AE66*(1-'Assumptions'!$F$6)+AY66*'Assumptions'!$G$6-AY66*'WINA Model'!$H$65-(AY66-AX66)*'Assumptions'!$H$6-0</x:f>
        <x:v>50.601293809872445</x:v>
      </x:c>
      <x:c r="AP66" t="n">
        <x:f>AF66*(1-'Assumptions'!$F$6)+AZ66*'Assumptions'!$G$6-AZ66*'WINA Model'!$I$65-(AZ66-AY66)*'Assumptions'!$H$6-0</x:f>
        <x:v>51.96964016338875</x:v>
      </x:c>
      <x:c r="AQ66" t="n">
        <x:f>AG66*(1-'Assumptions'!$F$6)+BA66*'Assumptions'!$G$6-BA66*'WINA Model'!$J$65-(BA66-AZ66)*'Assumptions'!$H$6-0</x:f>
        <x:v>53.323021348064806</x:v>
      </x:c>
      <x:c r="AR66" t="n">
        <x:f>AH66*(1-'Assumptions'!$F$6)+BB66*'Assumptions'!$G$6-BB66*'WINA Model'!$K$65-(BB66-BA66)*'Assumptions'!$H$6-0</x:f>
        <x:v>54.65832602678591</x:v>
      </x:c>
      <x:c r="AS66" t="n">
        <x:f>E66+O66</x:f>
        <x:v>91.155</x:v>
      </x:c>
      <x:c r="AT66" t="n">
        <x:f>F66+P66</x:f>
        <x:v>93.88964999999999</x:v>
      </x:c>
      <x:c r="AU66" t="n">
        <x:f>G66+Q66</x:f>
        <x:v>96.7063395</x:v>
      </x:c>
      <x:c r="AV66" t="n">
        <x:f>H66+R66</x:f>
        <x:v>99.60752968499999</x:v>
      </x:c>
      <x:c r="AW66" t="n">
        <x:f>I66+S66</x:f>
        <x:v>102.59575557554999</x:v>
      </x:c>
      <x:c r="AX66" t="n">
        <x:f>J66+T66</x:f>
        <x:v>105.57103248724093</x:v>
      </x:c>
      <x:c r="AY66" t="n">
        <x:f>K66+U66</x:f>
        <x:v>108.52702139688368</x:v>
      </x:c>
      <x:c r="AZ66" t="n">
        <x:f>L66+V66</x:f>
        <x:v>111.45725097459953</x:v>
      </x:c>
      <x:c r="BA66" t="n">
        <x:f>M66+W66</x:f>
        <x:v>114.35513949993913</x:v>
      </x:c>
      <x:c r="BB66" t="n">
        <x:f>N66+X66</x:f>
        <x:v>117.2140179874376</x:v>
      </x:c>
      <x:c r="BC66" t="n">
        <x:f>AS66/'Inputs'!$C$14-1</x:f>
        <x:v>0.030000000000000027</x:v>
      </x:c>
      <x:c r="BD66" t="n">
        <x:f>AT66/AS66-1</x:f>
        <x:v>0.029999999999999805</x:v>
      </x:c>
      <x:c r="BE66" t="n">
        <x:f>AU66/AT66-1</x:f>
        <x:v>0.030000000000000027</x:v>
      </x:c>
      <x:c r="BF66" t="n">
        <x:f>AV66/AU66-1</x:f>
        <x:v>0.029999999999999805</x:v>
      </x:c>
      <x:c r="BG66" t="n">
        <x:f>AW66/AV66-1</x:f>
        <x:v>0.030000000000000027</x:v>
      </x:c>
      <x:c r="BH66" t="n">
        <x:f>AX66/AW66-1</x:f>
        <x:v>0.028999999999999915</x:v>
      </x:c>
      <x:c r="BI66" t="n">
        <x:f>AY66/AX66-1</x:f>
        <x:v>0.028000000000000025</x:v>
      </x:c>
      <x:c r="BJ66" t="n">
        <x:f>AZ66/AY66-1</x:f>
        <x:v>0.026999999999999913</x:v>
      </x:c>
      <x:c r="BK66" t="n">
        <x:f>BA66/AZ66-1</x:f>
        <x:v>0.026000000000000023</x:v>
      </x:c>
      <x:c r="BL66" t="n">
        <x:f>BB66/BA66-1</x:f>
        <x:v>0.02499999999999991</x:v>
      </x:c>
      <x:c r="BM66" t="n">
        <x:f>AH66*(1-'Assumptions'!$F$6)*(1+'Assumptions'!$D$6)*(1-'Assumptions'!$D$6/'Assumptions'!$E$6)</x:f>
        <x:v>53.416186207145124</x:v>
      </x:c>
      <x:c r="BN66" t="n">
        <x:f>SUMPRODUCT(AI66:AR66,'WINA Model'!$B$83:$K$83)+BM66/('Assumptions'!$C$6-'Assumptions'!$D$6)*'WINA Model'!$K$83</x:f>
        <x:v>560.9015309657175</x:v>
      </x:c>
      <x:c r="BO66" t="n">
        <x:f>'WINA Model'!$B$94</x:f>
        <x:v>-42.825500000000005</x:v>
      </x:c>
      <x:c r="BP66" t="n">
        <x:f>'Inputs'!$C$8</x:f>
        <x:v>3.701516</x:v>
      </x:c>
    </x:row>
    <x:row r="67">
      <x:c r="A67" t="str">
        <x:v>WINA</x:v>
      </x:c>
      <x:c r="B67" s="22" t="n">
        <x:v>0.04</x:v>
      </x:c>
      <x:c r="C67" s="42" t="n">
        <x:f>(BN67+BO67)/BP67</x:f>
        <x:v>148.556713398852</x:v>
      </x:c>
      <x:c r="D67" s="22" t="n">
        <x:f>C67/'Inputs'!$C$5-1</x:f>
        <x:v>-0.5330901298084295</x:v>
      </x:c>
      <x:c r="E67" t="n">
        <x:f>'Inputs'!$C$14*(1+$B67)^1</x:f>
        <x:v>92.04</x:v>
      </x:c>
      <x:c r="F67" t="n">
        <x:f>'Inputs'!$C$14*(1+$B67)^2</x:f>
        <x:v>95.72160000000001</x:v>
      </x:c>
      <x:c r="G67" t="n">
        <x:f>'Inputs'!$C$14*(1+$B67)^3</x:f>
        <x:v>99.550464</x:v>
      </x:c>
      <x:c r="H67" t="n">
        <x:f>'Inputs'!$C$14*(1+$B67)^4</x:f>
        <x:v>103.53248256000002</x:v>
      </x:c>
      <x:c r="I67" t="n">
        <x:f>'Inputs'!$C$14*(1+$B67)^5</x:f>
        <x:v>107.67378186240003</x:v>
      </x:c>
      <x:c r="J67" t="n">
        <x:f>I67*(1+($BG67+('Assumptions'!$D$6-$BG67)*(6-5)/5))</x:f>
        <x:v>111.65771179130883</x:v>
      </x:c>
      <x:c r="K67" t="n">
        <x:f>J67*(1+($BG67+('Assumptions'!$D$6-$BG67)*(7-5)/5))</x:f>
        <x:v>115.45407399221332</x:v>
      </x:c>
      <x:c r="L67" t="n">
        <x:f>K67*(1+($BG67+('Assumptions'!$D$6-$BG67)*(8-5)/5))</x:f>
        <x:v>119.03315028597193</x:v>
      </x:c>
      <x:c r="M67" t="n">
        <x:f>L67*(1+($BG67+('Assumptions'!$D$6-$BG67)*(9-5)/5))</x:f>
        <x:v>122.36607849397915</x:v>
      </x:c>
      <x:c r="N67" t="n">
        <x:f>M67*(1+($BG67+('Assumptions'!$D$6-$BG67)*(10-5)/5))</x:f>
        <x:v>125.42523045632862</x:v>
      </x:c>
      <x:c r="O67" t="n">
        <x:f>0</x:f>
        <x:v>0</x:v>
      </x:c>
      <x:c r="P67" t="n">
        <x:f>0</x:f>
        <x:v>0</x:v>
      </x:c>
      <x:c r="Q67" t="n">
        <x:f>0</x:f>
        <x:v>0</x:v>
      </x:c>
      <x:c r="R67" t="n">
        <x:f>0</x:f>
        <x:v>0</x:v>
      </x:c>
      <x:c r="S67" t="n">
        <x:f>0</x:f>
        <x:v>0</x:v>
      </x:c>
      <x:c r="T67" t="n">
        <x:f>S67*(1+($BG67+('Assumptions'!$D$6-$BG67)*(6-5)/5))</x:f>
        <x:v>0</x:v>
      </x:c>
      <x:c r="U67" t="n">
        <x:f>T67*(1+($BG67+('Assumptions'!$D$6-$BG67)*(7-5)/5))</x:f>
        <x:v>0</x:v>
      </x:c>
      <x:c r="V67" t="n">
        <x:f>U67*(1+($BG67+('Assumptions'!$D$6-$BG67)*(8-5)/5))</x:f>
        <x:v>0</x:v>
      </x:c>
      <x:c r="W67" t="n">
        <x:f>V67*(1+($BG67+('Assumptions'!$D$6-$BG67)*(9-5)/5))</x:f>
        <x:v>0</x:v>
      </x:c>
      <x:c r="X67" t="n">
        <x:f>W67*(1+($BG67+('Assumptions'!$D$6-$BG67)*(10-5)/5))</x:f>
        <x:v>0</x:v>
      </x:c>
      <x:c r="Y67" t="n">
        <x:f>E67*'WINA Model'!$B$62+O67*'WINA Model'!$B$63+'WINA Model'!$B$73+'WINA Model'!$B$74</x:f>
        <x:v>56.144400000000005</x:v>
      </x:c>
      <x:c r="Z67" t="n">
        <x:f>F67*'WINA Model'!$C$62+P67*'WINA Model'!$C$63+'WINA Model'!$C$73+'WINA Model'!$C$74</x:f>
        <x:v>58.868784000000005</x:v>
      </x:c>
      <x:c r="AA67" t="n">
        <x:f>G67*'WINA Model'!$D$62+Q67*'WINA Model'!$D$63+'WINA Model'!$D$73+'WINA Model'!$D$74</x:f>
        <x:v>61.72128768</x:v>
      </x:c>
      <x:c r="AB67" t="n">
        <x:f>H67*'WINA Model'!$E$62+R67*'WINA Model'!$E$63+'WINA Model'!$E$73+'WINA Model'!$E$74</x:f>
        <x:v>64.70780160000001</x:v>
      </x:c>
      <x:c r="AC67" t="n">
        <x:f>I67*'WINA Model'!$F$62+S67*'WINA Model'!$F$63+'WINA Model'!$F$73+'WINA Model'!$F$74</x:f>
        <x:v>67.83448257331202</x:v>
      </x:c>
      <x:c r="AD67" t="n">
        <x:f>AX67*$AC67/$AW67</x:f>
        <x:v>70.34435842852456</x:v>
      </x:c>
      <x:c r="AE67" t="n">
        <x:f>AY67*$AC67/$AW67</x:f>
        <x:v>72.73606661509439</x:v>
      </x:c>
      <x:c r="AF67" t="n">
        <x:f>AZ67*$AC67/$AW67</x:f>
        <x:v>74.99088468016231</x:v>
      </x:c>
      <x:c r="AG67" t="n">
        <x:f>BA67*$AC67/$AW67</x:f>
        <x:v>77.09062945120685</x:v>
      </x:c>
      <x:c r="AH67" t="n">
        <x:f>BB67*$AC67/$AW67</x:f>
        <x:v>79.01789518748703</x:v>
      </x:c>
      <x:c r="AI67" t="n">
        <x:f>Y67*(1-'Assumptions'!$F$6)+AS67*'Assumptions'!$G$6-AS67*'WINA Model'!$B$65-(AS67-'Inputs'!$C$14)*'Assumptions'!$H$6-'Assumptions'!$I$6</x:f>
        <x:v>40.113864</x:v>
      </x:c>
      <x:c r="AJ67" t="n">
        <x:f>Z67*(1-'Assumptions'!$F$6)+AT67*'Assumptions'!$G$6-AT67*'WINA Model'!$C$65-(AT67-AS67)*'Assumptions'!$H$6-0</x:f>
        <x:v>42.56076864</x:v>
      </x:c>
      <x:c r="AK67" t="n">
        <x:f>AA67*(1-'Assumptions'!$F$6)+AU67*'Assumptions'!$G$6-AU67*'WINA Model'!$D$65-(AU67-AT67)*'Assumptions'!$H$6-0</x:f>
        <x:v>45.1392434688</x:v>
      </x:c>
      <x:c r="AL67" t="n">
        <x:f>AB67*(1-'Assumptions'!$F$6)+AV67*'Assumptions'!$G$6-AV67*'WINA Model'!$E$65-(AV67-AU67)*'Assumptions'!$H$6-0</x:f>
        <x:v>47.648834088960015</x:v>
      </x:c>
      <x:c r="AM67" t="n">
        <x:f>AC67*(1-'Assumptions'!$F$6)+AW67*'Assumptions'!$G$6-AW67*'WINA Model'!$F$65-(AW67-AV67)*'Assumptions'!$H$6-0</x:f>
        <x:v>50.17929538732033</x:v>
      </x:c>
      <x:c r="AN67" t="n">
        <x:f>AD67*(1-'Assumptions'!$F$6)+AX67*'Assumptions'!$G$6-AX67*'WINA Model'!$G$65-(AX67-AW67)*'Assumptions'!$H$6-0</x:f>
        <x:v>52.04214126560478</x:v>
      </x:c>
      <x:c r="AO67" t="n">
        <x:f>AE67*(1-'Assumptions'!$F$6)+AY67*'Assumptions'!$G$6-AY67*'WINA Model'!$H$65-(AY67-AX67)*'Assumptions'!$H$6-0</x:f>
        <x:v>53.81803449554708</x:v>
      </x:c>
      <x:c r="AP67" t="n">
        <x:f>AF67*(1-'Assumptions'!$F$6)+AZ67*'Assumptions'!$G$6-AZ67*'WINA Model'!$I$65-(AZ67-AY67)*'Assumptions'!$H$6-0</x:f>
        <x:v>55.49309302761652</x:v>
      </x:c>
      <x:c r="AQ67" t="n">
        <x:f>AG67*(1-'Assumptions'!$F$6)+BA67*'Assumptions'!$G$6-BA67*'WINA Model'!$J$65-(BA67-AZ67)*'Assumptions'!$H$6-0</x:f>
        <x:v>57.05382687682931</x:v>
      </x:c>
      <x:c r="AR67" t="n">
        <x:f>AH67*(1-'Assumptions'!$F$6)+BB67*'Assumptions'!$G$6-BB67*'WINA Model'!$K$65-(BB67-BA67)*'Assumptions'!$H$6-0</x:f>
        <x:v>58.487314537767205</x:v>
      </x:c>
      <x:c r="AS67" t="n">
        <x:f>E67+O67</x:f>
        <x:v>92.04</x:v>
      </x:c>
      <x:c r="AT67" t="n">
        <x:f>F67+P67</x:f>
        <x:v>95.72160000000001</x:v>
      </x:c>
      <x:c r="AU67" t="n">
        <x:f>G67+Q67</x:f>
        <x:v>99.550464</x:v>
      </x:c>
      <x:c r="AV67" t="n">
        <x:f>H67+R67</x:f>
        <x:v>103.53248256000002</x:v>
      </x:c>
      <x:c r="AW67" t="n">
        <x:f>I67+S67</x:f>
        <x:v>107.67378186240003</x:v>
      </x:c>
      <x:c r="AX67" t="n">
        <x:f>J67+T67</x:f>
        <x:v>111.65771179130883</x:v>
      </x:c>
      <x:c r="AY67" t="n">
        <x:f>K67+U67</x:f>
        <x:v>115.45407399221332</x:v>
      </x:c>
      <x:c r="AZ67" t="n">
        <x:f>L67+V67</x:f>
        <x:v>119.03315028597193</x:v>
      </x:c>
      <x:c r="BA67" t="n">
        <x:f>M67+W67</x:f>
        <x:v>122.36607849397915</x:v>
      </x:c>
      <x:c r="BB67" t="n">
        <x:f>N67+X67</x:f>
        <x:v>125.42523045632862</x:v>
      </x:c>
      <x:c r="BC67" t="n">
        <x:f>AS67/'Inputs'!$C$14-1</x:f>
        <x:v>0.040000000000000036</x:v>
      </x:c>
      <x:c r="BD67" t="n">
        <x:f>AT67/AS67-1</x:f>
        <x:v>0.040000000000000036</x:v>
      </x:c>
      <x:c r="BE67" t="n">
        <x:f>AU67/AT67-1</x:f>
        <x:v>0.040000000000000036</x:v>
      </x:c>
      <x:c r="BF67" t="n">
        <x:f>AV67/AU67-1</x:f>
        <x:v>0.040000000000000036</x:v>
      </x:c>
      <x:c r="BG67" t="n">
        <x:f>AW67/AV67-1</x:f>
        <x:v>0.040000000000000036</x:v>
      </x:c>
      <x:c r="BH67" t="n">
        <x:f>AX67/AW67-1</x:f>
        <x:v>0.03699999999999992</x:v>
      </x:c>
      <x:c r="BI67" t="n">
        <x:f>AY67/AX67-1</x:f>
        <x:v>0.03400000000000003</x:v>
      </x:c>
      <x:c r="BJ67" t="n">
        <x:f>AZ67/AY67-1</x:f>
        <x:v>0.030999999999999917</x:v>
      </x:c>
      <x:c r="BK67" t="n">
        <x:f>BA67/AZ67-1</x:f>
        <x:v>0.028000000000000025</x:v>
      </x:c>
      <x:c r="BL67" t="n">
        <x:f>BB67/BA67-1</x:f>
        <x:v>0.02499999999999991</x:v>
      </x:c>
      <x:c r="BM67" t="n">
        <x:f>AH67*(1-'Assumptions'!$F$6)*(1+'Assumptions'!$D$6)*(1-'Assumptions'!$D$6/'Assumptions'!$E$6)</x:f>
        <x:v>57.15815889740579</x:v>
      </x:c>
      <x:c r="BN67" t="n">
        <x:f>SUMPRODUCT(AI67:AR67,'WINA Model'!$B$83:$K$83)+BM67/('Assumptions'!$C$6-'Assumptions'!$D$6)*'WINA Model'!$K$83</x:f>
        <x:v>592.7105515532651</x:v>
      </x:c>
      <x:c r="BO67" t="n">
        <x:f>'WINA Model'!$B$94</x:f>
        <x:v>-42.825500000000005</x:v>
      </x:c>
      <x:c r="BP67" t="n">
        <x:f>'Inputs'!$C$8</x:f>
        <x:v>3.701516</x:v>
      </x:c>
    </x:row>
    <x:row r="68">
      <x:c r="A68" t="str">
        <x:v>WINA</x:v>
      </x:c>
      <x:c r="B68" s="22" t="n">
        <x:v>0.05</x:v>
      </x:c>
      <x:c r="C68" s="42" t="n">
        <x:f>(BN68+BO68)/BP68</x:f>
        <x:v>157.61721522165396</x:v>
      </x:c>
      <x:c r="D68" s="22" t="n">
        <x:f>C68/'Inputs'!$C$5-1</x:f>
        <x:v>-0.504613209222573</x:v>
      </x:c>
      <x:c r="E68" t="n">
        <x:f>'Inputs'!$C$14*(1+$B68)^1</x:f>
        <x:v>92.925</x:v>
      </x:c>
      <x:c r="F68" t="n">
        <x:f>'Inputs'!$C$14*(1+$B68)^2</x:f>
        <x:v>97.57125</x:v>
      </x:c>
      <x:c r="G68" t="n">
        <x:f>'Inputs'!$C$14*(1+$B68)^3</x:f>
        <x:v>102.44981250000001</x:v>
      </x:c>
      <x:c r="H68" t="n">
        <x:f>'Inputs'!$C$14*(1+$B68)^4</x:f>
        <x:v>107.572303125</x:v>
      </x:c>
      <x:c r="I68" t="n">
        <x:f>'Inputs'!$C$14*(1+$B68)^5</x:f>
        <x:v>112.95091828125001</x:v>
      </x:c>
      <x:c r="J68" t="n">
        <x:f>I68*(1+($BG68+('Assumptions'!$D$6-$BG68)*(6-5)/5))</x:f>
        <x:v>118.03370960390626</x:v>
      </x:c>
      <x:c r="K68" t="n">
        <x:f>J68*(1+($BG68+('Assumptions'!$D$6-$BG68)*(7-5)/5))</x:f>
        <x:v>122.75505798806252</x:v>
      </x:c>
      <x:c r="L68" t="n">
        <x:f>K68*(1+($BG68+('Assumptions'!$D$6-$BG68)*(8-5)/5))</x:f>
        <x:v>127.0514850176447</x:v>
      </x:c>
      <x:c r="M68" t="n">
        <x:f>L68*(1+($BG68+('Assumptions'!$D$6-$BG68)*(9-5)/5))</x:f>
        <x:v>130.86302956817403</x:v>
      </x:c>
      <x:c r="N68" t="n">
        <x:f>M68*(1+($BG68+('Assumptions'!$D$6-$BG68)*(10-5)/5))</x:f>
        <x:v>134.13460530737837</x:v>
      </x:c>
      <x:c r="O68" t="n">
        <x:f>0</x:f>
        <x:v>0</x:v>
      </x:c>
      <x:c r="P68" t="n">
        <x:f>0</x:f>
        <x:v>0</x:v>
      </x:c>
      <x:c r="Q68" t="n">
        <x:f>0</x:f>
        <x:v>0</x:v>
      </x:c>
      <x:c r="R68" t="n">
        <x:f>0</x:f>
        <x:v>0</x:v>
      </x:c>
      <x:c r="S68" t="n">
        <x:f>0</x:f>
        <x:v>0</x:v>
      </x:c>
      <x:c r="T68" t="n">
        <x:f>S68*(1+($BG68+('Assumptions'!$D$6-$BG68)*(6-5)/5))</x:f>
        <x:v>0</x:v>
      </x:c>
      <x:c r="U68" t="n">
        <x:f>T68*(1+($BG68+('Assumptions'!$D$6-$BG68)*(7-5)/5))</x:f>
        <x:v>0</x:v>
      </x:c>
      <x:c r="V68" t="n">
        <x:f>U68*(1+($BG68+('Assumptions'!$D$6-$BG68)*(8-5)/5))</x:f>
        <x:v>0</x:v>
      </x:c>
      <x:c r="W68" t="n">
        <x:f>V68*(1+($BG68+('Assumptions'!$D$6-$BG68)*(9-5)/5))</x:f>
        <x:v>0</x:v>
      </x:c>
      <x:c r="X68" t="n">
        <x:f>W68*(1+($BG68+('Assumptions'!$D$6-$BG68)*(10-5)/5))</x:f>
        <x:v>0</x:v>
      </x:c>
      <x:c r="Y68" t="n">
        <x:f>E68*'WINA Model'!$B$62+O68*'WINA Model'!$B$63+'WINA Model'!$B$73+'WINA Model'!$B$74</x:f>
        <x:v>56.68425</x:v>
      </x:c>
      <x:c r="Z68" t="n">
        <x:f>F68*'WINA Model'!$C$62+P68*'WINA Model'!$C$63+'WINA Model'!$C$73+'WINA Model'!$C$74</x:f>
        <x:v>60.006318750000005</x:v>
      </x:c>
      <x:c r="AA68" t="n">
        <x:f>G68*'WINA Model'!$D$62+Q68*'WINA Model'!$D$63+'WINA Model'!$D$73+'WINA Model'!$D$74</x:f>
        <x:v>63.51888375</x:v>
      </x:c>
      <x:c r="AB68" t="n">
        <x:f>H68*'WINA Model'!$E$62+R68*'WINA Model'!$E$63+'WINA Model'!$E$73+'WINA Model'!$E$74</x:f>
        <x:v>67.232689453125</x:v>
      </x:c>
      <x:c r="AC68" t="n">
        <x:f>I68*'WINA Model'!$F$62+S68*'WINA Model'!$F$63+'WINA Model'!$F$73+'WINA Model'!$F$74</x:f>
        <x:v>71.15907851718751</x:v>
      </x:c>
      <x:c r="AD68" t="n">
        <x:f>AX68*$AC68/$AW68</x:f>
        <x:v>74.36123705046094</x:v>
      </x:c>
      <x:c r="AE68" t="n">
        <x:f>AY68*$AC68/$AW68</x:f>
        <x:v>77.3356865324794</x:v>
      </x:c>
      <x:c r="AF68" t="n">
        <x:f>AZ68*$AC68/$AW68</x:f>
        <x:v>80.04243556111616</x:v>
      </x:c>
      <x:c r="AG68" t="n">
        <x:f>BA68*$AC68/$AW68</x:f>
        <x:v>82.44370862794965</x:v>
      </x:c>
      <x:c r="AH68" t="n">
        <x:f>BB68*$AC68/$AW68</x:f>
        <x:v>84.50480134364838</x:v>
      </x:c>
      <x:c r="AI68" t="n">
        <x:f>Y68*(1-'Assumptions'!$F$6)+AS68*'Assumptions'!$G$6-AS68*'WINA Model'!$B$65-(AS68-'Inputs'!$C$14)*'Assumptions'!$H$6-'Assumptions'!$I$6</x:f>
        <x:v>40.482555</x:v>
      </x:c>
      <x:c r="AJ68" t="n">
        <x:f>Z68*(1-'Assumptions'!$F$6)+AT68*'Assumptions'!$G$6-AT68*'WINA Model'!$C$65-(AT68-AS68)*'Assumptions'!$H$6-0</x:f>
        <x:v>43.36530975</x:v>
      </x:c>
      <x:c r="AK68" t="n">
        <x:f>AA68*(1-'Assumptions'!$F$6)+AU68*'Assumptions'!$G$6-AU68*'WINA Model'!$D$65-(AU68-AT68)*'Assumptions'!$H$6-0</x:f>
        <x:v>46.4351335875</x:v>
      </x:c>
      <x:c r="AL68" t="n">
        <x:f>AB68*(1-'Assumptions'!$F$6)+AV68*'Assumptions'!$G$6-AV68*'WINA Model'!$E$65-(AV68-AU68)*'Assumptions'!$H$6-0</x:f>
        <x:v>49.48838192812501</x:v>
      </x:c>
      <x:c r="AM68" t="n">
        <x:f>AC68*(1-'Assumptions'!$F$6)+AW68*'Assumptions'!$G$6-AW68*'WINA Model'!$F$65-(AW68-AV68)*'Assumptions'!$H$6-0</x:f>
        <x:v>52.6179163505625</x:v>
      </x:c>
      <x:c r="AN68" t="n">
        <x:f>AD68*(1-'Assumptions'!$F$6)+AX68*'Assumptions'!$G$6-AX68*'WINA Model'!$G$65-(AX68-AW68)*'Assumptions'!$H$6-0</x:f>
        <x:v>54.99647981665031</x:v>
      </x:c>
      <x:c r="AO68" t="n">
        <x:f>AE68*(1-'Assumptions'!$F$6)+AY68*'Assumptions'!$G$6-AY68*'WINA Model'!$H$65-(AY68-AX68)*'Assumptions'!$H$6-0</x:f>
        <x:v>57.207634101144464</x:v>
      </x:c>
      <x:c r="AP68" t="n">
        <x:f>AF68*(1-'Assumptions'!$F$6)+AZ68*'Assumptions'!$G$6-AZ68*'WINA Model'!$I$65-(AZ68-AY68)*'Assumptions'!$H$6-0</x:f>
        <x:v>59.2217046656449</x:v>
      </x:c>
      <x:c r="AQ68" t="n">
        <x:f>AG68*(1-'Assumptions'!$F$6)+BA68*'Assumptions'!$G$6-BA68*'WINA Model'!$J$65-(BA68-AZ68)*'Assumptions'!$H$6-0</x:f>
        <x:v>61.01063131141306</x:v>
      </x:c>
      <x:c r="AR68" t="n">
        <x:f>AH68*(1-'Assumptions'!$F$6)+BB68*'Assumptions'!$G$6-BB68*'WINA Model'!$K$65-(BB68-BA68)*'Assumptions'!$H$6-0</x:f>
        <x:v>62.54860224270015</x:v>
      </x:c>
      <x:c r="AS68" t="n">
        <x:f>E68+O68</x:f>
        <x:v>92.925</x:v>
      </x:c>
      <x:c r="AT68" t="n">
        <x:f>F68+P68</x:f>
        <x:v>97.57125</x:v>
      </x:c>
      <x:c r="AU68" t="n">
        <x:f>G68+Q68</x:f>
        <x:v>102.44981250000001</x:v>
      </x:c>
      <x:c r="AV68" t="n">
        <x:f>H68+R68</x:f>
        <x:v>107.572303125</x:v>
      </x:c>
      <x:c r="AW68" t="n">
        <x:f>I68+S68</x:f>
        <x:v>112.95091828125001</x:v>
      </x:c>
      <x:c r="AX68" t="n">
        <x:f>J68+T68</x:f>
        <x:v>118.03370960390626</x:v>
      </x:c>
      <x:c r="AY68" t="n">
        <x:f>K68+U68</x:f>
        <x:v>122.75505798806252</x:v>
      </x:c>
      <x:c r="AZ68" t="n">
        <x:f>L68+V68</x:f>
        <x:v>127.0514850176447</x:v>
      </x:c>
      <x:c r="BA68" t="n">
        <x:f>M68+W68</x:f>
        <x:v>130.86302956817403</x:v>
      </x:c>
      <x:c r="BB68" t="n">
        <x:f>N68+X68</x:f>
        <x:v>134.13460530737837</x:v>
      </x:c>
      <x:c r="BC68" t="n">
        <x:f>AS68/'Inputs'!$C$14-1</x:f>
        <x:v>0.050000000000000044</x:v>
      </x:c>
      <x:c r="BD68" t="n">
        <x:f>AT68/AS68-1</x:f>
        <x:v>0.050000000000000044</x:v>
      </x:c>
      <x:c r="BE68" t="n">
        <x:f>AU68/AT68-1</x:f>
        <x:v>0.050000000000000044</x:v>
      </x:c>
      <x:c r="BF68" t="n">
        <x:f>AV68/AU68-1</x:f>
        <x:v>0.050000000000000044</x:v>
      </x:c>
      <x:c r="BG68" t="n">
        <x:f>AW68/AV68-1</x:f>
        <x:v>0.050000000000000044</x:v>
      </x:c>
      <x:c r="BH68" t="n">
        <x:f>AX68/AW68-1</x:f>
        <x:v>0.04499999999999993</x:v>
      </x:c>
      <x:c r="BI68" t="n">
        <x:f>AY68/AX68-1</x:f>
        <x:v>0.040000000000000036</x:v>
      </x:c>
      <x:c r="BJ68" t="n">
        <x:f>AZ68/AY68-1</x:f>
        <x:v>0.03499999999999992</x:v>
      </x:c>
      <x:c r="BK68" t="n">
        <x:f>BA68/AZ68-1</x:f>
        <x:v>0.030000000000000027</x:v>
      </x:c>
      <x:c r="BL68" t="n">
        <x:f>BB68/BA68-1</x:f>
        <x:v>0.02499999999999991</x:v>
      </x:c>
      <x:c r="BM68" t="n">
        <x:f>AH68*(1-'Assumptions'!$F$6)*(1+'Assumptions'!$D$6)*(1-'Assumptions'!$D$6/'Assumptions'!$E$6)</x:f>
        <x:v>61.127151657651936</x:v>
      </x:c>
      <x:c r="BN68" t="n">
        <x:f>SUMPRODUCT(AI68:AR68,'WINA Model'!$B$83:$K$83)+BM68/('Assumptions'!$C$6-'Assumptions'!$D$6)*'WINA Model'!$K$83</x:f>
        <x:v>626.2481440183957</x:v>
      </x:c>
      <x:c r="BO68" t="n">
        <x:f>'WINA Model'!$B$94</x:f>
        <x:v>-42.825500000000005</x:v>
      </x:c>
      <x:c r="BP68" t="n">
        <x:f>'Inputs'!$C$8</x:f>
        <x:v>3.701516</x:v>
      </x:c>
    </x:row>
    <x:row r="69">
      <x:c r="A69" t="str">
        <x:v>WINA</x:v>
      </x:c>
      <x:c r="B69" s="22" t="n">
        <x:v>0.06</x:v>
      </x:c>
      <x:c r="C69" s="42" t="n">
        <x:f>(BN69+BO69)/BP69</x:f>
        <x:v>167.16731130399774</x:v>
      </x:c>
      <x:c r="D69" s="22" t="n">
        <x:f>C69/'Inputs'!$C$5-1</x:f>
        <x:v>-0.4745975066662548</x:v>
      </x:c>
      <x:c r="E69" t="n">
        <x:f>'Inputs'!$C$14*(1+$B69)^1</x:f>
        <x:v>93.81</x:v>
      </x:c>
      <x:c r="F69" t="n">
        <x:f>'Inputs'!$C$14*(1+$B69)^2</x:f>
        <x:v>99.43860000000001</x:v>
      </x:c>
      <x:c r="G69" t="n">
        <x:f>'Inputs'!$C$14*(1+$B69)^3</x:f>
        <x:v>105.40491600000003</x:v>
      </x:c>
      <x:c r="H69" t="n">
        <x:f>'Inputs'!$C$14*(1+$B69)^4</x:f>
        <x:v>111.72921096000003</x:v>
      </x:c>
      <x:c r="I69" t="n">
        <x:f>'Inputs'!$C$14*(1+$B69)^5</x:f>
        <x:v>118.43296361760004</x:v>
      </x:c>
      <x:c r="J69" t="n">
        <x:f>I69*(1+($BG69+('Assumptions'!$D$6-$BG69)*(6-5)/5))</x:f>
        <x:v>124.70991068933283</x:v>
      </x:c>
      <x:c r="K69" t="n">
        <x:f>J69*(1+($BG69+('Assumptions'!$D$6-$BG69)*(7-5)/5))</x:f>
        <x:v>130.44656658104213</x:v>
      </x:c>
      <x:c r="L69" t="n">
        <x:f>K69*(1+($BG69+('Assumptions'!$D$6-$BG69)*(8-5)/5))</x:f>
        <x:v>135.53398267770277</x:v>
      </x:c>
      <x:c r="M69" t="n">
        <x:f>L69*(1+($BG69+('Assumptions'!$D$6-$BG69)*(9-5)/5))</x:f>
        <x:v>139.87107012338925</x:v>
      </x:c>
      <x:c r="N69" t="n">
        <x:f>M69*(1+($BG69+('Assumptions'!$D$6-$BG69)*(10-5)/5))</x:f>
        <x:v>143.36784687647398</x:v>
      </x:c>
      <x:c r="O69" t="n">
        <x:f>0</x:f>
        <x:v>0</x:v>
      </x:c>
      <x:c r="P69" t="n">
        <x:f>0</x:f>
        <x:v>0</x:v>
      </x:c>
      <x:c r="Q69" t="n">
        <x:f>0</x:f>
        <x:v>0</x:v>
      </x:c>
      <x:c r="R69" t="n">
        <x:f>0</x:f>
        <x:v>0</x:v>
      </x:c>
      <x:c r="S69" t="n">
        <x:f>0</x:f>
        <x:v>0</x:v>
      </x:c>
      <x:c r="T69" t="n">
        <x:f>S69*(1+($BG69+('Assumptions'!$D$6-$BG69)*(6-5)/5))</x:f>
        <x:v>0</x:v>
      </x:c>
      <x:c r="U69" t="n">
        <x:f>T69*(1+($BG69+('Assumptions'!$D$6-$BG69)*(7-5)/5))</x:f>
        <x:v>0</x:v>
      </x:c>
      <x:c r="V69" t="n">
        <x:f>U69*(1+($BG69+('Assumptions'!$D$6-$BG69)*(8-5)/5))</x:f>
        <x:v>0</x:v>
      </x:c>
      <x:c r="W69" t="n">
        <x:f>V69*(1+($BG69+('Assumptions'!$D$6-$BG69)*(9-5)/5))</x:f>
        <x:v>0</x:v>
      </x:c>
      <x:c r="X69" t="n">
        <x:f>W69*(1+($BG69+('Assumptions'!$D$6-$BG69)*(10-5)/5))</x:f>
        <x:v>0</x:v>
      </x:c>
      <x:c r="Y69" t="n">
        <x:f>E69*'WINA Model'!$B$62+O69*'WINA Model'!$B$63+'WINA Model'!$B$73+'WINA Model'!$B$74</x:f>
        <x:v>57.2241</x:v>
      </x:c>
      <x:c r="Z69" t="n">
        <x:f>F69*'WINA Model'!$C$62+P69*'WINA Model'!$C$63+'WINA Model'!$C$73+'WINA Model'!$C$74</x:f>
        <x:v>61.154739000000006</x:v>
      </x:c>
      <x:c r="AA69" t="n">
        <x:f>G69*'WINA Model'!$D$62+Q69*'WINA Model'!$D$63+'WINA Model'!$D$73+'WINA Model'!$D$74</x:f>
        <x:v>65.35104792000001</x:v>
      </x:c>
      <x:c r="AB69" t="n">
        <x:f>H69*'WINA Model'!$E$62+R69*'WINA Model'!$E$63+'WINA Model'!$E$73+'WINA Model'!$E$74</x:f>
        <x:v>69.83075685000001</x:v>
      </x:c>
      <x:c r="AC69" t="n">
        <x:f>I69*'WINA Model'!$F$62+S69*'WINA Model'!$F$63+'WINA Model'!$F$73+'WINA Model'!$F$74</x:f>
        <x:v>74.61276707908803</x:v>
      </x:c>
      <x:c r="AD69" t="n">
        <x:f>AX69*$AC69/$AW69</x:f>
        <x:v>78.5672437342797</x:v>
      </x:c>
      <x:c r="AE69" t="n">
        <x:f>AY69*$AC69/$AW69</x:f>
        <x:v>82.18133694605656</x:v>
      </x:c>
      <x:c r="AF69" t="n">
        <x:f>AZ69*$AC69/$AW69</x:f>
        <x:v>85.38640908695275</x:v>
      </x:c>
      <x:c r="AG69" t="n">
        <x:f>BA69*$AC69/$AW69</x:f>
        <x:v>88.11877417773523</x:v>
      </x:c>
      <x:c r="AH69" t="n">
        <x:f>BB69*$AC69/$AW69</x:f>
        <x:v>90.32174353217862</x:v>
      </x:c>
      <x:c r="AI69" t="n">
        <x:f>Y69*(1-'Assumptions'!$F$6)+AS69*'Assumptions'!$G$6-AS69*'WINA Model'!$B$65-(AS69-'Inputs'!$C$14)*'Assumptions'!$H$6-'Assumptions'!$I$6</x:f>
        <x:v>40.851246</x:v>
      </x:c>
      <x:c r="AJ69" t="n">
        <x:f>Z69*(1-'Assumptions'!$F$6)+AT69*'Assumptions'!$G$6-AT69*'WINA Model'!$C$65-(AT69-AS69)*'Assumptions'!$H$6-0</x:f>
        <x:v>44.17738044</x:v>
      </x:c>
      <x:c r="AK69" t="n">
        <x:f>AA69*(1-'Assumptions'!$F$6)+AU69*'Assumptions'!$G$6-AU69*'WINA Model'!$D$65-(AU69-AT69)*'Assumptions'!$H$6-0</x:f>
        <x:v>47.755586527200016</x:v>
      </x:c>
      <x:c r="AL69" t="n">
        <x:f>AB69*(1-'Assumptions'!$F$6)+AV69*'Assumptions'!$G$6-AV69*'WINA Model'!$E$65-(AV69-AU69)*'Assumptions'!$H$6-0</x:f>
        <x:v>51.38068035336001</x:v>
      </x:c>
      <x:c r="AM69" t="n">
        <x:f>AC69*(1-'Assumptions'!$F$6)+AW69*'Assumptions'!$G$6-AW69*'WINA Model'!$F$65-(AW69-AV69)*'Assumptions'!$H$6-0</x:f>
        <x:v>55.15043236354371</x:v>
      </x:c>
      <x:c r="AN69" t="n">
        <x:f>AD69*(1-'Assumptions'!$F$6)+AX69*'Assumptions'!$G$6-AX69*'WINA Model'!$G$65-(AX69-AW69)*'Assumptions'!$H$6-0</x:f>
        <x:v>58.08904736834593</x:v>
      </x:c>
      <x:c r="AO69" t="n">
        <x:f>AE69*(1-'Assumptions'!$F$6)+AY69*'Assumptions'!$G$6-AY69*'WINA Model'!$H$65-(AY69-AX69)*'Assumptions'!$H$6-0</x:f>
        <x:v>60.77772416219629</x:v>
      </x:c>
      <x:c r="AP69" t="n">
        <x:f>AF69*(1-'Assumptions'!$F$6)+AZ69*'Assumptions'!$G$6-AZ69*'WINA Model'!$I$65-(AZ69-AY69)*'Assumptions'!$H$6-0</x:f>
        <x:v>63.165514792018456</x:v>
      </x:c>
      <x:c r="AQ69" t="n">
        <x:f>AG69*(1-'Assumptions'!$F$6)+BA69*'Assumptions'!$G$6-BA69*'WINA Model'!$J$65-(BA69-AZ69)*'Assumptions'!$H$6-0</x:f>
        <x:v>65.20507378468437</x:v>
      </x:c>
      <x:c r="AR69" t="n">
        <x:f>AH69*(1-'Assumptions'!$F$6)+BB69*'Assumptions'!$G$6-BB69*'WINA Model'!$K$65-(BB69-BA69)*'Assumptions'!$H$6-0</x:f>
        <x:v>66.85417538687638</x:v>
      </x:c>
      <x:c r="AS69" t="n">
        <x:f>E69+O69</x:f>
        <x:v>93.81</x:v>
      </x:c>
      <x:c r="AT69" t="n">
        <x:f>F69+P69</x:f>
        <x:v>99.43860000000001</x:v>
      </x:c>
      <x:c r="AU69" t="n">
        <x:f>G69+Q69</x:f>
        <x:v>105.40491600000003</x:v>
      </x:c>
      <x:c r="AV69" t="n">
        <x:f>H69+R69</x:f>
        <x:v>111.72921096000003</x:v>
      </x:c>
      <x:c r="AW69" t="n">
        <x:f>I69+S69</x:f>
        <x:v>118.43296361760004</x:v>
      </x:c>
      <x:c r="AX69" t="n">
        <x:f>J69+T69</x:f>
        <x:v>124.70991068933283</x:v>
      </x:c>
      <x:c r="AY69" t="n">
        <x:f>K69+U69</x:f>
        <x:v>130.44656658104213</x:v>
      </x:c>
      <x:c r="AZ69" t="n">
        <x:f>L69+V69</x:f>
        <x:v>135.53398267770277</x:v>
      </x:c>
      <x:c r="BA69" t="n">
        <x:f>M69+W69</x:f>
        <x:v>139.87107012338925</x:v>
      </x:c>
      <x:c r="BB69" t="n">
        <x:f>N69+X69</x:f>
        <x:v>143.36784687647398</x:v>
      </x:c>
      <x:c r="BC69" t="n">
        <x:f>AS69/'Inputs'!$C$14-1</x:f>
        <x:v>0.06000000000000005</x:v>
      </x:c>
      <x:c r="BD69" t="n">
        <x:f>AT69/AS69-1</x:f>
        <x:v>0.06000000000000005</x:v>
      </x:c>
      <x:c r="BE69" t="n">
        <x:f>AU69/AT69-1</x:f>
        <x:v>0.060000000000000275</x:v>
      </x:c>
      <x:c r="BF69" t="n">
        <x:f>AV69/AU69-1</x:f>
        <x:v>0.06000000000000005</x:v>
      </x:c>
      <x:c r="BG69" t="n">
        <x:f>AW69/AV69-1</x:f>
        <x:v>0.06000000000000005</x:v>
      </x:c>
      <x:c r="BH69" t="n">
        <x:f>AX69/AW69-1</x:f>
        <x:v>0.052999999999999936</x:v>
      </x:c>
      <x:c r="BI69" t="n">
        <x:f>AY69/AX69-1</x:f>
        <x:v>0.04600000000000004</x:v>
      </x:c>
      <x:c r="BJ69" t="n">
        <x:f>AZ69/AY69-1</x:f>
        <x:v>0.038999999999999924</x:v>
      </x:c>
      <x:c r="BK69" t="n">
        <x:f>BA69/AZ69-1</x:f>
        <x:v>0.03200000000000003</x:v>
      </x:c>
      <x:c r="BL69" t="n">
        <x:f>BB69/BA69-1</x:f>
        <x:v>0.02499999999999991</x:v>
      </x:c>
      <x:c r="BM69" t="n">
        <x:f>AH69*(1-'Assumptions'!$F$6)*(1+'Assumptions'!$D$6)*(1-'Assumptions'!$D$6/'Assumptions'!$E$6)</x:f>
        <x:v>65.33487833931234</x:v>
      </x:c>
      <x:c r="BN69" t="n">
        <x:f>SUMPRODUCT(AI69:AR69,'WINA Model'!$B$83:$K$83)+BM69/('Assumptions'!$C$6-'Assumptions'!$D$6)*'WINA Model'!$K$83</x:f>
        <x:v>661.5979774687285</x:v>
      </x:c>
      <x:c r="BO69" t="n">
        <x:f>'WINA Model'!$B$94</x:f>
        <x:v>-42.825500000000005</x:v>
      </x:c>
      <x:c r="BP69" t="n">
        <x:f>'Inputs'!$C$8</x:f>
        <x:v>3.701516</x:v>
      </x:c>
    </x:row>
    <x:row r="70">
      <x:c r="A70" t="str">
        <x:v>WINA</x:v>
      </x:c>
      <x:c r="B70" s="22" t="n">
        <x:v>0.07</x:v>
      </x:c>
      <x:c r="C70" s="42" t="n">
        <x:f>(BN70+BO70)/BP70</x:f>
        <x:v>177.2305319935929</x:v>
      </x:c>
      <x:c r="D70" s="22" t="n">
        <x:f>C70/'Inputs'!$C$5-1</x:f>
        <x:v>-0.44296906687119186</x:v>
      </x:c>
      <x:c r="E70" t="n">
        <x:f>'Inputs'!$C$14*(1+$B70)^1</x:f>
        <x:v>94.69500000000001</x:v>
      </x:c>
      <x:c r="F70" t="n">
        <x:f>'Inputs'!$C$14*(1+$B70)^2</x:f>
        <x:v>101.32365</x:v>
      </x:c>
      <x:c r="G70" t="n">
        <x:f>'Inputs'!$C$14*(1+$B70)^3</x:f>
        <x:v>108.4163055</x:v>
      </x:c>
      <x:c r="H70" t="n">
        <x:f>'Inputs'!$C$14*(1+$B70)^4</x:f>
        <x:v>116.005446885</x:v>
      </x:c>
      <x:c r="I70" t="n">
        <x:f>'Inputs'!$C$14*(1+$B70)^5</x:f>
        <x:v>124.12582816695001</x:v>
      </x:c>
      <x:c r="J70" t="n">
        <x:f>I70*(1+($BG70+('Assumptions'!$D$6-$BG70)*(6-5)/5))</x:f>
        <x:v>131.69750368513397</x:v>
      </x:c>
      <x:c r="K70" t="n">
        <x:f>J70*(1+($BG70+('Assumptions'!$D$6-$BG70)*(7-5)/5))</x:f>
        <x:v>138.54577387676093</x:v>
      </x:c>
      <x:c r="L70" t="n">
        <x:f>K70*(1+($BG70+('Assumptions'!$D$6-$BG70)*(8-5)/5))</x:f>
        <x:v>144.50324215346166</x:v>
      </x:c>
      <x:c r="M70" t="n">
        <x:f>L70*(1+($BG70+('Assumptions'!$D$6-$BG70)*(9-5)/5))</x:f>
        <x:v>149.41635238667936</x:v>
      </x:c>
      <x:c r="N70" t="n">
        <x:f>M70*(1+($BG70+('Assumptions'!$D$6-$BG70)*(10-5)/5))</x:f>
        <x:v>153.15176119634634</x:v>
      </x:c>
      <x:c r="O70" t="n">
        <x:f>0</x:f>
        <x:v>0</x:v>
      </x:c>
      <x:c r="P70" t="n">
        <x:f>0</x:f>
        <x:v>0</x:v>
      </x:c>
      <x:c r="Q70" t="n">
        <x:f>0</x:f>
        <x:v>0</x:v>
      </x:c>
      <x:c r="R70" t="n">
        <x:f>0</x:f>
        <x:v>0</x:v>
      </x:c>
      <x:c r="S70" t="n">
        <x:f>0</x:f>
        <x:v>0</x:v>
      </x:c>
      <x:c r="T70" t="n">
        <x:f>S70*(1+($BG70+('Assumptions'!$D$6-$BG70)*(6-5)/5))</x:f>
        <x:v>0</x:v>
      </x:c>
      <x:c r="U70" t="n">
        <x:f>T70*(1+($BG70+('Assumptions'!$D$6-$BG70)*(7-5)/5))</x:f>
        <x:v>0</x:v>
      </x:c>
      <x:c r="V70" t="n">
        <x:f>U70*(1+($BG70+('Assumptions'!$D$6-$BG70)*(8-5)/5))</x:f>
        <x:v>0</x:v>
      </x:c>
      <x:c r="W70" t="n">
        <x:f>V70*(1+($BG70+('Assumptions'!$D$6-$BG70)*(9-5)/5))</x:f>
        <x:v>0</x:v>
      </x:c>
      <x:c r="X70" t="n">
        <x:f>W70*(1+($BG70+('Assumptions'!$D$6-$BG70)*(10-5)/5))</x:f>
        <x:v>0</x:v>
      </x:c>
      <x:c r="Y70" t="n">
        <x:f>E70*'WINA Model'!$B$62+O70*'WINA Model'!$B$63+'WINA Model'!$B$73+'WINA Model'!$B$74</x:f>
        <x:v>57.76395</x:v>
      </x:c>
      <x:c r="Z70" t="n">
        <x:f>F70*'WINA Model'!$C$62+P70*'WINA Model'!$C$63+'WINA Model'!$C$73+'WINA Model'!$C$74</x:f>
        <x:v>62.31404475</x:v>
      </x:c>
      <x:c r="AA70" t="n">
        <x:f>G70*'WINA Model'!$D$62+Q70*'WINA Model'!$D$63+'WINA Model'!$D$73+'WINA Model'!$D$74</x:f>
        <x:v>67.21810941000001</x:v>
      </x:c>
      <x:c r="AB70" t="n">
        <x:f>H70*'WINA Model'!$E$62+R70*'WINA Model'!$E$63+'WINA Model'!$E$73+'WINA Model'!$E$74</x:f>
        <x:v>72.503404303125</x:v>
      </x:c>
      <x:c r="AC70" t="n">
        <x:f>I70*'WINA Model'!$F$62+S70*'WINA Model'!$F$63+'WINA Model'!$F$73+'WINA Model'!$F$74</x:f>
        <x:v>78.1992717451785</x:v>
      </x:c>
      <x:c r="AD70" t="n">
        <x:f>AX70*$AC70/$AW70</x:f>
        <x:v>82.96942732163438</x:v>
      </x:c>
      <x:c r="AE70" t="n">
        <x:f>AY70*$AC70/$AW70</x:f>
        <x:v>87.28383754235938</x:v>
      </x:c>
      <x:c r="AF70" t="n">
        <x:f>AZ70*$AC70/$AW70</x:f>
        <x:v>91.03704255668083</x:v>
      </x:c>
      <x:c r="AG70" t="n">
        <x:f>BA70*$AC70/$AW70</x:f>
        <x:v>94.13230200360799</x:v>
      </x:c>
      <x:c r="AH70" t="n">
        <x:f>BB70*$AC70/$AW70</x:f>
        <x:v>96.4856095536982</x:v>
      </x:c>
      <x:c r="AI70" t="n">
        <x:f>Y70*(1-'Assumptions'!$F$6)+AS70*'Assumptions'!$G$6-AS70*'WINA Model'!$B$65-(AS70-'Inputs'!$C$14)*'Assumptions'!$H$6-'Assumptions'!$I$6</x:f>
        <x:v>41.219936999999994</x:v>
      </x:c>
      <x:c r="AJ70" t="n">
        <x:f>Z70*(1-'Assumptions'!$F$6)+AT70*'Assumptions'!$G$6-AT70*'WINA Model'!$C$65-(AT70-AS70)*'Assumptions'!$H$6-0</x:f>
        <x:v>44.99698071</x:v>
      </x:c>
      <x:c r="AK70" t="n">
        <x:f>AA70*(1-'Assumptions'!$F$6)+AU70*'Assumptions'!$G$6-AU70*'WINA Model'!$D$65-(AU70-AT70)*'Assumptions'!$H$6-0</x:f>
        <x:v>49.100832848100005</x:v>
      </x:c>
      <x:c r="AL70" t="n">
        <x:f>AB70*(1-'Assumptions'!$F$6)+AV70*'Assumptions'!$G$6-AV70*'WINA Model'!$E$65-(AV70-AU70)*'Assumptions'!$H$6-0</x:f>
        <x:v>53.326728186284996</x:v>
      </x:c>
      <x:c r="AM70" t="n">
        <x:f>AC70*(1-'Assumptions'!$F$6)+AW70*'Assumptions'!$G$6-AW70*'WINA Model'!$F$65-(AW70-AV70)*'Assumptions'!$H$6-0</x:f>
        <x:v>57.77952896269327</x:v>
      </x:c>
      <x:c r="AN70" t="n">
        <x:f>AD70*(1-'Assumptions'!$F$6)+AX70*'Assumptions'!$G$6-AX70*'WINA Model'!$G$65-(AX70-AW70)*'Assumptions'!$H$6-0</x:f>
        <x:v>61.324961209856845</x:v>
      </x:c>
      <x:c r="AO70" t="n">
        <x:f>AE70*(1-'Assumptions'!$F$6)+AY70*'Assumptions'!$G$6-AY70*'WINA Model'!$H$65-(AY70-AX70)*'Assumptions'!$H$6-0</x:f>
        <x:v>64.53620184183947</x:v>
      </x:c>
      <x:c r="AP70" t="n">
        <x:f>AF70*(1-'Assumptions'!$F$6)+AZ70*'Assumptions'!$G$6-AZ70*'WINA Model'!$I$65-(AZ70-AY70)*'Assumptions'!$H$6-0</x:f>
        <x:v>67.33496407170188</x:v>
      </x:c>
      <x:c r="AQ70" t="n">
        <x:f>AG70*(1-'Assumptions'!$F$6)+BA70*'Assumptions'!$G$6-BA70*'WINA Model'!$J$65-(BA70-AZ70)*'Assumptions'!$H$6-0</x:f>
        <x:v>69.64929108943755</x:v>
      </x:c>
      <x:c r="AR70" t="n">
        <x:f>AH70*(1-'Assumptions'!$F$6)+BB70*'Assumptions'!$G$6-BB70*'WINA Model'!$K$65-(BB70-BA70)*'Assumptions'!$H$6-0</x:f>
        <x:v>71.41653395026113</x:v>
      </x:c>
      <x:c r="AS70" t="n">
        <x:f>E70+O70</x:f>
        <x:v>94.69500000000001</x:v>
      </x:c>
      <x:c r="AT70" t="n">
        <x:f>F70+P70</x:f>
        <x:v>101.32365</x:v>
      </x:c>
      <x:c r="AU70" t="n">
        <x:f>G70+Q70</x:f>
        <x:v>108.4163055</x:v>
      </x:c>
      <x:c r="AV70" t="n">
        <x:f>H70+R70</x:f>
        <x:v>116.005446885</x:v>
      </x:c>
      <x:c r="AW70" t="n">
        <x:f>I70+S70</x:f>
        <x:v>124.12582816695001</x:v>
      </x:c>
      <x:c r="AX70" t="n">
        <x:f>J70+T70</x:f>
        <x:v>131.69750368513397</x:v>
      </x:c>
      <x:c r="AY70" t="n">
        <x:f>K70+U70</x:f>
        <x:v>138.54577387676093</x:v>
      </x:c>
      <x:c r="AZ70" t="n">
        <x:f>L70+V70</x:f>
        <x:v>144.50324215346166</x:v>
      </x:c>
      <x:c r="BA70" t="n">
        <x:f>M70+W70</x:f>
        <x:v>149.41635238667936</x:v>
      </x:c>
      <x:c r="BB70" t="n">
        <x:f>N70+X70</x:f>
        <x:v>153.15176119634634</x:v>
      </x:c>
      <x:c r="BC70" t="n">
        <x:f>AS70/'Inputs'!$C$14-1</x:f>
        <x:v>0.07000000000000006</x:v>
      </x:c>
      <x:c r="BD70" t="n">
        <x:f>AT70/AS70-1</x:f>
        <x:v>0.06999999999999984</x:v>
      </x:c>
      <x:c r="BE70" t="n">
        <x:f>AU70/AT70-1</x:f>
        <x:v>0.07000000000000006</x:v>
      </x:c>
      <x:c r="BF70" t="n">
        <x:f>AV70/AU70-1</x:f>
        <x:v>0.06999999999999984</x:v>
      </x:c>
      <x:c r="BG70" t="n">
        <x:f>AW70/AV70-1</x:f>
        <x:v>0.07000000000000006</x:v>
      </x:c>
      <x:c r="BH70" t="n">
        <x:f>AX70/AW70-1</x:f>
        <x:v>0.06099999999999994</x:v>
      </x:c>
      <x:c r="BI70" t="n">
        <x:f>AY70/AX70-1</x:f>
        <x:v>0.052000000000000046</x:v>
      </x:c>
      <x:c r="BJ70" t="n">
        <x:f>AZ70/AY70-1</x:f>
        <x:v>0.04299999999999993</x:v>
      </x:c>
      <x:c r="BK70" t="n">
        <x:f>BA70/AZ70-1</x:f>
        <x:v>0.03400000000000003</x:v>
      </x:c>
      <x:c r="BL70" t="n">
        <x:f>BB70/BA70-1</x:f>
        <x:v>0.02499999999999991</x:v>
      </x:c>
      <x:c r="BM70" t="n">
        <x:f>AH70*(1-'Assumptions'!$F$6)*(1+'Assumptions'!$D$6)*(1-'Assumptions'!$D$6/'Assumptions'!$E$6)</x:f>
        <x:v>69.79355485359298</x:v>
      </x:c>
      <x:c r="BN70" t="n">
        <x:f>SUMPRODUCT(AI70:AR70,'WINA Model'!$B$83:$K$83)+BM70/('Assumptions'!$C$6-'Assumptions'!$D$6)*'WINA Model'!$K$83</x:f>
        <x:v>698.8471498627961</x:v>
      </x:c>
      <x:c r="BO70" t="n">
        <x:f>'WINA Model'!$B$94</x:f>
        <x:v>-42.825500000000005</x:v>
      </x:c>
      <x:c r="BP70" t="n">
        <x:f>'Inputs'!$C$8</x:f>
        <x:v>3.701516</x:v>
      </x:c>
    </x:row>
    <x:row r="71">
      <x:c r="A71" t="str">
        <x:v>WINA</x:v>
      </x:c>
      <x:c r="B71" s="22" t="n">
        <x:v>0.08</x:v>
      </x:c>
      <x:c r="C71" s="42" t="n">
        <x:f>(BN71+BO71)/BP71</x:f>
        <x:v>187.83136481080004</x:v>
      </x:c>
      <x:c r="D71" s="22" t="n">
        <x:f>C71/'Inputs'!$C$5-1</x:f>
        <x:v>-0.40965092620045873</x:v>
      </x:c>
      <x:c r="E71" t="n">
        <x:f>'Inputs'!$C$14*(1+$B71)^1</x:f>
        <x:v>95.58000000000001</x:v>
      </x:c>
      <x:c r="F71" t="n">
        <x:f>'Inputs'!$C$14*(1+$B71)^2</x:f>
        <x:v>103.22640000000001</x:v>
      </x:c>
      <x:c r="G71" t="n">
        <x:f>'Inputs'!$C$14*(1+$B71)^3</x:f>
        <x:v>111.48451200000001</x:v>
      </x:c>
      <x:c r="H71" t="n">
        <x:f>'Inputs'!$C$14*(1+$B71)^4</x:f>
        <x:v>120.40327296000002</x:v>
      </x:c>
      <x:c r="I71" t="n">
        <x:f>'Inputs'!$C$14*(1+$B71)^5</x:f>
        <x:v>130.03553479680002</x:v>
      </x:c>
      <x:c r="J71" t="n">
        <x:f>I71*(1+($BG71+('Assumptions'!$D$6-$BG71)*(6-5)/5))</x:f>
        <x:v>139.00798669777922</x:v>
      </x:c>
      <x:c r="K71" t="n">
        <x:f>J71*(1+($BG71+('Assumptions'!$D$6-$BG71)*(7-5)/5))</x:f>
        <x:v>147.0704499262504</x:v>
      </x:c>
      <x:c r="L71" t="n">
        <x:f>K71*(1+($BG71+('Assumptions'!$D$6-$BG71)*(8-5)/5))</x:f>
        <x:v>153.98276107278417</x:v>
      </x:c>
      <x:c r="M71" t="n">
        <x:f>L71*(1+($BG71+('Assumptions'!$D$6-$BG71)*(9-5)/5))</x:f>
        <x:v>159.5261404714044</x:v>
      </x:c>
      <x:c r="N71" t="n">
        <x:f>M71*(1+($BG71+('Assumptions'!$D$6-$BG71)*(10-5)/5))</x:f>
        <x:v>163.5142939831895</x:v>
      </x:c>
      <x:c r="O71" t="n">
        <x:f>0</x:f>
        <x:v>0</x:v>
      </x:c>
      <x:c r="P71" t="n">
        <x:f>0</x:f>
        <x:v>0</x:v>
      </x:c>
      <x:c r="Q71" t="n">
        <x:f>0</x:f>
        <x:v>0</x:v>
      </x:c>
      <x:c r="R71" t="n">
        <x:f>0</x:f>
        <x:v>0</x:v>
      </x:c>
      <x:c r="S71" t="n">
        <x:f>0</x:f>
        <x:v>0</x:v>
      </x:c>
      <x:c r="T71" t="n">
        <x:f>S71*(1+($BG71+('Assumptions'!$D$6-$BG71)*(6-5)/5))</x:f>
        <x:v>0</x:v>
      </x:c>
      <x:c r="U71" t="n">
        <x:f>T71*(1+($BG71+('Assumptions'!$D$6-$BG71)*(7-5)/5))</x:f>
        <x:v>0</x:v>
      </x:c>
      <x:c r="V71" t="n">
        <x:f>U71*(1+($BG71+('Assumptions'!$D$6-$BG71)*(8-5)/5))</x:f>
        <x:v>0</x:v>
      </x:c>
      <x:c r="W71" t="n">
        <x:f>V71*(1+($BG71+('Assumptions'!$D$6-$BG71)*(9-5)/5))</x:f>
        <x:v>0</x:v>
      </x:c>
      <x:c r="X71" t="n">
        <x:f>W71*(1+($BG71+('Assumptions'!$D$6-$BG71)*(10-5)/5))</x:f>
        <x:v>0</x:v>
      </x:c>
      <x:c r="Y71" t="n">
        <x:f>E71*'WINA Model'!$B$62+O71*'WINA Model'!$B$63+'WINA Model'!$B$73+'WINA Model'!$B$74</x:f>
        <x:v>58.30380000000001</x:v>
      </x:c>
      <x:c r="Z71" t="n">
        <x:f>F71*'WINA Model'!$C$62+P71*'WINA Model'!$C$63+'WINA Model'!$C$73+'WINA Model'!$C$74</x:f>
        <x:v>63.48423600000001</x:v>
      </x:c>
      <x:c r="AA71" t="n">
        <x:f>G71*'WINA Model'!$D$62+Q71*'WINA Model'!$D$63+'WINA Model'!$D$73+'WINA Model'!$D$74</x:f>
        <x:v>69.12039744</x:v>
      </x:c>
      <x:c r="AB71" t="n">
        <x:f>H71*'WINA Model'!$E$62+R71*'WINA Model'!$E$63+'WINA Model'!$E$73+'WINA Model'!$E$74</x:f>
        <x:v>75.25204560000002</x:v>
      </x:c>
      <x:c r="AC71" t="n">
        <x:f>I71*'WINA Model'!$F$62+S71*'WINA Model'!$F$63+'WINA Model'!$F$73+'WINA Model'!$F$74</x:f>
        <x:v>81.92238692198401</x:v>
      </x:c>
      <x:c r="AD71" t="n">
        <x:f>AX71*$AC71/$AW71</x:f>
        <x:v>87.5750316196009</x:v>
      </x:c>
      <x:c r="AE71" t="n">
        <x:f>AY71*$AC71/$AW71</x:f>
        <x:v>92.65438345353775</x:v>
      </x:c>
      <x:c r="AF71" t="n">
        <x:f>AZ71*$AC71/$AW71</x:f>
        <x:v>97.00913947585403</x:v>
      </x:c>
      <x:c r="AG71" t="n">
        <x:f>BA71*$AC71/$AW71</x:f>
        <x:v>100.50146849698477</x:v>
      </x:c>
      <x:c r="AH71" t="n">
        <x:f>BB71*$AC71/$AW71</x:f>
        <x:v>103.01400520940938</x:v>
      </x:c>
      <x:c r="AI71" t="n">
        <x:f>Y71*(1-'Assumptions'!$F$6)+AS71*'Assumptions'!$G$6-AS71*'WINA Model'!$B$65-(AS71-'Inputs'!$C$14)*'Assumptions'!$H$6-'Assumptions'!$I$6</x:f>
        <x:v>41.58862800000001</x:v>
      </x:c>
      <x:c r="AJ71" t="n">
        <x:f>Z71*(1-'Assumptions'!$F$6)+AT71*'Assumptions'!$G$6-AT71*'WINA Model'!$C$65-(AT71-AS71)*'Assumptions'!$H$6-0</x:f>
        <x:v>45.82411056</x:v>
      </x:c>
      <x:c r="AK71" t="n">
        <x:f>AA71*(1-'Assumptions'!$F$6)+AU71*'Assumptions'!$G$6-AU71*'WINA Model'!$D$65-(AU71-AT71)*'Assumptions'!$H$6-0</x:f>
        <x:v>50.4711031104</x:v>
      </x:c>
      <x:c r="AL71" t="n">
        <x:f>AB71*(1-'Assumptions'!$F$6)+AV71*'Assumptions'!$G$6-AV71*'WINA Model'!$E$65-(AV71-AU71)*'Assumptions'!$H$6-0</x:f>
        <x:v>55.32753361536002</x:v>
      </x:c>
      <x:c r="AM71" t="n">
        <x:f>AC71*(1-'Assumptions'!$F$6)+AW71*'Assumptions'!$G$6-AW71*'WINA Model'!$F$65-(AW71-AV71)*'Assumptions'!$H$6-0</x:f>
        <x:v>60.50794240641025</x:v>
      </x:c>
      <x:c r="AN71" t="n">
        <x:f>AD71*(1-'Assumptions'!$F$6)+AX71*'Assumptions'!$G$6-AX71*'WINA Model'!$G$65-(AX71-AW71)*'Assumptions'!$H$6-0</x:f>
        <x:v>64.70947915250375</x:v>
      </x:c>
      <x:c r="AO71" t="n">
        <x:f>AE71*(1-'Assumptions'!$F$6)+AY71*'Assumptions'!$G$6-AY71*'WINA Model'!$H$65-(AY71-AX71)*'Assumptions'!$H$6-0</x:f>
        <x:v>68.49123676100426</x:v>
      </x:c>
      <x:c r="AP71" t="n">
        <x:f>AF71*(1-'Assumptions'!$F$6)+AZ71*'Assumptions'!$G$6-AZ71*'WINA Model'!$I$65-(AZ71-AY71)*'Assumptions'!$H$6-0</x:f>
        <x:v>71.74090664584499</x:v>
      </x:c>
      <x:c r="AQ71" t="n">
        <x:f>AG71*(1-'Assumptions'!$F$6)+BA71*'Assumptions'!$G$6-BA71*'WINA Model'!$J$65-(BA71-AZ71)*'Assumptions'!$H$6-0</x:f>
        <x:v>74.35593478407917</x:v>
      </x:c>
      <x:c r="AR71" t="n">
        <x:f>AH71*(1-'Assumptions'!$F$6)+BB71*'Assumptions'!$G$6-BB71*'WINA Model'!$K$65-(BB71-BA71)*'Assumptions'!$H$6-0</x:f>
        <x:v>76.24870936111715</x:v>
      </x:c>
      <x:c r="AS71" t="n">
        <x:f>E71+O71</x:f>
        <x:v>95.58000000000001</x:v>
      </x:c>
      <x:c r="AT71" t="n">
        <x:f>F71+P71</x:f>
        <x:v>103.22640000000001</x:v>
      </x:c>
      <x:c r="AU71" t="n">
        <x:f>G71+Q71</x:f>
        <x:v>111.48451200000001</x:v>
      </x:c>
      <x:c r="AV71" t="n">
        <x:f>H71+R71</x:f>
        <x:v>120.40327296000002</x:v>
      </x:c>
      <x:c r="AW71" t="n">
        <x:f>I71+S71</x:f>
        <x:v>130.03553479680002</x:v>
      </x:c>
      <x:c r="AX71" t="n">
        <x:f>J71+T71</x:f>
        <x:v>139.00798669777922</x:v>
      </x:c>
      <x:c r="AY71" t="n">
        <x:f>K71+U71</x:f>
        <x:v>147.0704499262504</x:v>
      </x:c>
      <x:c r="AZ71" t="n">
        <x:f>L71+V71</x:f>
        <x:v>153.98276107278417</x:v>
      </x:c>
      <x:c r="BA71" t="n">
        <x:f>M71+W71</x:f>
        <x:v>159.5261404714044</x:v>
      </x:c>
      <x:c r="BB71" t="n">
        <x:f>N71+X71</x:f>
        <x:v>163.5142939831895</x:v>
      </x:c>
      <x:c r="BC71" t="n">
        <x:f>AS71/'Inputs'!$C$14-1</x:f>
        <x:v>0.08000000000000007</x:v>
      </x:c>
      <x:c r="BD71" t="n">
        <x:f>AT71/AS71-1</x:f>
        <x:v>0.08000000000000007</x:v>
      </x:c>
      <x:c r="BE71" t="n">
        <x:f>AU71/AT71-1</x:f>
        <x:v>0.08000000000000007</x:v>
      </x:c>
      <x:c r="BF71" t="n">
        <x:f>AV71/AU71-1</x:f>
        <x:v>0.08000000000000007</x:v>
      </x:c>
      <x:c r="BG71" t="n">
        <x:f>AW71/AV71-1</x:f>
        <x:v>0.08000000000000007</x:v>
      </x:c>
      <x:c r="BH71" t="n">
        <x:f>AX71/AW71-1</x:f>
        <x:v>0.06899999999999995</x:v>
      </x:c>
      <x:c r="BI71" t="n">
        <x:f>AY71/AX71-1</x:f>
        <x:v>0.05800000000000005</x:v>
      </x:c>
      <x:c r="BJ71" t="n">
        <x:f>AZ71/AY71-1</x:f>
        <x:v>0.04699999999999993</x:v>
      </x:c>
      <x:c r="BK71" t="n">
        <x:f>BA71/AZ71-1</x:f>
        <x:v>0.03600000000000003</x:v>
      </x:c>
      <x:c r="BL71" t="n">
        <x:f>BB71/BA71-1</x:f>
        <x:v>0.02499999999999991</x:v>
      </x:c>
      <x:c r="BM71" t="n">
        <x:f>AH71*(1-'Assumptions'!$F$6)*(1+'Assumptions'!$D$6)*(1-'Assumptions'!$D$6/'Assumptions'!$E$6)</x:f>
        <x:v>74.5159164825492</x:v>
      </x:c>
      <x:c r="BN71" t="n">
        <x:f>SUMPRODUCT(AI71:AR71,'WINA Model'!$B$83:$K$83)+BM71/('Assumptions'!$C$6-'Assumptions'!$D$6)*'WINA Model'!$K$83</x:f>
        <x:v>738.0863021490134</x:v>
      </x:c>
      <x:c r="BO71" t="n">
        <x:f>'WINA Model'!$B$94</x:f>
        <x:v>-42.825500000000005</x:v>
      </x:c>
      <x:c r="BP71" t="n">
        <x:f>'Inputs'!$C$8</x:f>
        <x:v>3.701516</x:v>
      </x:c>
    </x:row>
    <x:row r="72">
      <x:c r="A72" t="str">
        <x:v>WINA</x:v>
      </x:c>
      <x:c r="B72" s="22" t="n">
        <x:v>0.09</x:v>
      </x:c>
      <x:c r="C72" s="42" t="n">
        <x:f>(BN72+BO72)/BP72</x:f>
        <x:v>198.9952860774416</x:v>
      </x:c>
      <x:c r="D72" s="22" t="n">
        <x:f>C72/'Inputs'!$C$5-1</x:f>
        <x:v>-0.3745630132399611</x:v>
      </x:c>
      <x:c r="E72" t="n">
        <x:f>'Inputs'!$C$14*(1+$B72)^1</x:f>
        <x:v>96.465</x:v>
      </x:c>
      <x:c r="F72" t="n">
        <x:f>'Inputs'!$C$14*(1+$B72)^2</x:f>
        <x:v>105.14685000000001</x:v>
      </x:c>
      <x:c r="G72" t="n">
        <x:f>'Inputs'!$C$14*(1+$B72)^3</x:f>
        <x:v>114.61006650000002</x:v>
      </x:c>
      <x:c r="H72" t="n">
        <x:f>'Inputs'!$C$14*(1+$B72)^4</x:f>
        <x:v>124.92497248500003</x:v>
      </x:c>
      <x:c r="I72" t="n">
        <x:f>'Inputs'!$C$14*(1+$B72)^5</x:f>
        <x:v>136.16822000865005</x:v>
      </x:c>
      <x:c r="J72" t="n">
        <x:f>I72*(1+($BG72+('Assumptions'!$D$6-$BG72)*(6-5)/5))</x:f>
        <x:v>146.65317294931614</x:v>
      </x:c>
      <x:c r="K72" t="n">
        <x:f>J72*(1+($BG72+('Assumptions'!$D$6-$BG72)*(7-5)/5))</x:f>
        <x:v>156.03897601807242</x:v>
      </x:c>
      <x:c r="L72" t="n">
        <x:f>K72*(1+($BG72+('Assumptions'!$D$6-$BG72)*(8-5)/5))</x:f>
        <x:v>163.99696379499414</x:v>
      </x:c>
      <x:c r="M72" t="n">
        <x:f>L72*(1+($BG72+('Assumptions'!$D$6-$BG72)*(9-5)/5))</x:f>
        <x:v>170.22884841920393</x:v>
      </x:c>
      <x:c r="N72" t="n">
        <x:f>M72*(1+($BG72+('Assumptions'!$D$6-$BG72)*(10-5)/5))</x:f>
        <x:v>174.48456962968402</x:v>
      </x:c>
      <x:c r="O72" t="n">
        <x:f>0</x:f>
        <x:v>0</x:v>
      </x:c>
      <x:c r="P72" t="n">
        <x:f>0</x:f>
        <x:v>0</x:v>
      </x:c>
      <x:c r="Q72" t="n">
        <x:f>0</x:f>
        <x:v>0</x:v>
      </x:c>
      <x:c r="R72" t="n">
        <x:f>0</x:f>
        <x:v>0</x:v>
      </x:c>
      <x:c r="S72" t="n">
        <x:f>0</x:f>
        <x:v>0</x:v>
      </x:c>
      <x:c r="T72" t="n">
        <x:f>S72*(1+($BG72+('Assumptions'!$D$6-$BG72)*(6-5)/5))</x:f>
        <x:v>0</x:v>
      </x:c>
      <x:c r="U72" t="n">
        <x:f>T72*(1+($BG72+('Assumptions'!$D$6-$BG72)*(7-5)/5))</x:f>
        <x:v>0</x:v>
      </x:c>
      <x:c r="V72" t="n">
        <x:f>U72*(1+($BG72+('Assumptions'!$D$6-$BG72)*(8-5)/5))</x:f>
        <x:v>0</x:v>
      </x:c>
      <x:c r="W72" t="n">
        <x:f>V72*(1+($BG72+('Assumptions'!$D$6-$BG72)*(9-5)/5))</x:f>
        <x:v>0</x:v>
      </x:c>
      <x:c r="X72" t="n">
        <x:f>W72*(1+($BG72+('Assumptions'!$D$6-$BG72)*(10-5)/5))</x:f>
        <x:v>0</x:v>
      </x:c>
      <x:c r="Y72" t="n">
        <x:f>E72*'WINA Model'!$B$62+O72*'WINA Model'!$B$63+'WINA Model'!$B$73+'WINA Model'!$B$74</x:f>
        <x:v>58.843650000000004</x:v>
      </x:c>
      <x:c r="Z72" t="n">
        <x:f>F72*'WINA Model'!$C$62+P72*'WINA Model'!$C$63+'WINA Model'!$C$73+'WINA Model'!$C$74</x:f>
        <x:v>64.66531275000001</x:v>
      </x:c>
      <x:c r="AA72" t="n">
        <x:f>G72*'WINA Model'!$D$62+Q72*'WINA Model'!$D$63+'WINA Model'!$D$73+'WINA Model'!$D$74</x:f>
        <x:v>71.05824123000001</x:v>
      </x:c>
      <x:c r="AB72" t="n">
        <x:f>H72*'WINA Model'!$E$62+R72*'WINA Model'!$E$63+'WINA Model'!$E$73+'WINA Model'!$E$74</x:f>
        <x:v>78.07810780312502</x:v>
      </x:c>
      <x:c r="AC72" t="n">
        <x:f>I72*'WINA Model'!$F$62+S72*'WINA Model'!$F$63+'WINA Model'!$F$73+'WINA Model'!$F$74</x:f>
        <x:v>85.78597860544953</x:v>
      </x:c>
      <x:c r="AD72" t="n">
        <x:f>AX72*$AC72/$AW72</x:f>
        <x:v>92.39149895806916</x:v>
      </x:c>
      <x:c r="AE72" t="n">
        <x:f>AY72*$AC72/$AW72</x:f>
        <x:v>98.30455489138562</x:v>
      </x:c>
      <x:c r="AF72" t="n">
        <x:f>AZ72*$AC72/$AW72</x:f>
        <x:v>103.31808719084631</x:v>
      </x:c>
      <x:c r="AG72" t="n">
        <x:f>BA72*$AC72/$AW72</x:f>
        <x:v>107.24417450409847</x:v>
      </x:c>
      <x:c r="AH72" t="n">
        <x:f>BB72*$AC72/$AW72</x:f>
        <x:v>109.92527886670094</x:v>
      </x:c>
      <x:c r="AI72" t="n">
        <x:f>Y72*(1-'Assumptions'!$F$6)+AS72*'Assumptions'!$G$6-AS72*'WINA Model'!$B$65-(AS72-'Inputs'!$C$14)*'Assumptions'!$H$6-'Assumptions'!$I$6</x:f>
        <x:v>41.957319000000005</x:v>
      </x:c>
      <x:c r="AJ72" t="n">
        <x:f>Z72*(1-'Assumptions'!$F$6)+AT72*'Assumptions'!$G$6-AT72*'WINA Model'!$C$65-(AT72-AS72)*'Assumptions'!$H$6-0</x:f>
        <x:v>46.65876999</x:v>
      </x:c>
      <x:c r="AK72" t="n">
        <x:f>AA72*(1-'Assumptions'!$F$6)+AU72*'Assumptions'!$G$6-AU72*'WINA Model'!$D$65-(AU72-AT72)*'Assumptions'!$H$6-0</x:f>
        <x:v>51.86662787430001</x:v>
      </x:c>
      <x:c r="AL72" t="n">
        <x:f>AB72*(1-'Assumptions'!$F$6)+AV72*'Assumptions'!$G$6-AV72*'WINA Model'!$E$65-(AV72-AU72)*'Assumptions'!$H$6-0</x:f>
        <x:v>57.38411419588502</x:v>
      </x:c>
      <x:c r="AM72" t="n">
        <x:f>AC72*(1-'Assumptions'!$F$6)+AW72*'Assumptions'!$G$6-AW72*'WINA Model'!$F$65-(AW72-AV72)*'Assumptions'!$H$6-0</x:f>
        <x:v>63.33846014956485</x:v>
      </x:c>
      <x:c r="AN72" t="n">
        <x:f>AD72*(1-'Assumptions'!$F$6)+AX72*'Assumptions'!$G$6-AX72*'WINA Model'!$G$65-(AX72-AW72)*'Assumptions'!$H$6-0</x:f>
        <x:v>68.24800207392744</x:v>
      </x:c>
      <x:c r="AO72" t="n">
        <x:f>AE72*(1-'Assumptions'!$F$6)+AY72*'Assumptions'!$G$6-AY72*'WINA Model'!$H$65-(AY72-AX72)*'Assumptions'!$H$6-0</x:f>
        <x:v>72.65127794386107</x:v>
      </x:c>
      <x:c r="AP72" t="n">
        <x:f>AF72*(1-'Assumptions'!$F$6)+AZ72*'Assumptions'!$G$6-AZ72*'WINA Model'!$I$65-(AZ72-AY72)*'Assumptions'!$H$6-0</x:f>
        <x:v>76.39462294396485</x:v>
      </x:c>
      <x:c r="AQ72" t="n">
        <x:f>AG72*(1-'Assumptions'!$F$6)+BA72*'Assumptions'!$G$6-BA72*'WINA Model'!$J$65-(BA72-AZ72)*'Assumptions'!$H$6-0</x:f>
        <x:v>79.33818874960018</x:v>
      </x:c>
      <x:c r="AR72" t="n">
        <x:f>AH72*(1-'Assumptions'!$F$6)+BB72*'Assumptions'!$G$6-BB72*'WINA Model'!$K$65-(BB72-BA72)*'Assumptions'!$H$6-0</x:f>
        <x:v>81.36428267892688</x:v>
      </x:c>
      <x:c r="AS72" t="n">
        <x:f>E72+O72</x:f>
        <x:v>96.465</x:v>
      </x:c>
      <x:c r="AT72" t="n">
        <x:f>F72+P72</x:f>
        <x:v>105.14685000000001</x:v>
      </x:c>
      <x:c r="AU72" t="n">
        <x:f>G72+Q72</x:f>
        <x:v>114.61006650000002</x:v>
      </x:c>
      <x:c r="AV72" t="n">
        <x:f>H72+R72</x:f>
        <x:v>124.92497248500003</x:v>
      </x:c>
      <x:c r="AW72" t="n">
        <x:f>I72+S72</x:f>
        <x:v>136.16822000865005</x:v>
      </x:c>
      <x:c r="AX72" t="n">
        <x:f>J72+T72</x:f>
        <x:v>146.65317294931614</x:v>
      </x:c>
      <x:c r="AY72" t="n">
        <x:f>K72+U72</x:f>
        <x:v>156.03897601807242</x:v>
      </x:c>
      <x:c r="AZ72" t="n">
        <x:f>L72+V72</x:f>
        <x:v>163.99696379499414</x:v>
      </x:c>
      <x:c r="BA72" t="n">
        <x:f>M72+W72</x:f>
        <x:v>170.22884841920393</x:v>
      </x:c>
      <x:c r="BB72" t="n">
        <x:f>N72+X72</x:f>
        <x:v>174.48456962968402</x:v>
      </x:c>
      <x:c r="BC72" t="n">
        <x:f>AS72/'Inputs'!$C$14-1</x:f>
        <x:v>0.09000000000000008</x:v>
      </x:c>
      <x:c r="BD72" t="n">
        <x:f>AT72/AS72-1</x:f>
        <x:v>0.09000000000000008</x:v>
      </x:c>
      <x:c r="BE72" t="n">
        <x:f>AU72/AT72-1</x:f>
        <x:v>0.09000000000000008</x:v>
      </x:c>
      <x:c r="BF72" t="n">
        <x:f>AV72/AU72-1</x:f>
        <x:v>0.09000000000000008</x:v>
      </x:c>
      <x:c r="BG72" t="n">
        <x:f>AW72/AV72-1</x:f>
        <x:v>0.0900000000000003</x:v>
      </x:c>
      <x:c r="BH72" t="n">
        <x:f>AX72/AW72-1</x:f>
        <x:v>0.07700000000000018</x:v>
      </x:c>
      <x:c r="BI72" t="n">
        <x:f>AY72/AX72-1</x:f>
        <x:v>0.06400000000000028</x:v>
      </x:c>
      <x:c r="BJ72" t="n">
        <x:f>AZ72/AY72-1</x:f>
        <x:v>0.051000000000000156</x:v>
      </x:c>
      <x:c r="BK72" t="n">
        <x:f>BA72/AZ72-1</x:f>
        <x:v>0.038000000000000034</x:v>
      </x:c>
      <x:c r="BL72" t="n">
        <x:f>BB72/BA72-1</x:f>
        <x:v>0.02499999999999991</x:v>
      </x:c>
      <x:c r="BM72" t="n">
        <x:f>AH72*(1-'Assumptions'!$F$6)*(1+'Assumptions'!$D$6)*(1-'Assumptions'!$D$6/'Assumptions'!$E$6)</x:f>
        <x:v>79.51523564879145</x:v>
      </x:c>
      <x:c r="BN72" t="n">
        <x:f>SUMPRODUCT(AI72:AR72,'WINA Model'!$B$83:$K$83)+BM72/('Assumptions'!$C$6-'Assumptions'!$D$6)*'WINA Model'!$K$83</x:f>
        <x:v>779.4097353402273</x:v>
      </x:c>
      <x:c r="BO72" t="n">
        <x:f>'WINA Model'!$B$94</x:f>
        <x:v>-42.825500000000005</x:v>
      </x:c>
      <x:c r="BP72" t="n">
        <x:f>'Inputs'!$C$8</x:f>
        <x:v>3.701516</x:v>
      </x:c>
    </x:row>
    <x:row r="73">
      <x:c r="A73" t="str">
        <x:v>WINA</x:v>
      </x:c>
      <x:c r="B73" s="22" t="n">
        <x:v>0.1</x:v>
      </x:c>
      <x:c r="C73" s="42" t="n">
        <x:f>(BN73+BO73)/BP73</x:f>
        <x:v>210.74879335332804</x:v>
      </x:c>
      <x:c r="D73" s="22" t="n">
        <x:f>C73/'Inputs'!$C$5-1</x:f>
        <x:v>-0.3376220468512807</x:v>
      </x:c>
      <x:c r="E73" t="n">
        <x:f>'Inputs'!$C$14*(1+$B73)^1</x:f>
        <x:v>97.35000000000001</x:v>
      </x:c>
      <x:c r="F73" t="n">
        <x:f>'Inputs'!$C$14*(1+$B73)^2</x:f>
        <x:v>107.08500000000002</x:v>
      </x:c>
      <x:c r="G73" t="n">
        <x:f>'Inputs'!$C$14*(1+$B73)^3</x:f>
        <x:v>117.79350000000004</x:v>
      </x:c>
      <x:c r="H73" t="n">
        <x:f>'Inputs'!$C$14*(1+$B73)^4</x:f>
        <x:v>129.57285000000005</x:v>
      </x:c>
      <x:c r="I73" t="n">
        <x:f>'Inputs'!$C$14*(1+$B73)^5</x:f>
        <x:v>142.53013500000006</x:v>
      </x:c>
      <x:c r="J73" t="n">
        <x:f>I73*(1+($BG73+('Assumptions'!$D$6-$BG73)*(6-5)/5))</x:f>
        <x:v>154.64519647500006</x:v>
      </x:c>
      <x:c r="K73" t="n">
        <x:f>J73*(1+($BG73+('Assumptions'!$D$6-$BG73)*(7-5)/5))</x:f>
        <x:v>165.4703602282501</x:v>
      </x:c>
      <x:c r="L73" t="n">
        <x:f>K73*(1+($BG73+('Assumptions'!$D$6-$BG73)*(8-5)/5))</x:f>
        <x:v>174.57123004080384</x:v>
      </x:c>
      <x:c r="M73" t="n">
        <x:f>L73*(1+($BG73+('Assumptions'!$D$6-$BG73)*(9-5)/5))</x:f>
        <x:v>181.554079242436</x:v>
      </x:c>
      <x:c r="N73" t="n">
        <x:f>M73*(1+($BG73+('Assumptions'!$D$6-$BG73)*(10-5)/5))</x:f>
        <x:v>186.09293122349686</x:v>
      </x:c>
      <x:c r="O73" t="n">
        <x:f>0</x:f>
        <x:v>0</x:v>
      </x:c>
      <x:c r="P73" t="n">
        <x:f>0</x:f>
        <x:v>0</x:v>
      </x:c>
      <x:c r="Q73" t="n">
        <x:f>0</x:f>
        <x:v>0</x:v>
      </x:c>
      <x:c r="R73" t="n">
        <x:f>0</x:f>
        <x:v>0</x:v>
      </x:c>
      <x:c r="S73" t="n">
        <x:f>0</x:f>
        <x:v>0</x:v>
      </x:c>
      <x:c r="T73" t="n">
        <x:f>S73*(1+($BG73+('Assumptions'!$D$6-$BG73)*(6-5)/5))</x:f>
        <x:v>0</x:v>
      </x:c>
      <x:c r="U73" t="n">
        <x:f>T73*(1+($BG73+('Assumptions'!$D$6-$BG73)*(7-5)/5))</x:f>
        <x:v>0</x:v>
      </x:c>
      <x:c r="V73" t="n">
        <x:f>U73*(1+($BG73+('Assumptions'!$D$6-$BG73)*(8-5)/5))</x:f>
        <x:v>0</x:v>
      </x:c>
      <x:c r="W73" t="n">
        <x:f>V73*(1+($BG73+('Assumptions'!$D$6-$BG73)*(9-5)/5))</x:f>
        <x:v>0</x:v>
      </x:c>
      <x:c r="X73" t="n">
        <x:f>W73*(1+($BG73+('Assumptions'!$D$6-$BG73)*(10-5)/5))</x:f>
        <x:v>0</x:v>
      </x:c>
      <x:c r="Y73" t="n">
        <x:f>E73*'WINA Model'!$B$62+O73*'WINA Model'!$B$63+'WINA Model'!$B$73+'WINA Model'!$B$74</x:f>
        <x:v>59.383500000000005</x:v>
      </x:c>
      <x:c r="Z73" t="n">
        <x:f>F73*'WINA Model'!$C$62+P73*'WINA Model'!$C$63+'WINA Model'!$C$73+'WINA Model'!$C$74</x:f>
        <x:v>65.85727500000002</x:v>
      </x:c>
      <x:c r="AA73" t="n">
        <x:f>G73*'WINA Model'!$D$62+Q73*'WINA Model'!$D$63+'WINA Model'!$D$73+'WINA Model'!$D$74</x:f>
        <x:v>73.03197000000003</x:v>
      </x:c>
      <x:c r="AB73" t="n">
        <x:f>H73*'WINA Model'!$E$62+R73*'WINA Model'!$E$63+'WINA Model'!$E$73+'WINA Model'!$E$74</x:f>
        <x:v>80.98303125000002</x:v>
      </x:c>
      <x:c r="AC73" t="n">
        <x:f>I73*'WINA Model'!$F$62+S73*'WINA Model'!$F$63+'WINA Model'!$F$73+'WINA Model'!$F$74</x:f>
        <x:v>89.79398505000003</x:v>
      </x:c>
      <x:c r="AD73" t="n">
        <x:f>AX73*$AC73/$AW73</x:f>
        <x:v>97.42647377925003</x:v>
      </x:c>
      <x:c r="AE73" t="n">
        <x:f>AY73*$AC73/$AW73</x:f>
        <x:v>104.24632694379754</x:v>
      </x:c>
      <x:c r="AF73" t="n">
        <x:f>AZ73*$AC73/$AW73</x:f>
        <x:v>109.97987492570643</x:v>
      </x:c>
      <x:c r="AG73" t="n">
        <x:f>BA73*$AC73/$AW73</x:f>
        <x:v>114.37906992273467</x:v>
      </x:c>
      <x:c r="AH73" t="n">
        <x:f>BB73*$AC73/$AW73</x:f>
        <x:v>117.23854667080302</x:v>
      </x:c>
      <x:c r="AI73" t="n">
        <x:f>Y73*(1-'Assumptions'!$F$6)+AS73*'Assumptions'!$G$6-AS73*'WINA Model'!$B$65-(AS73-'Inputs'!$C$14)*'Assumptions'!$H$6-'Assumptions'!$I$6</x:f>
        <x:v>42.326010000000004</x:v>
      </x:c>
      <x:c r="AJ73" t="n">
        <x:f>Z73*(1-'Assumptions'!$F$6)+AT73*'Assumptions'!$G$6-AT73*'WINA Model'!$C$65-(AT73-AS73)*'Assumptions'!$H$6-0</x:f>
        <x:v>47.50095900000001</x:v>
      </x:c>
      <x:c r="AK73" t="n">
        <x:f>AA73*(1-'Assumptions'!$F$6)+AU73*'Assumptions'!$G$6-AU73*'WINA Model'!$D$65-(AU73-AT73)*'Assumptions'!$H$6-0</x:f>
        <x:v>53.287637700000026</x:v>
      </x:c>
      <x:c r="AL73" t="n">
        <x:f>AB73*(1-'Assumptions'!$F$6)+AV73*'Assumptions'!$G$6-AV73*'WINA Model'!$E$65-(AV73-AU73)*'Assumptions'!$H$6-0</x:f>
        <x:v>59.49749685000001</x:v>
      </x:c>
      <x:c r="AM73" t="n">
        <x:f>AC73*(1-'Assumptions'!$F$6)+AW73*'Assumptions'!$G$6-AW73*'WINA Model'!$F$65-(AW73-AV73)*'Assumptions'!$H$6-0</x:f>
        <x:v>66.27392131800002</x:v>
      </x:c>
      <x:c r="AN73" t="n">
        <x:f>AD73*(1-'Assumptions'!$F$6)+AX73*'Assumptions'!$G$6-AX73*'WINA Model'!$G$65-(AX73-AW73)*'Assumptions'!$H$6-0</x:f>
        <x:v>71.94607648503003</x:v>
      </x:c>
      <x:c r="AO73" t="n">
        <x:f>AE73*(1-'Assumptions'!$F$6)+AY73*'Assumptions'!$G$6-AY73*'WINA Model'!$H$65-(AY73-AX73)*'Assumptions'!$H$6-0</x:f>
        <x:v>77.02506087948213</x:v>
      </x:c>
      <x:c r="AP73" t="n">
        <x:f>AF73*(1-'Assumptions'!$F$6)+AZ73*'Assumptions'!$G$6-AZ73*'WINA Model'!$I$65-(AZ73-AY73)*'Assumptions'!$H$6-0</x:f>
        <x:v>81.30783278679618</x:v>
      </x:c>
      <x:c r="AQ73" t="n">
        <x:f>AG73*(1-'Assumptions'!$F$6)+BA73*'Assumptions'!$G$6-BA73*'WINA Model'!$J$65-(BA73-AZ73)*'Assumptions'!$H$6-0</x:f>
        <x:v>84.60978720633649</x:v>
      </x:c>
      <x:c r="AR73" t="n">
        <x:f>AH73*(1-'Assumptions'!$F$6)+BB73*'Assumptions'!$G$6-BB73*'WINA Model'!$K$65-(BB73-BA73)*'Assumptions'!$H$6-0</x:f>
        <x:v>86.77740325550712</x:v>
      </x:c>
      <x:c r="AS73" t="n">
        <x:f>E73+O73</x:f>
        <x:v>97.35000000000001</x:v>
      </x:c>
      <x:c r="AT73" t="n">
        <x:f>F73+P73</x:f>
        <x:v>107.08500000000002</x:v>
      </x:c>
      <x:c r="AU73" t="n">
        <x:f>G73+Q73</x:f>
        <x:v>117.79350000000004</x:v>
      </x:c>
      <x:c r="AV73" t="n">
        <x:f>H73+R73</x:f>
        <x:v>129.57285000000005</x:v>
      </x:c>
      <x:c r="AW73" t="n">
        <x:f>I73+S73</x:f>
        <x:v>142.53013500000006</x:v>
      </x:c>
      <x:c r="AX73" t="n">
        <x:f>J73+T73</x:f>
        <x:v>154.64519647500006</x:v>
      </x:c>
      <x:c r="AY73" t="n">
        <x:f>K73+U73</x:f>
        <x:v>165.4703602282501</x:v>
      </x:c>
      <x:c r="AZ73" t="n">
        <x:f>L73+V73</x:f>
        <x:v>174.57123004080384</x:v>
      </x:c>
      <x:c r="BA73" t="n">
        <x:f>M73+W73</x:f>
        <x:v>181.554079242436</x:v>
      </x:c>
      <x:c r="BB73" t="n">
        <x:f>N73+X73</x:f>
        <x:v>186.09293122349686</x:v>
      </x:c>
      <x:c r="BC73" t="n">
        <x:f>AS73/'Inputs'!$C$14-1</x:f>
        <x:v>0.10000000000000009</x:v>
      </x:c>
      <x:c r="BD73" t="n">
        <x:f>AT73/AS73-1</x:f>
        <x:v>0.10000000000000009</x:v>
      </x:c>
      <x:c r="BE73" t="n">
        <x:f>AU73/AT73-1</x:f>
        <x:v>0.10000000000000009</x:v>
      </x:c>
      <x:c r="BF73" t="n">
        <x:f>AV73/AU73-1</x:f>
        <x:v>0.10000000000000009</x:v>
      </x:c>
      <x:c r="BG73" t="n">
        <x:f>AW73/AV73-1</x:f>
        <x:v>0.10000000000000009</x:v>
      </x:c>
      <x:c r="BH73" t="n">
        <x:f>AX73/AW73-1</x:f>
        <x:v>0.08499999999999996</x:v>
      </x:c>
      <x:c r="BI73" t="n">
        <x:f>AY73/AX73-1</x:f>
        <x:v>0.07000000000000006</x:v>
      </x:c>
      <x:c r="BJ73" t="n">
        <x:f>AZ73/AY73-1</x:f>
        <x:v>0.05499999999999994</x:v>
      </x:c>
      <x:c r="BK73" t="n">
        <x:f>BA73/AZ73-1</x:f>
        <x:v>0.040000000000000036</x:v>
      </x:c>
      <x:c r="BL73" t="n">
        <x:f>BB73/BA73-1</x:f>
        <x:v>0.02499999999999991</x:v>
      </x:c>
      <x:c r="BM73" t="n">
        <x:f>AH73*(1-'Assumptions'!$F$6)*(1+'Assumptions'!$D$6)*(1-'Assumptions'!$D$6/'Assumptions'!$E$6)</x:f>
        <x:v>84.80534015251587</x:v>
      </x:c>
      <x:c r="BN73" t="n">
        <x:f>SUMPRODUCT(AI73:AR73,'WINA Model'!$B$83:$K$83)+BM73/('Assumptions'!$C$6-'Assumptions'!$D$6)*'WINA Model'!$K$83</x:f>
        <x:v>822.9155305780374</x:v>
      </x:c>
      <x:c r="BO73" t="n">
        <x:f>'WINA Model'!$B$94</x:f>
        <x:v>-42.825500000000005</x:v>
      </x:c>
      <x:c r="BP73" t="n">
        <x:f>'Inputs'!$C$8</x:f>
        <x:v>3.701516</x:v>
      </x:c>
    </x:row>
    <x:row r="74">
      <x:c r="A74" t="str">
        <x:v>WINA</x:v>
      </x:c>
      <x:c r="B74" s="22" t="n">
        <x:v>0.11</x:v>
      </x:c>
      <x:c r="C74" s="42" t="n">
        <x:f>(BN74+BO74)/BP74</x:f>
        <x:v>223.1194386953148</x:v>
      </x:c>
      <x:c r="D74" s="22" t="n">
        <x:f>C74/'Inputs'!$C$5-1</x:f>
        <x:v>-0.29874143163932865</x:v>
      </x:c>
      <x:c r="E74" t="n">
        <x:f>'Inputs'!$C$14*(1+$B74)^1</x:f>
        <x:v>98.23500000000001</x:v>
      </x:c>
      <x:c r="F74" t="n">
        <x:f>'Inputs'!$C$14*(1+$B74)^2</x:f>
        <x:v>109.04085000000002</x:v>
      </x:c>
      <x:c r="G74" t="n">
        <x:f>'Inputs'!$C$14*(1+$B74)^3</x:f>
        <x:v>121.03534350000002</x:v>
      </x:c>
      <x:c r="H74" t="n">
        <x:f>'Inputs'!$C$14*(1+$B74)^4</x:f>
        <x:v>134.34923128500003</x:v>
      </x:c>
      <x:c r="I74" t="n">
        <x:f>'Inputs'!$C$14*(1+$B74)^5</x:f>
        <x:v>149.12764672635004</x:v>
      </x:c>
      <x:c r="J74" t="n">
        <x:f>I74*(1+($BG74+('Assumptions'!$D$6-$BG74)*(6-5)/5))</x:f>
        <x:v>162.99651787190058</x:v>
      </x:c>
      <x:c r="K74" t="n">
        <x:f>J74*(1+($BG74+('Assumptions'!$D$6-$BG74)*(7-5)/5))</x:f>
        <x:v>175.38425323016503</x:v>
      </x:c>
      <x:c r="L74" t="n">
        <x:f>K74*(1+($BG74+('Assumptions'!$D$6-$BG74)*(8-5)/5))</x:f>
        <x:v>185.73192417074475</x:v>
      </x:c>
      <x:c r="M74" t="n">
        <x:f>L74*(1+($BG74+('Assumptions'!$D$6-$BG74)*(9-5)/5))</x:f>
        <x:v>193.53266498591603</x:v>
      </x:c>
      <x:c r="N74" t="n">
        <x:f>M74*(1+($BG74+('Assumptions'!$D$6-$BG74)*(10-5)/5))</x:f>
        <x:v>198.37098161056392</x:v>
      </x:c>
      <x:c r="O74" t="n">
        <x:f>0</x:f>
        <x:v>0</x:v>
      </x:c>
      <x:c r="P74" t="n">
        <x:f>0</x:f>
        <x:v>0</x:v>
      </x:c>
      <x:c r="Q74" t="n">
        <x:f>0</x:f>
        <x:v>0</x:v>
      </x:c>
      <x:c r="R74" t="n">
        <x:f>0</x:f>
        <x:v>0</x:v>
      </x:c>
      <x:c r="S74" t="n">
        <x:f>0</x:f>
        <x:v>0</x:v>
      </x:c>
      <x:c r="T74" t="n">
        <x:f>S74*(1+($BG74+('Assumptions'!$D$6-$BG74)*(6-5)/5))</x:f>
        <x:v>0</x:v>
      </x:c>
      <x:c r="U74" t="n">
        <x:f>T74*(1+($BG74+('Assumptions'!$D$6-$BG74)*(7-5)/5))</x:f>
        <x:v>0</x:v>
      </x:c>
      <x:c r="V74" t="n">
        <x:f>U74*(1+($BG74+('Assumptions'!$D$6-$BG74)*(8-5)/5))</x:f>
        <x:v>0</x:v>
      </x:c>
      <x:c r="W74" t="n">
        <x:f>V74*(1+($BG74+('Assumptions'!$D$6-$BG74)*(9-5)/5))</x:f>
        <x:v>0</x:v>
      </x:c>
      <x:c r="X74" t="n">
        <x:f>W74*(1+($BG74+('Assumptions'!$D$6-$BG74)*(10-5)/5))</x:f>
        <x:v>0</x:v>
      </x:c>
      <x:c r="Y74" t="n">
        <x:f>E74*'WINA Model'!$B$62+O74*'WINA Model'!$B$63+'WINA Model'!$B$73+'WINA Model'!$B$74</x:f>
        <x:v>59.923350000000006</x:v>
      </x:c>
      <x:c r="Z74" t="n">
        <x:f>F74*'WINA Model'!$C$62+P74*'WINA Model'!$C$63+'WINA Model'!$C$73+'WINA Model'!$C$74</x:f>
        <x:v>67.06012275</x:v>
      </x:c>
      <x:c r="AA74" t="n">
        <x:f>G74*'WINA Model'!$D$62+Q74*'WINA Model'!$D$63+'WINA Model'!$D$73+'WINA Model'!$D$74</x:f>
        <x:v>75.04191297000001</x:v>
      </x:c>
      <x:c r="AB74" t="n">
        <x:f>H74*'WINA Model'!$E$62+R74*'WINA Model'!$E$63+'WINA Model'!$E$73+'WINA Model'!$E$74</x:f>
        <x:v>83.96826955312503</x:v>
      </x:c>
      <x:c r="AC74" t="n">
        <x:f>I74*'WINA Model'!$F$62+S74*'WINA Model'!$F$63+'WINA Model'!$F$73+'WINA Model'!$F$74</x:f>
        <x:v>93.95041743760052</x:v>
      </x:c>
      <x:c r="AD74" t="n">
        <x:f>AX74*$AC74/$AW74</x:f>
        <x:v>102.68780625929736</x:v>
      </x:c>
      <x:c r="AE74" t="n">
        <x:f>AY74*$AC74/$AW74</x:f>
        <x:v>110.49207953500398</x:v>
      </x:c>
      <x:c r="AF74" t="n">
        <x:f>AZ74*$AC74/$AW74</x:f>
        <x:v>117.01111222756919</x:v>
      </x:c>
      <x:c r="AG74" t="n">
        <x:f>BA74*$AC74/$AW74</x:f>
        <x:v>121.9255789411271</x:v>
      </x:c>
      <x:c r="AH74" t="n">
        <x:f>BB74*$AC74/$AW74</x:f>
        <x:v>124.97371841465525</x:v>
      </x:c>
      <x:c r="AI74" t="n">
        <x:f>Y74*(1-'Assumptions'!$F$6)+AS74*'Assumptions'!$G$6-AS74*'WINA Model'!$B$65-(AS74-'Inputs'!$C$14)*'Assumptions'!$H$6-'Assumptions'!$I$6</x:f>
        <x:v>42.694701</x:v>
      </x:c>
      <x:c r="AJ74" t="n">
        <x:f>Z74*(1-'Assumptions'!$F$6)+AT74*'Assumptions'!$G$6-AT74*'WINA Model'!$C$65-(AT74-AS74)*'Assumptions'!$H$6-0</x:f>
        <x:v>48.35067759000001</x:v>
      </x:c>
      <x:c r="AK74" t="n">
        <x:f>AA74*(1-'Assumptions'!$F$6)+AU74*'Assumptions'!$G$6-AU74*'WINA Model'!$D$65-(AU74-AT74)*'Assumptions'!$H$6-0</x:f>
        <x:v>54.73436314770001</x:v>
      </x:c>
      <x:c r="AL74" t="n">
        <x:f>AB74*(1-'Assumptions'!$F$6)+AV74*'Assumptions'!$G$6-AV74*'WINA Model'!$E$65-(AV74-AU74)*'Assumptions'!$H$6-0</x:f>
        <x:v>61.66871786668502</x:v>
      </x:c>
      <x:c r="AM74" t="n">
        <x:f>AC74*(1-'Assumptions'!$F$6)+AW74*'Assumptions'!$G$6-AW74*'WINA Model'!$F$65-(AW74-AV74)*'Assumptions'!$H$6-0</x:f>
        <x:v>69.3172171830332</x:v>
      </x:c>
      <x:c r="AN74" t="n">
        <x:f>AD74*(1-'Assumptions'!$F$6)+AX74*'Assumptions'!$G$6-AX74*'WINA Model'!$G$65-(AX74-AW74)*'Assumptions'!$H$6-0</x:f>
        <x:v>75.80939711969216</x:v>
      </x:c>
      <x:c r="AO74" t="n">
        <x:f>AE74*(1-'Assumptions'!$F$6)+AY74*'Assumptions'!$G$6-AY74*'WINA Model'!$H$65-(AY74-AX74)*'Assumptions'!$H$6-0</x:f>
        <x:v>81.62161470067576</x:v>
      </x:c>
      <x:c r="AP74" t="n">
        <x:f>AF74*(1-'Assumptions'!$F$6)+AZ74*'Assumptions'!$G$6-AZ74*'WINA Model'!$I$65-(AZ74-AY74)*'Assumptions'!$H$6-0</x:f>
        <x:v>86.49270878409204</x:v>
      </x:c>
      <x:c r="AQ74" t="n">
        <x:f>AG74*(1-'Assumptions'!$F$6)+BA74*'Assumptions'!$G$6-BA74*'WINA Model'!$J$65-(BA74-AZ74)*'Assumptions'!$H$6-0</x:f>
        <x:v>90.18503319912217</x:v>
      </x:c>
      <x:c r="AR74" t="n">
        <x:f>AH74*(1-'Assumptions'!$F$6)+BB74*'Assumptions'!$G$6-BB74*'WINA Model'!$K$65-(BB74-BA74)*'Assumptions'!$H$6-0</x:f>
        <x:v>92.50280788331827</x:v>
      </x:c>
      <x:c r="AS74" t="n">
        <x:f>E74+O74</x:f>
        <x:v>98.23500000000001</x:v>
      </x:c>
      <x:c r="AT74" t="n">
        <x:f>F74+P74</x:f>
        <x:v>109.04085000000002</x:v>
      </x:c>
      <x:c r="AU74" t="n">
        <x:f>G74+Q74</x:f>
        <x:v>121.03534350000002</x:v>
      </x:c>
      <x:c r="AV74" t="n">
        <x:f>H74+R74</x:f>
        <x:v>134.34923128500003</x:v>
      </x:c>
      <x:c r="AW74" t="n">
        <x:f>I74+S74</x:f>
        <x:v>149.12764672635004</x:v>
      </x:c>
      <x:c r="AX74" t="n">
        <x:f>J74+T74</x:f>
        <x:v>162.99651787190058</x:v>
      </x:c>
      <x:c r="AY74" t="n">
        <x:f>K74+U74</x:f>
        <x:v>175.38425323016503</x:v>
      </x:c>
      <x:c r="AZ74" t="n">
        <x:f>L74+V74</x:f>
        <x:v>185.73192417074475</x:v>
      </x:c>
      <x:c r="BA74" t="n">
        <x:f>M74+W74</x:f>
        <x:v>193.53266498591603</x:v>
      </x:c>
      <x:c r="BB74" t="n">
        <x:f>N74+X74</x:f>
        <x:v>198.37098161056392</x:v>
      </x:c>
      <x:c r="BC74" t="n">
        <x:f>AS74/'Inputs'!$C$14-1</x:f>
        <x:v>0.1100000000000001</x:v>
      </x:c>
      <x:c r="BD74" t="n">
        <x:f>AT74/AS74-1</x:f>
        <x:v>0.1100000000000001</x:v>
      </x:c>
      <x:c r="BE74" t="n">
        <x:f>AU74/AT74-1</x:f>
        <x:v>0.1100000000000001</x:v>
      </x:c>
      <x:c r="BF74" t="n">
        <x:f>AV74/AU74-1</x:f>
        <x:v>0.1100000000000001</x:v>
      </x:c>
      <x:c r="BG74" t="n">
        <x:f>AW74/AV74-1</x:f>
        <x:v>0.1100000000000001</x:v>
      </x:c>
      <x:c r="BH74" t="n">
        <x:f>AX74/AW74-1</x:f>
        <x:v>0.09299999999999997</x:v>
      </x:c>
      <x:c r="BI74" t="n">
        <x:f>AY74/AX74-1</x:f>
        <x:v>0.07600000000000007</x:v>
      </x:c>
      <x:c r="BJ74" t="n">
        <x:f>AZ74/AY74-1</x:f>
        <x:v>0.05899999999999994</x:v>
      </x:c>
      <x:c r="BK74" t="n">
        <x:f>BA74/AZ74-1</x:f>
        <x:v>0.04200000000000004</x:v>
      </x:c>
      <x:c r="BL74" t="n">
        <x:f>BB74/BA74-1</x:f>
        <x:v>0.02499999999999991</x:v>
      </x:c>
      <x:c r="BM74" t="n">
        <x:f>AH74*(1-'Assumptions'!$F$6)*(1+'Assumptions'!$D$6)*(1-'Assumptions'!$D$6/'Assumptions'!$E$6)</x:f>
        <x:v>90.40063188465813</x:v>
      </x:c>
      <x:c r="BN74" t="n">
        <x:f>SUMPRODUCT(AI74:AR74,'WINA Model'!$B$83:$K$83)+BM74/('Assumptions'!$C$6-'Assumptions'!$D$6)*'WINA Model'!$K$83</x:f>
        <x:v>868.7056722417269</x:v>
      </x:c>
      <x:c r="BO74" t="n">
        <x:f>'WINA Model'!$B$94</x:f>
        <x:v>-42.825500000000005</x:v>
      </x:c>
      <x:c r="BP74" t="n">
        <x:f>'Inputs'!$C$8</x:f>
        <x:v>3.701516</x:v>
      </x:c>
    </x:row>
    <x:row r="75">
      <x:c r="A75" t="str">
        <x:v>WINA</x:v>
      </x:c>
      <x:c r="B75" s="22" t="n">
        <x:v>0.12</x:v>
      </x:c>
      <x:c r="C75" s="42" t="n">
        <x:f>(BN75+BO75)/BP75</x:f>
        <x:v>236.13586275386606</x:v>
      </x:c>
      <x:c r="D75" s="22" t="n">
        <x:f>C75/'Inputs'!$C$5-1</x:f>
        <x:v>-0.257831150787736</x:v>
      </x:c>
      <x:c r="E75" t="n">
        <x:f>'Inputs'!$C$14*(1+$B75)^1</x:f>
        <x:v>99.12</x:v>
      </x:c>
      <x:c r="F75" t="n">
        <x:f>'Inputs'!$C$14*(1+$B75)^2</x:f>
        <x:v>111.01440000000001</x:v>
      </x:c>
      <x:c r="G75" t="n">
        <x:f>'Inputs'!$C$14*(1+$B75)^3</x:f>
        <x:v>124.33612800000003</x:v>
      </x:c>
      <x:c r="H75" t="n">
        <x:f>'Inputs'!$C$14*(1+$B75)^4</x:f>
        <x:v>139.25646336000003</x:v>
      </x:c>
      <x:c r="I75" t="n">
        <x:f>'Inputs'!$C$14*(1+$B75)^5</x:f>
        <x:v>155.96723896320003</x:v>
      </x:c>
      <x:c r="J75" t="n">
        <x:f>I75*(1+($BG75+('Assumptions'!$D$6-$BG75)*(6-5)/5))</x:f>
        <x:v>171.71993009848322</x:v>
      </x:c>
      <x:c r="K75" t="n">
        <x:f>J75*(1+($BG75+('Assumptions'!$D$6-$BG75)*(7-5)/5))</x:f>
        <x:v>185.80096436655884</x:v>
      </x:c>
      <x:c r="L75" t="n">
        <x:f>K75*(1+($BG75+('Assumptions'!$D$6-$BG75)*(8-5)/5))</x:f>
        <x:v>197.50642512165203</x:v>
      </x:c>
      <x:c r="M75" t="n">
        <x:f>L75*(1+($BG75+('Assumptions'!$D$6-$BG75)*(9-5)/5))</x:f>
        <x:v>206.19670782700473</x:v>
      </x:c>
      <x:c r="N75" t="n">
        <x:f>M75*(1+($BG75+('Assumptions'!$D$6-$BG75)*(10-5)/5))</x:f>
        <x:v>211.35162552267983</x:v>
      </x:c>
      <x:c r="O75" t="n">
        <x:f>0</x:f>
        <x:v>0</x:v>
      </x:c>
      <x:c r="P75" t="n">
        <x:f>0</x:f>
        <x:v>0</x:v>
      </x:c>
      <x:c r="Q75" t="n">
        <x:f>0</x:f>
        <x:v>0</x:v>
      </x:c>
      <x:c r="R75" t="n">
        <x:f>0</x:f>
        <x:v>0</x:v>
      </x:c>
      <x:c r="S75" t="n">
        <x:f>0</x:f>
        <x:v>0</x:v>
      </x:c>
      <x:c r="T75" t="n">
        <x:f>S75*(1+($BG75+('Assumptions'!$D$6-$BG75)*(6-5)/5))</x:f>
        <x:v>0</x:v>
      </x:c>
      <x:c r="U75" t="n">
        <x:f>T75*(1+($BG75+('Assumptions'!$D$6-$BG75)*(7-5)/5))</x:f>
        <x:v>0</x:v>
      </x:c>
      <x:c r="V75" t="n">
        <x:f>U75*(1+($BG75+('Assumptions'!$D$6-$BG75)*(8-5)/5))</x:f>
        <x:v>0</x:v>
      </x:c>
      <x:c r="W75" t="n">
        <x:f>V75*(1+($BG75+('Assumptions'!$D$6-$BG75)*(9-5)/5))</x:f>
        <x:v>0</x:v>
      </x:c>
      <x:c r="X75" t="n">
        <x:f>W75*(1+($BG75+('Assumptions'!$D$6-$BG75)*(10-5)/5))</x:f>
        <x:v>0</x:v>
      </x:c>
      <x:c r="Y75" t="n">
        <x:f>E75*'WINA Model'!$B$62+O75*'WINA Model'!$B$63+'WINA Model'!$B$73+'WINA Model'!$B$74</x:f>
        <x:v>60.4632</x:v>
      </x:c>
      <x:c r="Z75" t="n">
        <x:f>F75*'WINA Model'!$C$62+P75*'WINA Model'!$C$63+'WINA Model'!$C$73+'WINA Model'!$C$74</x:f>
        <x:v>68.27385600000001</x:v>
      </x:c>
      <x:c r="AA75" t="n">
        <x:f>G75*'WINA Model'!$D$62+Q75*'WINA Model'!$D$63+'WINA Model'!$D$73+'WINA Model'!$D$74</x:f>
        <x:v>77.08839936000003</x:v>
      </x:c>
      <x:c r="AB75" t="n">
        <x:f>H75*'WINA Model'!$E$62+R75*'WINA Model'!$E$63+'WINA Model'!$E$73+'WINA Model'!$E$74</x:f>
        <x:v>87.03528960000001</x:v>
      </x:c>
      <x:c r="AC75" t="n">
        <x:f>I75*'WINA Model'!$F$62+S75*'WINA Model'!$F$63+'WINA Model'!$F$73+'WINA Model'!$F$74</x:f>
        <x:v>98.25936054681603</x:v>
      </x:c>
      <x:c r="AD75" t="n">
        <x:f>AX75*$AC75/$AW75</x:f>
        <x:v>108.18355596204444</x:v>
      </x:c>
      <x:c r="AE75" t="n">
        <x:f>AY75*$AC75/$AW75</x:f>
        <x:v>117.05460755093209</x:v>
      </x:c>
      <x:c r="AF75" t="n">
        <x:f>AZ75*$AC75/$AW75</x:f>
        <x:v>124.4290478266408</x:v>
      </x:c>
      <x:c r="AG75" t="n">
        <x:f>BA75*$AC75/$AW75</x:f>
        <x:v>129.903925931013</x:v>
      </x:c>
      <x:c r="AH75" t="n">
        <x:f>BB75*$AC75/$AW75</x:f>
        <x:v>133.1515240792883</x:v>
      </x:c>
      <x:c r="AI75" t="n">
        <x:f>Y75*(1-'Assumptions'!$F$6)+AS75*'Assumptions'!$G$6-AS75*'WINA Model'!$B$65-(AS75-'Inputs'!$C$14)*'Assumptions'!$H$6-'Assumptions'!$I$6</x:f>
        <x:v>43.063392</x:v>
      </x:c>
      <x:c r="AJ75" t="n">
        <x:f>Z75*(1-'Assumptions'!$F$6)+AT75*'Assumptions'!$G$6-AT75*'WINA Model'!$C$65-(AT75-AS75)*'Assumptions'!$H$6-0</x:f>
        <x:v>49.20792576000001</x:v>
      </x:c>
      <x:c r="AK75" t="n">
        <x:f>AA75*(1-'Assumptions'!$F$6)+AU75*'Assumptions'!$G$6-AU75*'WINA Model'!$D$65-(AU75-AT75)*'Assumptions'!$H$6-0</x:f>
        <x:v>56.20703477760002</x:v>
      </x:c>
      <x:c r="AL75" t="n">
        <x:f>AB75*(1-'Assumptions'!$F$6)+AV75*'Assumptions'!$G$6-AV75*'WINA Model'!$E$65-(AV75-AU75)*'Assumptions'!$H$6-0</x:f>
        <x:v>63.89882290176001</x:v>
      </x:c>
      <x:c r="AM75" t="n">
        <x:f>AC75*(1-'Assumptions'!$F$6)+AW75*'Assumptions'!$G$6-AW75*'WINA Model'!$F$65-(AW75-AV75)*'Assumptions'!$H$6-0</x:f>
        <x:v>72.47129163595778</x:v>
      </x:c>
      <x:c r="AN75" t="n">
        <x:f>AD75*(1-'Assumptions'!$F$6)+AX75*'Assumptions'!$G$6-AX75*'WINA Model'!$G$65-(AX75-AW75)*'Assumptions'!$H$6-0</x:f>
        <x:v>79.84380954726632</x:v>
      </x:c>
      <x:c r="AO75" t="n">
        <x:f>AE75*(1-'Assumptions'!$F$6)+AY75*'Assumptions'!$G$6-AY75*'WINA Model'!$H$65-(AY75-AX75)*'Assumptions'!$H$6-0</x:f>
        <x:v>86.45026948094817</x:v>
      </x:c>
      <x:c r="AP75" t="n">
        <x:f>AF75*(1-'Assumptions'!$F$6)+AZ75*'Assumptions'!$G$6-AZ75*'WINA Model'!$I$65-(AZ75-AY75)*'Assumptions'!$H$6-0</x:f>
        <x:v>91.96189003168531</x:v>
      </x:c>
      <x:c r="AQ75" t="n">
        <x:f>AG75*(1-'Assumptions'!$F$6)+BA75*'Assumptions'!$G$6-BA75*'WINA Model'!$J$65-(BA75-AZ75)*'Assumptions'!$H$6-0</x:f>
        <x:v>96.07881755953876</x:v>
      </x:c>
      <x:c r="AR75" t="n">
        <x:f>AH75*(1-'Assumptions'!$F$6)+BB75*'Assumptions'!$G$6-BB75*'WINA Model'!$K$65-(BB75-BA75)*'Assumptions'!$H$6-0</x:f>
        <x:v>98.55584044007345</x:v>
      </x:c>
      <x:c r="AS75" t="n">
        <x:f>E75+O75</x:f>
        <x:v>99.12</x:v>
      </x:c>
      <x:c r="AT75" t="n">
        <x:f>F75+P75</x:f>
        <x:v>111.01440000000001</x:v>
      </x:c>
      <x:c r="AU75" t="n">
        <x:f>G75+Q75</x:f>
        <x:v>124.33612800000003</x:v>
      </x:c>
      <x:c r="AV75" t="n">
        <x:f>H75+R75</x:f>
        <x:v>139.25646336000003</x:v>
      </x:c>
      <x:c r="AW75" t="n">
        <x:f>I75+S75</x:f>
        <x:v>155.96723896320003</x:v>
      </x:c>
      <x:c r="AX75" t="n">
        <x:f>J75+T75</x:f>
        <x:v>171.71993009848322</x:v>
      </x:c>
      <x:c r="AY75" t="n">
        <x:f>K75+U75</x:f>
        <x:v>185.80096436655884</x:v>
      </x:c>
      <x:c r="AZ75" t="n">
        <x:f>L75+V75</x:f>
        <x:v>197.50642512165203</x:v>
      </x:c>
      <x:c r="BA75" t="n">
        <x:f>M75+W75</x:f>
        <x:v>206.19670782700473</x:v>
      </x:c>
      <x:c r="BB75" t="n">
        <x:f>N75+X75</x:f>
        <x:v>211.35162552267983</x:v>
      </x:c>
      <x:c r="BC75" t="n">
        <x:f>AS75/'Inputs'!$C$14-1</x:f>
        <x:v>0.1200000000000001</x:v>
      </x:c>
      <x:c r="BD75" t="n">
        <x:f>AT75/AS75-1</x:f>
        <x:v>0.1200000000000001</x:v>
      </x:c>
      <x:c r="BE75" t="n">
        <x:f>AU75/AT75-1</x:f>
        <x:v>0.1200000000000001</x:v>
      </x:c>
      <x:c r="BF75" t="n">
        <x:f>AV75/AU75-1</x:f>
        <x:v>0.11999999999999988</x:v>
      </x:c>
      <x:c r="BG75" t="n">
        <x:f>AW75/AV75-1</x:f>
        <x:v>0.1200000000000001</x:v>
      </x:c>
      <x:c r="BH75" t="n">
        <x:f>AX75/AW75-1</x:f>
        <x:v>0.10099999999999998</x:v>
      </x:c>
      <x:c r="BI75" t="n">
        <x:f>AY75/AX75-1</x:f>
        <x:v>0.08200000000000007</x:v>
      </x:c>
      <x:c r="BJ75" t="n">
        <x:f>AZ75/AY75-1</x:f>
        <x:v>0.06299999999999994</x:v>
      </x:c>
      <x:c r="BK75" t="n">
        <x:f>BA75/AZ75-1</x:f>
        <x:v>0.04400000000000004</x:v>
      </x:c>
      <x:c r="BL75" t="n">
        <x:f>BB75/BA75-1</x:f>
        <x:v>0.02499999999999991</x:v>
      </x:c>
      <x:c r="BM75" t="n">
        <x:f>AH75*(1-'Assumptions'!$F$6)*(1+'Assumptions'!$D$6)*(1-'Assumptions'!$D$6/'Assumptions'!$E$6)</x:f>
        <x:v>96.31610602506804</x:v>
      </x:c>
      <x:c r="BN75" t="n">
        <x:f>SUMPRODUCT(AI75:AR75,'WINA Model'!$B$83:$K$83)+BM75/('Assumptions'!$C$6-'Assumptions'!$D$6)*'WINA Model'!$K$83</x:f>
        <x:v>916.8861741572393</x:v>
      </x:c>
      <x:c r="BO75" t="n">
        <x:f>'WINA Model'!$B$94</x:f>
        <x:v>-42.825500000000005</x:v>
      </x:c>
      <x:c r="BP75" t="n">
        <x:f>'Inputs'!$C$8</x:f>
        <x:v>3.701516</x:v>
      </x:c>
    </x:row>
    <x:row r="76">
      <x:c r="A76" t="str">
        <x:v>WINA</x:v>
      </x:c>
      <x:c r="B76" s="22" t="n">
        <x:v>0.13</x:v>
      </x:c>
      <x:c r="C76" s="42" t="n">
        <x:f>(BN76+BO76)/BP76</x:f>
        <x:v>249.82782972228586</x:v>
      </x:c>
      <x:c r="D76" s="22" t="n">
        <x:f>C76/'Inputs'!$C$5-1</x:f>
        <x:v>-0.21479765621433244</x:v>
      </x:c>
      <x:c r="E76" t="n">
        <x:f>'Inputs'!$C$14*(1+$B76)^1</x:f>
        <x:v>100.005</x:v>
      </x:c>
      <x:c r="F76" t="n">
        <x:f>'Inputs'!$C$14*(1+$B76)^2</x:f>
        <x:v>113.00564999999997</x:v>
      </x:c>
      <x:c r="G76" t="n">
        <x:f>'Inputs'!$C$14*(1+$B76)^3</x:f>
        <x:v>127.69638449999995</x:v>
      </x:c>
      <x:c r="H76" t="n">
        <x:f>'Inputs'!$C$14*(1+$B76)^4</x:f>
        <x:v>144.29691448499995</x:v>
      </x:c>
      <x:c r="I76" t="n">
        <x:f>'Inputs'!$C$14*(1+$B76)^5</x:f>
        <x:v>163.0555133680499</x:v>
      </x:c>
      <x:c r="J76" t="n">
        <x:f>I76*(1+($BG76+('Assumptions'!$D$6-$BG76)*(6-5)/5))</x:f>
        <x:v>180.8285643251673</x:v>
      </x:c>
      <x:c r="K76" t="n">
        <x:f>J76*(1+($BG76+('Assumptions'!$D$6-$BG76)*(7-5)/5))</x:f>
        <x:v>196.74147798578198</x:v>
      </x:c>
      <x:c r="L76" t="n">
        <x:f>K76*(1+($BG76+('Assumptions'!$D$6-$BG76)*(8-5)/5))</x:f>
        <x:v>209.92315701082936</x:v>
      </x:c>
      <x:c r="M76" t="n">
        <x:f>L76*(1+($BG76+('Assumptions'!$D$6-$BG76)*(9-5)/5))</x:f>
        <x:v>219.57962223332746</x:v>
      </x:c>
      <x:c r="N76" t="n">
        <x:f>M76*(1+($BG76+('Assumptions'!$D$6-$BG76)*(10-5)/5))</x:f>
        <x:v>225.0691127891606</x:v>
      </x:c>
      <x:c r="O76" t="n">
        <x:f>0</x:f>
        <x:v>0</x:v>
      </x:c>
      <x:c r="P76" t="n">
        <x:f>0</x:f>
        <x:v>0</x:v>
      </x:c>
      <x:c r="Q76" t="n">
        <x:f>0</x:f>
        <x:v>0</x:v>
      </x:c>
      <x:c r="R76" t="n">
        <x:f>0</x:f>
        <x:v>0</x:v>
      </x:c>
      <x:c r="S76" t="n">
        <x:f>0</x:f>
        <x:v>0</x:v>
      </x:c>
      <x:c r="T76" t="n">
        <x:f>S76*(1+($BG76+('Assumptions'!$D$6-$BG76)*(6-5)/5))</x:f>
        <x:v>0</x:v>
      </x:c>
      <x:c r="U76" t="n">
        <x:f>T76*(1+($BG76+('Assumptions'!$D$6-$BG76)*(7-5)/5))</x:f>
        <x:v>0</x:v>
      </x:c>
      <x:c r="V76" t="n">
        <x:f>U76*(1+($BG76+('Assumptions'!$D$6-$BG76)*(8-5)/5))</x:f>
        <x:v>0</x:v>
      </x:c>
      <x:c r="W76" t="n">
        <x:f>V76*(1+($BG76+('Assumptions'!$D$6-$BG76)*(9-5)/5))</x:f>
        <x:v>0</x:v>
      </x:c>
      <x:c r="X76" t="n">
        <x:f>W76*(1+($BG76+('Assumptions'!$D$6-$BG76)*(10-5)/5))</x:f>
        <x:v>0</x:v>
      </x:c>
      <x:c r="Y76" t="n">
        <x:f>E76*'WINA Model'!$B$62+O76*'WINA Model'!$B$63+'WINA Model'!$B$73+'WINA Model'!$B$74</x:f>
        <x:v>61.003049999999995</x:v>
      </x:c>
      <x:c r="Z76" t="n">
        <x:f>F76*'WINA Model'!$C$62+P76*'WINA Model'!$C$63+'WINA Model'!$C$73+'WINA Model'!$C$74</x:f>
        <x:v>69.49847474999999</x:v>
      </x:c>
      <x:c r="AA76" t="n">
        <x:f>G76*'WINA Model'!$D$62+Q76*'WINA Model'!$D$63+'WINA Model'!$D$73+'WINA Model'!$D$74</x:f>
        <x:v>79.17175838999997</x:v>
      </x:c>
      <x:c r="AB76" t="n">
        <x:f>H76*'WINA Model'!$E$62+R76*'WINA Model'!$E$63+'WINA Model'!$E$73+'WINA Model'!$E$74</x:f>
        <x:v>90.18557155312496</x:v>
      </x:c>
      <x:c r="AC76" t="n">
        <x:f>I76*'WINA Model'!$F$62+S76*'WINA Model'!$F$63+'WINA Model'!$F$73+'WINA Model'!$F$74</x:f>
        <x:v>102.72497342187144</x:v>
      </x:c>
      <x:c r="AD76" t="n">
        <x:f>AX76*$AC76/$AW76</x:f>
        <x:v>113.9219955248554</x:v>
      </x:c>
      <x:c r="AE76" t="n">
        <x:f>AY76*$AC76/$AW76</x:f>
        <x:v>123.94713113104267</x:v>
      </x:c>
      <x:c r="AF76" t="n">
        <x:f>AZ76*$AC76/$AW76</x:f>
        <x:v>132.2515889168225</x:v>
      </x:c>
      <x:c r="AG76" t="n">
        <x:f>BA76*$AC76/$AW76</x:f>
        <x:v>138.33516200699628</x:v>
      </x:c>
      <x:c r="AH76" t="n">
        <x:f>BB76*$AC76/$AW76</x:f>
        <x:v>141.79354105717118</x:v>
      </x:c>
      <x:c r="AI76" t="n">
        <x:f>Y76*(1-'Assumptions'!$F$6)+AS76*'Assumptions'!$G$6-AS76*'WINA Model'!$B$65-(AS76-'Inputs'!$C$14)*'Assumptions'!$H$6-'Assumptions'!$I$6</x:f>
        <x:v>43.432083</x:v>
      </x:c>
      <x:c r="AJ76" t="n">
        <x:f>Z76*(1-'Assumptions'!$F$6)+AT76*'Assumptions'!$G$6-AT76*'WINA Model'!$C$65-(AT76-AS76)*'Assumptions'!$H$6-0</x:f>
        <x:v>50.07270350999999</x:v>
      </x:c>
      <x:c r="AK76" t="n">
        <x:f>AA76*(1-'Assumptions'!$F$6)+AU76*'Assumptions'!$G$6-AU76*'WINA Model'!$D$65-(AU76-AT76)*'Assumptions'!$H$6-0</x:f>
        <x:v>57.705883149899975</x:v>
      </x:c>
      <x:c r="AL76" t="n">
        <x:f>AB76*(1-'Assumptions'!$F$6)+AV76*'Assumptions'!$G$6-AV76*'WINA Model'!$E$65-(AV76-AU76)*'Assumptions'!$H$6-0</x:f>
        <x:v>66.18886697788497</x:v>
      </x:c>
      <x:c r="AM76" t="n">
        <x:f>AC76*(1-'Assumptions'!$F$6)+AW76*'Assumptions'!$G$6-AW76*'WINA Model'!$F$65-(AW76-AV76)*'Assumptions'!$H$6-0</x:f>
        <x:v>75.7391416625447</x:v>
      </x:c>
      <x:c r="AN76" t="n">
        <x:f>AD76*(1-'Assumptions'!$F$6)+AX76*'Assumptions'!$G$6-AX76*'WINA Model'!$G$65-(AX76-AW76)*'Assumptions'!$H$6-0</x:f>
        <x:v>84.05531280784575</x:v>
      </x:c>
      <x:c r="AO76" t="n">
        <x:f>AE76*(1-'Assumptions'!$F$6)+AY76*'Assumptions'!$G$6-AY76*'WINA Model'!$H$65-(AY76-AX76)*'Assumptions'!$H$6-0</x:f>
        <x:v>91.52066365055074</x:v>
      </x:c>
      <x:c r="AP76" t="n">
        <x:f>AF76*(1-'Assumptions'!$F$6)+AZ76*'Assumptions'!$G$6-AZ76*'WINA Model'!$I$65-(AZ76-AY76)*'Assumptions'!$H$6-0</x:f>
        <x:v>97.72849611215419</x:v>
      </x:c>
      <x:c r="AQ76" t="n">
        <x:f>AG76*(1-'Assumptions'!$F$6)+BA76*'Assumptions'!$G$6-BA76*'WINA Model'!$J$65-(BA76-AZ76)*'Assumptions'!$H$6-0</x:f>
        <x:v>102.30663835406729</x:v>
      </x:c>
      <x:c r="AR76" t="n">
        <x:f>AH76*(1-'Assumptions'!$F$6)+BB76*'Assumptions'!$G$6-BB76*'WINA Model'!$K$65-(BB76-BA76)*'Assumptions'!$H$6-0</x:f>
        <x:v>104.9524720388635</x:v>
      </x:c>
      <x:c r="AS76" t="n">
        <x:f>E76+O76</x:f>
        <x:v>100.005</x:v>
      </x:c>
      <x:c r="AT76" t="n">
        <x:f>F76+P76</x:f>
        <x:v>113.00564999999997</x:v>
      </x:c>
      <x:c r="AU76" t="n">
        <x:f>G76+Q76</x:f>
        <x:v>127.69638449999995</x:v>
      </x:c>
      <x:c r="AV76" t="n">
        <x:f>H76+R76</x:f>
        <x:v>144.29691448499995</x:v>
      </x:c>
      <x:c r="AW76" t="n">
        <x:f>I76+S76</x:f>
        <x:v>163.0555133680499</x:v>
      </x:c>
      <x:c r="AX76" t="n">
        <x:f>J76+T76</x:f>
        <x:v>180.8285643251673</x:v>
      </x:c>
      <x:c r="AY76" t="n">
        <x:f>K76+U76</x:f>
        <x:v>196.74147798578198</x:v>
      </x:c>
      <x:c r="AZ76" t="n">
        <x:f>L76+V76</x:f>
        <x:v>209.92315701082936</x:v>
      </x:c>
      <x:c r="BA76" t="n">
        <x:f>M76+W76</x:f>
        <x:v>219.57962223332746</x:v>
      </x:c>
      <x:c r="BB76" t="n">
        <x:f>N76+X76</x:f>
        <x:v>225.0691127891606</x:v>
      </x:c>
      <x:c r="BC76" t="n">
        <x:f>AS76/'Inputs'!$C$14-1</x:f>
        <x:v>0.1299999999999999</x:v>
      </x:c>
      <x:c r="BD76" t="n">
        <x:f>AT76/AS76-1</x:f>
        <x:v>0.1299999999999999</x:v>
      </x:c>
      <x:c r="BE76" t="n">
        <x:f>AU76/AT76-1</x:f>
        <x:v>0.1299999999999999</x:v>
      </x:c>
      <x:c r="BF76" t="n">
        <x:f>AV76/AU76-1</x:f>
        <x:v>0.13000000000000012</x:v>
      </x:c>
      <x:c r="BG76" t="n">
        <x:f>AW76/AV76-1</x:f>
        <x:v>0.12999999999999967</x:v>
      </x:c>
      <x:c r="BH76" t="n">
        <x:f>AX76/AW76-1</x:f>
        <x:v>0.10899999999999976</x:v>
      </x:c>
      <x:c r="BI76" t="n">
        <x:f>AY76/AX76-1</x:f>
        <x:v>0.08799999999999986</x:v>
      </x:c>
      <x:c r="BJ76" t="n">
        <x:f>AZ76/AY76-1</x:f>
        <x:v>0.06699999999999995</x:v>
      </x:c>
      <x:c r="BK76" t="n">
        <x:f>BA76/AZ76-1</x:f>
        <x:v>0.04599999999999982</x:v>
      </x:c>
      <x:c r="BL76" t="n">
        <x:f>BB76/BA76-1</x:f>
        <x:v>0.02499999999999991</x:v>
      </x:c>
      <x:c r="BM76" t="n">
        <x:f>AH76*(1-'Assumptions'!$F$6)*(1+'Assumptions'!$D$6)*(1-'Assumptions'!$D$6/'Assumptions'!$E$6)</x:f>
        <x:v>102.56737073471233</x:v>
      </x:c>
      <x:c r="BN76" t="n">
        <x:f>SUMPRODUCT(AI76:AR76,'WINA Model'!$B$83:$K$83)+BM76/('Assumptions'!$C$6-'Assumptions'!$D$6)*'WINA Model'!$K$83</x:f>
        <x:v>967.5672089623166</x:v>
      </x:c>
      <x:c r="BO76" t="n">
        <x:f>'WINA Model'!$B$94</x:f>
        <x:v>-42.825500000000005</x:v>
      </x:c>
      <x:c r="BP76" t="n">
        <x:f>'Inputs'!$C$8</x:f>
        <x:v>3.701516</x:v>
      </x:c>
    </x:row>
    <x:row r="77">
      <x:c r="A77" t="str">
        <x:v>WINA</x:v>
      </x:c>
      <x:c r="B77" s="22" t="n">
        <x:v>0.14</x:v>
      </x:c>
      <x:c r="C77" s="42" t="n">
        <x:f>(BN77+BO77)/BP77</x:f>
        <x:v>264.2262631539439</x:v>
      </x:c>
      <x:c r="D77" s="22" t="n">
        <x:f>C77/'Inputs'!$C$5-1</x:f>
        <x:v>-0.1695437559985421</x:v>
      </x:c>
      <x:c r="E77" t="n">
        <x:f>'Inputs'!$C$14*(1+$B77)^1</x:f>
        <x:v>100.89000000000001</x:v>
      </x:c>
      <x:c r="F77" t="n">
        <x:f>'Inputs'!$C$14*(1+$B77)^2</x:f>
        <x:v>115.01460000000003</x:v>
      </x:c>
      <x:c r="G77" t="n">
        <x:f>'Inputs'!$C$14*(1+$B77)^3</x:f>
        <x:v>131.11664400000004</x:v>
      </x:c>
      <x:c r="H77" t="n">
        <x:f>'Inputs'!$C$14*(1+$B77)^4</x:f>
        <x:v>149.47297416000006</x:v>
      </x:c>
      <x:c r="I77" t="n">
        <x:f>'Inputs'!$C$14*(1+$B77)^5</x:f>
        <x:v>170.3991905424001</x:v>
      </x:c>
      <x:c r="J77" t="n">
        <x:f>I77*(1+($BG77+('Assumptions'!$D$6-$BG77)*(6-5)/5))</x:f>
        <x:v>190.33589583586092</x:v>
      </x:c>
      <x:c r="K77" t="n">
        <x:f>J77*(1+($BG77+('Assumptions'!$D$6-$BG77)*(7-5)/5))</x:f>
        <x:v>208.22747004443187</x:v>
      </x:c>
      <x:c r="L77" t="n">
        <x:f>K77*(1+($BG77+('Assumptions'!$D$6-$BG77)*(8-5)/5))</x:f>
        <x:v>223.01162041758653</x:v>
      </x:c>
      <x:c r="M77" t="n">
        <x:f>L77*(1+($BG77+('Assumptions'!$D$6-$BG77)*(9-5)/5))</x:f>
        <x:v>233.71617819763068</x:v>
      </x:c>
      <x:c r="N77" t="n">
        <x:f>M77*(1+($BG77+('Assumptions'!$D$6-$BG77)*(10-5)/5))</x:f>
        <x:v>239.55908265257142</x:v>
      </x:c>
      <x:c r="O77" t="n">
        <x:f>0</x:f>
        <x:v>0</x:v>
      </x:c>
      <x:c r="P77" t="n">
        <x:f>0</x:f>
        <x:v>0</x:v>
      </x:c>
      <x:c r="Q77" t="n">
        <x:f>0</x:f>
        <x:v>0</x:v>
      </x:c>
      <x:c r="R77" t="n">
        <x:f>0</x:f>
        <x:v>0</x:v>
      </x:c>
      <x:c r="S77" t="n">
        <x:f>0</x:f>
        <x:v>0</x:v>
      </x:c>
      <x:c r="T77" t="n">
        <x:f>S77*(1+($BG77+('Assumptions'!$D$6-$BG77)*(6-5)/5))</x:f>
        <x:v>0</x:v>
      </x:c>
      <x:c r="U77" t="n">
        <x:f>T77*(1+($BG77+('Assumptions'!$D$6-$BG77)*(7-5)/5))</x:f>
        <x:v>0</x:v>
      </x:c>
      <x:c r="V77" t="n">
        <x:f>U77*(1+($BG77+('Assumptions'!$D$6-$BG77)*(8-5)/5))</x:f>
        <x:v>0</x:v>
      </x:c>
      <x:c r="W77" t="n">
        <x:f>V77*(1+($BG77+('Assumptions'!$D$6-$BG77)*(9-5)/5))</x:f>
        <x:v>0</x:v>
      </x:c>
      <x:c r="X77" t="n">
        <x:f>W77*(1+($BG77+('Assumptions'!$D$6-$BG77)*(10-5)/5))</x:f>
        <x:v>0</x:v>
      </x:c>
      <x:c r="Y77" t="n">
        <x:f>E77*'WINA Model'!$B$62+O77*'WINA Model'!$B$63+'WINA Model'!$B$73+'WINA Model'!$B$74</x:f>
        <x:v>61.54290000000001</x:v>
      </x:c>
      <x:c r="Z77" t="n">
        <x:f>F77*'WINA Model'!$C$62+P77*'WINA Model'!$C$63+'WINA Model'!$C$73+'WINA Model'!$C$74</x:f>
        <x:v>70.73397900000002</x:v>
      </x:c>
      <x:c r="AA77" t="n">
        <x:f>G77*'WINA Model'!$D$62+Q77*'WINA Model'!$D$63+'WINA Model'!$D$73+'WINA Model'!$D$74</x:f>
        <x:v>81.29231928000002</x:v>
      </x:c>
      <x:c r="AB77" t="n">
        <x:f>H77*'WINA Model'!$E$62+R77*'WINA Model'!$E$63+'WINA Model'!$E$73+'WINA Model'!$E$74</x:f>
        <x:v>93.42060885000004</x:v>
      </x:c>
      <x:c r="AC77" t="n">
        <x:f>I77*'WINA Model'!$F$62+S77*'WINA Model'!$F$63+'WINA Model'!$F$73+'WINA Model'!$F$74</x:f>
        <x:v>107.35149004171207</x:v>
      </x:c>
      <x:c r="AD77" t="n">
        <x:f>AX77*$AC77/$AW77</x:f>
        <x:v>119.91161437659238</x:v>
      </x:c>
      <x:c r="AE77" t="n">
        <x:f>AY77*$AC77/$AW77</x:f>
        <x:v>131.18330612799207</x:v>
      </x:c>
      <x:c r="AF77" t="n">
        <x:f>AZ77*$AC77/$AW77</x:f>
        <x:v>140.49732086307952</x:v>
      </x:c>
      <x:c r="AG77" t="n">
        <x:f>BA77*$AC77/$AW77</x:f>
        <x:v>147.24119226450733</x:v>
      </x:c>
      <x:c r="AH77" t="n">
        <x:f>BB77*$AC77/$AW77</x:f>
        <x:v>150.92222207112</x:v>
      </x:c>
      <x:c r="AI77" t="n">
        <x:f>Y77*(1-'Assumptions'!$F$6)+AS77*'Assumptions'!$G$6-AS77*'WINA Model'!$B$65-(AS77-'Inputs'!$C$14)*'Assumptions'!$H$6-'Assumptions'!$I$6</x:f>
        <x:v>43.800774000000004</x:v>
      </x:c>
      <x:c r="AJ77" t="n">
        <x:f>Z77*(1-'Assumptions'!$F$6)+AT77*'Assumptions'!$G$6-AT77*'WINA Model'!$C$65-(AT77-AS77)*'Assumptions'!$H$6-0</x:f>
        <x:v>50.94501084000002</x:v>
      </x:c>
      <x:c r="AK77" t="n">
        <x:f>AA77*(1-'Assumptions'!$F$6)+AU77*'Assumptions'!$G$6-AU77*'WINA Model'!$D$65-(AU77-AT77)*'Assumptions'!$H$6-0</x:f>
        <x:v>59.23113882480001</x:v>
      </x:c>
      <x:c r="AL77" t="n">
        <x:f>AB77*(1-'Assumptions'!$F$6)+AV77*'Assumptions'!$G$6-AV77*'WINA Model'!$E$65-(AV77-AU77)*'Assumptions'!$H$6-0</x:f>
        <x:v>68.53991448456001</x:v>
      </x:c>
      <x:c r="AM77" t="n">
        <x:f>AC77*(1-'Assumptions'!$F$6)+AW77*'Assumptions'!$G$6-AW77*'WINA Model'!$F$65-(AW77-AV77)*'Assumptions'!$H$6-0</x:f>
        <x:v>79.12381781754436</x:v>
      </x:c>
      <x:c r="AN77" t="n">
        <x:f>AD77*(1-'Assumptions'!$F$6)+AX77*'Assumptions'!$G$6-AX77*'WINA Model'!$G$65-(AX77-AW77)*'Assumptions'!$H$6-0</x:f>
        <x:v>88.45006207031068</x:v>
      </x:c>
      <x:c r="AO77" t="n">
        <x:f>AE77*(1-'Assumptions'!$F$6)+AY77*'Assumptions'!$G$6-AY77*'WINA Model'!$H$65-(AY77-AX77)*'Assumptions'!$H$6-0</x:f>
        <x:v>96.8427515325694</x:v>
      </x:c>
      <x:c r="AP77" t="n">
        <x:f>AF77*(1-'Assumptions'!$F$6)+AZ77*'Assumptions'!$G$6-AZ77*'WINA Model'!$I$65-(AZ77-AY77)*'Assumptions'!$H$6-0</x:f>
        <x:v>103.80614140346631</x:v>
      </x:c>
      <x:c r="AQ77" t="n">
        <x:f>AG77*(1-'Assumptions'!$F$6)+BA77*'Assumptions'!$G$6-BA77*'WINA Model'!$J$65-(BA77-AZ77)*'Assumptions'!$H$6-0</x:f>
        <x:v>108.88462082705313</x:v>
      </x:c>
      <x:c r="AR77" t="n">
        <x:f>AH77*(1-'Assumptions'!$F$6)+BB77*'Assumptions'!$G$6-BB77*'WINA Model'!$K$65-(BB77-BA77)*'Assumptions'!$H$6-0</x:f>
        <x:v>111.70932169312152</x:v>
      </x:c>
      <x:c r="AS77" t="n">
        <x:f>E77+O77</x:f>
        <x:v>100.89000000000001</x:v>
      </x:c>
      <x:c r="AT77" t="n">
        <x:f>F77+P77</x:f>
        <x:v>115.01460000000003</x:v>
      </x:c>
      <x:c r="AU77" t="n">
        <x:f>G77+Q77</x:f>
        <x:v>131.11664400000004</x:v>
      </x:c>
      <x:c r="AV77" t="n">
        <x:f>H77+R77</x:f>
        <x:v>149.47297416000006</x:v>
      </x:c>
      <x:c r="AW77" t="n">
        <x:f>I77+S77</x:f>
        <x:v>170.3991905424001</x:v>
      </x:c>
      <x:c r="AX77" t="n">
        <x:f>J77+T77</x:f>
        <x:v>190.33589583586092</x:v>
      </x:c>
      <x:c r="AY77" t="n">
        <x:f>K77+U77</x:f>
        <x:v>208.22747004443187</x:v>
      </x:c>
      <x:c r="AZ77" t="n">
        <x:f>L77+V77</x:f>
        <x:v>223.01162041758653</x:v>
      </x:c>
      <x:c r="BA77" t="n">
        <x:f>M77+W77</x:f>
        <x:v>233.71617819763068</x:v>
      </x:c>
      <x:c r="BB77" t="n">
        <x:f>N77+X77</x:f>
        <x:v>239.55908265257142</x:v>
      </x:c>
      <x:c r="BC77" t="n">
        <x:f>AS77/'Inputs'!$C$14-1</x:f>
        <x:v>0.14000000000000012</x:v>
      </x:c>
      <x:c r="BD77" t="n">
        <x:f>AT77/AS77-1</x:f>
        <x:v>0.14000000000000012</x:v>
      </x:c>
      <x:c r="BE77" t="n">
        <x:f>AU77/AT77-1</x:f>
        <x:v>0.14000000000000012</x:v>
      </x:c>
      <x:c r="BF77" t="n">
        <x:f>AV77/AU77-1</x:f>
        <x:v>0.14000000000000012</x:v>
      </x:c>
      <x:c r="BG77" t="n">
        <x:f>AW77/AV77-1</x:f>
        <x:v>0.14000000000000012</x:v>
      </x:c>
      <x:c r="BH77" t="n">
        <x:f>AX77/AW77-1</x:f>
        <x:v>0.11699999999999999</x:v>
      </x:c>
      <x:c r="BI77" t="n">
        <x:f>AY77/AX77-1</x:f>
        <x:v>0.09400000000000008</x:v>
      </x:c>
      <x:c r="BJ77" t="n">
        <x:f>AZ77/AY77-1</x:f>
        <x:v>0.07099999999999995</x:v>
      </x:c>
      <x:c r="BK77" t="n">
        <x:f>BA77/AZ77-1</x:f>
        <x:v>0.04800000000000004</x:v>
      </x:c>
      <x:c r="BL77" t="n">
        <x:f>BB77/BA77-1</x:f>
        <x:v>0.02499999999999991</x:v>
      </x:c>
      <x:c r="BM77" t="n">
        <x:f>AH77*(1-'Assumptions'!$F$6)*(1+'Assumptions'!$D$6)*(1-'Assumptions'!$D$6/'Assumptions'!$E$6)</x:f>
        <x:v>109.17066735101658</x:v>
      </x:c>
      <x:c r="BN77" t="n">
        <x:f>SUMPRODUCT(AI77:AR77,'WINA Model'!$B$83:$K$83)+BM77/('Assumptions'!$C$6-'Assumptions'!$D$6)*'WINA Model'!$K$83</x:f>
        <x:v>1020.8632406845337</x:v>
      </x:c>
      <x:c r="BO77" t="n">
        <x:f>'WINA Model'!$B$94</x:f>
        <x:v>-42.825500000000005</x:v>
      </x:c>
      <x:c r="BP77" t="n">
        <x:f>'Inputs'!$C$8</x:f>
        <x:v>3.701516</x:v>
      </x:c>
    </x:row>
    <x:row r="78">
      <x:c r="A78" t="str">
        <x:v>WINA</x:v>
      </x:c>
      <x:c r="B78" s="22" t="n">
        <x:v>0.15</x:v>
      </x:c>
      <x:c r="C78" s="42" t="n">
        <x:f>(BN78+BO78)/BP78</x:f>
        <x:v>279.3632826629927</x:v>
      </x:c>
      <x:c r="D78" s="22" t="n">
        <x:f>C78/'Inputs'!$C$5-1</x:f>
        <x:v>-0.12196849903198714</x:v>
      </x:c>
      <x:c r="E78" t="n">
        <x:f>'Inputs'!$C$14*(1+$B78)^1</x:f>
        <x:v>101.77499999999999</x:v>
      </x:c>
      <x:c r="F78" t="n">
        <x:f>'Inputs'!$C$14*(1+$B78)^2</x:f>
        <x:v>117.04124999999998</x:v>
      </x:c>
      <x:c r="G78" t="n">
        <x:f>'Inputs'!$C$14*(1+$B78)^3</x:f>
        <x:v>134.59743749999996</x:v>
      </x:c>
      <x:c r="H78" t="n">
        <x:f>'Inputs'!$C$14*(1+$B78)^4</x:f>
        <x:v>154.78705312499994</x:v>
      </x:c>
      <x:c r="I78" t="n">
        <x:f>'Inputs'!$C$14*(1+$B78)^5</x:f>
        <x:v>178.00511109374995</x:v>
      </x:c>
      <x:c r="J78" t="n">
        <x:f>I78*(1+($BG78+('Assumptions'!$D$6-$BG78)*(6-5)/5))</x:f>
        <x:v>200.2557499804687</x:v>
      </x:c>
      <x:c r="K78" t="n">
        <x:f>J78*(1+($BG78+('Assumptions'!$D$6-$BG78)*(7-5)/5))</x:f>
        <x:v>220.28132497851558</x:v>
      </x:c>
      <x:c r="L78" t="n">
        <x:f>K78*(1+($BG78+('Assumptions'!$D$6-$BG78)*(8-5)/5))</x:f>
        <x:v>236.80242435190425</x:v>
      </x:c>
      <x:c r="M78" t="n">
        <x:f>L78*(1+($BG78+('Assumptions'!$D$6-$BG78)*(9-5)/5))</x:f>
        <x:v>248.64254556949948</x:v>
      </x:c>
      <x:c r="N78" t="n">
        <x:f>M78*(1+($BG78+('Assumptions'!$D$6-$BG78)*(10-5)/5))</x:f>
        <x:v>254.85860920873694</x:v>
      </x:c>
      <x:c r="O78" t="n">
        <x:f>0</x:f>
        <x:v>0</x:v>
      </x:c>
      <x:c r="P78" t="n">
        <x:f>0</x:f>
        <x:v>0</x:v>
      </x:c>
      <x:c r="Q78" t="n">
        <x:f>0</x:f>
        <x:v>0</x:v>
      </x:c>
      <x:c r="R78" t="n">
        <x:f>0</x:f>
        <x:v>0</x:v>
      </x:c>
      <x:c r="S78" t="n">
        <x:f>0</x:f>
        <x:v>0</x:v>
      </x:c>
      <x:c r="T78" t="n">
        <x:f>S78*(1+($BG78+('Assumptions'!$D$6-$BG78)*(6-5)/5))</x:f>
        <x:v>0</x:v>
      </x:c>
      <x:c r="U78" t="n">
        <x:f>T78*(1+($BG78+('Assumptions'!$D$6-$BG78)*(7-5)/5))</x:f>
        <x:v>0</x:v>
      </x:c>
      <x:c r="V78" t="n">
        <x:f>U78*(1+($BG78+('Assumptions'!$D$6-$BG78)*(8-5)/5))</x:f>
        <x:v>0</x:v>
      </x:c>
      <x:c r="W78" t="n">
        <x:f>V78*(1+($BG78+('Assumptions'!$D$6-$BG78)*(9-5)/5))</x:f>
        <x:v>0</x:v>
      </x:c>
      <x:c r="X78" t="n">
        <x:f>W78*(1+($BG78+('Assumptions'!$D$6-$BG78)*(10-5)/5))</x:f>
        <x:v>0</x:v>
      </x:c>
      <x:c r="Y78" t="n">
        <x:f>E78*'WINA Model'!$B$62+O78*'WINA Model'!$B$63+'WINA Model'!$B$73+'WINA Model'!$B$74</x:f>
        <x:v>62.08274999999999</x:v>
      </x:c>
      <x:c r="Z78" t="n">
        <x:f>F78*'WINA Model'!$C$62+P78*'WINA Model'!$C$63+'WINA Model'!$C$73+'WINA Model'!$C$74</x:f>
        <x:v>71.98036874999998</x:v>
      </x:c>
      <x:c r="AA78" t="n">
        <x:f>G78*'WINA Model'!$D$62+Q78*'WINA Model'!$D$63+'WINA Model'!$D$73+'WINA Model'!$D$74</x:f>
        <x:v>83.45041124999997</x:v>
      </x:c>
      <x:c r="AB78" t="n">
        <x:f>H78*'WINA Model'!$E$62+R78*'WINA Model'!$E$63+'WINA Model'!$E$73+'WINA Model'!$E$74</x:f>
        <x:v>96.74190820312496</x:v>
      </x:c>
      <x:c r="AC78" t="n">
        <x:f>I78*'WINA Model'!$F$62+S78*'WINA Model'!$F$63+'WINA Model'!$F$73+'WINA Model'!$F$74</x:f>
        <x:v>112.14321998906247</x:v>
      </x:c>
      <x:c r="AD78" t="n">
        <x:f>AX78*$AC78/$AW78</x:f>
        <x:v>126.1611224876953</x:v>
      </x:c>
      <x:c r="AE78" t="n">
        <x:f>AY78*$AC78/$AW78</x:f>
        <x:v>138.77723473646483</x:v>
      </x:c>
      <x:c r="AF78" t="n">
        <x:f>AZ78*$AC78/$AW78</x:f>
        <x:v>149.1855273416997</x:v>
      </x:c>
      <x:c r="AG78" t="n">
        <x:f>BA78*$AC78/$AW78</x:f>
        <x:v>156.64480370878468</x:v>
      </x:c>
      <x:c r="AH78" t="n">
        <x:f>BB78*$AC78/$AW78</x:f>
        <x:v>160.5609238015043</x:v>
      </x:c>
      <x:c r="AI78" t="n">
        <x:f>Y78*(1-'Assumptions'!$F$6)+AS78*'Assumptions'!$G$6-AS78*'WINA Model'!$B$65-(AS78-'Inputs'!$C$14)*'Assumptions'!$H$6-'Assumptions'!$I$6</x:f>
        <x:v>44.16946499999999</x:v>
      </x:c>
      <x:c r="AJ78" t="n">
        <x:f>Z78*(1-'Assumptions'!$F$6)+AT78*'Assumptions'!$G$6-AT78*'WINA Model'!$C$65-(AT78-AS78)*'Assumptions'!$H$6-0</x:f>
        <x:v>51.82484774999999</x:v>
      </x:c>
      <x:c r="AK78" t="n">
        <x:f>AA78*(1-'Assumptions'!$F$6)+AU78*'Assumptions'!$G$6-AU78*'WINA Model'!$D$65-(AU78-AT78)*'Assumptions'!$H$6-0</x:f>
        <x:v>60.78303236249997</x:v>
      </x:c>
      <x:c r="AL78" t="n">
        <x:f>AB78*(1-'Assumptions'!$F$6)+AV78*'Assumptions'!$G$6-AV78*'WINA Model'!$E$65-(AV78-AU78)*'Assumptions'!$H$6-0</x:f>
        <x:v>70.95303917812498</x:v>
      </x:c>
      <x:c r="AM78" t="n">
        <x:f>AC78*(1-'Assumptions'!$F$6)+AW78*'Assumptions'!$G$6-AW78*'WINA Model'!$F$65-(AW78-AV78)*'Assumptions'!$H$6-0</x:f>
        <x:v>82.62842469918748</x:v>
      </x:c>
      <x:c r="AN78" t="n">
        <x:f>AD78*(1-'Assumptions'!$F$6)+AX78*'Assumptions'!$G$6-AX78*'WINA Model'!$G$65-(AX78-AW78)*'Assumptions'!$H$6-0</x:f>
        <x:v>93.03437131314843</x:v>
      </x:c>
      <x:c r="AO78" t="n">
        <x:f>AE78*(1-'Assumptions'!$F$6)+AY78*'Assumptions'!$G$6-AY78*'WINA Model'!$H$65-(AY78-AX78)*'Assumptions'!$H$6-0</x:f>
        <x:v>102.42681100001013</x:v>
      </x:c>
      <x:c r="AP78" t="n">
        <x:f>AF78*(1-'Assumptions'!$F$6)+AZ78*'Assumptions'!$G$6-AZ78*'WINA Model'!$I$65-(AZ78-AY78)*'Assumptions'!$H$6-0</x:f>
        <x:v>110.20894970000114</x:v>
      </x:c>
      <x:c r="AQ78" t="n">
        <x:f>AG78*(1-'Assumptions'!$F$6)+BA78*'Assumptions'!$G$6-BA78*'WINA Model'!$J$65-(BA78-AZ78)*'Assumptions'!$H$6-0</x:f>
        <x:v>115.82953784749046</x:v>
      </x:c>
      <x:c r="AR78" t="n">
        <x:f>AH78*(1-'Assumptions'!$F$6)+BB78*'Assumptions'!$G$6-BB78*'WINA Model'!$K$65-(BB78-BA78)*'Assumptions'!$H$6-0</x:f>
        <x:v>118.84367750585366</x:v>
      </x:c>
      <x:c r="AS78" t="n">
        <x:f>E78+O78</x:f>
        <x:v>101.77499999999999</x:v>
      </x:c>
      <x:c r="AT78" t="n">
        <x:f>F78+P78</x:f>
        <x:v>117.04124999999998</x:v>
      </x:c>
      <x:c r="AU78" t="n">
        <x:f>G78+Q78</x:f>
        <x:v>134.59743749999996</x:v>
      </x:c>
      <x:c r="AV78" t="n">
        <x:f>H78+R78</x:f>
        <x:v>154.78705312499994</x:v>
      </x:c>
      <x:c r="AW78" t="n">
        <x:f>I78+S78</x:f>
        <x:v>178.00511109374995</x:v>
      </x:c>
      <x:c r="AX78" t="n">
        <x:f>J78+T78</x:f>
        <x:v>200.2557499804687</x:v>
      </x:c>
      <x:c r="AY78" t="n">
        <x:f>K78+U78</x:f>
        <x:v>220.28132497851558</x:v>
      </x:c>
      <x:c r="AZ78" t="n">
        <x:f>L78+V78</x:f>
        <x:v>236.80242435190425</x:v>
      </x:c>
      <x:c r="BA78" t="n">
        <x:f>M78+W78</x:f>
        <x:v>248.64254556949948</x:v>
      </x:c>
      <x:c r="BB78" t="n">
        <x:f>N78+X78</x:f>
        <x:v>254.85860920873694</x:v>
      </x:c>
      <x:c r="BC78" t="n">
        <x:f>AS78/'Inputs'!$C$14-1</x:f>
        <x:v>0.1499999999999999</x:v>
      </x:c>
      <x:c r="BD78" t="n">
        <x:f>AT78/AS78-1</x:f>
        <x:v>0.1499999999999999</x:v>
      </x:c>
      <x:c r="BE78" t="n">
        <x:f>AU78/AT78-1</x:f>
        <x:v>0.1499999999999999</x:v>
      </x:c>
      <x:c r="BF78" t="n">
        <x:f>AV78/AU78-1</x:f>
        <x:v>0.1499999999999999</x:v>
      </x:c>
      <x:c r="BG78" t="n">
        <x:f>AW78/AV78-1</x:f>
        <x:v>0.15000000000000013</x:v>
      </x:c>
      <x:c r="BH78" t="n">
        <x:f>AX78/AW78-1</x:f>
        <x:v>0.125</x:v>
      </x:c>
      <x:c r="BI78" t="n">
        <x:f>AY78/AX78-1</x:f>
        <x:v>0.10000000000000009</x:v>
      </x:c>
      <x:c r="BJ78" t="n">
        <x:f>AZ78/AY78-1</x:f>
        <x:v>0.07499999999999996</x:v>
      </x:c>
      <x:c r="BK78" t="n">
        <x:f>BA78/AZ78-1</x:f>
        <x:v>0.050000000000000044</x:v>
      </x:c>
      <x:c r="BL78" t="n">
        <x:f>BB78/BA78-1</x:f>
        <x:v>0.02499999999999991</x:v>
      </x:c>
      <x:c r="BM78" t="n">
        <x:f>AH78*(1-'Assumptions'!$F$6)*(1+'Assumptions'!$D$6)*(1-'Assumptions'!$D$6/'Assumptions'!$E$6)</x:f>
        <x:v>116.14289109555956</x:v>
      </x:c>
      <x:c r="BN78" t="n">
        <x:f>SUMPRODUCT(AI78:AR78,'WINA Model'!$B$83:$K$83)+BM78/('Assumptions'!$C$6-'Assumptions'!$D$6)*'WINA Model'!$K$83</x:f>
        <x:v>1076.8931605895898</x:v>
      </x:c>
      <x:c r="BO78" t="n">
        <x:f>'WINA Model'!$B$94</x:f>
        <x:v>-42.825500000000005</x:v>
      </x:c>
      <x:c r="BP78" t="n">
        <x:f>'Inputs'!$C$8</x:f>
        <x:v>3.701516</x:v>
      </x:c>
    </x:row>
    <x:row r="79">
      <x:c r="A79" t="str">
        <x:v>WINA</x:v>
      </x:c>
      <x:c r="B79" s="22" t="n">
        <x:v>0.16</x:v>
      </x:c>
      <x:c r="C79" s="42" t="n">
        <x:f>(BN79+BO79)/BP79</x:f>
        <x:v>295.2722415242666</x:v>
      </x:c>
      <x:c r="D79" s="22" t="n">
        <x:f>C79/'Inputs'!$C$5-1</x:f>
        <x:v>-0.07196705684298788</x:v>
      </x:c>
      <x:c r="E79" t="n">
        <x:f>'Inputs'!$C$14*(1+$B79)^1</x:f>
        <x:v>102.66</x:v>
      </x:c>
      <x:c r="F79" t="n">
        <x:f>'Inputs'!$C$14*(1+$B79)^2</x:f>
        <x:v>119.08559999999999</x:v>
      </x:c>
      <x:c r="G79" t="n">
        <x:f>'Inputs'!$C$14*(1+$B79)^3</x:f>
        <x:v>138.13929599999997</x:v>
      </x:c>
      <x:c r="H79" t="n">
        <x:f>'Inputs'!$C$14*(1+$B79)^4</x:f>
        <x:v>160.24158335999996</x:v>
      </x:c>
      <x:c r="I79" t="n">
        <x:f>'Inputs'!$C$14*(1+$B79)^5</x:f>
        <x:v>185.88023669759997</x:v>
      </x:c>
      <x:c r="J79" t="n">
        <x:f>I79*(1+($BG79+('Assumptions'!$D$6-$BG79)*(6-5)/5))</x:f>
        <x:v>210.60230817838075</x:v>
      </x:c>
      <x:c r="K79" t="n">
        <x:f>J79*(1+($BG79+('Assumptions'!$D$6-$BG79)*(7-5)/5))</x:f>
        <x:v>232.92615284528912</x:v>
      </x:c>
      <x:c r="L79" t="n">
        <x:f>K79*(1+($BG79+('Assumptions'!$D$6-$BG79)*(8-5)/5))</x:f>
        <x:v>251.32731892006694</x:v>
      </x:c>
      <x:c r="M79" t="n">
        <x:f>L79*(1+($BG79+('Assumptions'!$D$6-$BG79)*(9-5)/5))</x:f>
        <x:v>264.39633950391044</x:v>
      </x:c>
      <x:c r="N79" t="n">
        <x:f>M79*(1+($BG79+('Assumptions'!$D$6-$BG79)*(10-5)/5))</x:f>
        <x:v>271.0062479915082</x:v>
      </x:c>
      <x:c r="O79" t="n">
        <x:f>0</x:f>
        <x:v>0</x:v>
      </x:c>
      <x:c r="P79" t="n">
        <x:f>0</x:f>
        <x:v>0</x:v>
      </x:c>
      <x:c r="Q79" t="n">
        <x:f>0</x:f>
        <x:v>0</x:v>
      </x:c>
      <x:c r="R79" t="n">
        <x:f>0</x:f>
        <x:v>0</x:v>
      </x:c>
      <x:c r="S79" t="n">
        <x:f>0</x:f>
        <x:v>0</x:v>
      </x:c>
      <x:c r="T79" t="n">
        <x:f>S79*(1+($BG79+('Assumptions'!$D$6-$BG79)*(6-5)/5))</x:f>
        <x:v>0</x:v>
      </x:c>
      <x:c r="U79" t="n">
        <x:f>T79*(1+($BG79+('Assumptions'!$D$6-$BG79)*(7-5)/5))</x:f>
        <x:v>0</x:v>
      </x:c>
      <x:c r="V79" t="n">
        <x:f>U79*(1+($BG79+('Assumptions'!$D$6-$BG79)*(8-5)/5))</x:f>
        <x:v>0</x:v>
      </x:c>
      <x:c r="W79" t="n">
        <x:f>V79*(1+($BG79+('Assumptions'!$D$6-$BG79)*(9-5)/5))</x:f>
        <x:v>0</x:v>
      </x:c>
      <x:c r="X79" t="n">
        <x:f>W79*(1+($BG79+('Assumptions'!$D$6-$BG79)*(10-5)/5))</x:f>
        <x:v>0</x:v>
      </x:c>
      <x:c r="Y79" t="n">
        <x:f>E79*'WINA Model'!$B$62+O79*'WINA Model'!$B$63+'WINA Model'!$B$73+'WINA Model'!$B$74</x:f>
        <x:v>62.6226</x:v>
      </x:c>
      <x:c r="Z79" t="n">
        <x:f>F79*'WINA Model'!$C$62+P79*'WINA Model'!$C$63+'WINA Model'!$C$73+'WINA Model'!$C$74</x:f>
        <x:v>73.23764399999999</x:v>
      </x:c>
      <x:c r="AA79" t="n">
        <x:f>G79*'WINA Model'!$D$62+Q79*'WINA Model'!$D$63+'WINA Model'!$D$73+'WINA Model'!$D$74</x:f>
        <x:v>85.64636351999998</x:v>
      </x:c>
      <x:c r="AB79" t="n">
        <x:f>H79*'WINA Model'!$E$62+R79*'WINA Model'!$E$63+'WINA Model'!$E$73+'WINA Model'!$E$74</x:f>
        <x:v>100.15098959999997</x:v>
      </x:c>
      <x:c r="AC79" t="n">
        <x:f>I79*'WINA Model'!$F$62+S79*'WINA Model'!$F$63+'WINA Model'!$F$73+'WINA Model'!$F$74</x:f>
        <x:v>117.10454911948798</x:v>
      </x:c>
      <x:c r="AD79" t="n">
        <x:f>AX79*$AC79/$AW79</x:f>
        <x:v>132.6794541523799</x:v>
      </x:c>
      <x:c r="AE79" t="n">
        <x:f>AY79*$AC79/$AW79</x:f>
        <x:v>146.74347629253216</x:v>
      </x:c>
      <x:c r="AF79" t="n">
        <x:f>AZ79*$AC79/$AW79</x:f>
        <x:v>158.33621091964218</x:v>
      </x:c>
      <x:c r="AG79" t="n">
        <x:f>BA79*$AC79/$AW79</x:f>
        <x:v>166.5696938874636</x:v>
      </x:c>
      <x:c r="AH79" t="n">
        <x:f>BB79*$AC79/$AW79</x:f>
        <x:v>170.73393623465014</x:v>
      </x:c>
      <x:c r="AI79" t="n">
        <x:f>Y79*(1-'Assumptions'!$F$6)+AS79*'Assumptions'!$G$6-AS79*'WINA Model'!$B$65-(AS79-'Inputs'!$C$14)*'Assumptions'!$H$6-'Assumptions'!$I$6</x:f>
        <x:v>44.538156</x:v>
      </x:c>
      <x:c r="AJ79" t="n">
        <x:f>Z79*(1-'Assumptions'!$F$6)+AT79*'Assumptions'!$G$6-AT79*'WINA Model'!$C$65-(AT79-AS79)*'Assumptions'!$H$6-0</x:f>
        <x:v>52.71221424</x:v>
      </x:c>
      <x:c r="AK79" t="n">
        <x:f>AA79*(1-'Assumptions'!$F$6)+AU79*'Assumptions'!$G$6-AU79*'WINA Model'!$D$65-(AU79-AT79)*'Assumptions'!$H$6-0</x:f>
        <x:v>62.361794323199994</x:v>
      </x:c>
      <x:c r="AL79" t="n">
        <x:f>AB79*(1-'Assumptions'!$F$6)+AV79*'Assumptions'!$G$6-AV79*'WINA Model'!$E$65-(AV79-AU79)*'Assumptions'!$H$6-0</x:f>
        <x:v>73.42932418175998</x:v>
      </x:c>
      <x:c r="AM79" t="n">
        <x:f>AC79*(1-'Assumptions'!$F$6)+AW79*'Assumptions'!$G$6-AW79*'WINA Model'!$F$65-(AW79-AV79)*'Assumptions'!$H$6-0</x:f>
        <x:v>86.25612142368766</x:v>
      </x:c>
      <x:c r="AN79" t="n">
        <x:f>AD79*(1-'Assumptions'!$F$6)+AX79*'Assumptions'!$G$6-AX79*'WINA Model'!$G$65-(AX79-AW79)*'Assumptions'!$H$6-0</x:f>
        <x:v>97.81471602805252</x:v>
      </x:c>
      <x:c r="AO79" t="n">
        <x:f>AE79*(1-'Assumptions'!$F$6)+AY79*'Assumptions'!$G$6-AY79*'WINA Model'!$H$65-(AY79-AX79)*'Assumptions'!$H$6-0</x:f>
        <x:v>108.28345125484282</x:v>
      </x:c>
      <x:c r="AP79" t="n">
        <x:f>AF79*(1-'Assumptions'!$F$6)+AZ79*'Assumptions'!$G$6-AZ79*'WINA Model'!$I$65-(AZ79-AY79)*'Assumptions'!$H$6-0</x:f>
        <x:v>116.9515691503917</x:v>
      </x:c>
      <x:c r="AQ79" t="n">
        <x:f>AG79*(1-'Assumptions'!$F$6)+BA79*'Assumptions'!$G$6-BA79*'WINA Model'!$J$65-(BA79-AZ79)*'Assumptions'!$H$6-0</x:f>
        <x:v>123.15883086874852</x:v>
      </x:c>
      <x:c r="AR79" t="n">
        <x:f>AH79*(1-'Assumptions'!$F$6)+BB79*'Assumptions'!$G$6-BB79*'WINA Model'!$K$65-(BB79-BA79)*'Assumptions'!$H$6-0</x:f>
        <x:v>126.37351839268406</x:v>
      </x:c>
      <x:c r="AS79" t="n">
        <x:f>E79+O79</x:f>
        <x:v>102.66</x:v>
      </x:c>
      <x:c r="AT79" t="n">
        <x:f>F79+P79</x:f>
        <x:v>119.08559999999999</x:v>
      </x:c>
      <x:c r="AU79" t="n">
        <x:f>G79+Q79</x:f>
        <x:v>138.13929599999997</x:v>
      </x:c>
      <x:c r="AV79" t="n">
        <x:f>H79+R79</x:f>
        <x:v>160.24158335999996</x:v>
      </x:c>
      <x:c r="AW79" t="n">
        <x:f>I79+S79</x:f>
        <x:v>185.88023669759997</x:v>
      </x:c>
      <x:c r="AX79" t="n">
        <x:f>J79+T79</x:f>
        <x:v>210.60230817838075</x:v>
      </x:c>
      <x:c r="AY79" t="n">
        <x:f>K79+U79</x:f>
        <x:v>232.92615284528912</x:v>
      </x:c>
      <x:c r="AZ79" t="n">
        <x:f>L79+V79</x:f>
        <x:v>251.32731892006694</x:v>
      </x:c>
      <x:c r="BA79" t="n">
        <x:f>M79+W79</x:f>
        <x:v>264.39633950391044</x:v>
      </x:c>
      <x:c r="BB79" t="n">
        <x:f>N79+X79</x:f>
        <x:v>271.0062479915082</x:v>
      </x:c>
      <x:c r="BC79" t="n">
        <x:f>AS79/'Inputs'!$C$14-1</x:f>
        <x:v>0.15999999999999992</x:v>
      </x:c>
      <x:c r="BD79" t="n">
        <x:f>AT79/AS79-1</x:f>
        <x:v>0.15999999999999992</x:v>
      </x:c>
      <x:c r="BE79" t="n">
        <x:f>AU79/AT79-1</x:f>
        <x:v>0.15999999999999992</x:v>
      </x:c>
      <x:c r="BF79" t="n">
        <x:f>AV79/AU79-1</x:f>
        <x:v>0.15999999999999992</x:v>
      </x:c>
      <x:c r="BG79" t="n">
        <x:f>AW79/AV79-1</x:f>
        <x:v>0.16000000000000014</x:v>
      </x:c>
      <x:c r="BH79" t="n">
        <x:f>AX79/AW79-1</x:f>
        <x:v>0.133</x:v>
      </x:c>
      <x:c r="BI79" t="n">
        <x:f>AY79/AX79-1</x:f>
        <x:v>0.1060000000000001</x:v>
      </x:c>
      <x:c r="BJ79" t="n">
        <x:f>AZ79/AY79-1</x:f>
        <x:v>0.07899999999999996</x:v>
      </x:c>
      <x:c r="BK79" t="n">
        <x:f>BA79/AZ79-1</x:f>
        <x:v>0.052000000000000046</x:v>
      </x:c>
      <x:c r="BL79" t="n">
        <x:f>BB79/BA79-1</x:f>
        <x:v>0.02499999999999991</x:v>
      </x:c>
      <x:c r="BM79" t="n">
        <x:f>AH79*(1-'Assumptions'!$F$6)*(1+'Assumptions'!$D$6)*(1-'Assumptions'!$D$6/'Assumptions'!$E$6)</x:f>
        <x:v>123.50161230345016</x:v>
      </x:c>
      <x:c r="BN79" t="n">
        <x:f>SUMPRODUCT(AI79:AR79,'WINA Model'!$B$83:$K$83)+BM79/('Assumptions'!$C$6-'Assumptions'!$D$6)*'WINA Model'!$K$83</x:f>
        <x:v>1135.780426357937</x:v>
      </x:c>
      <x:c r="BO79" t="n">
        <x:f>'WINA Model'!$B$94</x:f>
        <x:v>-42.825500000000005</x:v>
      </x:c>
      <x:c r="BP79" t="n">
        <x:f>'Inputs'!$C$8</x:f>
        <x:v>3.701516</x:v>
      </x:c>
    </x:row>
    <x:row r="80">
      <x:c r="A80" t="str">
        <x:v>WINA</x:v>
      </x:c>
      <x:c r="B80" s="22" t="n">
        <x:v>0.17</x:v>
      </x:c>
      <x:c r="C80" s="42" t="n">
        <x:f>(BN80+BO80)/BP80</x:f>
        <x:v>311.98776518820046</x:v>
      </x:c>
      <x:c r="D80" s="22" t="n">
        <x:f>C80/'Inputs'!$C$5-1</x:f>
        <x:v>-0.01943060254517892</x:v>
      </x:c>
      <x:c r="E80" t="n">
        <x:f>'Inputs'!$C$14*(1+$B80)^1</x:f>
        <x:v>103.54499999999999</x:v>
      </x:c>
      <x:c r="F80" t="n">
        <x:f>'Inputs'!$C$14*(1+$B80)^2</x:f>
        <x:v>121.14764999999998</x:v>
      </x:c>
      <x:c r="G80" t="n">
        <x:f>'Inputs'!$C$14*(1+$B80)^3</x:f>
        <x:v>141.74275049999997</x:v>
      </x:c>
      <x:c r="H80" t="n">
        <x:f>'Inputs'!$C$14*(1+$B80)^4</x:f>
        <x:v>165.83901808499996</x:v>
      </x:c>
      <x:c r="I80" t="n">
        <x:f>'Inputs'!$C$14*(1+$B80)^5</x:f>
        <x:v>194.03165115944992</x:v>
      </x:c>
      <x:c r="J80" t="n">
        <x:f>I80*(1+($BG80+('Assumptions'!$D$6-$BG80)*(6-5)/5))</x:f>
        <x:v>221.3901139729323</x:v>
      </x:c>
      <x:c r="K80" t="n">
        <x:f>J80*(1+($BG80+('Assumptions'!$D$6-$BG80)*(7-5)/5))</x:f>
        <x:v>246.1858067379007</x:v>
      </x:c>
      <x:c r="L80" t="n">
        <x:f>K80*(1+($BG80+('Assumptions'!$D$6-$BG80)*(8-5)/5))</x:f>
        <x:v>266.6192286971464</x:v>
      </x:c>
      <x:c r="M80" t="n">
        <x:f>L80*(1+($BG80+('Assumptions'!$D$6-$BG80)*(9-5)/5))</x:f>
        <x:v>281.0166670467923</x:v>
      </x:c>
      <x:c r="N80" t="n">
        <x:f>M80*(1+($BG80+('Assumptions'!$D$6-$BG80)*(10-5)/5))</x:f>
        <x:v>288.04208372296205</x:v>
      </x:c>
      <x:c r="O80" t="n">
        <x:f>0</x:f>
        <x:v>0</x:v>
      </x:c>
      <x:c r="P80" t="n">
        <x:f>0</x:f>
        <x:v>0</x:v>
      </x:c>
      <x:c r="Q80" t="n">
        <x:f>0</x:f>
        <x:v>0</x:v>
      </x:c>
      <x:c r="R80" t="n">
        <x:f>0</x:f>
        <x:v>0</x:v>
      </x:c>
      <x:c r="S80" t="n">
        <x:f>0</x:f>
        <x:v>0</x:v>
      </x:c>
      <x:c r="T80" t="n">
        <x:f>S80*(1+($BG80+('Assumptions'!$D$6-$BG80)*(6-5)/5))</x:f>
        <x:v>0</x:v>
      </x:c>
      <x:c r="U80" t="n">
        <x:f>T80*(1+($BG80+('Assumptions'!$D$6-$BG80)*(7-5)/5))</x:f>
        <x:v>0</x:v>
      </x:c>
      <x:c r="V80" t="n">
        <x:f>U80*(1+($BG80+('Assumptions'!$D$6-$BG80)*(8-5)/5))</x:f>
        <x:v>0</x:v>
      </x:c>
      <x:c r="W80" t="n">
        <x:f>V80*(1+($BG80+('Assumptions'!$D$6-$BG80)*(9-5)/5))</x:f>
        <x:v>0</x:v>
      </x:c>
      <x:c r="X80" t="n">
        <x:f>W80*(1+($BG80+('Assumptions'!$D$6-$BG80)*(10-5)/5))</x:f>
        <x:v>0</x:v>
      </x:c>
      <x:c r="Y80" t="n">
        <x:f>E80*'WINA Model'!$B$62+O80*'WINA Model'!$B$63+'WINA Model'!$B$73+'WINA Model'!$B$74</x:f>
        <x:v>63.16244999999999</x:v>
      </x:c>
      <x:c r="Z80" t="n">
        <x:f>F80*'WINA Model'!$C$62+P80*'WINA Model'!$C$63+'WINA Model'!$C$73+'WINA Model'!$C$74</x:f>
        <x:v>74.50580475</x:v>
      </x:c>
      <x:c r="AA80" t="n">
        <x:f>G80*'WINA Model'!$D$62+Q80*'WINA Model'!$D$63+'WINA Model'!$D$73+'WINA Model'!$D$74</x:f>
        <x:v>87.88050530999998</x:v>
      </x:c>
      <x:c r="AB80" t="n">
        <x:f>H80*'WINA Model'!$E$62+R80*'WINA Model'!$E$63+'WINA Model'!$E$73+'WINA Model'!$E$74</x:f>
        <x:v>103.64938630312497</x:v>
      </x:c>
      <x:c r="AC80" t="n">
        <x:f>I80*'WINA Model'!$F$62+S80*'WINA Model'!$F$63+'WINA Model'!$F$73+'WINA Model'!$F$74</x:f>
        <x:v>122.23994023045346</x:v>
      </x:c>
      <x:c r="AD80" t="n">
        <x:f>AX80*$AC80/$AW80</x:f>
        <x:v>139.47577180294735</x:v>
      </x:c>
      <x:c r="AE80" t="n">
        <x:f>AY80*$AC80/$AW80</x:f>
        <x:v>155.09705824487745</x:v>
      </x:c>
      <x:c r="AF80" t="n">
        <x:f>AZ80*$AC80/$AW80</x:f>
        <x:v>167.97011407920223</x:v>
      </x:c>
      <x:c r="AG80" t="n">
        <x:f>BA80*$AC80/$AW80</x:f>
        <x:v>177.04050023947914</x:v>
      </x:c>
      <x:c r="AH80" t="n">
        <x:f>BB80*$AC80/$AW80</x:f>
        <x:v>181.4665127454661</x:v>
      </x:c>
      <x:c r="AI80" t="n">
        <x:f>Y80*(1-'Assumptions'!$F$6)+AS80*'Assumptions'!$G$6-AS80*'WINA Model'!$B$65-(AS80-'Inputs'!$C$14)*'Assumptions'!$H$6-'Assumptions'!$I$6</x:f>
        <x:v>44.90684699999999</x:v>
      </x:c>
      <x:c r="AJ80" t="n">
        <x:f>Z80*(1-'Assumptions'!$F$6)+AT80*'Assumptions'!$G$6-AT80*'WINA Model'!$C$65-(AT80-AS80)*'Assumptions'!$H$6-0</x:f>
        <x:v>53.607110309999996</x:v>
      </x:c>
      <x:c r="AK80" t="n">
        <x:f>AA80*(1-'Assumptions'!$F$6)+AU80*'Assumptions'!$G$6-AU80*'WINA Model'!$D$65-(AU80-AT80)*'Assumptions'!$H$6-0</x:f>
        <x:v>63.96765526709999</x:v>
      </x:c>
      <x:c r="AL80" t="n">
        <x:f>AB80*(1-'Assumptions'!$F$6)+AV80*'Assumptions'!$G$6-AV80*'WINA Model'!$E$65-(AV80-AU80)*'Assumptions'!$H$6-0</x:f>
        <x:v>75.96986198548498</x:v>
      </x:c>
      <x:c r="AM80" t="n">
        <x:f>AC80*(1-'Assumptions'!$F$6)+AW80*'Assumptions'!$G$6-AW80*'WINA Model'!$F$65-(AW80-AV80)*'Assumptions'!$H$6-0</x:f>
        <x:v>90.01012209974223</x:v>
      </x:c>
      <x:c r="AN80" t="n">
        <x:f>AD80*(1-'Assumptions'!$F$6)+AX80*'Assumptions'!$G$6-AX80*'WINA Model'!$G$65-(AX80-AW80)*'Assumptions'!$H$6-0</x:f>
        <x:v>102.79773594629515</x:v>
      </x:c>
      <x:c r="AO80" t="n">
        <x:f>AE80*(1-'Assumptions'!$F$6)+AY80*'Assumptions'!$G$6-AY80*'WINA Model'!$H$65-(AY80-AX80)*'Assumptions'!$H$6-0</x:f>
        <x:v>114.42362072995269</x:v>
      </x:c>
      <x:c r="AP80" t="n">
        <x:f>AF80*(1-'Assumptions'!$F$6)+AZ80*'Assumptions'!$G$6-AZ80*'WINA Model'!$I$65-(AZ80-AY80)*'Assumptions'!$H$6-0</x:f>
        <x:v>124.04918751664303</x:v>
      </x:c>
      <x:c r="AQ80" t="n">
        <x:f>AG80*(1-'Assumptions'!$F$6)+BA80*'Assumptions'!$G$6-BA80*'WINA Model'!$J$65-(BA80-AZ80)*'Assumptions'!$H$6-0</x:f>
        <x:v>130.89063141044974</x:v>
      </x:c>
      <x:c r="AR80" t="n">
        <x:f>AH80*(1-'Assumptions'!$F$6)+BB80*'Assumptions'!$G$6-BB80*'WINA Model'!$K$65-(BB80-BA80)*'Assumptions'!$H$6-0</x:f>
        <x:v>134.3175363483553</x:v>
      </x:c>
      <x:c r="AS80" t="n">
        <x:f>E80+O80</x:f>
        <x:v>103.54499999999999</x:v>
      </x:c>
      <x:c r="AT80" t="n">
        <x:f>F80+P80</x:f>
        <x:v>121.14764999999998</x:v>
      </x:c>
      <x:c r="AU80" t="n">
        <x:f>G80+Q80</x:f>
        <x:v>141.74275049999997</x:v>
      </x:c>
      <x:c r="AV80" t="n">
        <x:f>H80+R80</x:f>
        <x:v>165.83901808499996</x:v>
      </x:c>
      <x:c r="AW80" t="n">
        <x:f>I80+S80</x:f>
        <x:v>194.03165115944992</x:v>
      </x:c>
      <x:c r="AX80" t="n">
        <x:f>J80+T80</x:f>
        <x:v>221.3901139729323</x:v>
      </x:c>
      <x:c r="AY80" t="n">
        <x:f>K80+U80</x:f>
        <x:v>246.1858067379007</x:v>
      </x:c>
      <x:c r="AZ80" t="n">
        <x:f>L80+V80</x:f>
        <x:v>266.6192286971464</x:v>
      </x:c>
      <x:c r="BA80" t="n">
        <x:f>M80+W80</x:f>
        <x:v>281.0166670467923</x:v>
      </x:c>
      <x:c r="BB80" t="n">
        <x:f>N80+X80</x:f>
        <x:v>288.04208372296205</x:v>
      </x:c>
      <x:c r="BC80" t="n">
        <x:f>AS80/'Inputs'!$C$14-1</x:f>
        <x:v>0.16999999999999993</x:v>
      </x:c>
      <x:c r="BD80" t="n">
        <x:f>AT80/AS80-1</x:f>
        <x:v>0.16999999999999993</x:v>
      </x:c>
      <x:c r="BE80" t="n">
        <x:f>AU80/AT80-1</x:f>
        <x:v>0.16999999999999993</x:v>
      </x:c>
      <x:c r="BF80" t="n">
        <x:f>AV80/AU80-1</x:f>
        <x:v>0.16999999999999993</x:v>
      </x:c>
      <x:c r="BG80" t="n">
        <x:f>AW80/AV80-1</x:f>
        <x:v>0.1699999999999997</x:v>
      </x:c>
      <x:c r="BH80" t="n">
        <x:f>AX80/AW80-1</x:f>
        <x:v>0.1409999999999998</x:v>
      </x:c>
      <x:c r="BI80" t="n">
        <x:f>AY80/AX80-1</x:f>
        <x:v>0.11199999999999988</x:v>
      </x:c>
      <x:c r="BJ80" t="n">
        <x:f>AZ80/AY80-1</x:f>
        <x:v>0.08299999999999974</x:v>
      </x:c>
      <x:c r="BK80" t="n">
        <x:f>BA80/AZ80-1</x:f>
        <x:v>0.053999999999999826</x:v>
      </x:c>
      <x:c r="BL80" t="n">
        <x:f>BB80/BA80-1</x:f>
        <x:v>0.02499999999999991</x:v>
      </x:c>
      <x:c r="BM80" t="n">
        <x:f>AH80*(1-'Assumptions'!$F$6)*(1+'Assumptions'!$D$6)*(1-'Assumptions'!$D$6/'Assumptions'!$E$6)</x:f>
        <x:v>131.26509818380964</x:v>
      </x:c>
      <x:c r="BN80" t="n">
        <x:f>SUMPRODUCT(AI80:AR80,'WINA Model'!$B$83:$K$83)+BM80/('Assumptions'!$C$6-'Assumptions'!$D$6)*'WINA Model'!$K$83</x:f>
        <x:v>1197.653204648367</x:v>
      </x:c>
      <x:c r="BO80" t="n">
        <x:f>'WINA Model'!$B$94</x:f>
        <x:v>-42.825500000000005</x:v>
      </x:c>
      <x:c r="BP80" t="n">
        <x:f>'Inputs'!$C$8</x:f>
        <x:v>3.701516</x:v>
      </x:c>
    </x:row>
    <x:row r="81">
      <x:c r="A81" t="str">
        <x:v>WINA</x:v>
      </x:c>
      <x:c r="B81" s="22" t="n">
        <x:v>0.18</x:v>
      </x:c>
      <x:c r="C81" s="42" t="n">
        <x:f>(BN81+BO81)/BP81</x:f>
        <x:v>329.54579072681224</x:v>
      </x:c>
      <x:c r="D81" s="22" t="n">
        <x:f>C81/'Inputs'!$C$5-1</x:f>
        <x:v>0.035753813140183555</x:v>
      </x:c>
      <x:c r="E81" t="n">
        <x:f>'Inputs'!$C$14*(1+$B81)^1</x:f>
        <x:v>104.42999999999999</x:v>
      </x:c>
      <x:c r="F81" t="n">
        <x:f>'Inputs'!$C$14*(1+$B81)^2</x:f>
        <x:v>123.22739999999999</x:v>
      </x:c>
      <x:c r="G81" t="n">
        <x:f>'Inputs'!$C$14*(1+$B81)^3</x:f>
        <x:v>145.40833199999997</x:v>
      </x:c>
      <x:c r="H81" t="n">
        <x:f>'Inputs'!$C$14*(1+$B81)^4</x:f>
        <x:v>171.58183175999997</x:v>
      </x:c>
      <x:c r="I81" t="n">
        <x:f>'Inputs'!$C$14*(1+$B81)^5</x:f>
        <x:v>202.46656147679994</x:v>
      </x:c>
      <x:c r="J81" t="n">
        <x:f>I81*(1+($BG81+('Assumptions'!$D$6-$BG81)*(6-5)/5))</x:f>
        <x:v>232.63407913684313</x:v>
      </x:c>
      <x:c r="K81" t="n">
        <x:f>J81*(1+($BG81+('Assumptions'!$D$6-$BG81)*(7-5)/5))</x:f>
        <x:v>260.0849004749906</x:v>
      </x:c>
      <x:c r="L81" t="n">
        <x:f>K81*(1+($BG81+('Assumptions'!$D$6-$BG81)*(8-5)/5))</x:f>
        <x:v>282.71228681631476</x:v>
      </x:c>
      <x:c r="M81" t="n">
        <x:f>L81*(1+($BG81+('Assumptions'!$D$6-$BG81)*(9-5)/5))</x:f>
        <x:v>298.5441748780284</x:v>
      </x:c>
      <x:c r="N81" t="n">
        <x:f>M81*(1+($BG81+('Assumptions'!$D$6-$BG81)*(10-5)/5))</x:f>
        <x:v>306.0077792499791</x:v>
      </x:c>
      <x:c r="O81" t="n">
        <x:f>0</x:f>
        <x:v>0</x:v>
      </x:c>
      <x:c r="P81" t="n">
        <x:f>0</x:f>
        <x:v>0</x:v>
      </x:c>
      <x:c r="Q81" t="n">
        <x:f>0</x:f>
        <x:v>0</x:v>
      </x:c>
      <x:c r="R81" t="n">
        <x:f>0</x:f>
        <x:v>0</x:v>
      </x:c>
      <x:c r="S81" t="n">
        <x:f>0</x:f>
        <x:v>0</x:v>
      </x:c>
      <x:c r="T81" t="n">
        <x:f>S81*(1+($BG81+('Assumptions'!$D$6-$BG81)*(6-5)/5))</x:f>
        <x:v>0</x:v>
      </x:c>
      <x:c r="U81" t="n">
        <x:f>T81*(1+($BG81+('Assumptions'!$D$6-$BG81)*(7-5)/5))</x:f>
        <x:v>0</x:v>
      </x:c>
      <x:c r="V81" t="n">
        <x:f>U81*(1+($BG81+('Assumptions'!$D$6-$BG81)*(8-5)/5))</x:f>
        <x:v>0</x:v>
      </x:c>
      <x:c r="W81" t="n">
        <x:f>V81*(1+($BG81+('Assumptions'!$D$6-$BG81)*(9-5)/5))</x:f>
        <x:v>0</x:v>
      </x:c>
      <x:c r="X81" t="n">
        <x:f>W81*(1+($BG81+('Assumptions'!$D$6-$BG81)*(10-5)/5))</x:f>
        <x:v>0</x:v>
      </x:c>
      <x:c r="Y81" t="n">
        <x:f>E81*'WINA Model'!$B$62+O81*'WINA Model'!$B$63+'WINA Model'!$B$73+'WINA Model'!$B$74</x:f>
        <x:v>63.702299999999994</x:v>
      </x:c>
      <x:c r="Z81" t="n">
        <x:f>F81*'WINA Model'!$C$62+P81*'WINA Model'!$C$63+'WINA Model'!$C$73+'WINA Model'!$C$74</x:f>
        <x:v>75.78485099999999</x:v>
      </x:c>
      <x:c r="AA81" t="n">
        <x:f>G81*'WINA Model'!$D$62+Q81*'WINA Model'!$D$63+'WINA Model'!$D$73+'WINA Model'!$D$74</x:f>
        <x:v>90.15316583999999</x:v>
      </x:c>
      <x:c r="AB81" t="n">
        <x:f>H81*'WINA Model'!$E$62+R81*'WINA Model'!$E$63+'WINA Model'!$E$73+'WINA Model'!$E$74</x:f>
        <x:v>107.23864484999999</x:v>
      </x:c>
      <x:c r="AC81" t="n">
        <x:f>I81*'WINA Model'!$F$62+S81*'WINA Model'!$F$63+'WINA Model'!$F$73+'WINA Model'!$F$74</x:f>
        <x:v>127.55393373038396</x:v>
      </x:c>
      <x:c r="AD81" t="n">
        <x:f>AX81*$AC81/$AW81</x:f>
        <x:v>146.55946985621117</x:v>
      </x:c>
      <x:c r="AE81" t="n">
        <x:f>AY81*$AC81/$AW81</x:f>
        <x:v>163.85348729924408</x:v>
      </x:c>
      <x:c r="AF81" t="n">
        <x:f>AZ81*$AC81/$AW81</x:f>
        <x:v>178.10874069427828</x:v>
      </x:c>
      <x:c r="AG81" t="n">
        <x:f>BA81*$AC81/$AW81</x:f>
        <x:v>188.0828301731579</x:v>
      </x:c>
      <x:c r="AH81" t="n">
        <x:f>BB81*$AC81/$AW81</x:f>
        <x:v>192.78490092748683</x:v>
      </x:c>
      <x:c r="AI81" t="n">
        <x:f>Y81*(1-'Assumptions'!$F$6)+AS81*'Assumptions'!$G$6-AS81*'WINA Model'!$B$65-(AS81-'Inputs'!$C$14)*'Assumptions'!$H$6-'Assumptions'!$I$6</x:f>
        <x:v>45.275538</x:v>
      </x:c>
      <x:c r="AJ81" t="n">
        <x:f>Z81*(1-'Assumptions'!$F$6)+AT81*'Assumptions'!$G$6-AT81*'WINA Model'!$C$65-(AT81-AS81)*'Assumptions'!$H$6-0</x:f>
        <x:v>54.509535959999994</x:v>
      </x:c>
      <x:c r="AK81" t="n">
        <x:f>AA81*(1-'Assumptions'!$F$6)+AU81*'Assumptions'!$G$6-AU81*'WINA Model'!$D$65-(AU81-AT81)*'Assumptions'!$H$6-0</x:f>
        <x:v>65.6008457544</x:v>
      </x:c>
      <x:c r="AL81" t="n">
        <x:f>AB81*(1-'Assumptions'!$F$6)+AV81*'Assumptions'!$G$6-AV81*'WINA Model'!$E$65-(AV81-AU81)*'Assumptions'!$H$6-0</x:f>
        <x:v>78.57575444615999</x:v>
      </x:c>
      <x:c r="AM81" t="n">
        <x:f>AC81*(1-'Assumptions'!$F$6)+AW81*'Assumptions'!$G$6-AW81*'WINA Model'!$F$65-(AW81-AV81)*'Assumptions'!$H$6-0</x:f>
        <x:v>93.89369630303422</x:v>
      </x:c>
      <x:c r="AN81" t="n">
        <x:f>AD81*(1-'Assumptions'!$F$6)+AX81*'Assumptions'!$G$6-AX81*'WINA Model'!$G$65-(AX81-AW81)*'Assumptions'!$H$6-0</x:f>
        <x:v>107.9902377878775</x:v>
      </x:c>
      <x:c r="AO81" t="n">
        <x:f>AE81*(1-'Assumptions'!$F$6)+AY81*'Assumptions'!$G$6-AY81*'WINA Model'!$H$65-(AY81-AX81)*'Assumptions'!$H$6-0</x:f>
        <x:v>120.85861511496267</x:v>
      </x:c>
      <x:c r="AP81" t="n">
        <x:f>AF81*(1-'Assumptions'!$F$6)+AZ81*'Assumptions'!$G$6-AZ81*'WINA Model'!$I$65-(AZ81-AY81)*'Assumptions'!$H$6-0</x:f>
        <x:v>131.51754775902924</x:v>
      </x:c>
      <x:c r="AQ81" t="n">
        <x:f>AG81*(1-'Assumptions'!$F$6)+BA81*'Assumptions'!$G$6-BA81*'WINA Model'!$J$65-(BA81-AZ81)*'Assumptions'!$H$6-0</x:f>
        <x:v>139.04378307182938</x:v>
      </x:c>
      <x:c r="AR81" t="n">
        <x:f>AH81*(1-'Assumptions'!$F$6)+BB81*'Assumptions'!$G$6-BB81*'WINA Model'!$K$65-(BB81-BA81)*'Assumptions'!$H$6-0</x:f>
        <x:v>142.6951592664512</x:v>
      </x:c>
      <x:c r="AS81" t="n">
        <x:f>E81+O81</x:f>
        <x:v>104.42999999999999</x:v>
      </x:c>
      <x:c r="AT81" t="n">
        <x:f>F81+P81</x:f>
        <x:v>123.22739999999999</x:v>
      </x:c>
      <x:c r="AU81" t="n">
        <x:f>G81+Q81</x:f>
        <x:v>145.40833199999997</x:v>
      </x:c>
      <x:c r="AV81" t="n">
        <x:f>H81+R81</x:f>
        <x:v>171.58183175999997</x:v>
      </x:c>
      <x:c r="AW81" t="n">
        <x:f>I81+S81</x:f>
        <x:v>202.46656147679994</x:v>
      </x:c>
      <x:c r="AX81" t="n">
        <x:f>J81+T81</x:f>
        <x:v>232.63407913684313</x:v>
      </x:c>
      <x:c r="AY81" t="n">
        <x:f>K81+U81</x:f>
        <x:v>260.0849004749906</x:v>
      </x:c>
      <x:c r="AZ81" t="n">
        <x:f>L81+V81</x:f>
        <x:v>282.71228681631476</x:v>
      </x:c>
      <x:c r="BA81" t="n">
        <x:f>M81+W81</x:f>
        <x:v>298.5441748780284</x:v>
      </x:c>
      <x:c r="BB81" t="n">
        <x:f>N81+X81</x:f>
        <x:v>306.0077792499791</x:v>
      </x:c>
      <x:c r="BC81" t="n">
        <x:f>AS81/'Inputs'!$C$14-1</x:f>
        <x:v>0.17999999999999994</x:v>
      </x:c>
      <x:c r="BD81" t="n">
        <x:f>AT81/AS81-1</x:f>
        <x:v>0.17999999999999994</x:v>
      </x:c>
      <x:c r="BE81" t="n">
        <x:f>AU81/AT81-1</x:f>
        <x:v>0.17999999999999994</x:v>
      </x:c>
      <x:c r="BF81" t="n">
        <x:f>AV81/AU81-1</x:f>
        <x:v>0.17999999999999994</x:v>
      </x:c>
      <x:c r="BG81" t="n">
        <x:f>AW81/AV81-1</x:f>
        <x:v>0.17999999999999994</x:v>
      </x:c>
      <x:c r="BH81" t="n">
        <x:f>AX81/AW81-1</x:f>
        <x:v>0.14900000000000002</x:v>
      </x:c>
      <x:c r="BI81" t="n">
        <x:f>AY81/AX81-1</x:f>
        <x:v>0.11799999999999988</x:v>
      </x:c>
      <x:c r="BJ81" t="n">
        <x:f>AZ81/AY81-1</x:f>
        <x:v>0.08699999999999997</x:v>
      </x:c>
      <x:c r="BK81" t="n">
        <x:f>BA81/AZ81-1</x:f>
        <x:v>0.05600000000000005</x:v>
      </x:c>
      <x:c r="BL81" t="n">
        <x:f>BB81/BA81-1</x:f>
        <x:v>0.02499999999999991</x:v>
      </x:c>
      <x:c r="BM81" t="n">
        <x:f>AH81*(1-'Assumptions'!$F$6)*(1+'Assumptions'!$D$6)*(1-'Assumptions'!$D$6/'Assumptions'!$E$6)</x:f>
        <x:v>139.45233512090422</x:v>
      </x:c>
      <x:c r="BN81" t="n">
        <x:f>SUMPRODUCT(AI81:AR81,'WINA Model'!$B$83:$K$83)+BM81/('Assumptions'!$C$6-'Assumptions'!$D$6)*'WINA Model'!$K$83</x:f>
        <x:v>1262.644517107947</x:v>
      </x:c>
      <x:c r="BO81" t="n">
        <x:f>'WINA Model'!$B$94</x:f>
        <x:v>-42.825500000000005</x:v>
      </x:c>
      <x:c r="BP81" t="n">
        <x:f>'Inputs'!$C$8</x:f>
        <x:v>3.701516</x:v>
      </x:c>
    </x:row>
    <x:row r="82">
      <x:c r="A82" t="str">
        <x:v>WINA</x:v>
      </x:c>
      <x:c r="B82" s="22" t="n">
        <x:v>0.19</x:v>
      </x:c>
      <x:c r="C82" s="42" t="n">
        <x:f>(BN82+BO82)/BP82</x:f>
        <x:v>347.9836072269472</x:v>
      </x:c>
      <x:c r="D82" s="22" t="n">
        <x:f>C82/'Inputs'!$C$5-1</x:f>
        <x:v>0.09370338883913365</x:v>
      </x:c>
      <x:c r="E82" t="n">
        <x:f>'Inputs'!$C$14*(1+$B82)^1</x:f>
        <x:v>105.315</x:v>
      </x:c>
      <x:c r="F82" t="n">
        <x:f>'Inputs'!$C$14*(1+$B82)^2</x:f>
        <x:v>125.32485</x:v>
      </x:c>
      <x:c r="G82" t="n">
        <x:f>'Inputs'!$C$14*(1+$B82)^3</x:f>
        <x:v>149.13657149999997</x:v>
      </x:c>
      <x:c r="H82" t="n">
        <x:f>'Inputs'!$C$14*(1+$B82)^4</x:f>
        <x:v>177.47252008499999</x:v>
      </x:c>
      <x:c r="I82" t="n">
        <x:f>'Inputs'!$C$14*(1+$B82)^5</x:f>
        <x:v>211.19229890114997</x:v>
      </x:c>
      <x:c r="J82" t="n">
        <x:f>I82*(1+($BG82+('Assumptions'!$D$6-$BG82)*(6-5)/5))</x:f>
        <x:v>244.3494898286305</x:v>
      </x:c>
      <x:c r="K82" t="n">
        <x:f>J82*(1+($BG82+('Assumptions'!$D$6-$BG82)*(7-5)/5))</x:f>
        <x:v>274.64882656738064</x:v>
      </x:c>
      <x:c r="L82" t="n">
        <x:f>K82*(1+($BG82+('Assumptions'!$D$6-$BG82)*(8-5)/5))</x:f>
        <x:v>299.64186978501226</x:v>
      </x:c>
      <x:c r="M82" t="n">
        <x:f>L82*(1+($BG82+('Assumptions'!$D$6-$BG82)*(9-5)/5))</x:f>
        <x:v>317.021098232543</x:v>
      </x:c>
      <x:c r="N82" t="n">
        <x:f>M82*(1+($BG82+('Assumptions'!$D$6-$BG82)*(10-5)/5))</x:f>
        <x:v>324.94662568835656</x:v>
      </x:c>
      <x:c r="O82" t="n">
        <x:f>0</x:f>
        <x:v>0</x:v>
      </x:c>
      <x:c r="P82" t="n">
        <x:f>0</x:f>
        <x:v>0</x:v>
      </x:c>
      <x:c r="Q82" t="n">
        <x:f>0</x:f>
        <x:v>0</x:v>
      </x:c>
      <x:c r="R82" t="n">
        <x:f>0</x:f>
        <x:v>0</x:v>
      </x:c>
      <x:c r="S82" t="n">
        <x:f>0</x:f>
        <x:v>0</x:v>
      </x:c>
      <x:c r="T82" t="n">
        <x:f>S82*(1+($BG82+('Assumptions'!$D$6-$BG82)*(6-5)/5))</x:f>
        <x:v>0</x:v>
      </x:c>
      <x:c r="U82" t="n">
        <x:f>T82*(1+($BG82+('Assumptions'!$D$6-$BG82)*(7-5)/5))</x:f>
        <x:v>0</x:v>
      </x:c>
      <x:c r="V82" t="n">
        <x:f>U82*(1+($BG82+('Assumptions'!$D$6-$BG82)*(8-5)/5))</x:f>
        <x:v>0</x:v>
      </x:c>
      <x:c r="W82" t="n">
        <x:f>V82*(1+($BG82+('Assumptions'!$D$6-$BG82)*(9-5)/5))</x:f>
        <x:v>0</x:v>
      </x:c>
      <x:c r="X82" t="n">
        <x:f>W82*(1+($BG82+('Assumptions'!$D$6-$BG82)*(10-5)/5))</x:f>
        <x:v>0</x:v>
      </x:c>
      <x:c r="Y82" t="n">
        <x:f>E82*'WINA Model'!$B$62+O82*'WINA Model'!$B$63+'WINA Model'!$B$73+'WINA Model'!$B$74</x:f>
        <x:v>64.24215</x:v>
      </x:c>
      <x:c r="Z82" t="n">
        <x:f>F82*'WINA Model'!$C$62+P82*'WINA Model'!$C$63+'WINA Model'!$C$73+'WINA Model'!$C$74</x:f>
        <x:v>77.07478275</x:v>
      </x:c>
      <x:c r="AA82" t="n">
        <x:f>G82*'WINA Model'!$D$62+Q82*'WINA Model'!$D$63+'WINA Model'!$D$73+'WINA Model'!$D$74</x:f>
        <x:v>92.46467432999998</x:v>
      </x:c>
      <x:c r="AB82" t="n">
        <x:f>H82*'WINA Model'!$E$62+R82*'WINA Model'!$E$63+'WINA Model'!$E$73+'WINA Model'!$E$74</x:f>
        <x:v>110.920325053125</x:v>
      </x:c>
      <x:c r="AC82" t="n">
        <x:f>I82*'WINA Model'!$F$62+S82*'WINA Model'!$F$63+'WINA Model'!$F$73+'WINA Model'!$F$74</x:f>
        <x:v>133.05114830772447</x:v>
      </x:c>
      <x:c r="AD82" t="n">
        <x:f>AX82*$AC82/$AW82</x:f>
        <x:v>153.94017859203723</x:v>
      </x:c>
      <x:c r="AE82" t="n">
        <x:f>AY82*$AC82/$AW82</x:f>
        <x:v>173.0287607374498</x:v>
      </x:c>
      <x:c r="AF82" t="n">
        <x:f>AZ82*$AC82/$AW82</x:f>
        <x:v>188.77437796455771</x:v>
      </x:c>
      <x:c r="AG82" t="n">
        <x:f>BA82*$AC82/$AW82</x:f>
        <x:v>199.72329188650207</x:v>
      </x:c>
      <x:c r="AH82" t="n">
        <x:f>BB82*$AC82/$AW82</x:f>
        <x:v>204.7163741836646</x:v>
      </x:c>
      <x:c r="AI82" t="n">
        <x:f>Y82*(1-'Assumptions'!$F$6)+AS82*'Assumptions'!$G$6-AS82*'WINA Model'!$B$65-(AS82-'Inputs'!$C$14)*'Assumptions'!$H$6-'Assumptions'!$I$6</x:f>
        <x:v>45.644228999999996</x:v>
      </x:c>
      <x:c r="AJ82" t="n">
        <x:f>Z82*(1-'Assumptions'!$F$6)+AT82*'Assumptions'!$G$6-AT82*'WINA Model'!$C$65-(AT82-AS82)*'Assumptions'!$H$6-0</x:f>
        <x:v>55.41949119</x:v>
      </x:c>
      <x:c r="AK82" t="n">
        <x:f>AA82*(1-'Assumptions'!$F$6)+AU82*'Assumptions'!$G$6-AU82*'WINA Model'!$D$65-(AU82-AT82)*'Assumptions'!$H$6-0</x:f>
        <x:v>67.26159634529998</x:v>
      </x:c>
      <x:c r="AL82" t="n">
        <x:f>AB82*(1-'Assumptions'!$F$6)+AV82*'Assumptions'!$G$6-AV82*'WINA Model'!$E$65-(AV82-AU82)*'Assumptions'!$H$6-0</x:f>
        <x:v>81.24811278748501</x:v>
      </x:c>
      <x:c r="AM82" t="n">
        <x:f>AC82*(1-'Assumptions'!$F$6)+AW82*'Assumptions'!$G$6-AW82*'WINA Model'!$F$65-(AW82-AV82)*'Assumptions'!$H$6-0</x:f>
        <x:v>97.91016955073381</x:v>
      </x:c>
      <x:c r="AN82" t="n">
        <x:f>AD82*(1-'Assumptions'!$F$6)+AX82*'Assumptions'!$G$6-AX82*'WINA Model'!$G$65-(AX82-AW82)*'Assumptions'!$H$6-0</x:f>
        <x:v>113.39919803345512</x:v>
      </x:c>
      <x:c r="AO82" t="n">
        <x:f>AE82*(1-'Assumptions'!$F$6)+AY82*'Assumptions'!$G$6-AY82*'WINA Model'!$H$65-(AY82-AX82)*'Assumptions'!$H$6-0</x:f>
        <x:v>127.60008550687826</x:v>
      </x:c>
      <x:c r="AP82" t="n">
        <x:f>AF82*(1-'Assumptions'!$F$6)+AZ82*'Assumptions'!$G$6-AZ82*'WINA Model'!$I$65-(AZ82-AY82)*'Assumptions'!$H$6-0</x:f>
        <x:v>139.3729639512911</x:v>
      </x:c>
      <x:c r="AQ82" t="n">
        <x:f>AG82*(1-'Assumptions'!$F$6)+BA82*'Assumptions'!$G$6-BA82*'WINA Model'!$J$65-(BA82-AZ82)*'Assumptions'!$H$6-0</x:f>
        <x:v>147.63786408600043</x:v>
      </x:c>
      <x:c r="AR82" t="n">
        <x:f>AH82*(1-'Assumptions'!$F$6)+BB82*'Assumptions'!$G$6-BB82*'WINA Model'!$K$65-(BB82-BA82)*'Assumptions'!$H$6-0</x:f>
        <x:v>151.52657432220855</x:v>
      </x:c>
      <x:c r="AS82" t="n">
        <x:f>E82+O82</x:f>
        <x:v>105.315</x:v>
      </x:c>
      <x:c r="AT82" t="n">
        <x:f>F82+P82</x:f>
        <x:v>125.32485</x:v>
      </x:c>
      <x:c r="AU82" t="n">
        <x:f>G82+Q82</x:f>
        <x:v>149.13657149999997</x:v>
      </x:c>
      <x:c r="AV82" t="n">
        <x:f>H82+R82</x:f>
        <x:v>177.47252008499999</x:v>
      </x:c>
      <x:c r="AW82" t="n">
        <x:f>I82+S82</x:f>
        <x:v>211.19229890114997</x:v>
      </x:c>
      <x:c r="AX82" t="n">
        <x:f>J82+T82</x:f>
        <x:v>244.3494898286305</x:v>
      </x:c>
      <x:c r="AY82" t="n">
        <x:f>K82+U82</x:f>
        <x:v>274.64882656738064</x:v>
      </x:c>
      <x:c r="AZ82" t="n">
        <x:f>L82+V82</x:f>
        <x:v>299.64186978501226</x:v>
      </x:c>
      <x:c r="BA82" t="n">
        <x:f>M82+W82</x:f>
        <x:v>317.021098232543</x:v>
      </x:c>
      <x:c r="BB82" t="n">
        <x:f>N82+X82</x:f>
        <x:v>324.94662568835656</x:v>
      </x:c>
      <x:c r="BC82" t="n">
        <x:f>AS82/'Inputs'!$C$14-1</x:f>
        <x:v>0.18999999999999995</x:v>
      </x:c>
      <x:c r="BD82" t="n">
        <x:f>AT82/AS82-1</x:f>
        <x:v>0.18999999999999995</x:v>
      </x:c>
      <x:c r="BE82" t="n">
        <x:f>AU82/AT82-1</x:f>
        <x:v>0.18999999999999972</x:v>
      </x:c>
      <x:c r="BF82" t="n">
        <x:f>AV82/AU82-1</x:f>
        <x:v>0.19000000000000017</x:v>
      </x:c>
      <x:c r="BG82" t="n">
        <x:f>AW82/AV82-1</x:f>
        <x:v>0.18999999999999995</x:v>
      </x:c>
      <x:c r="BH82" t="n">
        <x:f>AX82/AW82-1</x:f>
        <x:v>0.15700000000000003</x:v>
      </x:c>
      <x:c r="BI82" t="n">
        <x:f>AY82/AX82-1</x:f>
        <x:v>0.12399999999999967</x:v>
      </x:c>
      <x:c r="BJ82" t="n">
        <x:f>AZ82/AY82-1</x:f>
        <x:v>0.09099999999999997</x:v>
      </x:c>
      <x:c r="BK82" t="n">
        <x:f>BA82/AZ82-1</x:f>
        <x:v>0.05800000000000005</x:v>
      </x:c>
      <x:c r="BL82" t="n">
        <x:f>BB82/BA82-1</x:f>
        <x:v>0.02499999999999991</x:v>
      </x:c>
      <x:c r="BM82" t="n">
        <x:f>AH82*(1-'Assumptions'!$F$6)*(1+'Assumptions'!$D$6)*(1-'Assumptions'!$D$6/'Assumptions'!$E$6)</x:f>
        <x:v>148.08305152556937</x:v>
      </x:c>
      <x:c r="BN82" t="n">
        <x:f>SUMPRODUCT(AI82:AR82,'WINA Model'!$B$83:$K$83)+BM82/('Assumptions'!$C$6-'Assumptions'!$D$6)*'WINA Model'!$K$83</x:f>
        <x:v>1330.8923898882606</x:v>
      </x:c>
      <x:c r="BO82" t="n">
        <x:f>'WINA Model'!$B$94</x:f>
        <x:v>-42.825500000000005</x:v>
      </x:c>
      <x:c r="BP82" t="n">
        <x:f>'Inputs'!$C$8</x:f>
        <x:v>3.701516</x:v>
      </x:c>
    </x:row>
    <x:row r="83">
      <x:c r="A83" t="str">
        <x:v>WINA</x:v>
      </x:c>
      <x:c r="B83" s="22" t="n">
        <x:v>0.2</x:v>
      </x:c>
      <x:c r="C83" s="42" t="n">
        <x:f>(BN83+BO83)/BP83</x:f>
        <x:v>367.33989714718183</x:v>
      </x:c>
      <x:c r="D83" s="22" t="n">
        <x:f>C83/'Inputs'!$C$5-1</x:f>
        <x:v>0.15453970250866456</x:v>
      </x:c>
      <x:c r="E83" t="n">
        <x:f>'Inputs'!$C$14*(1+$B83)^1</x:f>
        <x:v>106.2</x:v>
      </x:c>
      <x:c r="F83" t="n">
        <x:f>'Inputs'!$C$14*(1+$B83)^2</x:f>
        <x:v>127.44</x:v>
      </x:c>
      <x:c r="G83" t="n">
        <x:f>'Inputs'!$C$14*(1+$B83)^3</x:f>
        <x:v>152.928</x:v>
      </x:c>
      <x:c r="H83" t="n">
        <x:f>'Inputs'!$C$14*(1+$B83)^4</x:f>
        <x:v>183.5136</x:v>
      </x:c>
      <x:c r="I83" t="n">
        <x:f>'Inputs'!$C$14*(1+$B83)^5</x:f>
        <x:v>220.21632</x:v>
      </x:c>
      <x:c r="J83" t="n">
        <x:f>I83*(1+($BG83+('Assumptions'!$D$6-$BG83)*(6-5)/5))</x:f>
        <x:v>256.5520128</x:v>
      </x:c>
      <x:c r="K83" t="n">
        <x:f>J83*(1+($BG83+('Assumptions'!$D$6-$BG83)*(7-5)/5))</x:f>
        <x:v>289.903774464</x:v>
      </x:c>
      <x:c r="L83" t="n">
        <x:f>K83*(1+($BG83+('Assumptions'!$D$6-$BG83)*(8-5)/5))</x:f>
        <x:v>317.44463303808</x:v>
      </x:c>
      <x:c r="M83" t="n">
        <x:f>L83*(1+($BG83+('Assumptions'!$D$6-$BG83)*(9-5)/5))</x:f>
        <x:v>336.4913110203648</x:v>
      </x:c>
      <x:c r="N83" t="n">
        <x:f>M83*(1+($BG83+('Assumptions'!$D$6-$BG83)*(10-5)/5))</x:f>
        <x:v>344.90359379587386</x:v>
      </x:c>
      <x:c r="O83" t="n">
        <x:f>0</x:f>
        <x:v>0</x:v>
      </x:c>
      <x:c r="P83" t="n">
        <x:f>0</x:f>
        <x:v>0</x:v>
      </x:c>
      <x:c r="Q83" t="n">
        <x:f>0</x:f>
        <x:v>0</x:v>
      </x:c>
      <x:c r="R83" t="n">
        <x:f>0</x:f>
        <x:v>0</x:v>
      </x:c>
      <x:c r="S83" t="n">
        <x:f>0</x:f>
        <x:v>0</x:v>
      </x:c>
      <x:c r="T83" t="n">
        <x:f>S83*(1+($BG83+('Assumptions'!$D$6-$BG83)*(6-5)/5))</x:f>
        <x:v>0</x:v>
      </x:c>
      <x:c r="U83" t="n">
        <x:f>T83*(1+($BG83+('Assumptions'!$D$6-$BG83)*(7-5)/5))</x:f>
        <x:v>0</x:v>
      </x:c>
      <x:c r="V83" t="n">
        <x:f>U83*(1+($BG83+('Assumptions'!$D$6-$BG83)*(8-5)/5))</x:f>
        <x:v>0</x:v>
      </x:c>
      <x:c r="W83" t="n">
        <x:f>V83*(1+($BG83+('Assumptions'!$D$6-$BG83)*(9-5)/5))</x:f>
        <x:v>0</x:v>
      </x:c>
      <x:c r="X83" t="n">
        <x:f>W83*(1+($BG83+('Assumptions'!$D$6-$BG83)*(10-5)/5))</x:f>
        <x:v>0</x:v>
      </x:c>
      <x:c r="Y83" t="n">
        <x:f>E83*'WINA Model'!$B$62+O83*'WINA Model'!$B$63+'WINA Model'!$B$73+'WINA Model'!$B$74</x:f>
        <x:v>64.782</x:v>
      </x:c>
      <x:c r="Z83" t="n">
        <x:f>F83*'WINA Model'!$C$62+P83*'WINA Model'!$C$63+'WINA Model'!$C$73+'WINA Model'!$C$74</x:f>
        <x:v>78.37559999999999</x:v>
      </x:c>
      <x:c r="AA83" t="n">
        <x:f>G83*'WINA Model'!$D$62+Q83*'WINA Model'!$D$63+'WINA Model'!$D$73+'WINA Model'!$D$74</x:f>
        <x:v>94.81536</x:v>
      </x:c>
      <x:c r="AB83" t="n">
        <x:f>H83*'WINA Model'!$E$62+R83*'WINA Model'!$E$63+'WINA Model'!$E$73+'WINA Model'!$E$74</x:f>
        <x:v>114.696</x:v>
      </x:c>
      <x:c r="AC83" t="n">
        <x:f>I83*'WINA Model'!$F$62+S83*'WINA Model'!$F$63+'WINA Model'!$F$73+'WINA Model'!$F$74</x:f>
        <x:v>138.7362816</x:v>
      </x:c>
      <x:c r="AD83" t="n">
        <x:f>AX83*$AC83/$AW83</x:f>
        <x:v>161.627768064</x:v>
      </x:c>
      <x:c r="AE83" t="n">
        <x:f>AY83*$AC83/$AW83</x:f>
        <x:v>182.63937791232</x:v>
      </x:c>
      <x:c r="AF83" t="n">
        <x:f>AZ83*$AC83/$AW83</x:f>
        <x:v>199.9901188139904</x:v>
      </x:c>
      <x:c r="AG83" t="n">
        <x:f>BA83*$AC83/$AW83</x:f>
        <x:v>211.98952594282986</x:v>
      </x:c>
      <x:c r="AH83" t="n">
        <x:f>BB83*$AC83/$AW83</x:f>
        <x:v>217.28926409140055</x:v>
      </x:c>
      <x:c r="AI83" t="n">
        <x:f>Y83*(1-'Assumptions'!$F$6)+AS83*'Assumptions'!$G$6-AS83*'WINA Model'!$B$65-(AS83-'Inputs'!$C$14)*'Assumptions'!$H$6-'Assumptions'!$I$6</x:f>
        <x:v>46.01292</x:v>
      </x:c>
      <x:c r="AJ83" t="n">
        <x:f>Z83*(1-'Assumptions'!$F$6)+AT83*'Assumptions'!$G$6-AT83*'WINA Model'!$C$65-(AT83-AS83)*'Assumptions'!$H$6-0</x:f>
        <x:v>56.336976</x:v>
      </x:c>
      <x:c r="AK83" t="n">
        <x:f>AA83*(1-'Assumptions'!$F$6)+AU83*'Assumptions'!$G$6-AU83*'WINA Model'!$D$65-(AU83-AT83)*'Assumptions'!$H$6-0</x:f>
        <x:v>68.95013759999999</x:v>
      </x:c>
      <x:c r="AL83" t="n">
        <x:f>AB83*(1-'Assumptions'!$F$6)+AV83*'Assumptions'!$G$6-AV83*'WINA Model'!$E$65-(AV83-AU83)*'Assumptions'!$H$6-0</x:f>
        <x:v>83.9880576</x:v>
      </x:c>
      <x:c r="AM83" t="n">
        <x:f>AC83*(1-'Assumptions'!$F$6)+AW83*'Assumptions'!$G$6-AW83*'WINA Model'!$F$65-(AW83-AV83)*'Assumptions'!$H$6-0</x:f>
        <x:v>102.062923776</x:v>
      </x:c>
      <x:c r="AN83" t="n">
        <x:f>AD83*(1-'Assumptions'!$F$6)+AX83*'Assumptions'!$G$6-AX83*'WINA Model'!$G$65-(AX83-AW83)*'Assumptions'!$H$6-0</x:f>
        <x:v>119.03176571904</x:v>
      </x:c>
      <x:c r="AO83" t="n">
        <x:f>AE83*(1-'Assumptions'!$F$6)+AY83*'Assumptions'!$G$6-AY83*'WINA Model'!$H$65-(AY83-AX83)*'Assumptions'!$H$6-0</x:f>
        <x:v>134.66004668651522</x:v>
      </x:c>
      <x:c r="AP83" t="n">
        <x:f>AF83*(1-'Assumptions'!$F$6)+AZ83*'Assumptions'!$G$6-AZ83*'WINA Model'!$I$65-(AZ83-AY83)*'Assumptions'!$H$6-0</x:f>
        <x:v>147.63233753069412</x:v>
      </x:c>
      <x:c r="AQ83" t="n">
        <x:f>AG83*(1-'Assumptions'!$F$6)+BA83*'Assumptions'!$G$6-BA83*'WINA Model'!$J$65-(BA83-AZ83)*'Assumptions'!$H$6-0</x:f>
        <x:v>156.69321042466063</x:v>
      </x:c>
      <x:c r="AR83" t="n">
        <x:f>AH83*(1-'Assumptions'!$F$6)+BB83*'Assumptions'!$G$6-BB83*'WINA Model'!$K$65-(BB83-BA83)*'Assumptions'!$H$6-0</x:f>
        <x:v>160.83275192840375</x:v>
      </x:c>
      <x:c r="AS83" t="n">
        <x:f>E83+O83</x:f>
        <x:v>106.2</x:v>
      </x:c>
      <x:c r="AT83" t="n">
        <x:f>F83+P83</x:f>
        <x:v>127.44</x:v>
      </x:c>
      <x:c r="AU83" t="n">
        <x:f>G83+Q83</x:f>
        <x:v>152.928</x:v>
      </x:c>
      <x:c r="AV83" t="n">
        <x:f>H83+R83</x:f>
        <x:v>183.5136</x:v>
      </x:c>
      <x:c r="AW83" t="n">
        <x:f>I83+S83</x:f>
        <x:v>220.21632</x:v>
      </x:c>
      <x:c r="AX83" t="n">
        <x:f>J83+T83</x:f>
        <x:v>256.5520128</x:v>
      </x:c>
      <x:c r="AY83" t="n">
        <x:f>K83+U83</x:f>
        <x:v>289.903774464</x:v>
      </x:c>
      <x:c r="AZ83" t="n">
        <x:f>L83+V83</x:f>
        <x:v>317.44463303808</x:v>
      </x:c>
      <x:c r="BA83" t="n">
        <x:f>M83+W83</x:f>
        <x:v>336.4913110203648</x:v>
      </x:c>
      <x:c r="BB83" t="n">
        <x:f>N83+X83</x:f>
        <x:v>344.90359379587386</x:v>
      </x:c>
      <x:c r="BC83" t="n">
        <x:f>AS83/'Inputs'!$C$14-1</x:f>
        <x:v>0.19999999999999996</x:v>
      </x:c>
      <x:c r="BD83" t="n">
        <x:f>AT83/AS83-1</x:f>
        <x:v>0.19999999999999996</x:v>
      </x:c>
      <x:c r="BE83" t="n">
        <x:f>AU83/AT83-1</x:f>
        <x:v>0.19999999999999996</x:v>
      </x:c>
      <x:c r="BF83" t="n">
        <x:f>AV83/AU83-1</x:f>
        <x:v>0.19999999999999996</x:v>
      </x:c>
      <x:c r="BG83" t="n">
        <x:f>AW83/AV83-1</x:f>
        <x:v>0.19999999999999996</x:v>
      </x:c>
      <x:c r="BH83" t="n">
        <x:f>AX83/AW83-1</x:f>
        <x:v>0.16500000000000004</x:v>
      </x:c>
      <x:c r="BI83" t="n">
        <x:f>AY83/AX83-1</x:f>
        <x:v>0.1299999999999999</x:v>
      </x:c>
      <x:c r="BJ83" t="n">
        <x:f>AZ83/AY83-1</x:f>
        <x:v>0.09499999999999997</x:v>
      </x:c>
      <x:c r="BK83" t="n">
        <x:f>BA83/AZ83-1</x:f>
        <x:v>0.06000000000000005</x:v>
      </x:c>
      <x:c r="BL83" t="n">
        <x:f>BB83/BA83-1</x:f>
        <x:v>0.02499999999999991</x:v>
      </x:c>
      <x:c r="BM83" t="n">
        <x:f>AH83*(1-'Assumptions'!$F$6)*(1+'Assumptions'!$D$6)*(1-'Assumptions'!$D$6/'Assumptions'!$E$6)</x:f>
        <x:v>157.17774124668668</x:v>
      </x:c>
      <x:c r="BN83" t="n">
        <x:f>SUMPRODUCT(AI83:AR83,'WINA Model'!$B$83:$K$83)+BM83/('Assumptions'!$C$6-'Assumptions'!$D$6)*'WINA Model'!$K$83</x:f>
        <x:v>1402.5400067286478</x:v>
      </x:c>
      <x:c r="BO83" t="n">
        <x:f>'WINA Model'!$B$94</x:f>
        <x:v>-42.825500000000005</x:v>
      </x:c>
      <x:c r="BP83" t="n">
        <x:f>'Inputs'!$C$8</x:f>
        <x:v>3.701516</x:v>
      </x:c>
    </x:row>
    <x:row r="84">
      <x:c r="A84" t="str">
        <x:v>WINA</x:v>
      </x:c>
      <x:c r="B84" s="22" t="n">
        <x:v>0.21</x:v>
      </x:c>
      <x:c r="C84" s="42" t="n">
        <x:f>(BN84+BO84)/BP84</x:f>
        <x:v>387.6547786549436</x:v>
      </x:c>
      <x:c r="D84" s="22" t="n">
        <x:f>C84/'Inputs'!$C$5-1</x:f>
        <x:v>0.2183888445011899</x:v>
      </x:c>
      <x:c r="E84" t="n">
        <x:f>'Inputs'!$C$14*(1+$B84)^1</x:f>
        <x:v>107.085</x:v>
      </x:c>
      <x:c r="F84" t="n">
        <x:f>'Inputs'!$C$14*(1+$B84)^2</x:f>
        <x:v>129.57285</x:v>
      </x:c>
      <x:c r="G84" t="n">
        <x:f>'Inputs'!$C$14*(1+$B84)^3</x:f>
        <x:v>156.78314849999998</x:v>
      </x:c>
      <x:c r="H84" t="n">
        <x:f>'Inputs'!$C$14*(1+$B84)^4</x:f>
        <x:v>189.707609685</x:v>
      </x:c>
      <x:c r="I84" t="n">
        <x:f>'Inputs'!$C$14*(1+$B84)^5</x:f>
        <x:v>229.54620771884996</x:v>
      </x:c>
      <x:c r="J84" t="n">
        <x:f>I84*(1+($BG84+('Assumptions'!$D$6-$BG84)*(6-5)/5))</x:f>
        <x:v>269.25770165421096</x:v>
      </x:c>
      <x:c r="K84" t="n">
        <x:f>J84*(1+($BG84+('Assumptions'!$D$6-$BG84)*(7-5)/5))</x:f>
        <x:v>305.87674907918364</x:v>
      </x:c>
      <x:c r="L84" t="n">
        <x:f>K84*(1+($BG84+('Assumptions'!$D$6-$BG84)*(8-5)/5))</x:f>
        <x:v>336.15854723802283</x:v>
      </x:c>
      <x:c r="M84" t="n">
        <x:f>L84*(1+($BG84+('Assumptions'!$D$6-$BG84)*(9-5)/5))</x:f>
        <x:v>357.0003771667802</x:v>
      </x:c>
      <x:c r="N84" t="n">
        <x:f>M84*(1+($BG84+('Assumptions'!$D$6-$BG84)*(10-5)/5))</x:f>
        <x:v>365.92538659594965</x:v>
      </x:c>
      <x:c r="O84" t="n">
        <x:f>0</x:f>
        <x:v>0</x:v>
      </x:c>
      <x:c r="P84" t="n">
        <x:f>0</x:f>
        <x:v>0</x:v>
      </x:c>
      <x:c r="Q84" t="n">
        <x:f>0</x:f>
        <x:v>0</x:v>
      </x:c>
      <x:c r="R84" t="n">
        <x:f>0</x:f>
        <x:v>0</x:v>
      </x:c>
      <x:c r="S84" t="n">
        <x:f>0</x:f>
        <x:v>0</x:v>
      </x:c>
      <x:c r="T84" t="n">
        <x:f>S84*(1+($BG84+('Assumptions'!$D$6-$BG84)*(6-5)/5))</x:f>
        <x:v>0</x:v>
      </x:c>
      <x:c r="U84" t="n">
        <x:f>T84*(1+($BG84+('Assumptions'!$D$6-$BG84)*(7-5)/5))</x:f>
        <x:v>0</x:v>
      </x:c>
      <x:c r="V84" t="n">
        <x:f>U84*(1+($BG84+('Assumptions'!$D$6-$BG84)*(8-5)/5))</x:f>
        <x:v>0</x:v>
      </x:c>
      <x:c r="W84" t="n">
        <x:f>V84*(1+($BG84+('Assumptions'!$D$6-$BG84)*(9-5)/5))</x:f>
        <x:v>0</x:v>
      </x:c>
      <x:c r="X84" t="n">
        <x:f>W84*(1+($BG84+('Assumptions'!$D$6-$BG84)*(10-5)/5))</x:f>
        <x:v>0</x:v>
      </x:c>
      <x:c r="Y84" t="n">
        <x:f>E84*'WINA Model'!$B$62+O84*'WINA Model'!$B$63+'WINA Model'!$B$73+'WINA Model'!$B$74</x:f>
        <x:v>65.32185</x:v>
      </x:c>
      <x:c r="Z84" t="n">
        <x:f>F84*'WINA Model'!$C$62+P84*'WINA Model'!$C$63+'WINA Model'!$C$73+'WINA Model'!$C$74</x:f>
        <x:v>79.68730274999999</x:v>
      </x:c>
      <x:c r="AA84" t="n">
        <x:f>G84*'WINA Model'!$D$62+Q84*'WINA Model'!$D$63+'WINA Model'!$D$73+'WINA Model'!$D$74</x:f>
        <x:v>97.20555206999998</x:v>
      </x:c>
      <x:c r="AB84" t="n">
        <x:f>H84*'WINA Model'!$E$62+R84*'WINA Model'!$E$63+'WINA Model'!$E$73+'WINA Model'!$E$74</x:f>
        <x:v>118.56725605312499</x:v>
      </x:c>
      <x:c r="AC84" t="n">
        <x:f>I84*'WINA Model'!$F$62+S84*'WINA Model'!$F$63+'WINA Model'!$F$73+'WINA Model'!$F$74</x:f>
        <x:v>144.61411086287546</x:v>
      </x:c>
      <x:c r="AD84" t="n">
        <x:f>AX84*$AC84/$AW84</x:f>
        <x:v>169.63235204215292</x:v>
      </x:c>
      <x:c r="AE84" t="n">
        <x:f>AY84*$AC84/$AW84</x:f>
        <x:v>192.70235191988567</x:v>
      </x:c>
      <x:c r="AF84" t="n">
        <x:f>AZ84*$AC84/$AW84</x:f>
        <x:v>211.77988475995437</x:v>
      </x:c>
      <x:c r="AG84" t="n">
        <x:f>BA84*$AC84/$AW84</x:f>
        <x:v>224.9102376150715</x:v>
      </x:c>
      <x:c r="AH84" t="n">
        <x:f>BB84*$AC84/$AW84</x:f>
        <x:v>230.53299355544826</x:v>
      </x:c>
      <x:c r="AI84" t="n">
        <x:f>Y84*(1-'Assumptions'!$F$6)+AS84*'Assumptions'!$G$6-AS84*'WINA Model'!$B$65-(AS84-'Inputs'!$C$14)*'Assumptions'!$H$6-'Assumptions'!$I$6</x:f>
        <x:v>46.381611</x:v>
      </x:c>
      <x:c r="AJ84" t="n">
        <x:f>Z84*(1-'Assumptions'!$F$6)+AT84*'Assumptions'!$G$6-AT84*'WINA Model'!$C$65-(AT84-AS84)*'Assumptions'!$H$6-0</x:f>
        <x:v>57.26199038999999</x:v>
      </x:c>
      <x:c r="AK84" t="n">
        <x:f>AA84*(1-'Assumptions'!$F$6)+AU84*'Assumptions'!$G$6-AU84*'WINA Model'!$D$65-(AU84-AT84)*'Assumptions'!$H$6-0</x:f>
        <x:v>70.6667000787</x:v>
      </x:c>
      <x:c r="AL84" t="n">
        <x:f>AB84*(1-'Assumptions'!$F$6)+AV84*'Assumptions'!$G$6-AV84*'WINA Model'!$E$65-(AV84-AU84)*'Assumptions'!$H$6-0</x:f>
        <x:v>86.79671884108498</x:v>
      </x:c>
      <x:c r="AM84" t="n">
        <x:f>AC84*(1-'Assumptions'!$F$6)+AW84*'Assumptions'!$G$6-AW84*'WINA Model'!$F$65-(AW84-AV84)*'Assumptions'!$H$6-0</x:f>
        <x:v>106.35539780248214</x:v>
      </x:c>
      <x:c r="AN84" t="n">
        <x:f>AD84*(1-'Assumptions'!$F$6)+AX84*'Assumptions'!$G$6-AX84*'WINA Model'!$G$65-(AX84-AW84)*'Assumptions'!$H$6-0</x:f>
        <x:v>124.89526525347847</x:v>
      </x:c>
      <x:c r="AO84" t="n">
        <x:f>AE84*(1-'Assumptions'!$F$6)+AY84*'Assumptions'!$G$6-AY84*'WINA Model'!$H$65-(AY84-AX84)*'Assumptions'!$H$6-0</x:f>
        <x:v>142.05088552166345</x:v>
      </x:c>
      <x:c r="AP84" t="n">
        <x:f>AF84*(1-'Assumptions'!$F$6)+AZ84*'Assumptions'!$G$6-AZ84*'WINA Model'!$I$65-(AZ84-AY84)*'Assumptions'!$H$6-0</x:f>
        <x:v>156.31317388753226</x:v>
      </x:c>
      <x:c r="AQ84" t="n">
        <x:f>AG84*(1-'Assumptions'!$F$6)+BA84*'Assumptions'!$G$6-BA84*'WINA Model'!$J$65-(BA84-AZ84)*'Assumptions'!$H$6-0</x:f>
        <x:v>166.23093946287784</x:v>
      </x:c>
      <x:c r="AR84" t="n">
        <x:f>AH84*(1-'Assumptions'!$F$6)+BB84*'Assumptions'!$G$6-BB84*'WINA Model'!$K$65-(BB84-BA84)*'Assumptions'!$H$6-0</x:f>
        <x:v>170.6354702744059</x:v>
      </x:c>
      <x:c r="AS84" t="n">
        <x:f>E84+O84</x:f>
        <x:v>107.085</x:v>
      </x:c>
      <x:c r="AT84" t="n">
        <x:f>F84+P84</x:f>
        <x:v>129.57285</x:v>
      </x:c>
      <x:c r="AU84" t="n">
        <x:f>G84+Q84</x:f>
        <x:v>156.78314849999998</x:v>
      </x:c>
      <x:c r="AV84" t="n">
        <x:f>H84+R84</x:f>
        <x:v>189.707609685</x:v>
      </x:c>
      <x:c r="AW84" t="n">
        <x:f>I84+S84</x:f>
        <x:v>229.54620771884996</x:v>
      </x:c>
      <x:c r="AX84" t="n">
        <x:f>J84+T84</x:f>
        <x:v>269.25770165421096</x:v>
      </x:c>
      <x:c r="AY84" t="n">
        <x:f>K84+U84</x:f>
        <x:v>305.87674907918364</x:v>
      </x:c>
      <x:c r="AZ84" t="n">
        <x:f>L84+V84</x:f>
        <x:v>336.15854723802283</x:v>
      </x:c>
      <x:c r="BA84" t="n">
        <x:f>M84+W84</x:f>
        <x:v>357.0003771667802</x:v>
      </x:c>
      <x:c r="BB84" t="n">
        <x:f>N84+X84</x:f>
        <x:v>365.92538659594965</x:v>
      </x:c>
      <x:c r="BC84" t="n">
        <x:f>AS84/'Inputs'!$C$14-1</x:f>
        <x:v>0.20999999999999996</x:v>
      </x:c>
      <x:c r="BD84" t="n">
        <x:f>AT84/AS84-1</x:f>
        <x:v>0.20999999999999996</x:v>
      </x:c>
      <x:c r="BE84" t="n">
        <x:f>AU84/AT84-1</x:f>
        <x:v>0.20999999999999996</x:v>
      </x:c>
      <x:c r="BF84" t="n">
        <x:f>AV84/AU84-1</x:f>
        <x:v>0.2100000000000002</x:v>
      </x:c>
      <x:c r="BG84" t="n">
        <x:f>AW84/AV84-1</x:f>
        <x:v>0.20999999999999974</x:v>
      </x:c>
      <x:c r="BH84" t="n">
        <x:f>AX84/AW84-1</x:f>
        <x:v>0.17299999999999982</x:v>
      </x:c>
      <x:c r="BI84" t="n">
        <x:f>AY84/AX84-1</x:f>
        <x:v>0.1359999999999999</x:v>
      </x:c>
      <x:c r="BJ84" t="n">
        <x:f>AZ84/AY84-1</x:f>
        <x:v>0.09899999999999998</x:v>
      </x:c>
      <x:c r="BK84" t="n">
        <x:f>BA84/AZ84-1</x:f>
        <x:v>0.06199999999999983</x:v>
      </x:c>
      <x:c r="BL84" t="n">
        <x:f>BB84/BA84-1</x:f>
        <x:v>0.02499999999999991</x:v>
      </x:c>
      <x:c r="BM84" t="n">
        <x:f>AH84*(1-'Assumptions'!$F$6)*(1+'Assumptions'!$D$6)*(1-'Assumptions'!$D$6/'Assumptions'!$E$6)</x:f>
        <x:v>166.75768755257317</x:v>
      </x:c>
      <x:c r="BN84" t="n">
        <x:f>SUMPRODUCT(AI84:AR84,'WINA Model'!$B$83:$K$83)+BM84/('Assumptions'!$C$6-'Assumptions'!$D$6)*'WINA Model'!$K$83</x:f>
        <x:v>1477.735865667732</x:v>
      </x:c>
      <x:c r="BO84" t="n">
        <x:f>'WINA Model'!$B$94</x:f>
        <x:v>-42.825500000000005</x:v>
      </x:c>
      <x:c r="BP84" t="n">
        <x:f>'Inputs'!$C$8</x:f>
        <x:v>3.701516</x:v>
      </x:c>
    </x:row>
    <x:row r="85">
      <x:c r="A85" t="str">
        <x:v>WINA</x:v>
      </x:c>
      <x:c r="B85" s="22" t="n">
        <x:v>0.22</x:v>
      </x:c>
      <x:c r="C85" s="42" t="n">
        <x:f>(BN85+BO85)/BP85</x:f>
        <x:v>408.9698489606046</x:v>
      </x:c>
      <x:c r="D85" s="22" t="n">
        <x:f>C85/'Inputs'!$C$5-1</x:f>
        <x:v>0.28538155376246843</x:v>
      </x:c>
      <x:c r="E85" t="n">
        <x:f>'Inputs'!$C$14*(1+$B85)^1</x:f>
        <x:v>107.97</x:v>
      </x:c>
      <x:c r="F85" t="n">
        <x:f>'Inputs'!$C$14*(1+$B85)^2</x:f>
        <x:v>131.7234</x:v>
      </x:c>
      <x:c r="G85" t="n">
        <x:f>'Inputs'!$C$14*(1+$B85)^3</x:f>
        <x:v>160.70254799999998</x:v>
      </x:c>
      <x:c r="H85" t="n">
        <x:f>'Inputs'!$C$14*(1+$B85)^4</x:f>
        <x:v>196.05710855999996</x:v>
      </x:c>
      <x:c r="I85" t="n">
        <x:f>'Inputs'!$C$14*(1+$B85)^5</x:f>
        <x:v>239.18967244319995</x:v>
      </x:c>
      <x:c r="J85" t="n">
        <x:f>I85*(1+($BG85+('Assumptions'!$D$6-$BG85)*(6-5)/5))</x:f>
        <x:v>282.48300315541917</x:v>
      </x:c>
      <x:c r="K85" t="n">
        <x:f>J85*(1+($BG85+('Assumptions'!$D$6-$BG85)*(7-5)/5))</x:f>
        <x:v>322.5955896034887</x:v>
      </x:c>
      <x:c r="L85" t="n">
        <x:f>K85*(1+($BG85+('Assumptions'!$D$6-$BG85)*(8-5)/5))</x:f>
        <x:v>355.822935332648</x:v>
      </x:c>
      <x:c r="M85" t="n">
        <x:f>L85*(1+($BG85+('Assumptions'!$D$6-$BG85)*(9-5)/5))</x:f>
        <x:v>378.5956031939375</x:v>
      </x:c>
      <x:c r="N85" t="n">
        <x:f>M85*(1+($BG85+('Assumptions'!$D$6-$BG85)*(10-5)/5))</x:f>
        <x:v>388.06049327378594</x:v>
      </x:c>
      <x:c r="O85" t="n">
        <x:f>0</x:f>
        <x:v>0</x:v>
      </x:c>
      <x:c r="P85" t="n">
        <x:f>0</x:f>
        <x:v>0</x:v>
      </x:c>
      <x:c r="Q85" t="n">
        <x:f>0</x:f>
        <x:v>0</x:v>
      </x:c>
      <x:c r="R85" t="n">
        <x:f>0</x:f>
        <x:v>0</x:v>
      </x:c>
      <x:c r="S85" t="n">
        <x:f>0</x:f>
        <x:v>0</x:v>
      </x:c>
      <x:c r="T85" t="n">
        <x:f>S85*(1+($BG85+('Assumptions'!$D$6-$BG85)*(6-5)/5))</x:f>
        <x:v>0</x:v>
      </x:c>
      <x:c r="U85" t="n">
        <x:f>T85*(1+($BG85+('Assumptions'!$D$6-$BG85)*(7-5)/5))</x:f>
        <x:v>0</x:v>
      </x:c>
      <x:c r="V85" t="n">
        <x:f>U85*(1+($BG85+('Assumptions'!$D$6-$BG85)*(8-5)/5))</x:f>
        <x:v>0</x:v>
      </x:c>
      <x:c r="W85" t="n">
        <x:f>V85*(1+($BG85+('Assumptions'!$D$6-$BG85)*(9-5)/5))</x:f>
        <x:v>0</x:v>
      </x:c>
      <x:c r="X85" t="n">
        <x:f>W85*(1+($BG85+('Assumptions'!$D$6-$BG85)*(10-5)/5))</x:f>
        <x:v>0</x:v>
      </x:c>
      <x:c r="Y85" t="n">
        <x:f>E85*'WINA Model'!$B$62+O85*'WINA Model'!$B$63+'WINA Model'!$B$73+'WINA Model'!$B$74</x:f>
        <x:v>65.8617</x:v>
      </x:c>
      <x:c r="Z85" t="n">
        <x:f>F85*'WINA Model'!$C$62+P85*'WINA Model'!$C$63+'WINA Model'!$C$73+'WINA Model'!$C$74</x:f>
        <x:v>81.009891</x:v>
      </x:c>
      <x:c r="AA85" t="n">
        <x:f>G85*'WINA Model'!$D$62+Q85*'WINA Model'!$D$63+'WINA Model'!$D$73+'WINA Model'!$D$74</x:f>
        <x:v>99.63557975999998</x:v>
      </x:c>
      <x:c r="AB85" t="n">
        <x:f>H85*'WINA Model'!$E$62+R85*'WINA Model'!$E$63+'WINA Model'!$E$73+'WINA Model'!$E$74</x:f>
        <x:v>122.53569284999998</x:v>
      </x:c>
      <x:c r="AC85" t="n">
        <x:f>I85*'WINA Model'!$F$62+S85*'WINA Model'!$F$63+'WINA Model'!$F$73+'WINA Model'!$F$74</x:f>
        <x:v>150.68949363921598</x:v>
      </x:c>
      <x:c r="AD85" t="n">
        <x:f>AX85*$AC85/$AW85</x:f>
        <x:v>177.96429198791407</x:v>
      </x:c>
      <x:c r="AE85" t="n">
        <x:f>AY85*$AC85/$AW85</x:f>
        <x:v>203.23522145019788</x:v>
      </x:c>
      <x:c r="AF85" t="n">
        <x:f>AZ85*$AC85/$AW85</x:f>
        <x:v>224.16844925956826</x:v>
      </x:c>
      <x:c r="AG85" t="n">
        <x:f>BA85*$AC85/$AW85</x:f>
        <x:v>238.51523001218064</x:v>
      </x:c>
      <x:c r="AH85" t="n">
        <x:f>BB85*$AC85/$AW85</x:f>
        <x:v>244.47811076248516</x:v>
      </x:c>
      <x:c r="AI85" t="n">
        <x:f>Y85*(1-'Assumptions'!$F$6)+AS85*'Assumptions'!$G$6-AS85*'WINA Model'!$B$65-(AS85-'Inputs'!$C$14)*'Assumptions'!$H$6-'Assumptions'!$I$6</x:f>
        <x:v>46.750302</x:v>
      </x:c>
      <x:c r="AJ85" t="n">
        <x:f>Z85*(1-'Assumptions'!$F$6)+AT85*'Assumptions'!$G$6-AT85*'WINA Model'!$C$65-(AT85-AS85)*'Assumptions'!$H$6-0</x:f>
        <x:v>58.194534360000006</x:v>
      </x:c>
      <x:c r="AK85" t="n">
        <x:f>AA85*(1-'Assumptions'!$F$6)+AU85*'Assumptions'!$G$6-AU85*'WINA Model'!$D$65-(AU85-AT85)*'Assumptions'!$H$6-0</x:f>
        <x:v>72.4115143416</x:v>
      </x:c>
      <x:c r="AL85" t="n">
        <x:f>AB85*(1-'Assumptions'!$F$6)+AV85*'Assumptions'!$G$6-AV85*'WINA Model'!$E$65-(AV85-AU85)*'Assumptions'!$H$6-0</x:f>
        <x:v>89.67523583495999</x:v>
      </x:c>
      <x:c r="AM85" t="n">
        <x:f>AC85*(1-'Assumptions'!$F$6)+AW85*'Assumptions'!$G$6-AW85*'WINA Model'!$F$65-(AW85-AV85)*'Assumptions'!$H$6-0</x:f>
        <x:v>110.79108781882174</x:v>
      </x:c>
      <x:c r="AN85" t="n">
        <x:f>AD85*(1-'Assumptions'!$F$6)+AX85*'Assumptions'!$G$6-AX85*'WINA Model'!$G$65-(AX85-AW85)*'Assumptions'!$H$6-0</x:f>
        <x:v>130.99719925870528</x:v>
      </x:c>
      <x:c r="AO85" t="n">
        <x:f>AE85*(1-'Assumptions'!$F$6)+AY85*'Assumptions'!$G$6-AY85*'WINA Model'!$H$65-(AY85-AX85)*'Assumptions'!$H$6-0</x:f>
        <x:v>149.78536949794713</x:v>
      </x:c>
      <x:c r="AP85" t="n">
        <x:f>AF85*(1-'Assumptions'!$F$6)+AZ85*'Assumptions'!$G$6-AZ85*'WINA Model'!$I$65-(AZ85-AY85)*'Assumptions'!$H$6-0</x:f>
        <x:v>165.43359929869692</x:v>
      </x:c>
      <x:c r="AQ85" t="n">
        <x:f>AG85*(1-'Assumptions'!$F$6)+BA85*'Assumptions'!$G$6-BA85*'WINA Model'!$J$65-(BA85-AZ85)*'Assumptions'!$H$6-0</x:f>
        <x:v>176.27297421370423</x:v>
      </x:c>
      <x:c r="AR85" t="n">
        <x:f>AH85*(1-'Assumptions'!$F$6)+BB85*'Assumptions'!$G$6-BB85*'WINA Model'!$K$65-(BB85-BA85)*'Assumptions'!$H$6-0</x:f>
        <x:v>180.95734045860632</x:v>
      </x:c>
      <x:c r="AS85" t="n">
        <x:f>E85+O85</x:f>
        <x:v>107.97</x:v>
      </x:c>
      <x:c r="AT85" t="n">
        <x:f>F85+P85</x:f>
        <x:v>131.7234</x:v>
      </x:c>
      <x:c r="AU85" t="n">
        <x:f>G85+Q85</x:f>
        <x:v>160.70254799999998</x:v>
      </x:c>
      <x:c r="AV85" t="n">
        <x:f>H85+R85</x:f>
        <x:v>196.05710855999996</x:v>
      </x:c>
      <x:c r="AW85" t="n">
        <x:f>I85+S85</x:f>
        <x:v>239.18967244319995</x:v>
      </x:c>
      <x:c r="AX85" t="n">
        <x:f>J85+T85</x:f>
        <x:v>282.48300315541917</x:v>
      </x:c>
      <x:c r="AY85" t="n">
        <x:f>K85+U85</x:f>
        <x:v>322.5955896034887</x:v>
      </x:c>
      <x:c r="AZ85" t="n">
        <x:f>L85+V85</x:f>
        <x:v>355.822935332648</x:v>
      </x:c>
      <x:c r="BA85" t="n">
        <x:f>M85+W85</x:f>
        <x:v>378.5956031939375</x:v>
      </x:c>
      <x:c r="BB85" t="n">
        <x:f>N85+X85</x:f>
        <x:v>388.06049327378594</x:v>
      </x:c>
      <x:c r="BC85" t="n">
        <x:f>AS85/'Inputs'!$C$14-1</x:f>
        <x:v>0.21999999999999997</x:v>
      </x:c>
      <x:c r="BD85" t="n">
        <x:f>AT85/AS85-1</x:f>
        <x:v>0.21999999999999997</x:v>
      </x:c>
      <x:c r="BE85" t="n">
        <x:f>AU85/AT85-1</x:f>
        <x:v>0.21999999999999975</x:v>
      </x:c>
      <x:c r="BF85" t="n">
        <x:f>AV85/AU85-1</x:f>
        <x:v>0.21999999999999997</x:v>
      </x:c>
      <x:c r="BG85" t="n">
        <x:f>AW85/AV85-1</x:f>
        <x:v>0.21999999999999997</x:v>
      </x:c>
      <x:c r="BH85" t="n">
        <x:f>AX85/AW85-1</x:f>
        <x:v>0.18100000000000005</x:v>
      </x:c>
      <x:c r="BI85" t="n">
        <x:f>AY85/AX85-1</x:f>
        <x:v>0.1419999999999999</x:v>
      </x:c>
      <x:c r="BJ85" t="n">
        <x:f>AZ85/AY85-1</x:f>
        <x:v>0.10299999999999998</x:v>
      </x:c>
      <x:c r="BK85" t="n">
        <x:f>BA85/AZ85-1</x:f>
        <x:v>0.06400000000000006</x:v>
      </x:c>
      <x:c r="BL85" t="n">
        <x:f>BB85/BA85-1</x:f>
        <x:v>0.02499999999999991</x:v>
      </x:c>
      <x:c r="BM85" t="n">
        <x:f>AH85*(1-'Assumptions'!$F$6)*(1+'Assumptions'!$D$6)*(1-'Assumptions'!$D$6/'Assumptions'!$E$6)</x:f>
        <x:v>176.84498769226337</x:v>
      </x:c>
      <x:c r="BN85" t="n">
        <x:f>SUMPRODUCT(AI85:AR85,'WINA Model'!$B$83:$K$83)+BM85/('Assumptions'!$C$6-'Assumptions'!$D$6)*'WINA Model'!$K$83</x:f>
        <x:v>1556.6339394452611</x:v>
      </x:c>
      <x:c r="BO85" t="n">
        <x:f>'WINA Model'!$B$94</x:f>
        <x:v>-42.825500000000005</x:v>
      </x:c>
      <x:c r="BP85" t="n">
        <x:f>'Inputs'!$C$8</x:f>
        <x:v>3.701516</x:v>
      </x:c>
    </x:row>
    <x:row r="86">
      <x:c r="A86" t="str">
        <x:v>WINA</x:v>
      </x:c>
      <x:c r="B86" s="22" t="n">
        <x:v>0.23</x:v>
      </x:c>
      <x:c r="C86" s="42" t="n">
        <x:f>(BN86+BO86)/BP86</x:f>
        <x:v>431.3282286654686</x:v>
      </x:c>
      <x:c r="D86" s="22" t="n">
        <x:f>C86/'Inputs'!$C$5-1</x:f>
        <x:v>0.3556533572161693</x:v>
      </x:c>
      <x:c r="E86" t="n">
        <x:f>'Inputs'!$C$14*(1+$B86)^1</x:f>
        <x:v>108.855</x:v>
      </x:c>
      <x:c r="F86" t="n">
        <x:f>'Inputs'!$C$14*(1+$B86)^2</x:f>
        <x:v>133.89165</x:v>
      </x:c>
      <x:c r="G86" t="n">
        <x:f>'Inputs'!$C$14*(1+$B86)^3</x:f>
        <x:v>164.68672949999998</x:v>
      </x:c>
      <x:c r="H86" t="n">
        <x:f>'Inputs'!$C$14*(1+$B86)^4</x:f>
        <x:v>202.564677285</x:v>
      </x:c>
      <x:c r="I86" t="n">
        <x:f>'Inputs'!$C$14*(1+$B86)^5</x:f>
        <x:v>249.15455306054997</x:v>
      </x:c>
      <x:c r="J86" t="n">
        <x:f>I86*(1+($BG86+('Assumptions'!$D$6-$BG86)*(6-5)/5))</x:f>
        <x:v>296.2447635889939</x:v>
      </x:c>
      <x:c r="K86" t="n">
        <x:f>J86*(1+($BG86+('Assumptions'!$D$6-$BG86)*(7-5)/5))</x:f>
        <x:v>340.088988600165</x:v>
      </x:c>
      <x:c r="L86" t="n">
        <x:f>K86*(1+($BG86+('Assumptions'!$D$6-$BG86)*(8-5)/5))</x:f>
        <x:v>376.47851038038266</x:v>
      </x:c>
      <x:c r="M86" t="n">
        <x:f>L86*(1+($BG86+('Assumptions'!$D$6-$BG86)*(9-5)/5))</x:f>
        <x:v>401.32609206548796</x:v>
      </x:c>
      <x:c r="N86" t="n">
        <x:f>M86*(1+($BG86+('Assumptions'!$D$6-$BG86)*(10-5)/5))</x:f>
        <x:v>411.35924436712514</x:v>
      </x:c>
      <x:c r="O86" t="n">
        <x:f>0</x:f>
        <x:v>0</x:v>
      </x:c>
      <x:c r="P86" t="n">
        <x:f>0</x:f>
        <x:v>0</x:v>
      </x:c>
      <x:c r="Q86" t="n">
        <x:f>0</x:f>
        <x:v>0</x:v>
      </x:c>
      <x:c r="R86" t="n">
        <x:f>0</x:f>
        <x:v>0</x:v>
      </x:c>
      <x:c r="S86" t="n">
        <x:f>0</x:f>
        <x:v>0</x:v>
      </x:c>
      <x:c r="T86" t="n">
        <x:f>S86*(1+($BG86+('Assumptions'!$D$6-$BG86)*(6-5)/5))</x:f>
        <x:v>0</x:v>
      </x:c>
      <x:c r="U86" t="n">
        <x:f>T86*(1+($BG86+('Assumptions'!$D$6-$BG86)*(7-5)/5))</x:f>
        <x:v>0</x:v>
      </x:c>
      <x:c r="V86" t="n">
        <x:f>U86*(1+($BG86+('Assumptions'!$D$6-$BG86)*(8-5)/5))</x:f>
        <x:v>0</x:v>
      </x:c>
      <x:c r="W86" t="n">
        <x:f>V86*(1+($BG86+('Assumptions'!$D$6-$BG86)*(9-5)/5))</x:f>
        <x:v>0</x:v>
      </x:c>
      <x:c r="X86" t="n">
        <x:f>W86*(1+($BG86+('Assumptions'!$D$6-$BG86)*(10-5)/5))</x:f>
        <x:v>0</x:v>
      </x:c>
      <x:c r="Y86" t="n">
        <x:f>E86*'WINA Model'!$B$62+O86*'WINA Model'!$B$63+'WINA Model'!$B$73+'WINA Model'!$B$74</x:f>
        <x:v>66.40155</x:v>
      </x:c>
      <x:c r="Z86" t="n">
        <x:f>F86*'WINA Model'!$C$62+P86*'WINA Model'!$C$63+'WINA Model'!$C$73+'WINA Model'!$C$74</x:f>
        <x:v>82.34336474999999</x:v>
      </x:c>
      <x:c r="AA86" t="n">
        <x:f>G86*'WINA Model'!$D$62+Q86*'WINA Model'!$D$63+'WINA Model'!$D$73+'WINA Model'!$D$74</x:f>
        <x:v>102.10577228999999</x:v>
      </x:c>
      <x:c r="AB86" t="n">
        <x:f>H86*'WINA Model'!$E$62+R86*'WINA Model'!$E$63+'WINA Model'!$E$73+'WINA Model'!$E$74</x:f>
        <x:v>126.602923303125</x:v>
      </x:c>
      <x:c r="AC86" t="n">
        <x:f>I86*'WINA Model'!$F$62+S86*'WINA Model'!$F$63+'WINA Model'!$F$73+'WINA Model'!$F$74</x:f>
        <x:v>156.96736842814647</x:v>
      </x:c>
      <x:c r="AD86" t="n">
        <x:f>AX86*$AC86/$AW86</x:f>
        <x:v>186.63420106106616</x:v>
      </x:c>
      <x:c r="AE86" t="n">
        <x:f>AY86*$AC86/$AW86</x:f>
        <x:v>214.25606281810394</x:v>
      </x:c>
      <x:c r="AF86" t="n">
        <x:f>AZ86*$AC86/$AW86</x:f>
        <x:v>237.18146153964108</x:v>
      </x:c>
      <x:c r="AG86" t="n">
        <x:f>BA86*$AC86/$AW86</x:f>
        <x:v>252.8354380012574</x:v>
      </x:c>
      <x:c r="AH86" t="n">
        <x:f>BB86*$AC86/$AW86</x:f>
        <x:v>259.1563239512888</x:v>
      </x:c>
      <x:c r="AI86" t="n">
        <x:f>Y86*(1-'Assumptions'!$F$6)+AS86*'Assumptions'!$G$6-AS86*'WINA Model'!$B$65-(AS86-'Inputs'!$C$14)*'Assumptions'!$H$6-'Assumptions'!$I$6</x:f>
        <x:v>47.118993</x:v>
      </x:c>
      <x:c r="AJ86" t="n">
        <x:f>Z86*(1-'Assumptions'!$F$6)+AT86*'Assumptions'!$G$6-AT86*'WINA Model'!$C$65-(AT86-AS86)*'Assumptions'!$H$6-0</x:f>
        <x:v>59.13460791</x:v>
      </x:c>
      <x:c r="AK86" t="n">
        <x:f>AA86*(1-'Assumptions'!$F$6)+AU86*'Assumptions'!$G$6-AU86*'WINA Model'!$D$65-(AU86-AT86)*'Assumptions'!$H$6-0</x:f>
        <x:v>74.18481094890001</x:v>
      </x:c>
      <x:c r="AL86" t="n">
        <x:f>AB86*(1-'Assumptions'!$F$6)+AV86*'Assumptions'!$G$6-AV86*'WINA Model'!$E$65-(AV86-AU86)*'Assumptions'!$H$6-0</x:f>
        <x:v>92.624757272685</x:v>
      </x:c>
      <x:c r="AM86" t="n">
        <x:f>AC86*(1-'Assumptions'!$F$6)+AW86*'Assumptions'!$G$6-AW86*'WINA Model'!$F$65-(AW86-AV86)*'Assumptions'!$H$6-0</x:f>
        <x:v>115.37354785315372</x:v>
      </x:c>
      <x:c r="AN86" t="n">
        <x:f>AD86*(1-'Assumptions'!$F$6)+AX86*'Assumptions'!$G$6-AX86*'WINA Model'!$G$65-(AX86-AW86)*'Assumptions'!$H$6-0</x:f>
        <x:v>137.34525143277347</x:v>
      </x:c>
      <x:c r="AO86" t="n">
        <x:f>AE86*(1-'Assumptions'!$F$6)+AY86*'Assumptions'!$G$6-AY86*'WINA Model'!$H$65-(AY86-AX86)*'Assumptions'!$H$6-0</x:f>
        <x:v>157.8766553783336</x:v>
      </x:c>
      <x:c r="AP86" t="n">
        <x:f>AF86*(1-'Assumptions'!$F$6)+AZ86*'Assumptions'!$G$6-AZ86*'WINA Model'!$I$65-(AZ86-AY86)*'Assumptions'!$H$6-0</x:f>
        <x:v>175.01237820995826</x:v>
      </x:c>
      <x:c r="AQ86" t="n">
        <x:f>AG86*(1-'Assumptions'!$F$6)+BA86*'Assumptions'!$G$6-BA86*'WINA Model'!$J$65-(BA86-AZ86)*'Assumptions'!$H$6-0</x:f>
        <x:v>186.84206814246767</x:v>
      </x:c>
      <x:c r="AR86" t="n">
        <x:f>AH86*(1-'Assumptions'!$F$6)+BB86*'Assumptions'!$G$6-BB86*'WINA Model'!$K$65-(BB86-BA86)*'Assumptions'!$H$6-0</x:f>
        <x:v>191.82183222454128</x:v>
      </x:c>
      <x:c r="AS86" t="n">
        <x:f>E86+O86</x:f>
        <x:v>108.855</x:v>
      </x:c>
      <x:c r="AT86" t="n">
        <x:f>F86+P86</x:f>
        <x:v>133.89165</x:v>
      </x:c>
      <x:c r="AU86" t="n">
        <x:f>G86+Q86</x:f>
        <x:v>164.68672949999998</x:v>
      </x:c>
      <x:c r="AV86" t="n">
        <x:f>H86+R86</x:f>
        <x:v>202.564677285</x:v>
      </x:c>
      <x:c r="AW86" t="n">
        <x:f>I86+S86</x:f>
        <x:v>249.15455306054997</x:v>
      </x:c>
      <x:c r="AX86" t="n">
        <x:f>J86+T86</x:f>
        <x:v>296.2447635889939</x:v>
      </x:c>
      <x:c r="AY86" t="n">
        <x:f>K86+U86</x:f>
        <x:v>340.088988600165</x:v>
      </x:c>
      <x:c r="AZ86" t="n">
        <x:f>L86+V86</x:f>
        <x:v>376.47851038038266</x:v>
      </x:c>
      <x:c r="BA86" t="n">
        <x:f>M86+W86</x:f>
        <x:v>401.32609206548796</x:v>
      </x:c>
      <x:c r="BB86" t="n">
        <x:f>N86+X86</x:f>
        <x:v>411.35924436712514</x:v>
      </x:c>
      <x:c r="BC86" t="n">
        <x:f>AS86/'Inputs'!$C$14-1</x:f>
        <x:v>0.22999999999999998</x:v>
      </x:c>
      <x:c r="BD86" t="n">
        <x:f>AT86/AS86-1</x:f>
        <x:v>0.22999999999999998</x:v>
      </x:c>
      <x:c r="BE86" t="n">
        <x:f>AU86/AT86-1</x:f>
        <x:v>0.22999999999999998</x:v>
      </x:c>
      <x:c r="BF86" t="n">
        <x:f>AV86/AU86-1</x:f>
        <x:v>0.22999999999999998</x:v>
      </x:c>
      <x:c r="BG86" t="n">
        <x:f>AW86/AV86-1</x:f>
        <x:v>0.22999999999999998</x:v>
      </x:c>
      <x:c r="BH86" t="n">
        <x:f>AX86/AW86-1</x:f>
        <x:v>0.18900000000000006</x:v>
      </x:c>
      <x:c r="BI86" t="n">
        <x:f>AY86/AX86-1</x:f>
        <x:v>0.1479999999999999</x:v>
      </x:c>
      <x:c r="BJ86" t="n">
        <x:f>AZ86/AY86-1</x:f>
        <x:v>0.10699999999999998</x:v>
      </x:c>
      <x:c r="BK86" t="n">
        <x:f>BA86/AZ86-1</x:f>
        <x:v>0.06600000000000006</x:v>
      </x:c>
      <x:c r="BL86" t="n">
        <x:f>BB86/BA86-1</x:f>
        <x:v>0.02499999999999991</x:v>
      </x:c>
      <x:c r="BM86" t="n">
        <x:f>AH86*(1-'Assumptions'!$F$6)*(1+'Assumptions'!$D$6)*(1-'Assumptions'!$D$6/'Assumptions'!$E$6)</x:f>
        <x:v>187.4625780467644</x:v>
      </x:c>
      <x:c r="BN86" t="n">
        <x:f>SUMPRODUCT(AI86:AR86,'WINA Model'!$B$83:$K$83)+BM86/('Assumptions'!$C$6-'Assumptions'!$D$6)*'WINA Model'!$K$83</x:f>
        <x:v>1639.3938396568906</x:v>
      </x:c>
      <x:c r="BO86" t="n">
        <x:f>'WINA Model'!$B$94</x:f>
        <x:v>-42.825500000000005</x:v>
      </x:c>
      <x:c r="BP86" t="n">
        <x:f>'Inputs'!$C$8</x:f>
        <x:v>3.701516</x:v>
      </x:c>
    </x:row>
    <x:row r="87">
      <x:c r="A87" t="str">
        <x:v>WINA</x:v>
      </x:c>
      <x:c r="B87" s="22" t="n">
        <x:v>0.24</x:v>
      </x:c>
      <x:c r="C87" s="42" t="n">
        <x:f>(BN87+BO87)/BP87</x:f>
        <x:v>454.7746071407731</x:v>
      </x:c>
      <x:c r="D87" s="22" t="n">
        <x:f>C87/'Inputs'!$C$5-1</x:f>
        <x:v>0.4293447123888898</x:v>
      </x:c>
      <x:c r="E87" t="n">
        <x:f>'Inputs'!$C$14*(1+$B87)^1</x:f>
        <x:v>109.74</x:v>
      </x:c>
      <x:c r="F87" t="n">
        <x:f>'Inputs'!$C$14*(1+$B87)^2</x:f>
        <x:v>136.07760000000002</x:v>
      </x:c>
      <x:c r="G87" t="n">
        <x:f>'Inputs'!$C$14*(1+$B87)^3</x:f>
        <x:v>168.73622400000002</x:v>
      </x:c>
      <x:c r="H87" t="n">
        <x:f>'Inputs'!$C$14*(1+$B87)^4</x:f>
        <x:v>209.23291776000002</x:v>
      </x:c>
      <x:c r="I87" t="n">
        <x:f>'Inputs'!$C$14*(1+$B87)^5</x:f>
        <x:v>259.4488180224</x:v>
      </x:c>
      <x:c r="J87" t="n">
        <x:f>I87*(1+($BG87+('Assumptions'!$D$6-$BG87)*(6-5)/5))</x:f>
        <x:v>310.56023517281284</x:v>
      </x:c>
      <x:c r="K87" t="n">
        <x:f>J87*(1+($BG87+('Assumptions'!$D$6-$BG87)*(7-5)/5))</x:f>
        <x:v>358.386511389426</x:v>
      </x:c>
      <x:c r="L87" t="n">
        <x:f>K87*(1+($BG87+('Assumptions'!$D$6-$BG87)*(8-5)/5))</x:f>
        <x:v>398.16741415365226</x:v>
      </x:c>
      <x:c r="M87" t="n">
        <x:f>L87*(1+($BG87+('Assumptions'!$D$6-$BG87)*(9-5)/5))</x:f>
        <x:v>425.2427983161006</x:v>
      </x:c>
      <x:c r="N87" t="n">
        <x:f>M87*(1+($BG87+('Assumptions'!$D$6-$BG87)*(10-5)/5))</x:f>
        <x:v>435.8738682740031</x:v>
      </x:c>
      <x:c r="O87" t="n">
        <x:f>0</x:f>
        <x:v>0</x:v>
      </x:c>
      <x:c r="P87" t="n">
        <x:f>0</x:f>
        <x:v>0</x:v>
      </x:c>
      <x:c r="Q87" t="n">
        <x:f>0</x:f>
        <x:v>0</x:v>
      </x:c>
      <x:c r="R87" t="n">
        <x:f>0</x:f>
        <x:v>0</x:v>
      </x:c>
      <x:c r="S87" t="n">
        <x:f>0</x:f>
        <x:v>0</x:v>
      </x:c>
      <x:c r="T87" t="n">
        <x:f>S87*(1+($BG87+('Assumptions'!$D$6-$BG87)*(6-5)/5))</x:f>
        <x:v>0</x:v>
      </x:c>
      <x:c r="U87" t="n">
        <x:f>T87*(1+($BG87+('Assumptions'!$D$6-$BG87)*(7-5)/5))</x:f>
        <x:v>0</x:v>
      </x:c>
      <x:c r="V87" t="n">
        <x:f>U87*(1+($BG87+('Assumptions'!$D$6-$BG87)*(8-5)/5))</x:f>
        <x:v>0</x:v>
      </x:c>
      <x:c r="W87" t="n">
        <x:f>V87*(1+($BG87+('Assumptions'!$D$6-$BG87)*(9-5)/5))</x:f>
        <x:v>0</x:v>
      </x:c>
      <x:c r="X87" t="n">
        <x:f>W87*(1+($BG87+('Assumptions'!$D$6-$BG87)*(10-5)/5))</x:f>
        <x:v>0</x:v>
      </x:c>
      <x:c r="Y87" t="n">
        <x:f>E87*'WINA Model'!$B$62+O87*'WINA Model'!$B$63+'WINA Model'!$B$73+'WINA Model'!$B$74</x:f>
        <x:v>66.9414</x:v>
      </x:c>
      <x:c r="Z87" t="n">
        <x:f>F87*'WINA Model'!$C$62+P87*'WINA Model'!$C$63+'WINA Model'!$C$73+'WINA Model'!$C$74</x:f>
        <x:v>83.687724</x:v>
      </x:c>
      <x:c r="AA87" t="n">
        <x:f>G87*'WINA Model'!$D$62+Q87*'WINA Model'!$D$63+'WINA Model'!$D$73+'WINA Model'!$D$74</x:f>
        <x:v>104.61645888000001</x:v>
      </x:c>
      <x:c r="AB87" t="n">
        <x:f>H87*'WINA Model'!$E$62+R87*'WINA Model'!$E$63+'WINA Model'!$E$73+'WINA Model'!$E$74</x:f>
        <x:v>130.7705736</x:v>
      </x:c>
      <x:c r="AC87" t="n">
        <x:f>I87*'WINA Model'!$F$62+S87*'WINA Model'!$F$63+'WINA Model'!$F$73+'WINA Model'!$F$74</x:f>
        <x:v>163.452755354112</x:v>
      </x:c>
      <x:c r="AD87" t="n">
        <x:f>AX87*$AC87/$AW87</x:f>
        <x:v>195.6529481588721</x:v>
      </x:c>
      <x:c r="AE87" t="n">
        <x:f>AY87*$AC87/$AW87</x:f>
        <x:v>225.78350217533838</x:v>
      </x:c>
      <x:c r="AF87" t="n">
        <x:f>AZ87*$AC87/$AW87</x:f>
        <x:v>250.84547091680093</x:v>
      </x:c>
      <x:c r="AG87" t="n">
        <x:f>BA87*$AC87/$AW87</x:f>
        <x:v>267.9029629391434</x:v>
      </x:c>
      <x:c r="AH87" t="n">
        <x:f>BB87*$AC87/$AW87</x:f>
        <x:v>274.60053701262194</x:v>
      </x:c>
      <x:c r="AI87" t="n">
        <x:f>Y87*(1-'Assumptions'!$F$6)+AS87*'Assumptions'!$G$6-AS87*'WINA Model'!$B$65-(AS87-'Inputs'!$C$14)*'Assumptions'!$H$6-'Assumptions'!$I$6</x:f>
        <x:v>47.48768400000001</x:v>
      </x:c>
      <x:c r="AJ87" t="n">
        <x:f>Z87*(1-'Assumptions'!$F$6)+AT87*'Assumptions'!$G$6-AT87*'WINA Model'!$C$65-(AT87-AS87)*'Assumptions'!$H$6-0</x:f>
        <x:v>60.08221103999999</x:v>
      </x:c>
      <x:c r="AK87" t="n">
        <x:f>AA87*(1-'Assumptions'!$F$6)+AU87*'Assumptions'!$G$6-AU87*'WINA Model'!$D$65-(AU87-AT87)*'Assumptions'!$H$6-0</x:f>
        <x:v>75.98682046080002</x:v>
      </x:c>
      <x:c r="AL87" t="n">
        <x:f>AB87*(1-'Assumptions'!$F$6)+AV87*'Assumptions'!$G$6-AV87*'WINA Model'!$E$65-(AV87-AU87)*'Assumptions'!$H$6-0</x:f>
        <x:v>95.64644121216</x:v>
      </x:c>
      <x:c r="AM87" t="n">
        <x:f>AC87*(1-'Assumptions'!$F$6)+AW87*'Assumptions'!$G$6-AW87*'WINA Model'!$F$65-(AW87-AV87)*'Assumptions'!$H$6-0</x:f>
        <x:v>120.10639024760835</x:v>
      </x:c>
      <x:c r="AN87" t="n">
        <x:f>AD87*(1-'Assumptions'!$F$6)+AX87*'Assumptions'!$G$6-AX87*'WINA Model'!$G$65-(AX87-AW87)*'Assumptions'!$H$6-0</x:f>
        <x:v>143.9472894356608</x:v>
      </x:c>
      <x:c r="AO87" t="n">
        <x:f>AE87*(1-'Assumptions'!$F$6)+AY87*'Assumptions'!$G$6-AY87*'WINA Model'!$H$65-(AY87-AX87)*'Assumptions'!$H$6-0</x:f>
        <x:v>166.3382979922518</x:v>
      </x:c>
      <x:c r="AP87" t="n">
        <x:f>AF87*(1-'Assumptions'!$F$6)+AZ87*'Assumptions'!$G$6-AZ87*'WINA Model'!$I$65-(AZ87-AY87)*'Assumptions'!$H$6-0</x:f>
        <x:v>185.06893087164036</x:v>
      </x:c>
      <x:c r="AQ87" t="n">
        <x:f>AG87*(1-'Assumptions'!$F$6)+BA87*'Assumptions'!$G$6-BA87*'WINA Model'!$J$65-(BA87-AZ87)*'Assumptions'!$H$6-0</x:f>
        <x:v>197.96183057070678</x:v>
      </x:c>
      <x:c r="AR87" t="n">
        <x:f>AH87*(1-'Assumptions'!$F$6)+BB87*'Assumptions'!$G$6-BB87*'WINA Model'!$K$65-(BB87-BA87)*'Assumptions'!$H$6-0</x:f>
        <x:v>203.2533003111466</x:v>
      </x:c>
      <x:c r="AS87" t="n">
        <x:f>E87+O87</x:f>
        <x:v>109.74</x:v>
      </x:c>
      <x:c r="AT87" t="n">
        <x:f>F87+P87</x:f>
        <x:v>136.07760000000002</x:v>
      </x:c>
      <x:c r="AU87" t="n">
        <x:f>G87+Q87</x:f>
        <x:v>168.73622400000002</x:v>
      </x:c>
      <x:c r="AV87" t="n">
        <x:f>H87+R87</x:f>
        <x:v>209.23291776000002</x:v>
      </x:c>
      <x:c r="AW87" t="n">
        <x:f>I87+S87</x:f>
        <x:v>259.4488180224</x:v>
      </x:c>
      <x:c r="AX87" t="n">
        <x:f>J87+T87</x:f>
        <x:v>310.56023517281284</x:v>
      </x:c>
      <x:c r="AY87" t="n">
        <x:f>K87+U87</x:f>
        <x:v>358.386511389426</x:v>
      </x:c>
      <x:c r="AZ87" t="n">
        <x:f>L87+V87</x:f>
        <x:v>398.16741415365226</x:v>
      </x:c>
      <x:c r="BA87" t="n">
        <x:f>M87+W87</x:f>
        <x:v>425.2427983161006</x:v>
      </x:c>
      <x:c r="BB87" t="n">
        <x:f>N87+X87</x:f>
        <x:v>435.8738682740031</x:v>
      </x:c>
      <x:c r="BC87" t="n">
        <x:f>AS87/'Inputs'!$C$14-1</x:f>
        <x:v>0.24</x:v>
      </x:c>
      <x:c r="BD87" t="n">
        <x:f>AT87/AS87-1</x:f>
        <x:v>0.2400000000000002</x:v>
      </x:c>
      <x:c r="BE87" t="n">
        <x:f>AU87/AT87-1</x:f>
        <x:v>0.24</x:v>
      </x:c>
      <x:c r="BF87" t="n">
        <x:f>AV87/AU87-1</x:f>
        <x:v>0.24</x:v>
      </x:c>
      <x:c r="BG87" t="n">
        <x:f>AW87/AV87-1</x:f>
        <x:v>0.24</x:v>
      </x:c>
      <x:c r="BH87" t="n">
        <x:f>AX87/AW87-1</x:f>
        <x:v>0.19700000000000006</x:v>
      </x:c>
      <x:c r="BI87" t="n">
        <x:f>AY87/AX87-1</x:f>
        <x:v>0.15399999999999991</x:v>
      </x:c>
      <x:c r="BJ87" t="n">
        <x:f>AZ87/AY87-1</x:f>
        <x:v>0.11099999999999999</x:v>
      </x:c>
      <x:c r="BK87" t="n">
        <x:f>BA87/AZ87-1</x:f>
        <x:v>0.06800000000000006</x:v>
      </x:c>
      <x:c r="BL87" t="n">
        <x:f>BB87/BA87-1</x:f>
        <x:v>0.02499999999999991</x:v>
      </x:c>
      <x:c r="BM87" t="n">
        <x:f>AH87*(1-'Assumptions'!$F$6)*(1+'Assumptions'!$D$6)*(1-'Assumptions'!$D$6/'Assumptions'!$E$6)</x:f>
        <x:v>198.63425988048732</x:v>
      </x:c>
      <x:c r="BN87" t="n">
        <x:f>SUMPRODUCT(AI87:AR87,'WINA Model'!$B$83:$K$83)+BM87/('Assumptions'!$C$6-'Assumptions'!$D$6)*'WINA Model'!$K$83</x:f>
        <x:v>1726.1809847252857</x:v>
      </x:c>
      <x:c r="BO87" t="n">
        <x:f>'WINA Model'!$B$94</x:f>
        <x:v>-42.825500000000005</x:v>
      </x:c>
      <x:c r="BP87" t="n">
        <x:f>'Inputs'!$C$8</x:f>
        <x:v>3.701516</x:v>
      </x:c>
    </x:row>
    <x:row r="88">
      <x:c r="A88" t="str">
        <x:v>WINA</x:v>
      </x:c>
      <x:c r="B88" s="22" t="n">
        <x:v>0.25</x:v>
      </x:c>
      <x:c r="C88" s="42" t="n">
        <x:f>(BN88+BO88)/BP88</x:f>
        <x:v>479.3552889549935</x:v>
      </x:c>
      <x:c r="D88" s="22" t="n">
        <x:f>C88/'Inputs'!$C$5-1</x:f>
        <x:v>0.5066011533299604</x:v>
      </x:c>
      <x:c r="E88" t="n">
        <x:f>'Inputs'!$C$14*(1+$B88)^1</x:f>
        <x:v>110.625</x:v>
      </x:c>
      <x:c r="F88" t="n">
        <x:f>'Inputs'!$C$14*(1+$B88)^2</x:f>
        <x:v>138.28125</x:v>
      </x:c>
      <x:c r="G88" t="n">
        <x:f>'Inputs'!$C$14*(1+$B88)^3</x:f>
        <x:v>172.8515625</x:v>
      </x:c>
      <x:c r="H88" t="n">
        <x:f>'Inputs'!$C$14*(1+$B88)^4</x:f>
        <x:v>216.064453125</x:v>
      </x:c>
      <x:c r="I88" t="n">
        <x:f>'Inputs'!$C$14*(1+$B88)^5</x:f>
        <x:v>270.08056640625</x:v>
      </x:c>
      <x:c r="J88" t="n">
        <x:f>I88*(1+($BG88+('Assumptions'!$D$6-$BG88)*(6-5)/5))</x:f>
        <x:v>325.44708251953125</x:v>
      </x:c>
      <x:c r="K88" t="n">
        <x:f>J88*(1+($BG88+('Assumptions'!$D$6-$BG88)*(7-5)/5))</x:f>
        <x:v>377.51861572265625</x:v>
      </x:c>
      <x:c r="L88" t="n">
        <x:f>K88*(1+($BG88+('Assumptions'!$D$6-$BG88)*(8-5)/5))</x:f>
        <x:v>420.9332565307617</x:v>
      </x:c>
      <x:c r="M88" t="n">
        <x:f>L88*(1+($BG88+('Assumptions'!$D$6-$BG88)*(9-5)/5))</x:f>
        <x:v>450.39858448791506</x:v>
      </x:c>
      <x:c r="N88" t="n">
        <x:f>M88*(1+($BG88+('Assumptions'!$D$6-$BG88)*(10-5)/5))</x:f>
        <x:v>461.6585491001129</x:v>
      </x:c>
      <x:c r="O88" t="n">
        <x:f>0</x:f>
        <x:v>0</x:v>
      </x:c>
      <x:c r="P88" t="n">
        <x:f>0</x:f>
        <x:v>0</x:v>
      </x:c>
      <x:c r="Q88" t="n">
        <x:f>0</x:f>
        <x:v>0</x:v>
      </x:c>
      <x:c r="R88" t="n">
        <x:f>0</x:f>
        <x:v>0</x:v>
      </x:c>
      <x:c r="S88" t="n">
        <x:f>0</x:f>
        <x:v>0</x:v>
      </x:c>
      <x:c r="T88" t="n">
        <x:f>S88*(1+($BG88+('Assumptions'!$D$6-$BG88)*(6-5)/5))</x:f>
        <x:v>0</x:v>
      </x:c>
      <x:c r="U88" t="n">
        <x:f>T88*(1+($BG88+('Assumptions'!$D$6-$BG88)*(7-5)/5))</x:f>
        <x:v>0</x:v>
      </x:c>
      <x:c r="V88" t="n">
        <x:f>U88*(1+($BG88+('Assumptions'!$D$6-$BG88)*(8-5)/5))</x:f>
        <x:v>0</x:v>
      </x:c>
      <x:c r="W88" t="n">
        <x:f>V88*(1+($BG88+('Assumptions'!$D$6-$BG88)*(9-5)/5))</x:f>
        <x:v>0</x:v>
      </x:c>
      <x:c r="X88" t="n">
        <x:f>W88*(1+($BG88+('Assumptions'!$D$6-$BG88)*(10-5)/5))</x:f>
        <x:v>0</x:v>
      </x:c>
      <x:c r="Y88" t="n">
        <x:f>E88*'WINA Model'!$B$62+O88*'WINA Model'!$B$63+'WINA Model'!$B$73+'WINA Model'!$B$74</x:f>
        <x:v>67.48125</x:v>
      </x:c>
      <x:c r="Z88" t="n">
        <x:f>F88*'WINA Model'!$C$62+P88*'WINA Model'!$C$63+'WINA Model'!$C$73+'WINA Model'!$C$74</x:f>
        <x:v>85.04296875</x:v>
      </x:c>
      <x:c r="AA88" t="n">
        <x:f>G88*'WINA Model'!$D$62+Q88*'WINA Model'!$D$63+'WINA Model'!$D$73+'WINA Model'!$D$74</x:f>
        <x:v>107.16796875</x:v>
      </x:c>
      <x:c r="AB88" t="n">
        <x:f>H88*'WINA Model'!$E$62+R88*'WINA Model'!$E$63+'WINA Model'!$E$73+'WINA Model'!$E$74</x:f>
        <x:v>135.040283203125</x:v>
      </x:c>
      <x:c r="AC88" t="n">
        <x:f>I88*'WINA Model'!$F$62+S88*'WINA Model'!$F$63+'WINA Model'!$F$73+'WINA Model'!$F$74</x:f>
        <x:v>170.1507568359375</x:v>
      </x:c>
      <x:c r="AD88" t="n">
        <x:f>AX88*$AC88/$AW88</x:f>
        <x:v>205.0316619873047</x:v>
      </x:c>
      <x:c r="AE88" t="n">
        <x:f>AY88*$AC88/$AW88</x:f>
        <x:v>237.83672790527345</x:v>
      </x:c>
      <x:c r="AF88" t="n">
        <x:f>AZ88*$AC88/$AW88</x:f>
        <x:v>265.18795161437987</x:v>
      </x:c>
      <x:c r="AG88" t="n">
        <x:f>BA88*$AC88/$AW88</x:f>
        <x:v>283.75110822738645</x:v>
      </x:c>
      <x:c r="AH88" t="n">
        <x:f>BB88*$AC88/$AW88</x:f>
        <x:v>290.8448859330711</x:v>
      </x:c>
      <x:c r="AI88" t="n">
        <x:f>Y88*(1-'Assumptions'!$F$6)+AS88*'Assumptions'!$G$6-AS88*'WINA Model'!$B$65-(AS88-'Inputs'!$C$14)*'Assumptions'!$H$6-'Assumptions'!$I$6</x:f>
        <x:v>47.85637499999999</x:v>
      </x:c>
      <x:c r="AJ88" t="n">
        <x:f>Z88*(1-'Assumptions'!$F$6)+AT88*'Assumptions'!$G$6-AT88*'WINA Model'!$C$65-(AT88-AS88)*'Assumptions'!$H$6-0</x:f>
        <x:v>61.03734375</x:v>
      </x:c>
      <x:c r="AK88" t="n">
        <x:f>AA88*(1-'Assumptions'!$F$6)+AU88*'Assumptions'!$G$6-AU88*'WINA Model'!$D$65-(AU88-AT88)*'Assumptions'!$H$6-0</x:f>
        <x:v>77.8177734375</x:v>
      </x:c>
      <x:c r="AL88" t="n">
        <x:f>AB88*(1-'Assumptions'!$F$6)+AV88*'Assumptions'!$G$6-AV88*'WINA Model'!$E$65-(AV88-AU88)*'Assumptions'!$H$6-0</x:f>
        <x:v>98.741455078125</x:v>
      </x:c>
      <x:c r="AM88" t="n">
        <x:f>AC88*(1-'Assumptions'!$F$6)+AW88*'Assumptions'!$G$6-AW88*'WINA Model'!$F$65-(AW88-AV88)*'Assumptions'!$H$6-0</x:f>
        <x:v>124.9932861328125</x:v>
      </x:c>
      <x:c r="AN88" t="n">
        <x:f>AD88*(1-'Assumptions'!$F$6)+AX88*'Assumptions'!$G$6-AX88*'WINA Model'!$G$65-(AX88-AW88)*'Assumptions'!$H$6-0</x:f>
        <x:v>150.81136779785157</x:v>
      </x:c>
      <x:c r="AO88" t="n">
        <x:f>AE88*(1-'Assumptions'!$F$6)+AY88*'Assumptions'!$G$6-AY88*'WINA Model'!$H$65-(AY88-AX88)*'Assumptions'!$H$6-0</x:f>
        <x:v>175.18425915527348</x:v>
      </x:c>
      <x:c r="AP88" t="n">
        <x:f>AF88*(1-'Assumptions'!$F$6)+AZ88*'Assumptions'!$G$6-AZ88*'WINA Model'!$I$65-(AZ88-AY88)*'Assumptions'!$H$6-0</x:f>
        <x:v>195.62335133239748</x:v>
      </x:c>
      <x:c r="AQ88" t="n">
        <x:f>AG88*(1-'Assumptions'!$F$6)+BA88*'Assumptions'!$G$6-BA88*'WINA Model'!$J$65-(BA88-AZ88)*'Assumptions'!$H$6-0</x:f>
        <x:v>209.65675267981564</x:v>
      </x:c>
      <x:c r="AR88" t="n">
        <x:f>AH88*(1-'Assumptions'!$F$6)+BB88*'Assumptions'!$G$6-BB88*'WINA Model'!$K$65-(BB88-BA88)*'Assumptions'!$H$6-0</x:f>
        <x:v>215.27701142768873</x:v>
      </x:c>
      <x:c r="AS88" t="n">
        <x:f>E88+O88</x:f>
        <x:v>110.625</x:v>
      </x:c>
      <x:c r="AT88" t="n">
        <x:f>F88+P88</x:f>
        <x:v>138.28125</x:v>
      </x:c>
      <x:c r="AU88" t="n">
        <x:f>G88+Q88</x:f>
        <x:v>172.8515625</x:v>
      </x:c>
      <x:c r="AV88" t="n">
        <x:f>H88+R88</x:f>
        <x:v>216.064453125</x:v>
      </x:c>
      <x:c r="AW88" t="n">
        <x:f>I88+S88</x:f>
        <x:v>270.08056640625</x:v>
      </x:c>
      <x:c r="AX88" t="n">
        <x:f>J88+T88</x:f>
        <x:v>325.44708251953125</x:v>
      </x:c>
      <x:c r="AY88" t="n">
        <x:f>K88+U88</x:f>
        <x:v>377.51861572265625</x:v>
      </x:c>
      <x:c r="AZ88" t="n">
        <x:f>L88+V88</x:f>
        <x:v>420.9332565307617</x:v>
      </x:c>
      <x:c r="BA88" t="n">
        <x:f>M88+W88</x:f>
        <x:v>450.39858448791506</x:v>
      </x:c>
      <x:c r="BB88" t="n">
        <x:f>N88+X88</x:f>
        <x:v>461.6585491001129</x:v>
      </x:c>
      <x:c r="BC88" t="n">
        <x:f>AS88/'Inputs'!$C$14-1</x:f>
        <x:v>0.25</x:v>
      </x:c>
      <x:c r="BD88" t="n">
        <x:f>AT88/AS88-1</x:f>
        <x:v>0.25</x:v>
      </x:c>
      <x:c r="BE88" t="n">
        <x:f>AU88/AT88-1</x:f>
        <x:v>0.25</x:v>
      </x:c>
      <x:c r="BF88" t="n">
        <x:f>AV88/AU88-1</x:f>
        <x:v>0.25</x:v>
      </x:c>
      <x:c r="BG88" t="n">
        <x:f>AW88/AV88-1</x:f>
        <x:v>0.25</x:v>
      </x:c>
      <x:c r="BH88" t="n">
        <x:f>AX88/AW88-1</x:f>
        <x:v>0.20500000000000007</x:v>
      </x:c>
      <x:c r="BI88" t="n">
        <x:f>AY88/AX88-1</x:f>
        <x:v>0.15999999999999992</x:v>
      </x:c>
      <x:c r="BJ88" t="n">
        <x:f>AZ88/AY88-1</x:f>
        <x:v>0.11499999999999999</x:v>
      </x:c>
      <x:c r="BK88" t="n">
        <x:f>BA88/AZ88-1</x:f>
        <x:v>0.07000000000000006</x:v>
      </x:c>
      <x:c r="BL88" t="n">
        <x:f>BB88/BA88-1</x:f>
        <x:v>0.02499999999999991</x:v>
      </x:c>
      <x:c r="BM88" t="n">
        <x:f>AH88*(1-'Assumptions'!$F$6)*(1+'Assumptions'!$D$6)*(1-'Assumptions'!$D$6/'Assumptions'!$E$6)</x:f>
        <x:v>210.38472570315793</x:v>
      </x:c>
      <x:c r="BN88" t="n">
        <x:f>SUMPRODUCT(AI88:AR88,'WINA Model'!$B$83:$K$83)+BM88/('Assumptions'!$C$6-'Assumptions'!$D$6)*'WINA Model'!$K$83</x:f>
        <x:v>1817.1667717515315</x:v>
      </x:c>
      <x:c r="BO88" t="n">
        <x:f>'WINA Model'!$B$94</x:f>
        <x:v>-42.825500000000005</x:v>
      </x:c>
      <x:c r="BP88" t="n">
        <x:f>'Inputs'!$C$8</x:f>
        <x:v>3.701516</x:v>
      </x:c>
    </x:row>
    <x:row r="89">
      <x:c r="A89" t="str">
        <x:v>WINA</x:v>
      </x:c>
      <x:c r="B89" s="22" t="n">
        <x:v>0.26</x:v>
      </x:c>
      <x:c r="C89" s="42" t="n">
        <x:f>(BN89+BO89)/BP89</x:f>
        <x:v>505.1182413669345</x:v>
      </x:c>
      <x:c r="D89" s="22" t="n">
        <x:f>C89/'Inputs'!$C$5-1</x:f>
        <x:v>0.5875734398809898</x:v>
      </x:c>
      <x:c r="E89" t="n">
        <x:f>'Inputs'!$C$14*(1+$B89)^1</x:f>
        <x:v>111.51</x:v>
      </x:c>
      <x:c r="F89" t="n">
        <x:f>'Inputs'!$C$14*(1+$B89)^2</x:f>
        <x:v>140.5026</x:v>
      </x:c>
      <x:c r="G89" t="n">
        <x:f>'Inputs'!$C$14*(1+$B89)^3</x:f>
        <x:v>177.033276</x:v>
      </x:c>
      <x:c r="H89" t="n">
        <x:f>'Inputs'!$C$14*(1+$B89)^4</x:f>
        <x:v>223.06192776000003</x:v>
      </x:c>
      <x:c r="I89" t="n">
        <x:f>'Inputs'!$C$14*(1+$B89)^5</x:f>
        <x:v>281.05802897760003</x:v>
      </x:c>
      <x:c r="J89" t="n">
        <x:f>I89*(1+($BG89+('Assumptions'!$D$6-$BG89)*(6-5)/5))</x:f>
        <x:v>340.92338914982884</x:v>
      </x:c>
      <x:c r="K89" t="n">
        <x:f>J89*(1+($BG89+('Assumptions'!$D$6-$BG89)*(7-5)/5))</x:f>
        <x:v>397.5166717487004</x:v>
      </x:c>
      <x:c r="L89" t="n">
        <x:f>K89*(1+($BG89+('Assumptions'!$D$6-$BG89)*(8-5)/5))</x:f>
        <x:v>444.82115568679575</x:v>
      </x:c>
      <x:c r="M89" t="n">
        <x:f>L89*(1+($BG89+('Assumptions'!$D$6-$BG89)*(9-5)/5))</x:f>
        <x:v>476.84827889624506</x:v>
      </x:c>
      <x:c r="N89" t="n">
        <x:f>M89*(1+($BG89+('Assumptions'!$D$6-$BG89)*(10-5)/5))</x:f>
        <x:v>488.76948586865115</x:v>
      </x:c>
      <x:c r="O89" t="n">
        <x:f>0</x:f>
        <x:v>0</x:v>
      </x:c>
      <x:c r="P89" t="n">
        <x:f>0</x:f>
        <x:v>0</x:v>
      </x:c>
      <x:c r="Q89" t="n">
        <x:f>0</x:f>
        <x:v>0</x:v>
      </x:c>
      <x:c r="R89" t="n">
        <x:f>0</x:f>
        <x:v>0</x:v>
      </x:c>
      <x:c r="S89" t="n">
        <x:f>0</x:f>
        <x:v>0</x:v>
      </x:c>
      <x:c r="T89" t="n">
        <x:f>S89*(1+($BG89+('Assumptions'!$D$6-$BG89)*(6-5)/5))</x:f>
        <x:v>0</x:v>
      </x:c>
      <x:c r="U89" t="n">
        <x:f>T89*(1+($BG89+('Assumptions'!$D$6-$BG89)*(7-5)/5))</x:f>
        <x:v>0</x:v>
      </x:c>
      <x:c r="V89" t="n">
        <x:f>U89*(1+($BG89+('Assumptions'!$D$6-$BG89)*(8-5)/5))</x:f>
        <x:v>0</x:v>
      </x:c>
      <x:c r="W89" t="n">
        <x:f>V89*(1+($BG89+('Assumptions'!$D$6-$BG89)*(9-5)/5))</x:f>
        <x:v>0</x:v>
      </x:c>
      <x:c r="X89" t="n">
        <x:f>W89*(1+($BG89+('Assumptions'!$D$6-$BG89)*(10-5)/5))</x:f>
        <x:v>0</x:v>
      </x:c>
      <x:c r="Y89" t="n">
        <x:f>E89*'WINA Model'!$B$62+O89*'WINA Model'!$B$63+'WINA Model'!$B$73+'WINA Model'!$B$74</x:f>
        <x:v>68.0211</x:v>
      </x:c>
      <x:c r="Z89" t="n">
        <x:f>F89*'WINA Model'!$C$62+P89*'WINA Model'!$C$63+'WINA Model'!$C$73+'WINA Model'!$C$74</x:f>
        <x:v>86.409099</x:v>
      </x:c>
      <x:c r="AA89" t="n">
        <x:f>G89*'WINA Model'!$D$62+Q89*'WINA Model'!$D$63+'WINA Model'!$D$73+'WINA Model'!$D$74</x:f>
        <x:v>109.76063112</x:v>
      </x:c>
      <x:c r="AB89" t="n">
        <x:f>H89*'WINA Model'!$E$62+R89*'WINA Model'!$E$63+'WINA Model'!$E$73+'WINA Model'!$E$74</x:f>
        <x:v>139.41370485000002</x:v>
      </x:c>
      <x:c r="AC89" t="n">
        <x:f>I89*'WINA Model'!$F$62+S89*'WINA Model'!$F$63+'WINA Model'!$F$73+'WINA Model'!$F$74</x:f>
        <x:v>177.06655825588803</x:v>
      </x:c>
      <x:c r="AD89" t="n">
        <x:f>AX89*$AC89/$AW89</x:f>
        <x:v>214.7817351643922</x:v>
      </x:c>
      <x:c r="AE89" t="n">
        <x:f>AY89*$AC89/$AW89</x:f>
        <x:v>250.43550320168129</x:v>
      </x:c>
      <x:c r="AF89" t="n">
        <x:f>AZ89*$AC89/$AW89</x:f>
        <x:v>280.2373280826813</x:v>
      </x:c>
      <x:c r="AG89" t="n">
        <x:f>BA89*$AC89/$AW89</x:f>
        <x:v>300.41441570463445</x:v>
      </x:c>
      <x:c r="AH89" t="n">
        <x:f>BB89*$AC89/$AW89</x:f>
        <x:v>307.92477609725023</x:v>
      </x:c>
      <x:c r="AI89" t="n">
        <x:f>Y89*(1-'Assumptions'!$F$6)+AS89*'Assumptions'!$G$6-AS89*'WINA Model'!$B$65-(AS89-'Inputs'!$C$14)*'Assumptions'!$H$6-'Assumptions'!$I$6</x:f>
        <x:v>48.225066000000005</x:v>
      </x:c>
      <x:c r="AJ89" t="n">
        <x:f>Z89*(1-'Assumptions'!$F$6)+AT89*'Assumptions'!$G$6-AT89*'WINA Model'!$C$65-(AT89-AS89)*'Assumptions'!$H$6-0</x:f>
        <x:v>62.000006039999995</x:v>
      </x:c>
      <x:c r="AK89" t="n">
        <x:f>AA89*(1-'Assumptions'!$F$6)+AU89*'Assumptions'!$G$6-AU89*'WINA Model'!$D$65-(AU89-AT89)*'Assumptions'!$H$6-0</x:f>
        <x:v>79.67790043919999</x:v>
      </x:c>
      <x:c r="AL89" t="n">
        <x:f>AB89*(1-'Assumptions'!$F$6)+AV89*'Assumptions'!$G$6-AV89*'WINA Model'!$E$65-(AV89-AU89)*'Assumptions'!$H$6-0</x:f>
        <x:v>101.91097566216001</x:v>
      </x:c>
      <x:c r="AM89" t="n">
        <x:f>AC89*(1-'Assumptions'!$F$6)+AW89*'Assumptions'!$G$6-AW89*'WINA Model'!$F$65-(AW89-AV89)*'Assumptions'!$H$6-0</x:f>
        <x:v>130.0379659023917</x:v>
      </x:c>
      <x:c r="AN89" t="n">
        <x:f>AD89*(1-'Assumptions'!$F$6)+AX89*'Assumptions'!$G$6-AX89*'WINA Model'!$G$65-(AX89-AW89)*'Assumptions'!$H$6-0</x:f>
        <x:v>157.94573085169554</x:v>
      </x:c>
      <x:c r="AO89" t="n">
        <x:f>AE89*(1-'Assumptions'!$F$6)+AY89*'Assumptions'!$G$6-AY89*'WINA Model'!$H$65-(AY89-AX89)*'Assumptions'!$H$6-0</x:f>
        <x:v>184.42891672031595</x:v>
      </x:c>
      <x:c r="AP89" t="n">
        <x:f>AF89*(1-'Assumptions'!$F$6)+AZ89*'Assumptions'!$G$6-AZ89*'WINA Model'!$I$65-(AZ89-AY89)*'Assumptions'!$H$6-0</x:f>
        <x:v>206.69642579583436</x:v>
      </x:c>
      <x:c r="AQ89" t="n">
        <x:f>AG89*(1-'Assumptions'!$F$6)+BA89*'Assumptions'!$G$6-BA89*'WINA Model'!$J$65-(BA89-AZ89)*'Assumptions'!$H$6-0</x:f>
        <x:v>221.95223412457827</x:v>
      </x:c>
      <x:c r="AR89" t="n">
        <x:f>AH89*(1-'Assumptions'!$F$6)+BB89*'Assumptions'!$G$6-BB89*'WINA Model'!$K$65-(BB89-BA89)*'Assumptions'!$H$6-0</x:f>
        <x:v>227.91917186403825</x:v>
      </x:c>
      <x:c r="AS89" t="n">
        <x:f>E89+O89</x:f>
        <x:v>111.51</x:v>
      </x:c>
      <x:c r="AT89" t="n">
        <x:f>F89+P89</x:f>
        <x:v>140.5026</x:v>
      </x:c>
      <x:c r="AU89" t="n">
        <x:f>G89+Q89</x:f>
        <x:v>177.033276</x:v>
      </x:c>
      <x:c r="AV89" t="n">
        <x:f>H89+R89</x:f>
        <x:v>223.06192776000003</x:v>
      </x:c>
      <x:c r="AW89" t="n">
        <x:f>I89+S89</x:f>
        <x:v>281.05802897760003</x:v>
      </x:c>
      <x:c r="AX89" t="n">
        <x:f>J89+T89</x:f>
        <x:v>340.92338914982884</x:v>
      </x:c>
      <x:c r="AY89" t="n">
        <x:f>K89+U89</x:f>
        <x:v>397.5166717487004</x:v>
      </x:c>
      <x:c r="AZ89" t="n">
        <x:f>L89+V89</x:f>
        <x:v>444.82115568679575</x:v>
      </x:c>
      <x:c r="BA89" t="n">
        <x:f>M89+W89</x:f>
        <x:v>476.84827889624506</x:v>
      </x:c>
      <x:c r="BB89" t="n">
        <x:f>N89+X89</x:f>
        <x:v>488.76948586865115</x:v>
      </x:c>
      <x:c r="BC89" t="n">
        <x:f>AS89/'Inputs'!$C$14-1</x:f>
        <x:v>0.26</x:v>
      </x:c>
      <x:c r="BD89" t="n">
        <x:f>AT89/AS89-1</x:f>
        <x:v>0.26</x:v>
      </x:c>
      <x:c r="BE89" t="n">
        <x:f>AU89/AT89-1</x:f>
        <x:v>0.26</x:v>
      </x:c>
      <x:c r="BF89" t="n">
        <x:f>AV89/AU89-1</x:f>
        <x:v>0.26000000000000023</x:v>
      </x:c>
      <x:c r="BG89" t="n">
        <x:f>AW89/AV89-1</x:f>
        <x:v>0.26</x:v>
      </x:c>
      <x:c r="BH89" t="n">
        <x:f>AX89/AW89-1</x:f>
        <x:v>0.21300000000000008</x:v>
      </x:c>
      <x:c r="BI89" t="n">
        <x:f>AY89/AX89-1</x:f>
        <x:v>0.16599999999999993</x:v>
      </x:c>
      <x:c r="BJ89" t="n">
        <x:f>AZ89/AY89-1</x:f>
        <x:v>0.119</x:v>
      </x:c>
      <x:c r="BK89" t="n">
        <x:f>BA89/AZ89-1</x:f>
        <x:v>0.07200000000000006</x:v>
      </x:c>
      <x:c r="BL89" t="n">
        <x:f>BB89/BA89-1</x:f>
        <x:v>0.02499999999999991</x:v>
      </x:c>
      <x:c r="BM89" t="n">
        <x:f>AH89*(1-'Assumptions'!$F$6)*(1+'Assumptions'!$D$6)*(1-'Assumptions'!$D$6/'Assumptions'!$E$6)</x:f>
        <x:v>222.73958625263236</x:v>
      </x:c>
      <x:c r="BN89" t="n">
        <x:f>SUMPRODUCT(AI89:AR89,'WINA Model'!$B$83:$K$83)+BM89/('Assumptions'!$C$6-'Assumptions'!$D$6)*'WINA Model'!$K$83</x:f>
        <x:v>1912.5287523115699</x:v>
      </x:c>
      <x:c r="BO89" t="n">
        <x:f>'WINA Model'!$B$94</x:f>
        <x:v>-42.825500000000005</x:v>
      </x:c>
      <x:c r="BP89" t="n">
        <x:f>'Inputs'!$C$8</x:f>
        <x:v>3.701516</x:v>
      </x:c>
    </x:row>
    <x:row r="90">
      <x:c r="A90" t="str">
        <x:v>WINA</x:v>
      </x:c>
      <x:c r="B90" s="22" t="n">
        <x:v>0.27</x:v>
      </x:c>
      <x:c r="C90" s="42" t="n">
        <x:f>(BN90+BO90)/BP90</x:f>
        <x:v>532.1131429022712</x:v>
      </x:c>
      <x:c r="D90" s="22" t="n">
        <x:f>C90/'Inputs'!$C$5-1</x:f>
        <x:v>0.6724177103506652</x:v>
      </x:c>
      <x:c r="E90" t="n">
        <x:f>'Inputs'!$C$14*(1+$B90)^1</x:f>
        <x:v>112.395</x:v>
      </x:c>
      <x:c r="F90" t="n">
        <x:f>'Inputs'!$C$14*(1+$B90)^2</x:f>
        <x:v>142.74165</x:v>
      </x:c>
      <x:c r="G90" t="n">
        <x:f>'Inputs'!$C$14*(1+$B90)^3</x:f>
        <x:v>181.2818955</x:v>
      </x:c>
      <x:c r="H90" t="n">
        <x:f>'Inputs'!$C$14*(1+$B90)^4</x:f>
        <x:v>230.228007285</x:v>
      </x:c>
      <x:c r="I90" t="n">
        <x:f>'Inputs'!$C$14*(1+$B90)^5</x:f>
        <x:v>292.38956925195</x:v>
      </x:c>
      <x:c r="J90" t="n">
        <x:f>I90*(1+($BG90+('Assumptions'!$D$6-$BG90)*(6-5)/5))</x:f>
        <x:v>357.007664056631</x:v>
      </x:c>
      <x:c r="K90" t="n">
        <x:f>J90*(1+($BG90+('Assumptions'!$D$6-$BG90)*(7-5)/5))</x:f>
        <x:v>418.4129822743715</x:v>
      </x:c>
      <x:c r="L90" t="n">
        <x:f>K90*(1+($BG90+('Assumptions'!$D$6-$BG90)*(8-5)/5))</x:f>
        <x:v>469.87777909411915</x:v>
      </x:c>
      <x:c r="M90" t="n">
        <x:f>L90*(1+($BG90+('Assumptions'!$D$6-$BG90)*(9-5)/5))</x:f>
        <x:v>504.648734747084</x:v>
      </x:c>
      <x:c r="N90" t="n">
        <x:f>M90*(1+($BG90+('Assumptions'!$D$6-$BG90)*(10-5)/5))</x:f>
        <x:v>517.264953115761</x:v>
      </x:c>
      <x:c r="O90" t="n">
        <x:f>0</x:f>
        <x:v>0</x:v>
      </x:c>
      <x:c r="P90" t="n">
        <x:f>0</x:f>
        <x:v>0</x:v>
      </x:c>
      <x:c r="Q90" t="n">
        <x:f>0</x:f>
        <x:v>0</x:v>
      </x:c>
      <x:c r="R90" t="n">
        <x:f>0</x:f>
        <x:v>0</x:v>
      </x:c>
      <x:c r="S90" t="n">
        <x:f>0</x:f>
        <x:v>0</x:v>
      </x:c>
      <x:c r="T90" t="n">
        <x:f>S90*(1+($BG90+('Assumptions'!$D$6-$BG90)*(6-5)/5))</x:f>
        <x:v>0</x:v>
      </x:c>
      <x:c r="U90" t="n">
        <x:f>T90*(1+($BG90+('Assumptions'!$D$6-$BG90)*(7-5)/5))</x:f>
        <x:v>0</x:v>
      </x:c>
      <x:c r="V90" t="n">
        <x:f>U90*(1+($BG90+('Assumptions'!$D$6-$BG90)*(8-5)/5))</x:f>
        <x:v>0</x:v>
      </x:c>
      <x:c r="W90" t="n">
        <x:f>V90*(1+($BG90+('Assumptions'!$D$6-$BG90)*(9-5)/5))</x:f>
        <x:v>0</x:v>
      </x:c>
      <x:c r="X90" t="n">
        <x:f>W90*(1+($BG90+('Assumptions'!$D$6-$BG90)*(10-5)/5))</x:f>
        <x:v>0</x:v>
      </x:c>
      <x:c r="Y90" t="n">
        <x:f>E90*'WINA Model'!$B$62+O90*'WINA Model'!$B$63+'WINA Model'!$B$73+'WINA Model'!$B$74</x:f>
        <x:v>68.56094999999999</x:v>
      </x:c>
      <x:c r="Z90" t="n">
        <x:f>F90*'WINA Model'!$C$62+P90*'WINA Model'!$C$63+'WINA Model'!$C$73+'WINA Model'!$C$74</x:f>
        <x:v>87.78611475</x:v>
      </x:c>
      <x:c r="AA90" t="n">
        <x:f>G90*'WINA Model'!$D$62+Q90*'WINA Model'!$D$63+'WINA Model'!$D$73+'WINA Model'!$D$74</x:f>
        <x:v>112.39477520999999</x:v>
      </x:c>
      <x:c r="AB90" t="n">
        <x:f>H90*'WINA Model'!$E$62+R90*'WINA Model'!$E$63+'WINA Model'!$E$73+'WINA Model'!$E$74</x:f>
        <x:v>143.89250455312498</x:v>
      </x:c>
      <x:c r="AC90" t="n">
        <x:f>I90*'WINA Model'!$F$62+S90*'WINA Model'!$F$63+'WINA Model'!$F$73+'WINA Model'!$F$74</x:f>
        <x:v>184.2054286287285</x:v>
      </x:c>
      <x:c r="AD90" t="n">
        <x:f>AX90*$AC90/$AW90</x:f>
        <x:v>224.91482835567754</x:v>
      </x:c>
      <x:c r="AE90" t="n">
        <x:f>AY90*$AC90/$AW90</x:f>
        <x:v>263.60017883285406</x:v>
      </x:c>
      <x:c r="AF90" t="n">
        <x:f>AZ90*$AC90/$AW90</x:f>
        <x:v>296.0230008292951</x:v>
      </x:c>
      <x:c r="AG90" t="n">
        <x:f>BA90*$AC90/$AW90</x:f>
        <x:v>317.9287028906629</x:v>
      </x:c>
      <x:c r="AH90" t="n">
        <x:f>BB90*$AC90/$AW90</x:f>
        <x:v>325.8769204629295</x:v>
      </x:c>
      <x:c r="AI90" t="n">
        <x:f>Y90*(1-'Assumptions'!$F$6)+AS90*'Assumptions'!$G$6-AS90*'WINA Model'!$B$65-(AS90-'Inputs'!$C$14)*'Assumptions'!$H$6-'Assumptions'!$I$6</x:f>
        <x:v>48.593757</x:v>
      </x:c>
      <x:c r="AJ90" t="n">
        <x:f>Z90*(1-'Assumptions'!$F$6)+AT90*'Assumptions'!$G$6-AT90*'WINA Model'!$C$65-(AT90-AS90)*'Assumptions'!$H$6-0</x:f>
        <x:v>62.97019791</x:v>
      </x:c>
      <x:c r="AK90" t="n">
        <x:f>AA90*(1-'Assumptions'!$F$6)+AU90*'Assumptions'!$G$6-AU90*'WINA Model'!$D$65-(AU90-AT90)*'Assumptions'!$H$6-0</x:f>
        <x:v>81.5674320261</x:v>
      </x:c>
      <x:c r="AL90" t="n">
        <x:f>AB90*(1-'Assumptions'!$F$6)+AV90*'Assumptions'!$G$6-AV90*'WINA Model'!$E$65-(AV90-AU90)*'Assumptions'!$H$6-0</x:f>
        <x:v>105.15618912268498</x:v>
      </x:c>
      <x:c r="AM90" t="n">
        <x:f>AC90*(1-'Assumptions'!$F$6)+AW90*'Assumptions'!$G$6-AW90*'WINA Model'!$F$65-(AW90-AV90)*'Assumptions'!$H$6-0</x:f>
        <x:v>135.24421968747126</x:v>
      </x:c>
      <x:c r="AN90" t="n">
        <x:f>AD90*(1-'Assumptions'!$F$6)+AX90*'Assumptions'!$G$6-AX90*'WINA Model'!$G$65-(AX90-AW90)*'Assumptions'!$H$6-0</x:f>
        <x:v>165.35881568554174</x:v>
      </x:c>
      <x:c r="AO90" t="n">
        <x:f>AE90*(1-'Assumptions'!$F$6)+AY90*'Assumptions'!$G$6-AY90*'WINA Model'!$H$65-(AY90-AX90)*'Assumptions'!$H$6-0</x:f>
        <x:v>194.08707376132185</x:v>
      </x:c>
      <x:c r="AP90" t="n">
        <x:f>AF90*(1-'Assumptions'!$F$6)+AZ90*'Assumptions'!$G$6-AZ90*'WINA Model'!$I$65-(AZ90-AY90)*'Assumptions'!$H$6-0</x:f>
        <x:v>218.30965134473988</x:v>
      </x:c>
      <x:c r="AQ90" t="n">
        <x:f>AG90*(1-'Assumptions'!$F$6)+BA90*'Assumptions'!$G$6-BA90*'WINA Model'!$J$65-(BA90-AZ90)*'Assumptions'!$H$6-0</x:f>
        <x:v>234.87461026687953</x:v>
      </x:c>
      <x:c r="AR90" t="n">
        <x:f>AH90*(1-'Assumptions'!$F$6)+BB90*'Assumptions'!$G$6-BB90*'WINA Model'!$K$65-(BB90-BA90)*'Assumptions'!$H$6-0</x:f>
        <x:v>241.20695574706372</x:v>
      </x:c>
      <x:c r="AS90" t="n">
        <x:f>E90+O90</x:f>
        <x:v>112.395</x:v>
      </x:c>
      <x:c r="AT90" t="n">
        <x:f>F90+P90</x:f>
        <x:v>142.74165</x:v>
      </x:c>
      <x:c r="AU90" t="n">
        <x:f>G90+Q90</x:f>
        <x:v>181.2818955</x:v>
      </x:c>
      <x:c r="AV90" t="n">
        <x:f>H90+R90</x:f>
        <x:v>230.228007285</x:v>
      </x:c>
      <x:c r="AW90" t="n">
        <x:f>I90+S90</x:f>
        <x:v>292.38956925195</x:v>
      </x:c>
      <x:c r="AX90" t="n">
        <x:f>J90+T90</x:f>
        <x:v>357.007664056631</x:v>
      </x:c>
      <x:c r="AY90" t="n">
        <x:f>K90+U90</x:f>
        <x:v>418.4129822743715</x:v>
      </x:c>
      <x:c r="AZ90" t="n">
        <x:f>L90+V90</x:f>
        <x:v>469.87777909411915</x:v>
      </x:c>
      <x:c r="BA90" t="n">
        <x:f>M90+W90</x:f>
        <x:v>504.648734747084</x:v>
      </x:c>
      <x:c r="BB90" t="n">
        <x:f>N90+X90</x:f>
        <x:v>517.264953115761</x:v>
      </x:c>
      <x:c r="BC90" t="n">
        <x:f>AS90/'Inputs'!$C$14-1</x:f>
        <x:v>0.27</x:v>
      </x:c>
      <x:c r="BD90" t="n">
        <x:f>AT90/AS90-1</x:f>
        <x:v>0.27</x:v>
      </x:c>
      <x:c r="BE90" t="n">
        <x:f>AU90/AT90-1</x:f>
        <x:v>0.27</x:v>
      </x:c>
      <x:c r="BF90" t="n">
        <x:f>AV90/AU90-1</x:f>
        <x:v>0.27</x:v>
      </x:c>
      <x:c r="BG90" t="n">
        <x:f>AW90/AV90-1</x:f>
        <x:v>0.27</x:v>
      </x:c>
      <x:c r="BH90" t="n">
        <x:f>AX90/AW90-1</x:f>
        <x:v>0.22100000000000009</x:v>
      </x:c>
      <x:c r="BI90" t="n">
        <x:f>AY90/AX90-1</x:f>
        <x:v>0.17199999999999993</x:v>
      </x:c>
      <x:c r="BJ90" t="n">
        <x:f>AZ90/AY90-1</x:f>
        <x:v>0.123</x:v>
      </x:c>
      <x:c r="BK90" t="n">
        <x:f>BA90/AZ90-1</x:f>
        <x:v>0.07400000000000007</x:v>
      </x:c>
      <x:c r="BL90" t="n">
        <x:f>BB90/BA90-1</x:f>
        <x:v>0.02499999999999991</x:v>
      </x:c>
      <x:c r="BM90" t="n">
        <x:f>AH90*(1-'Assumptions'!$F$6)*(1+'Assumptions'!$D$6)*(1-'Assumptions'!$D$6/'Assumptions'!$E$6)</x:f>
        <x:v>235.72539810914907</x:v>
      </x:c>
      <x:c r="BN90" t="n">
        <x:f>SUMPRODUCT(AI90:AR90,'WINA Model'!$B$83:$K$83)+BM90/('Assumptions'!$C$6-'Assumptions'!$D$6)*'WINA Model'!$K$83</x:f>
        <x:v>2012.4508122630432</x:v>
      </x:c>
      <x:c r="BO90" t="n">
        <x:f>'WINA Model'!$B$94</x:f>
        <x:v>-42.825500000000005</x:v>
      </x:c>
      <x:c r="BP90" t="n">
        <x:f>'Inputs'!$C$8</x:f>
        <x:v>3.701516</x:v>
      </x:c>
    </x:row>
    <x:row r="91">
      <x:c r="A91" t="str">
        <x:v>WINA</x:v>
      </x:c>
      <x:c r="B91" s="22" t="n">
        <x:v>0.28</x:v>
      </x:c>
      <x:c r="C91" s="42" t="n">
        <x:f>(BN91+BO91)/BP91</x:f>
        <x:v>560.3914330313919</x:v>
      </x:c>
      <x:c r="D91" s="22" t="n">
        <x:f>C91/'Inputs'!$C$5-1</x:f>
        <x:v>0.7612956376509157</x:v>
      </x:c>
      <x:c r="E91" t="n">
        <x:f>'Inputs'!$C$14*(1+$B91)^1</x:f>
        <x:v>113.28</x:v>
      </x:c>
      <x:c r="F91" t="n">
        <x:f>'Inputs'!$C$14*(1+$B91)^2</x:f>
        <x:v>144.9984</x:v>
      </x:c>
      <x:c r="G91" t="n">
        <x:f>'Inputs'!$C$14*(1+$B91)^3</x:f>
        <x:v>185.59795200000002</x:v>
      </x:c>
      <x:c r="H91" t="n">
        <x:f>'Inputs'!$C$14*(1+$B91)^4</x:f>
        <x:v>237.56537856</x:v>
      </x:c>
      <x:c r="I91" t="n">
        <x:f>'Inputs'!$C$14*(1+$B91)^5</x:f>
        <x:v>304.0836845568</x:v>
      </x:c>
      <x:c r="J91" t="n">
        <x:f>I91*(1+($BG91+('Assumptions'!$D$6-$BG91)*(6-5)/5))</x:f>
        <x:v>373.71884832030725</x:v>
      </x:c>
      <x:c r="K91" t="n">
        <x:f>J91*(1+($BG91+('Assumptions'!$D$6-$BG91)*(7-5)/5))</x:f>
        <x:v>440.2408033213219</x:v>
      </x:c>
      <x:c r="L91" t="n">
        <x:f>K91*(1+($BG91+('Assumptions'!$D$6-$BG91)*(8-5)/5))</x:f>
        <x:v>496.1513853431298</x:v>
      </x:c>
      <x:c r="M91" t="n">
        <x:f>L91*(1+($BG91+('Assumptions'!$D$6-$BG91)*(9-5)/5))</x:f>
        <x:v>533.8588906292077</x:v>
      </x:c>
      <x:c r="N91" t="n">
        <x:f>M91*(1+($BG91+('Assumptions'!$D$6-$BG91)*(10-5)/5))</x:f>
        <x:v>547.2053628949379</x:v>
      </x:c>
      <x:c r="O91" t="n">
        <x:f>0</x:f>
        <x:v>0</x:v>
      </x:c>
      <x:c r="P91" t="n">
        <x:f>0</x:f>
        <x:v>0</x:v>
      </x:c>
      <x:c r="Q91" t="n">
        <x:f>0</x:f>
        <x:v>0</x:v>
      </x:c>
      <x:c r="R91" t="n">
        <x:f>0</x:f>
        <x:v>0</x:v>
      </x:c>
      <x:c r="S91" t="n">
        <x:f>0</x:f>
        <x:v>0</x:v>
      </x:c>
      <x:c r="T91" t="n">
        <x:f>S91*(1+($BG91+('Assumptions'!$D$6-$BG91)*(6-5)/5))</x:f>
        <x:v>0</x:v>
      </x:c>
      <x:c r="U91" t="n">
        <x:f>T91*(1+($BG91+('Assumptions'!$D$6-$BG91)*(7-5)/5))</x:f>
        <x:v>0</x:v>
      </x:c>
      <x:c r="V91" t="n">
        <x:f>U91*(1+($BG91+('Assumptions'!$D$6-$BG91)*(8-5)/5))</x:f>
        <x:v>0</x:v>
      </x:c>
      <x:c r="W91" t="n">
        <x:f>V91*(1+($BG91+('Assumptions'!$D$6-$BG91)*(9-5)/5))</x:f>
        <x:v>0</x:v>
      </x:c>
      <x:c r="X91" t="n">
        <x:f>W91*(1+($BG91+('Assumptions'!$D$6-$BG91)*(10-5)/5))</x:f>
        <x:v>0</x:v>
      </x:c>
      <x:c r="Y91" t="n">
        <x:f>E91*'WINA Model'!$B$62+O91*'WINA Model'!$B$63+'WINA Model'!$B$73+'WINA Model'!$B$74</x:f>
        <x:v>69.10079999999999</x:v>
      </x:c>
      <x:c r="Z91" t="n">
        <x:f>F91*'WINA Model'!$C$62+P91*'WINA Model'!$C$63+'WINA Model'!$C$73+'WINA Model'!$C$74</x:f>
        <x:v>89.174016</x:v>
      </x:c>
      <x:c r="AA91" t="n">
        <x:f>G91*'WINA Model'!$D$62+Q91*'WINA Model'!$D$63+'WINA Model'!$D$73+'WINA Model'!$D$74</x:f>
        <x:v>115.07073024000002</x:v>
      </x:c>
      <x:c r="AB91" t="n">
        <x:f>H91*'WINA Model'!$E$62+R91*'WINA Model'!$E$63+'WINA Model'!$E$73+'WINA Model'!$E$74</x:f>
        <x:v>148.4783616</x:v>
      </x:c>
      <x:c r="AC91" t="n">
        <x:f>I91*'WINA Model'!$F$62+S91*'WINA Model'!$F$63+'WINA Model'!$F$73+'WINA Model'!$F$74</x:f>
        <x:v>191.572721270784</x:v>
      </x:c>
      <x:c r="AD91" t="n">
        <x:f>AX91*$AC91/$AW91</x:f>
        <x:v>235.44287444179358</x:v>
      </x:c>
      <x:c r="AE91" t="n">
        <x:f>AY91*$AC91/$AW91</x:f>
        <x:v>277.3517060924328</x:v>
      </x:c>
      <x:c r="AF91" t="n">
        <x:f>AZ91*$AC91/$AW91</x:f>
        <x:v>312.57537276617177</x:v>
      </x:c>
      <x:c r="AG91" t="n">
        <x:f>BA91*$AC91/$AW91</x:f>
        <x:v>336.33110109640086</x:v>
      </x:c>
      <x:c r="AH91" t="n">
        <x:f>BB91*$AC91/$AW91</x:f>
        <x:v>344.73937862381086</x:v>
      </x:c>
      <x:c r="AI91" t="n">
        <x:f>Y91*(1-'Assumptions'!$F$6)+AS91*'Assumptions'!$G$6-AS91*'WINA Model'!$B$65-(AS91-'Inputs'!$C$14)*'Assumptions'!$H$6-'Assumptions'!$I$6</x:f>
        <x:v>48.96244799999999</x:v>
      </x:c>
      <x:c r="AJ91" t="n">
        <x:f>Z91*(1-'Assumptions'!$F$6)+AT91*'Assumptions'!$G$6-AT91*'WINA Model'!$C$65-(AT91-AS91)*'Assumptions'!$H$6-0</x:f>
        <x:v>63.94791935999999</x:v>
      </x:c>
      <x:c r="AK91" t="n">
        <x:f>AA91*(1-'Assumptions'!$F$6)+AU91*'Assumptions'!$G$6-AU91*'WINA Model'!$D$65-(AU91-AT91)*'Assumptions'!$H$6-0</x:f>
        <x:v>83.48659875840002</x:v>
      </x:c>
      <x:c r="AL91" t="n">
        <x:f>AB91*(1-'Assumptions'!$F$6)+AV91*'Assumptions'!$G$6-AV91*'WINA Model'!$E$65-(AV91-AU91)*'Assumptions'!$H$6-0</x:f>
        <x:v>108.47829098495998</x:v>
      </x:c>
      <x:c r="AM91" t="n">
        <x:f>AC91*(1-'Assumptions'!$F$6)+AW91*'Assumptions'!$G$6-AW91*'WINA Model'!$F$65-(AW91-AV91)*'Assumptions'!$H$6-0</x:f>
        <x:v>140.61589783117824</x:v>
      </x:c>
      <x:c r="AN91" t="n">
        <x:f>AD91*(1-'Assumptions'!$F$6)+AX91*'Assumptions'!$G$6-AX91*'WINA Model'!$G$65-(AX91-AW91)*'Assumptions'!$H$6-0</x:f>
        <x:v>173.0592551206493</x:v>
      </x:c>
      <x:c r="AO91" t="n">
        <x:f>AE91*(1-'Assumptions'!$F$6)+AY91*'Assumptions'!$G$6-AY91*'WINA Model'!$H$65-(AY91-AX91)*'Assumptions'!$H$6-0</x:f>
        <x:v>204.17396789037275</x:v>
      </x:c>
      <x:c r="AP91" t="n">
        <x:f>AF91*(1-'Assumptions'!$F$6)+AZ91*'Assumptions'!$G$6-AZ91*'WINA Model'!$I$65-(AZ91-AY91)*'Assumptions'!$H$6-0</x:f>
        <x:v>230.48525503773683</x:v>
      </x:c>
      <x:c r="AQ91" t="n">
        <x:f>AG91*(1-'Assumptions'!$F$6)+BA91*'Assumptions'!$G$6-BA91*'WINA Model'!$J$65-(BA91-AZ91)*'Assumptions'!$H$6-0</x:f>
        <x:v>248.45118003999264</x:v>
      </x:c>
      <x:c r="AR91" t="n">
        <x:f>AH91*(1-'Assumptions'!$F$6)+BB91*'Assumptions'!$G$6-BB91*'WINA Model'!$K$65-(BB91-BA91)*'Assumptions'!$H$6-0</x:f>
        <x:v>255.16853395404235</x:v>
      </x:c>
      <x:c r="AS91" t="n">
        <x:f>E91+O91</x:f>
        <x:v>113.28</x:v>
      </x:c>
      <x:c r="AT91" t="n">
        <x:f>F91+P91</x:f>
        <x:v>144.9984</x:v>
      </x:c>
      <x:c r="AU91" t="n">
        <x:f>G91+Q91</x:f>
        <x:v>185.59795200000002</x:v>
      </x:c>
      <x:c r="AV91" t="n">
        <x:f>H91+R91</x:f>
        <x:v>237.56537856</x:v>
      </x:c>
      <x:c r="AW91" t="n">
        <x:f>I91+S91</x:f>
        <x:v>304.0836845568</x:v>
      </x:c>
      <x:c r="AX91" t="n">
        <x:f>J91+T91</x:f>
        <x:v>373.71884832030725</x:v>
      </x:c>
      <x:c r="AY91" t="n">
        <x:f>K91+U91</x:f>
        <x:v>440.2408033213219</x:v>
      </x:c>
      <x:c r="AZ91" t="n">
        <x:f>L91+V91</x:f>
        <x:v>496.1513853431298</x:v>
      </x:c>
      <x:c r="BA91" t="n">
        <x:f>M91+W91</x:f>
        <x:v>533.8588906292077</x:v>
      </x:c>
      <x:c r="BB91" t="n">
        <x:f>N91+X91</x:f>
        <x:v>547.2053628949379</x:v>
      </x:c>
      <x:c r="BC91" t="n">
        <x:f>AS91/'Inputs'!$C$14-1</x:f>
        <x:v>0.28</x:v>
      </x:c>
      <x:c r="BD91" t="n">
        <x:f>AT91/AS91-1</x:f>
        <x:v>0.28</x:v>
      </x:c>
      <x:c r="BE91" t="n">
        <x:f>AU91/AT91-1</x:f>
        <x:v>0.28</x:v>
      </x:c>
      <x:c r="BF91" t="n">
        <x:f>AV91/AU91-1</x:f>
        <x:v>0.2799999999999998</x:v>
      </x:c>
      <x:c r="BG91" t="n">
        <x:f>AW91/AV91-1</x:f>
        <x:v>0.28</x:v>
      </x:c>
      <x:c r="BH91" t="n">
        <x:f>AX91/AW91-1</x:f>
        <x:v>0.2290000000000001</x:v>
      </x:c>
      <x:c r="BI91" t="n">
        <x:f>AY91/AX91-1</x:f>
        <x:v>0.17799999999999994</x:v>
      </x:c>
      <x:c r="BJ91" t="n">
        <x:f>AZ91/AY91-1</x:f>
        <x:v>0.127</x:v>
      </x:c>
      <x:c r="BK91" t="n">
        <x:f>BA91/AZ91-1</x:f>
        <x:v>0.07600000000000007</x:v>
      </x:c>
      <x:c r="BL91" t="n">
        <x:f>BB91/BA91-1</x:f>
        <x:v>0.02499999999999991</x:v>
      </x:c>
      <x:c r="BM91" t="n">
        <x:f>AH91*(1-'Assumptions'!$F$6)*(1+'Assumptions'!$D$6)*(1-'Assumptions'!$D$6/'Assumptions'!$E$6)</x:f>
        <x:v>249.3696919516666</x:v>
      </x:c>
      <x:c r="BN91" t="n">
        <x:f>SUMPRODUCT(AI91:AR91,'WINA Model'!$B$83:$K$83)+BM91/('Assumptions'!$C$6-'Assumptions'!$D$6)*'WINA Model'!$K$83</x:f>
        <x:v>2117.1233556286256</x:v>
      </x:c>
      <x:c r="BO91" t="n">
        <x:f>'WINA Model'!$B$94</x:f>
        <x:v>-42.825500000000005</x:v>
      </x:c>
      <x:c r="BP91" t="n">
        <x:f>'Inputs'!$C$8</x:f>
        <x:v>3.701516</x:v>
      </x:c>
    </x:row>
    <x:row r="92">
      <x:c r="A92" t="str">
        <x:v>WINA</x:v>
      </x:c>
      <x:c r="B92" s="22" t="n">
        <x:v>0.29</x:v>
      </x:c>
      <x:c r="C92" s="42" t="n">
        <x:f>(BN92+BO92)/BP92</x:f>
        <x:v>590.006362966581</x:v>
      </x:c>
      <x:c r="D92" s="22" t="n">
        <x:f>C92/'Inputs'!$C$5-1</x:f>
        <x:v>0.8543745889511298</x:v>
      </x:c>
      <x:c r="E92" t="n">
        <x:f>'Inputs'!$C$14*(1+$B92)^1</x:f>
        <x:v>114.165</x:v>
      </x:c>
      <x:c r="F92" t="n">
        <x:f>'Inputs'!$C$14*(1+$B92)^2</x:f>
        <x:v>147.27285</x:v>
      </x:c>
      <x:c r="G92" t="n">
        <x:f>'Inputs'!$C$14*(1+$B92)^3</x:f>
        <x:v>189.98197650000003</x:v>
      </x:c>
      <x:c r="H92" t="n">
        <x:f>'Inputs'!$C$14*(1+$B92)^4</x:f>
        <x:v>245.07674968500004</x:v>
      </x:c>
      <x:c r="I92" t="n">
        <x:f>'Inputs'!$C$14*(1+$B92)^5</x:f>
        <x:v>316.1490070936501</x:v>
      </x:c>
      <x:c r="J92" t="n">
        <x:f>I92*(1+($BG92+('Assumptions'!$D$6-$BG92)*(6-5)/5))</x:f>
        <x:v>391.0763217748452</x:v>
      </x:c>
      <x:c r="K92" t="n">
        <x:f>J92*(1+($BG92+('Assumptions'!$D$6-$BG92)*(7-5)/5))</x:f>
        <x:v>463.03436498141673</x:v>
      </x:c>
      <x:c r="L92" t="n">
        <x:f>K92*(1+($BG92+('Assumptions'!$D$6-$BG92)*(8-5)/5))</x:f>
        <x:v>523.6918667939823</x:v>
      </x:c>
      <x:c r="M92" t="n">
        <x:f>L92*(1+($BG92+('Assumptions'!$D$6-$BG92)*(9-5)/5))</x:f>
        <x:v>564.5398324039129</x:v>
      </x:c>
      <x:c r="N92" t="n">
        <x:f>M92*(1+($BG92+('Assumptions'!$D$6-$BG92)*(10-5)/5))</x:f>
        <x:v>578.6533282140107</x:v>
      </x:c>
      <x:c r="O92" t="n">
        <x:f>0</x:f>
        <x:v>0</x:v>
      </x:c>
      <x:c r="P92" t="n">
        <x:f>0</x:f>
        <x:v>0</x:v>
      </x:c>
      <x:c r="Q92" t="n">
        <x:f>0</x:f>
        <x:v>0</x:v>
      </x:c>
      <x:c r="R92" t="n">
        <x:f>0</x:f>
        <x:v>0</x:v>
      </x:c>
      <x:c r="S92" t="n">
        <x:f>0</x:f>
        <x:v>0</x:v>
      </x:c>
      <x:c r="T92" t="n">
        <x:f>S92*(1+($BG92+('Assumptions'!$D$6-$BG92)*(6-5)/5))</x:f>
        <x:v>0</x:v>
      </x:c>
      <x:c r="U92" t="n">
        <x:f>T92*(1+($BG92+('Assumptions'!$D$6-$BG92)*(7-5)/5))</x:f>
        <x:v>0</x:v>
      </x:c>
      <x:c r="V92" t="n">
        <x:f>U92*(1+($BG92+('Assumptions'!$D$6-$BG92)*(8-5)/5))</x:f>
        <x:v>0</x:v>
      </x:c>
      <x:c r="W92" t="n">
        <x:f>V92*(1+($BG92+('Assumptions'!$D$6-$BG92)*(9-5)/5))</x:f>
        <x:v>0</x:v>
      </x:c>
      <x:c r="X92" t="n">
        <x:f>W92*(1+($BG92+('Assumptions'!$D$6-$BG92)*(10-5)/5))</x:f>
        <x:v>0</x:v>
      </x:c>
      <x:c r="Y92" t="n">
        <x:f>E92*'WINA Model'!$B$62+O92*'WINA Model'!$B$63+'WINA Model'!$B$73+'WINA Model'!$B$74</x:f>
        <x:v>69.64065000000001</x:v>
      </x:c>
      <x:c r="Z92" t="n">
        <x:f>F92*'WINA Model'!$C$62+P92*'WINA Model'!$C$63+'WINA Model'!$C$73+'WINA Model'!$C$74</x:f>
        <x:v>90.57280275000001</x:v>
      </x:c>
      <x:c r="AA92" t="n">
        <x:f>G92*'WINA Model'!$D$62+Q92*'WINA Model'!$D$63+'WINA Model'!$D$73+'WINA Model'!$D$74</x:f>
        <x:v>117.78882543000002</x:v>
      </x:c>
      <x:c r="AB92" t="n">
        <x:f>H92*'WINA Model'!$E$62+R92*'WINA Model'!$E$63+'WINA Model'!$E$73+'WINA Model'!$E$74</x:f>
        <x:v>153.17296855312503</x:v>
      </x:c>
      <x:c r="AC92" t="n">
        <x:f>I92*'WINA Model'!$F$62+S92*'WINA Model'!$F$63+'WINA Model'!$F$73+'WINA Model'!$F$74</x:f>
        <x:v>199.17387446899954</x:v>
      </x:c>
      <x:c r="AD92" t="n">
        <x:f>AX92*$AC92/$AW92</x:f>
        <x:v>246.37808271815248</x:v>
      </x:c>
      <x:c r="AE92" t="n">
        <x:f>AY92*$AC92/$AW92</x:f>
        <x:v>291.71164993829257</x:v>
      </x:c>
      <x:c r="AF92" t="n">
        <x:f>AZ92*$AC92/$AW92</x:f>
        <x:v>329.9258760802088</x:v>
      </x:c>
      <x:c r="AG92" t="n">
        <x:f>BA92*$AC92/$AW92</x:f>
        <x:v>355.6600944144651</x:v>
      </x:c>
      <x:c r="AH92" t="n">
        <x:f>BB92*$AC92/$AW92</x:f>
        <x:v>364.55159677482675</x:v>
      </x:c>
      <x:c r="AI92" t="n">
        <x:f>Y92*(1-'Assumptions'!$F$6)+AS92*'Assumptions'!$G$6-AS92*'WINA Model'!$B$65-(AS92-'Inputs'!$C$14)*'Assumptions'!$H$6-'Assumptions'!$I$6</x:f>
        <x:v>49.331139</x:v>
      </x:c>
      <x:c r="AJ92" t="n">
        <x:f>Z92*(1-'Assumptions'!$F$6)+AT92*'Assumptions'!$G$6-AT92*'WINA Model'!$C$65-(AT92-AS92)*'Assumptions'!$H$6-0</x:f>
        <x:v>64.93317039000003</x:v>
      </x:c>
      <x:c r="AK92" t="n">
        <x:f>AA92*(1-'Assumptions'!$F$6)+AU92*'Assumptions'!$G$6-AU92*'WINA Model'!$D$65-(AU92-AT92)*'Assumptions'!$H$6-0</x:f>
        <x:v>85.43563119630001</x:v>
      </x:c>
      <x:c r="AL92" t="n">
        <x:f>AB92*(1-'Assumptions'!$F$6)+AV92*'Assumptions'!$G$6-AV92*'WINA Model'!$E$65-(AV92-AU92)*'Assumptions'!$H$6-0</x:f>
        <x:v>111.878486141085</x:v>
      </x:c>
      <x:c r="AM92" t="n">
        <x:f>AC92*(1-'Assumptions'!$F$6)+AW92*'Assumptions'!$G$6-AW92*'WINA Model'!$F$65-(AW92-AV92)*'Assumptions'!$H$6-0</x:f>
        <x:v>146.15691136314285</x:v>
      </x:c>
      <x:c r="AN92" t="n">
        <x:f>AD92*(1-'Assumptions'!$F$6)+AX92*'Assumptions'!$G$6-AX92*'WINA Model'!$G$65-(AX92-AW92)*'Assumptions'!$H$6-0</x:f>
        <x:v>181.05588071087388</x:v>
      </x:c>
      <x:c r="AO92" t="n">
        <x:f>AE92*(1-'Assumptions'!$F$6)+AY92*'Assumptions'!$G$6-AY92*'WINA Model'!$H$65-(AY92-AX92)*'Assumptions'!$H$6-0</x:f>
        <x:v>214.70528070919394</x:v>
      </x:c>
      <x:c r="AP92" t="n">
        <x:f>AF92*(1-'Assumptions'!$F$6)+AZ92*'Assumptions'!$G$6-AZ92*'WINA Model'!$I$65-(AZ92-AY92)*'Assumptions'!$H$6-0</x:f>
        <x:v>243.24621338317962</x:v>
      </x:c>
      <x:c r="AQ92" t="n">
        <x:f>AG92*(1-'Assumptions'!$F$6)+BA92*'Assumptions'!$G$6-BA92*'WINA Model'!$J$65-(BA92-AZ92)*'Assumptions'!$H$6-0</x:f>
        <x:v>262.710234453948</x:v>
      </x:c>
      <x:c r="AR92" t="n">
        <x:f>AH92*(1-'Assumptions'!$F$6)+BB92*'Assumptions'!$G$6-BB92*'WINA Model'!$K$65-(BB92-BA92)*'Assumptions'!$H$6-0</x:f>
        <x:v>269.8331036940982</x:v>
      </x:c>
      <x:c r="AS92" t="n">
        <x:f>E92+O92</x:f>
        <x:v>114.165</x:v>
      </x:c>
      <x:c r="AT92" t="n">
        <x:f>F92+P92</x:f>
        <x:v>147.27285</x:v>
      </x:c>
      <x:c r="AU92" t="n">
        <x:f>G92+Q92</x:f>
        <x:v>189.98197650000003</x:v>
      </x:c>
      <x:c r="AV92" t="n">
        <x:f>H92+R92</x:f>
        <x:v>245.07674968500004</x:v>
      </x:c>
      <x:c r="AW92" t="n">
        <x:f>I92+S92</x:f>
        <x:v>316.1490070936501</x:v>
      </x:c>
      <x:c r="AX92" t="n">
        <x:f>J92+T92</x:f>
        <x:v>391.0763217748452</x:v>
      </x:c>
      <x:c r="AY92" t="n">
        <x:f>K92+U92</x:f>
        <x:v>463.03436498141673</x:v>
      </x:c>
      <x:c r="AZ92" t="n">
        <x:f>L92+V92</x:f>
        <x:v>523.6918667939823</x:v>
      </x:c>
      <x:c r="BA92" t="n">
        <x:f>M92+W92</x:f>
        <x:v>564.5398324039129</x:v>
      </x:c>
      <x:c r="BB92" t="n">
        <x:f>N92+X92</x:f>
        <x:v>578.6533282140107</x:v>
      </x:c>
      <x:c r="BC92" t="n">
        <x:f>AS92/'Inputs'!$C$14-1</x:f>
        <x:v>0.29000000000000004</x:v>
      </x:c>
      <x:c r="BD92" t="n">
        <x:f>AT92/AS92-1</x:f>
        <x:v>0.29000000000000004</x:v>
      </x:c>
      <x:c r="BE92" t="n">
        <x:f>AU92/AT92-1</x:f>
        <x:v>0.29000000000000026</x:v>
      </x:c>
      <x:c r="BF92" t="n">
        <x:f>AV92/AU92-1</x:f>
        <x:v>0.29000000000000004</x:v>
      </x:c>
      <x:c r="BG92" t="n">
        <x:f>AW92/AV92-1</x:f>
        <x:v>0.29000000000000004</x:v>
      </x:c>
      <x:c r="BH92" t="n">
        <x:f>AX92/AW92-1</x:f>
        <x:v>0.2370000000000001</x:v>
      </x:c>
      <x:c r="BI92" t="n">
        <x:f>AY92/AX92-1</x:f>
        <x:v>0.18399999999999994</x:v>
      </x:c>
      <x:c r="BJ92" t="n">
        <x:f>AZ92/AY92-1</x:f>
        <x:v>0.131</x:v>
      </x:c>
      <x:c r="BK92" t="n">
        <x:f>BA92/AZ92-1</x:f>
        <x:v>0.07800000000000007</x:v>
      </x:c>
      <x:c r="BL92" t="n">
        <x:f>BB92/BA92-1</x:f>
        <x:v>0.02499999999999991</x:v>
      </x:c>
      <x:c r="BM92" t="n">
        <x:f>AH92*(1-'Assumptions'!$F$6)*(1+'Assumptions'!$D$6)*(1-'Assumptions'!$D$6/'Assumptions'!$E$6)</x:f>
        <x:v>263.7010014670479</x:v>
      </x:c>
      <x:c r="BN92" t="n">
        <x:f>SUMPRODUCT(AI92:AR92,'WINA Model'!$B$83:$K$83)+BM92/('Assumptions'!$C$6-'Assumptions'!$D$6)*'WINA Model'!$K$83</x:f>
        <x:v>2226.743492622607</x:v>
      </x:c>
      <x:c r="BO92" t="n">
        <x:f>'WINA Model'!$B$94</x:f>
        <x:v>-42.825500000000005</x:v>
      </x:c>
      <x:c r="BP92" t="n">
        <x:f>'Inputs'!$C$8</x:f>
        <x:v>3.701516</x:v>
      </x:c>
    </x:row>
    <x:row r="93">
      <x:c r="A93" t="str">
        <x:v>WINA</x:v>
      </x:c>
      <x:c r="B93" s="22" t="n">
        <x:v>0.3</x:v>
      </x:c>
      <x:c r="C93" s="42" t="n">
        <x:f>(BN93+BO93)/BP93</x:f>
        <x:v>621.0130475967674</x:v>
      </x:c>
      <x:c r="D93" s="22" t="n">
        <x:f>C93/'Inputs'!$C$5-1</x:f>
        <x:v>0.9518277889077138</x:v>
      </x:c>
      <x:c r="E93" t="n">
        <x:f>'Inputs'!$C$14*(1+$B93)^1</x:f>
        <x:v>115.05</x:v>
      </x:c>
      <x:c r="F93" t="n">
        <x:f>'Inputs'!$C$14*(1+$B93)^2</x:f>
        <x:v>149.56500000000003</x:v>
      </x:c>
      <x:c r="G93" t="n">
        <x:f>'Inputs'!$C$14*(1+$B93)^3</x:f>
        <x:v>194.43450000000004</x:v>
      </x:c>
      <x:c r="H93" t="n">
        <x:f>'Inputs'!$C$14*(1+$B93)^4</x:f>
        <x:v>252.76485000000005</x:v>
      </x:c>
      <x:c r="I93" t="n">
        <x:f>'Inputs'!$C$14*(1+$B93)^5</x:f>
        <x:v>328.5943050000001</x:v>
      </x:c>
      <x:c r="J93" t="n">
        <x:f>I93*(1+($BG93+('Assumptions'!$D$6-$BG93)*(6-5)/5))</x:f>
        <x:v>409.09990972500015</x:v>
      </x:c>
      <x:c r="K93" t="n">
        <x:f>J93*(1+($BG93+('Assumptions'!$D$6-$BG93)*(7-5)/5))</x:f>
        <x:v>486.82889257275014</x:v>
      </x:c>
      <x:c r="L93" t="n">
        <x:f>K93*(1+($BG93+('Assumptions'!$D$6-$BG93)*(8-5)/5))</x:f>
        <x:v>552.5507930700714</x:v>
      </x:c>
      <x:c r="M93" t="n">
        <x:f>L93*(1+($BG93+('Assumptions'!$D$6-$BG93)*(9-5)/5))</x:f>
        <x:v>596.7548565156773</x:v>
      </x:c>
      <x:c r="N93" t="n">
        <x:f>M93*(1+($BG93+('Assumptions'!$D$6-$BG93)*(10-5)/5))</x:f>
        <x:v>611.6737279285692</x:v>
      </x:c>
      <x:c r="O93" t="n">
        <x:f>0</x:f>
        <x:v>0</x:v>
      </x:c>
      <x:c r="P93" t="n">
        <x:f>0</x:f>
        <x:v>0</x:v>
      </x:c>
      <x:c r="Q93" t="n">
        <x:f>0</x:f>
        <x:v>0</x:v>
      </x:c>
      <x:c r="R93" t="n">
        <x:f>0</x:f>
        <x:v>0</x:v>
      </x:c>
      <x:c r="S93" t="n">
        <x:f>0</x:f>
        <x:v>0</x:v>
      </x:c>
      <x:c r="T93" t="n">
        <x:f>S93*(1+($BG93+('Assumptions'!$D$6-$BG93)*(6-5)/5))</x:f>
        <x:v>0</x:v>
      </x:c>
      <x:c r="U93" t="n">
        <x:f>T93*(1+($BG93+('Assumptions'!$D$6-$BG93)*(7-5)/5))</x:f>
        <x:v>0</x:v>
      </x:c>
      <x:c r="V93" t="n">
        <x:f>U93*(1+($BG93+('Assumptions'!$D$6-$BG93)*(8-5)/5))</x:f>
        <x:v>0</x:v>
      </x:c>
      <x:c r="W93" t="n">
        <x:f>V93*(1+($BG93+('Assumptions'!$D$6-$BG93)*(9-5)/5))</x:f>
        <x:v>0</x:v>
      </x:c>
      <x:c r="X93" t="n">
        <x:f>W93*(1+($BG93+('Assumptions'!$D$6-$BG93)*(10-5)/5))</x:f>
        <x:v>0</x:v>
      </x:c>
      <x:c r="Y93" t="n">
        <x:f>E93*'WINA Model'!$B$62+O93*'WINA Model'!$B$63+'WINA Model'!$B$73+'WINA Model'!$B$74</x:f>
        <x:v>70.1805</x:v>
      </x:c>
      <x:c r="Z93" t="n">
        <x:f>F93*'WINA Model'!$C$62+P93*'WINA Model'!$C$63+'WINA Model'!$C$73+'WINA Model'!$C$74</x:f>
        <x:v>91.98247500000001</x:v>
      </x:c>
      <x:c r="AA93" t="n">
        <x:f>G93*'WINA Model'!$D$62+Q93*'WINA Model'!$D$63+'WINA Model'!$D$73+'WINA Model'!$D$74</x:f>
        <x:v>120.54939000000003</x:v>
      </x:c>
      <x:c r="AB93" t="n">
        <x:f>H93*'WINA Model'!$E$62+R93*'WINA Model'!$E$63+'WINA Model'!$E$73+'WINA Model'!$E$74</x:f>
        <x:v>157.97803125000004</x:v>
      </x:c>
      <x:c r="AC93" t="n">
        <x:f>I93*'WINA Model'!$F$62+S93*'WINA Model'!$F$63+'WINA Model'!$F$73+'WINA Model'!$F$74</x:f>
        <x:v>207.01441215000006</x:v>
      </x:c>
      <x:c r="AD93" t="n">
        <x:f>AX93*$AC93/$AW93</x:f>
        <x:v>257.7329431267501</x:v>
      </x:c>
      <x:c r="AE93" t="n">
        <x:f>AY93*$AC93/$AW93</x:f>
        <x:v>306.70220232083255</x:v>
      </x:c>
      <x:c r="AF93" t="n">
        <x:f>AZ93*$AC93/$AW93</x:f>
        <x:v>348.10699963414504</x:v>
      </x:c>
      <x:c r="AG93" t="n">
        <x:f>BA93*$AC93/$AW93</x:f>
        <x:v>375.95555960487667</x:v>
      </x:c>
      <x:c r="AH93" t="n">
        <x:f>BB93*$AC93/$AW93</x:f>
        <x:v>385.3544485949986</x:v>
      </x:c>
      <x:c r="AI93" t="n">
        <x:f>Y93*(1-'Assumptions'!$F$6)+AS93*'Assumptions'!$G$6-AS93*'WINA Model'!$B$65-(AS93-'Inputs'!$C$14)*'Assumptions'!$H$6-'Assumptions'!$I$6</x:f>
        <x:v>49.69983</x:v>
      </x:c>
      <x:c r="AJ93" t="n">
        <x:f>Z93*(1-'Assumptions'!$F$6)+AT93*'Assumptions'!$G$6-AT93*'WINA Model'!$C$65-(AT93-AS93)*'Assumptions'!$H$6-0</x:f>
        <x:v>65.925951</x:v>
      </x:c>
      <x:c r="AK93" t="n">
        <x:f>AA93*(1-'Assumptions'!$F$6)+AU93*'Assumptions'!$G$6-AU93*'WINA Model'!$D$65-(AU93-AT93)*'Assumptions'!$H$6-0</x:f>
        <x:v>87.41475990000002</x:v>
      </x:c>
      <x:c r="AL93" t="n">
        <x:f>AB93*(1-'Assumptions'!$F$6)+AV93*'Assumptions'!$G$6-AV93*'WINA Model'!$E$65-(AV93-AU93)*'Assumptions'!$H$6-0</x:f>
        <x:v>115.35798885000003</x:v>
      </x:c>
      <x:c r="AM93" t="n">
        <x:f>AC93*(1-'Assumptions'!$F$6)+AW93*'Assumptions'!$G$6-AW93*'WINA Model'!$F$65-(AW93-AV93)*'Assumptions'!$H$6-0</x:f>
        <x:v>151.87123247400004</x:v>
      </x:c>
      <x:c r="AN93" t="n">
        <x:f>AD93*(1-'Assumptions'!$F$6)+AX93*'Assumptions'!$G$6-AX93*'WINA Model'!$G$65-(AX93-AW93)*'Assumptions'!$H$6-0</x:f>
        <x:v>189.35772576513008</x:v>
      </x:c>
      <x:c r="AO93" t="n">
        <x:f>AE93*(1-'Assumptions'!$F$6)+AY93*'Assumptions'!$G$6-AY93*'WINA Model'!$H$65-(AY93-AX93)*'Assumptions'!$H$6-0</x:f>
        <x:v>225.69714739600474</x:v>
      </x:c>
      <x:c r="AP93" t="n">
        <x:f>AF93*(1-'Assumptions'!$F$6)+AZ93*'Assumptions'!$G$6-AZ93*'WINA Model'!$I$65-(AZ93-AY93)*'Assumptions'!$H$6-0</x:f>
        <x:v>256.61627219516294</x:v>
      </x:c>
      <x:c r="AQ93" t="n">
        <x:f>AG93*(1-'Assumptions'!$F$6)+BA93*'Assumptions'!$G$6-BA93*'WINA Model'!$J$65-(BA93-AZ93)*'Assumptions'!$H$6-0</x:f>
        <x:v>277.68108575260607</x:v>
      </x:c>
      <x:c r="AR93" t="n">
        <x:f>AH93*(1-'Assumptions'!$F$6)+BB93*'Assumptions'!$G$6-BB93*'WINA Model'!$K$65-(BB93-BA93)*'Assumptions'!$H$6-0</x:f>
        <x:v>285.23091876879823</x:v>
      </x:c>
      <x:c r="AS93" t="n">
        <x:f>E93+O93</x:f>
        <x:v>115.05</x:v>
      </x:c>
      <x:c r="AT93" t="n">
        <x:f>F93+P93</x:f>
        <x:v>149.56500000000003</x:v>
      </x:c>
      <x:c r="AU93" t="n">
        <x:f>G93+Q93</x:f>
        <x:v>194.43450000000004</x:v>
      </x:c>
      <x:c r="AV93" t="n">
        <x:f>H93+R93</x:f>
        <x:v>252.76485000000005</x:v>
      </x:c>
      <x:c r="AW93" t="n">
        <x:f>I93+S93</x:f>
        <x:v>328.5943050000001</x:v>
      </x:c>
      <x:c r="AX93" t="n">
        <x:f>J93+T93</x:f>
        <x:v>409.09990972500015</x:v>
      </x:c>
      <x:c r="AY93" t="n">
        <x:f>K93+U93</x:f>
        <x:v>486.82889257275014</x:v>
      </x:c>
      <x:c r="AZ93" t="n">
        <x:f>L93+V93</x:f>
        <x:v>552.5507930700714</x:v>
      </x:c>
      <x:c r="BA93" t="n">
        <x:f>M93+W93</x:f>
        <x:v>596.7548565156773</x:v>
      </x:c>
      <x:c r="BB93" t="n">
        <x:f>N93+X93</x:f>
        <x:v>611.6737279285692</x:v>
      </x:c>
      <x:c r="BC93" t="n">
        <x:f>AS93/'Inputs'!$C$14-1</x:f>
        <x:v>0.30000000000000004</x:v>
      </x:c>
      <x:c r="BD93" t="n">
        <x:f>AT93/AS93-1</x:f>
        <x:v>0.30000000000000027</x:v>
      </x:c>
      <x:c r="BE93" t="n">
        <x:f>AU93/AT93-1</x:f>
        <x:v>0.30000000000000004</x:v>
      </x:c>
      <x:c r="BF93" t="n">
        <x:f>AV93/AU93-1</x:f>
        <x:v>0.30000000000000004</x:v>
      </x:c>
      <x:c r="BG93" t="n">
        <x:f>AW93/AV93-1</x:f>
        <x:v>0.30000000000000004</x:v>
      </x:c>
      <x:c r="BH93" t="n">
        <x:f>AX93/AW93-1</x:f>
        <x:v>0.2450000000000001</x:v>
      </x:c>
      <x:c r="BI93" t="n">
        <x:f>AY93/AX93-1</x:f>
        <x:v>0.18999999999999995</x:v>
      </x:c>
      <x:c r="BJ93" t="n">
        <x:f>AZ93/AY93-1</x:f>
        <x:v>0.135</x:v>
      </x:c>
      <x:c r="BK93" t="n">
        <x:f>BA93/AZ93-1</x:f>
        <x:v>0.08000000000000007</x:v>
      </x:c>
      <x:c r="BL93" t="n">
        <x:f>BB93/BA93-1</x:f>
        <x:v>0.02499999999999991</x:v>
      </x:c>
      <x:c r="BM93" t="n">
        <x:f>AH93*(1-'Assumptions'!$F$6)*(1+'Assumptions'!$D$6)*(1-'Assumptions'!$D$6/'Assumptions'!$E$6)</x:f>
        <x:v>278.74889292296785</x:v>
      </x:c>
      <x:c r="BN93" t="n">
        <x:f>SUMPRODUCT(AI93:AR93,'WINA Model'!$B$83:$K$83)+BM93/('Assumptions'!$C$6-'Assumptions'!$D$6)*'WINA Model'!$K$83</x:f>
        <x:v>2341.5152318881956</x:v>
      </x:c>
      <x:c r="BO93" t="n">
        <x:f>'WINA Model'!$B$94</x:f>
        <x:v>-42.825500000000005</x:v>
      </x:c>
      <x:c r="BP93" t="n">
        <x:f>'Inputs'!$C$8</x:f>
        <x:v>3.701516</x:v>
      </x:c>
    </x:row>
    <x:row r="94">
      <x:c r="A94" t="str">
        <x:v>WINA</x:v>
      </x:c>
      <x:c r="B94" s="22" t="n">
        <x:v>0.31</x:v>
      </x:c>
      <x:c r="C94" s="42" t="n">
        <x:f>(BN94+BO94)/BP94</x:f>
        <x:v>653.4685185782563</x:v>
      </x:c>
      <x:c r="D94" s="22" t="n">
        <x:f>C94/'Inputs'!$C$5-1</x:f>
        <x:v>1.0538344865268763</x:v>
      </x:c>
      <x:c r="E94" t="n">
        <x:f>'Inputs'!$C$14*(1+$B94)^1</x:f>
        <x:v>115.935</x:v>
      </x:c>
      <x:c r="F94" t="n">
        <x:f>'Inputs'!$C$14*(1+$B94)^2</x:f>
        <x:v>151.87485</x:v>
      </x:c>
      <x:c r="G94" t="n">
        <x:f>'Inputs'!$C$14*(1+$B94)^3</x:f>
        <x:v>198.95605350000005</x:v>
      </x:c>
      <x:c r="H94" t="n">
        <x:f>'Inputs'!$C$14*(1+$B94)^4</x:f>
        <x:v>260.63243008500007</x:v>
      </x:c>
      <x:c r="I94" t="n">
        <x:f>'Inputs'!$C$14*(1+$B94)^5</x:f>
        <x:v>341.4284834113501</x:v>
      </x:c>
      <x:c r="J94" t="n">
        <x:f>I94*(1+($BG94+('Assumptions'!$D$6-$BG94)*(6-5)/5))</x:f>
        <x:v>427.80988971442173</x:v>
      </x:c>
      <x:c r="K94" t="n">
        <x:f>J94*(1+($BG94+('Assumptions'!$D$6-$BG94)*(7-5)/5))</x:f>
        <x:v>511.66062809844834</x:v>
      </x:c>
      <x:c r="L94" t="n">
        <x:f>K94*(1+($BG94+('Assumptions'!$D$6-$BG94)*(8-5)/5))</x:f>
        <x:v>582.7814554041327</x:v>
      </x:c>
      <x:c r="M94" t="n">
        <x:f>L94*(1+($BG94+('Assumptions'!$D$6-$BG94)*(9-5)/5))</x:f>
        <x:v>630.5695347472716</x:v>
      </x:c>
      <x:c r="N94" t="n">
        <x:f>M94*(1+($BG94+('Assumptions'!$D$6-$BG94)*(10-5)/5))</x:f>
        <x:v>646.3337731159534</x:v>
      </x:c>
      <x:c r="O94" t="n">
        <x:f>0</x:f>
        <x:v>0</x:v>
      </x:c>
      <x:c r="P94" t="n">
        <x:f>0</x:f>
        <x:v>0</x:v>
      </x:c>
      <x:c r="Q94" t="n">
        <x:f>0</x:f>
        <x:v>0</x:v>
      </x:c>
      <x:c r="R94" t="n">
        <x:f>0</x:f>
        <x:v>0</x:v>
      </x:c>
      <x:c r="S94" t="n">
        <x:f>0</x:f>
        <x:v>0</x:v>
      </x:c>
      <x:c r="T94" t="n">
        <x:f>S94*(1+($BG94+('Assumptions'!$D$6-$BG94)*(6-5)/5))</x:f>
        <x:v>0</x:v>
      </x:c>
      <x:c r="U94" t="n">
        <x:f>T94*(1+($BG94+('Assumptions'!$D$6-$BG94)*(7-5)/5))</x:f>
        <x:v>0</x:v>
      </x:c>
      <x:c r="V94" t="n">
        <x:f>U94*(1+($BG94+('Assumptions'!$D$6-$BG94)*(8-5)/5))</x:f>
        <x:v>0</x:v>
      </x:c>
      <x:c r="W94" t="n">
        <x:f>V94*(1+($BG94+('Assumptions'!$D$6-$BG94)*(9-5)/5))</x:f>
        <x:v>0</x:v>
      </x:c>
      <x:c r="X94" t="n">
        <x:f>W94*(1+($BG94+('Assumptions'!$D$6-$BG94)*(10-5)/5))</x:f>
        <x:v>0</x:v>
      </x:c>
      <x:c r="Y94" t="n">
        <x:f>E94*'WINA Model'!$B$62+O94*'WINA Model'!$B$63+'WINA Model'!$B$73+'WINA Model'!$B$74</x:f>
        <x:v>70.72035</x:v>
      </x:c>
      <x:c r="Z94" t="n">
        <x:f>F94*'WINA Model'!$C$62+P94*'WINA Model'!$C$63+'WINA Model'!$C$73+'WINA Model'!$C$74</x:f>
        <x:v>93.40303275000001</x:v>
      </x:c>
      <x:c r="AA94" t="n">
        <x:f>G94*'WINA Model'!$D$62+Q94*'WINA Model'!$D$63+'WINA Model'!$D$73+'WINA Model'!$D$74</x:f>
        <x:v>123.35275317000003</x:v>
      </x:c>
      <x:c r="AB94" t="n">
        <x:f>H94*'WINA Model'!$E$62+R94*'WINA Model'!$E$63+'WINA Model'!$E$73+'WINA Model'!$E$74</x:f>
        <x:v>162.89526880312505</x:v>
      </x:c>
      <x:c r="AC94" t="n">
        <x:f>I94*'WINA Model'!$F$62+S94*'WINA Model'!$F$63+'WINA Model'!$F$73+'WINA Model'!$F$74</x:f>
        <x:v>215.09994454915056</x:v>
      </x:c>
      <x:c r="AD94" t="n">
        <x:f>AX94*$AC94/$AW94</x:f>
        <x:v>269.5202305200857</x:v>
      </x:c>
      <x:c r="AE94" t="n">
        <x:f>AY94*$AC94/$AW94</x:f>
        <x:v>322.34619570202244</x:v>
      </x:c>
      <x:c r="AF94" t="n">
        <x:f>AZ94*$AC94/$AW94</x:f>
        <x:v>367.1523169046036</x:v>
      </x:c>
      <x:c r="AG94" t="n">
        <x:f>BA94*$AC94/$AW94</x:f>
        <x:v>397.25880689078116</x:v>
      </x:c>
      <x:c r="AH94" t="n">
        <x:f>BB94*$AC94/$AW94</x:f>
        <x:v>407.1902770630506</x:v>
      </x:c>
      <x:c r="AI94" t="n">
        <x:f>Y94*(1-'Assumptions'!$F$6)+AS94*'Assumptions'!$G$6-AS94*'WINA Model'!$B$65-(AS94-'Inputs'!$C$14)*'Assumptions'!$H$6-'Assumptions'!$I$6</x:f>
        <x:v>50.068521000000004</x:v>
      </x:c>
      <x:c r="AJ94" t="n">
        <x:f>Z94*(1-'Assumptions'!$F$6)+AT94*'Assumptions'!$G$6-AT94*'WINA Model'!$C$65-(AT94-AS94)*'Assumptions'!$H$6-0</x:f>
        <x:v>66.92626119000002</x:v>
      </x:c>
      <x:c r="AK94" t="n">
        <x:f>AA94*(1-'Assumptions'!$F$6)+AU94*'Assumptions'!$G$6-AU94*'WINA Model'!$D$65-(AU94-AT94)*'Assumptions'!$H$6-0</x:f>
        <x:v>89.42421542970003</x:v>
      </x:c>
      <x:c r="AL94" t="n">
        <x:f>AB94*(1-'Assumptions'!$F$6)+AV94*'Assumptions'!$G$6-AV94*'WINA Model'!$E$65-(AV94-AU94)*'Assumptions'!$H$6-0</x:f>
        <x:v>118.91802273748503</x:v>
      </x:c>
      <x:c r="AM94" t="n">
        <x:f>AC94*(1-'Assumptions'!$F$6)+AW94*'Assumptions'!$G$6-AW94*'WINA Model'!$F$65-(AW94-AV94)*'Assumptions'!$H$6-0</x:f>
        <x:v>157.76289498989124</x:v>
      </x:c>
      <x:c r="AN94" t="n">
        <x:f>AD94*(1-'Assumptions'!$F$6)+AX94*'Assumptions'!$G$6-AX94*'WINA Model'!$G$65-(AX94-AW94)*'Assumptions'!$H$6-0</x:f>
        <x:v>197.97402839263063</x:v>
      </x:c>
      <x:c r="AO94" t="n">
        <x:f>AE94*(1-'Assumptions'!$F$6)+AY94*'Assumptions'!$G$6-AY94*'WINA Model'!$H$65-(AY94-AX94)*'Assumptions'!$H$6-0</x:f>
        <x:v>237.16616642867513</x:v>
      </x:c>
      <x:c r="AP94" t="n">
        <x:f>AF94*(1-'Assumptions'!$F$6)+AZ94*'Assumptions'!$G$6-AZ94*'WINA Model'!$I$65-(AZ94-AY94)*'Assumptions'!$H$6-0</x:f>
        <x:v>270.6199668365354</x:v>
      </x:c>
      <x:c r="AQ94" t="n">
        <x:f>AG94*(1-'Assumptions'!$F$6)+BA94*'Assumptions'!$G$6-BA94*'WINA Model'!$J$65-(BA94-AZ94)*'Assumptions'!$H$6-0</x:f>
        <x:v>293.3940972331637</x:v>
      </x:c>
      <x:c r="AR94" t="n">
        <x:f>AH94*(1-'Assumptions'!$F$6)+BB94*'Assumptions'!$G$6-BB94*'WINA Model'!$K$65-(BB94-BA94)*'Assumptions'!$H$6-0</x:f>
        <x:v>301.3933205231534</x:v>
      </x:c>
      <x:c r="AS94" t="n">
        <x:f>E94+O94</x:f>
        <x:v>115.935</x:v>
      </x:c>
      <x:c r="AT94" t="n">
        <x:f>F94+P94</x:f>
        <x:v>151.87485</x:v>
      </x:c>
      <x:c r="AU94" t="n">
        <x:f>G94+Q94</x:f>
        <x:v>198.95605350000005</x:v>
      </x:c>
      <x:c r="AV94" t="n">
        <x:f>H94+R94</x:f>
        <x:v>260.63243008500007</x:v>
      </x:c>
      <x:c r="AW94" t="n">
        <x:f>I94+S94</x:f>
        <x:v>341.4284834113501</x:v>
      </x:c>
      <x:c r="AX94" t="n">
        <x:f>J94+T94</x:f>
        <x:v>427.80988971442173</x:v>
      </x:c>
      <x:c r="AY94" t="n">
        <x:f>K94+U94</x:f>
        <x:v>511.66062809844834</x:v>
      </x:c>
      <x:c r="AZ94" t="n">
        <x:f>L94+V94</x:f>
        <x:v>582.7814554041327</x:v>
      </x:c>
      <x:c r="BA94" t="n">
        <x:f>M94+W94</x:f>
        <x:v>630.5695347472716</x:v>
      </x:c>
      <x:c r="BB94" t="n">
        <x:f>N94+X94</x:f>
        <x:v>646.3337731159534</x:v>
      </x:c>
      <x:c r="BC94" t="n">
        <x:f>AS94/'Inputs'!$C$14-1</x:f>
        <x:v>0.31000000000000005</x:v>
      </x:c>
      <x:c r="BD94" t="n">
        <x:f>AT94/AS94-1</x:f>
        <x:v>0.31000000000000005</x:v>
      </x:c>
      <x:c r="BE94" t="n">
        <x:f>AU94/AT94-1</x:f>
        <x:v>0.3100000000000003</x:v>
      </x:c>
      <x:c r="BF94" t="n">
        <x:f>AV94/AU94-1</x:f>
        <x:v>0.31000000000000005</x:v>
      </x:c>
      <x:c r="BG94" t="n">
        <x:f>AW94/AV94-1</x:f>
        <x:v>0.31000000000000005</x:v>
      </x:c>
      <x:c r="BH94" t="n">
        <x:f>AX94/AW94-1</x:f>
        <x:v>0.2530000000000001</x:v>
      </x:c>
      <x:c r="BI94" t="n">
        <x:f>AY94/AX94-1</x:f>
        <x:v>0.19599999999999995</x:v>
      </x:c>
      <x:c r="BJ94" t="n">
        <x:f>AZ94/AY94-1</x:f>
        <x:v>0.139</x:v>
      </x:c>
      <x:c r="BK94" t="n">
        <x:f>BA94/AZ94-1</x:f>
        <x:v>0.08200000000000007</x:v>
      </x:c>
      <x:c r="BL94" t="n">
        <x:f>BB94/BA94-1</x:f>
        <x:v>0.02499999999999991</x:v>
      </x:c>
      <x:c r="BM94" t="n">
        <x:f>AH94*(1-'Assumptions'!$F$6)*(1+'Assumptions'!$D$6)*(1-'Assumptions'!$D$6/'Assumptions'!$E$6)</x:f>
        <x:v>294.54399541553664</x:v>
      </x:c>
      <x:c r="BN94" t="n">
        <x:f>SUMPRODUCT(AI94:AR94,'WINA Model'!$B$83:$K$83)+BM94/('Assumptions'!$C$6-'Assumptions'!$D$6)*'WINA Model'!$K$83</x:f>
        <x:v>2461.649677013713</x:v>
      </x:c>
      <x:c r="BO94" t="n">
        <x:f>'WINA Model'!$B$94</x:f>
        <x:v>-42.825500000000005</x:v>
      </x:c>
      <x:c r="BP94" t="n">
        <x:f>'Inputs'!$C$8</x:f>
        <x:v>3.701516</x:v>
      </x:c>
    </x:row>
    <x:row r="95">
      <x:c r="A95" t="str">
        <x:v>WINA</x:v>
      </x:c>
      <x:c r="B95" s="22" t="n">
        <x:v>0.32</x:v>
      </x:c>
      <x:c r="C95" s="42" t="n">
        <x:f>(BN95+BO95)/BP95</x:f>
        <x:v>687.4317786000472</x:v>
      </x:c>
      <x:c r="D95" s="22" t="n">
        <x:f>C95/'Inputs'!$C$5-1</x:f>
        <x:v>1.1605801257191035</x:v>
      </x:c>
      <x:c r="E95" t="n">
        <x:f>'Inputs'!$C$14*(1+$B95)^1</x:f>
        <x:v>116.82000000000001</x:v>
      </x:c>
      <x:c r="F95" t="n">
        <x:f>'Inputs'!$C$14*(1+$B95)^2</x:f>
        <x:v>154.2024</x:v>
      </x:c>
      <x:c r="G95" t="n">
        <x:f>'Inputs'!$C$14*(1+$B95)^3</x:f>
        <x:v>203.54716800000003</x:v>
      </x:c>
      <x:c r="H95" t="n">
        <x:f>'Inputs'!$C$14*(1+$B95)^4</x:f>
        <x:v>268.68226176</x:v>
      </x:c>
      <x:c r="I95" t="n">
        <x:f>'Inputs'!$C$14*(1+$B95)^5</x:f>
        <x:v>354.6605855232001</x:v>
      </x:c>
      <x:c r="J95" t="n">
        <x:f>I95*(1+($BG95+('Assumptions'!$D$6-$BG95)*(6-5)/5))</x:f>
        <x:v>447.2269983447554</x:v>
      </x:c>
      <x:c r="K95" t="n">
        <x:f>J95*(1+($BG95+('Assumptions'!$D$6-$BG95)*(7-5)/5))</x:f>
        <x:v>537.566852010396</x:v>
      </x:c>
      <x:c r="L95" t="n">
        <x:f>K95*(1+($BG95+('Assumptions'!$D$6-$BG95)*(8-5)/5))</x:f>
        <x:v>614.4389118478828</x:v>
      </x:c>
      <x:c r="M95" t="n">
        <x:f>L95*(1+($BG95+('Assumptions'!$D$6-$BG95)*(9-5)/5))</x:f>
        <x:v>666.0517804431049</x:v>
      </x:c>
      <x:c r="N95" t="n">
        <x:f>M95*(1+($BG95+('Assumptions'!$D$6-$BG95)*(10-5)/5))</x:f>
        <x:v>682.7030749541825</x:v>
      </x:c>
      <x:c r="O95" t="n">
        <x:f>0</x:f>
        <x:v>0</x:v>
      </x:c>
      <x:c r="P95" t="n">
        <x:f>0</x:f>
        <x:v>0</x:v>
      </x:c>
      <x:c r="Q95" t="n">
        <x:f>0</x:f>
        <x:v>0</x:v>
      </x:c>
      <x:c r="R95" t="n">
        <x:f>0</x:f>
        <x:v>0</x:v>
      </x:c>
      <x:c r="S95" t="n">
        <x:f>0</x:f>
        <x:v>0</x:v>
      </x:c>
      <x:c r="T95" t="n">
        <x:f>S95*(1+($BG95+('Assumptions'!$D$6-$BG95)*(6-5)/5))</x:f>
        <x:v>0</x:v>
      </x:c>
      <x:c r="U95" t="n">
        <x:f>T95*(1+($BG95+('Assumptions'!$D$6-$BG95)*(7-5)/5))</x:f>
        <x:v>0</x:v>
      </x:c>
      <x:c r="V95" t="n">
        <x:f>U95*(1+($BG95+('Assumptions'!$D$6-$BG95)*(8-5)/5))</x:f>
        <x:v>0</x:v>
      </x:c>
      <x:c r="W95" t="n">
        <x:f>V95*(1+($BG95+('Assumptions'!$D$6-$BG95)*(9-5)/5))</x:f>
        <x:v>0</x:v>
      </x:c>
      <x:c r="X95" t="n">
        <x:f>W95*(1+($BG95+('Assumptions'!$D$6-$BG95)*(10-5)/5))</x:f>
        <x:v>0</x:v>
      </x:c>
      <x:c r="Y95" t="n">
        <x:f>E95*'WINA Model'!$B$62+O95*'WINA Model'!$B$63+'WINA Model'!$B$73+'WINA Model'!$B$74</x:f>
        <x:v>71.2602</x:v>
      </x:c>
      <x:c r="Z95" t="n">
        <x:f>F95*'WINA Model'!$C$62+P95*'WINA Model'!$C$63+'WINA Model'!$C$73+'WINA Model'!$C$74</x:f>
        <x:v>94.83447600000001</x:v>
      </x:c>
      <x:c r="AA95" t="n">
        <x:f>G95*'WINA Model'!$D$62+Q95*'WINA Model'!$D$63+'WINA Model'!$D$73+'WINA Model'!$D$74</x:f>
        <x:v>126.19924416000002</x:v>
      </x:c>
      <x:c r="AB95" t="n">
        <x:f>H95*'WINA Model'!$E$62+R95*'WINA Model'!$E$63+'WINA Model'!$E$73+'WINA Model'!$E$74</x:f>
        <x:v>167.92641360000002</x:v>
      </x:c>
      <x:c r="AC95" t="n">
        <x:f>I95*'WINA Model'!$F$62+S95*'WINA Model'!$F$63+'WINA Model'!$F$73+'WINA Model'!$F$74</x:f>
        <x:v>223.43616887961608</x:v>
      </x:c>
      <x:c r="AD95" t="n">
        <x:f>AX95*$AC95/$AW95</x:f>
        <x:v>281.7530089571959</x:v>
      </x:c>
      <x:c r="AE95" t="n">
        <x:f>AY95*$AC95/$AW95</x:f>
        <x:v>338.6671167665495</x:v>
      </x:c>
      <x:c r="AF95" t="n">
        <x:f>AZ95*$AC95/$AW95</x:f>
        <x:v>387.09651446416615</x:v>
      </x:c>
      <x:c r="AG95" t="n">
        <x:f>BA95*$AC95/$AW95</x:f>
        <x:v>419.61262167915606</x:v>
      </x:c>
      <x:c r="AH95" t="n">
        <x:f>BB95*$AC95/$AW95</x:f>
        <x:v>430.102937221135</x:v>
      </x:c>
      <x:c r="AI95" t="n">
        <x:f>Y95*(1-'Assumptions'!$F$6)+AS95*'Assumptions'!$G$6-AS95*'WINA Model'!$B$65-(AS95-'Inputs'!$C$14)*'Assumptions'!$H$6-'Assumptions'!$I$6</x:f>
        <x:v>50.437211999999995</x:v>
      </x:c>
      <x:c r="AJ95" t="n">
        <x:f>Z95*(1-'Assumptions'!$F$6)+AT95*'Assumptions'!$G$6-AT95*'WINA Model'!$C$65-(AT95-AS95)*'Assumptions'!$H$6-0</x:f>
        <x:v>67.93410096000002</x:v>
      </x:c>
      <x:c r="AK95" t="n">
        <x:f>AA95*(1-'Assumptions'!$F$6)+AU95*'Assumptions'!$G$6-AU95*'WINA Model'!$D$65-(AU95-AT95)*'Assumptions'!$H$6-0</x:f>
        <x:v>91.4642283456</x:v>
      </x:c>
      <x:c r="AL95" t="n">
        <x:f>AB95*(1-'Assumptions'!$F$6)+AV95*'Assumptions'!$G$6-AV95*'WINA Model'!$E$65-(AV95-AU95)*'Assumptions'!$H$6-0</x:f>
        <x:v>122.55982079616003</x:v>
      </x:c>
      <x:c r="AM95" t="n">
        <x:f>AC95*(1-'Assumptions'!$F$6)+AW95*'Assumptions'!$G$6-AW95*'WINA Model'!$F$65-(AW95-AV95)*'Assumptions'!$H$6-0</x:f>
        <x:v>163.8359948469658</x:v>
      </x:c>
      <x:c r="AN95" t="n">
        <x:f>AD95*(1-'Assumptions'!$F$6)+AX95*'Assumptions'!$G$6-AX95*'WINA Model'!$G$65-(AX95-AW95)*'Assumptions'!$H$6-0</x:f>
        <x:v>206.91423457090073</x:v>
      </x:c>
      <x:c r="AO95" t="n">
        <x:f>AE95*(1-'Assumptions'!$F$6)+AY95*'Assumptions'!$G$6-AY95*'WINA Model'!$H$65-(AY95-AX95)*'Assumptions'!$H$6-0</x:f>
        <x:v>249.12940944514003</x:v>
      </x:c>
      <x:c r="AP95" t="n">
        <x:f>AF95*(1-'Assumptions'!$F$6)+AZ95*'Assumptions'!$G$6-AZ95*'WINA Model'!$I$65-(AZ95-AY95)*'Assumptions'!$H$6-0</x:f>
        <x:v>285.28264285384193</x:v>
      </x:c>
      <x:c r="AQ95" t="n">
        <x:f>AG95*(1-'Assumptions'!$F$6)+BA95*'Assumptions'!$G$6-BA95*'WINA Model'!$J$65-(BA95-AZ95)*'Assumptions'!$H$6-0</x:f>
        <x:v>309.88071373893695</x:v>
      </x:c>
      <x:c r="AR95" t="n">
        <x:f>AH95*(1-'Assumptions'!$F$6)+BB95*'Assumptions'!$G$6-BB95*'WINA Model'!$K$65-(BB95-BA95)*'Assumptions'!$H$6-0</x:f>
        <x:v>318.35276949839084</x:v>
      </x:c>
      <x:c r="AS95" t="n">
        <x:f>E95+O95</x:f>
        <x:v>116.82000000000001</x:v>
      </x:c>
      <x:c r="AT95" t="n">
        <x:f>F95+P95</x:f>
        <x:v>154.2024</x:v>
      </x:c>
      <x:c r="AU95" t="n">
        <x:f>G95+Q95</x:f>
        <x:v>203.54716800000003</x:v>
      </x:c>
      <x:c r="AV95" t="n">
        <x:f>H95+R95</x:f>
        <x:v>268.68226176</x:v>
      </x:c>
      <x:c r="AW95" t="n">
        <x:f>I95+S95</x:f>
        <x:v>354.6605855232001</x:v>
      </x:c>
      <x:c r="AX95" t="n">
        <x:f>J95+T95</x:f>
        <x:v>447.2269983447554</x:v>
      </x:c>
      <x:c r="AY95" t="n">
        <x:f>K95+U95</x:f>
        <x:v>537.566852010396</x:v>
      </x:c>
      <x:c r="AZ95" t="n">
        <x:f>L95+V95</x:f>
        <x:v>614.4389118478828</x:v>
      </x:c>
      <x:c r="BA95" t="n">
        <x:f>M95+W95</x:f>
        <x:v>666.0517804431049</x:v>
      </x:c>
      <x:c r="BB95" t="n">
        <x:f>N95+X95</x:f>
        <x:v>682.7030749541825</x:v>
      </x:c>
      <x:c r="BC95" t="n">
        <x:f>AS95/'Inputs'!$C$14-1</x:f>
        <x:v>0.32000000000000006</x:v>
      </x:c>
      <x:c r="BD95" t="n">
        <x:f>AT95/AS95-1</x:f>
        <x:v>0.32000000000000006</x:v>
      </x:c>
      <x:c r="BE95" t="n">
        <x:f>AU95/AT95-1</x:f>
        <x:v>0.32000000000000006</x:v>
      </x:c>
      <x:c r="BF95" t="n">
        <x:f>AV95/AU95-1</x:f>
        <x:v>0.31999999999999984</x:v>
      </x:c>
      <x:c r="BG95" t="n">
        <x:f>AW95/AV95-1</x:f>
        <x:v>0.3200000000000003</x:v>
      </x:c>
      <x:c r="BH95" t="n">
        <x:f>AX95/AW95-1</x:f>
        <x:v>0.2610000000000001</x:v>
      </x:c>
      <x:c r="BI95" t="n">
        <x:f>AY95/AX95-1</x:f>
        <x:v>0.20200000000000018</x:v>
      </x:c>
      <x:c r="BJ95" t="n">
        <x:f>AZ95/AY95-1</x:f>
        <x:v>0.14300000000000024</x:v>
      </x:c>
      <x:c r="BK95" t="n">
        <x:f>BA95/AZ95-1</x:f>
        <x:v>0.08400000000000007</x:v>
      </x:c>
      <x:c r="BL95" t="n">
        <x:f>BB95/BA95-1</x:f>
        <x:v>0.02499999999999991</x:v>
      </x:c>
      <x:c r="BM95" t="n">
        <x:f>AH95*(1-'Assumptions'!$F$6)*(1+'Assumptions'!$D$6)*(1-'Assumptions'!$D$6/'Assumptions'!$E$6)</x:f>
        <x:v>311.11803180274524</x:v>
      </x:c>
      <x:c r="BN95" t="n">
        <x:f>SUMPRODUCT(AI95:AR95,'WINA Model'!$B$83:$K$83)+BM95/('Assumptions'!$C$6-'Assumptions'!$D$6)*'WINA Model'!$K$83</x:f>
        <x:v>2587.365227396532</x:v>
      </x:c>
      <x:c r="BO95" t="n">
        <x:f>'WINA Model'!$B$94</x:f>
        <x:v>-42.825500000000005</x:v>
      </x:c>
      <x:c r="BP95" t="n">
        <x:f>'Inputs'!$C$8</x:f>
        <x:v>3.701516</x:v>
      </x:c>
    </x:row>
    <x:row r="96">
      <x:c r="A96" t="str">
        <x:v>WINA</x:v>
      </x:c>
      <x:c r="B96" s="22" t="n">
        <x:v>0.33</x:v>
      </x:c>
      <x:c r="C96" s="42" t="n">
        <x:f>(BN96+BO96)/BP96</x:f>
        <x:v>722.963856842535</x:v>
      </x:c>
      <x:c r="D96" s="22" t="n">
        <x:f>C96/'Inputs'!$C$5-1</x:f>
        <x:v>1.2722565196044098</x:v>
      </x:c>
      <x:c r="E96" t="n">
        <x:f>'Inputs'!$C$14*(1+$B96)^1</x:f>
        <x:v>117.70500000000001</x:v>
      </x:c>
      <x:c r="F96" t="n">
        <x:f>'Inputs'!$C$14*(1+$B96)^2</x:f>
        <x:v>156.54765</x:v>
      </x:c>
      <x:c r="G96" t="n">
        <x:f>'Inputs'!$C$14*(1+$B96)^3</x:f>
        <x:v>208.20837450000002</x:v>
      </x:c>
      <x:c r="H96" t="n">
        <x:f>'Inputs'!$C$14*(1+$B96)^4</x:f>
        <x:v>276.91713808500003</x:v>
      </x:c>
      <x:c r="I96" t="n">
        <x:f>'Inputs'!$C$14*(1+$B96)^5</x:f>
        <x:v>368.29979365305013</x:v>
      </x:c>
      <x:c r="J96" t="n">
        <x:f>I96*(1+($BG96+('Assumptions'!$D$6-$BG96)*(6-5)/5))</x:f>
        <x:v>467.37243814572065</x:v>
      </x:c>
      <x:c r="K96" t="n">
        <x:f>J96*(1+($BG96+('Assumptions'!$D$6-$BG96)*(7-5)/5))</x:f>
        <x:v>564.5859052800306</x:v>
      </x:c>
      <x:c r="L96" t="n">
        <x:f>K96*(1+($BG96+('Assumptions'!$D$6-$BG96)*(8-5)/5))</x:f>
        <x:v>647.5800333561953</x:v>
      </x:c>
      <x:c r="M96" t="n">
        <x:f>L96*(1+($BG96+('Assumptions'!$D$6-$BG96)*(9-5)/5))</x:f>
        <x:v>703.2719162248281</x:v>
      </x:c>
      <x:c r="N96" t="n">
        <x:f>M96*(1+($BG96+('Assumptions'!$D$6-$BG96)*(10-5)/5))</x:f>
        <x:v>720.8537141304488</x:v>
      </x:c>
      <x:c r="O96" t="n">
        <x:f>0</x:f>
        <x:v>0</x:v>
      </x:c>
      <x:c r="P96" t="n">
        <x:f>0</x:f>
        <x:v>0</x:v>
      </x:c>
      <x:c r="Q96" t="n">
        <x:f>0</x:f>
        <x:v>0</x:v>
      </x:c>
      <x:c r="R96" t="n">
        <x:f>0</x:f>
        <x:v>0</x:v>
      </x:c>
      <x:c r="S96" t="n">
        <x:f>0</x:f>
        <x:v>0</x:v>
      </x:c>
      <x:c r="T96" t="n">
        <x:f>S96*(1+($BG96+('Assumptions'!$D$6-$BG96)*(6-5)/5))</x:f>
        <x:v>0</x:v>
      </x:c>
      <x:c r="U96" t="n">
        <x:f>T96*(1+($BG96+('Assumptions'!$D$6-$BG96)*(7-5)/5))</x:f>
        <x:v>0</x:v>
      </x:c>
      <x:c r="V96" t="n">
        <x:f>U96*(1+($BG96+('Assumptions'!$D$6-$BG96)*(8-5)/5))</x:f>
        <x:v>0</x:v>
      </x:c>
      <x:c r="W96" t="n">
        <x:f>V96*(1+($BG96+('Assumptions'!$D$6-$BG96)*(9-5)/5))</x:f>
        <x:v>0</x:v>
      </x:c>
      <x:c r="X96" t="n">
        <x:f>W96*(1+($BG96+('Assumptions'!$D$6-$BG96)*(10-5)/5))</x:f>
        <x:v>0</x:v>
      </x:c>
      <x:c r="Y96" t="n">
        <x:f>E96*'WINA Model'!$B$62+O96*'WINA Model'!$B$63+'WINA Model'!$B$73+'WINA Model'!$B$74</x:f>
        <x:v>71.80005000000001</x:v>
      </x:c>
      <x:c r="Z96" t="n">
        <x:f>F96*'WINA Model'!$C$62+P96*'WINA Model'!$C$63+'WINA Model'!$C$73+'WINA Model'!$C$74</x:f>
        <x:v>96.27680475</x:v>
      </x:c>
      <x:c r="AA96" t="n">
        <x:f>G96*'WINA Model'!$D$62+Q96*'WINA Model'!$D$63+'WINA Model'!$D$73+'WINA Model'!$D$74</x:f>
        <x:v>129.08919219</x:v>
      </x:c>
      <x:c r="AB96" t="n">
        <x:f>H96*'WINA Model'!$E$62+R96*'WINA Model'!$E$63+'WINA Model'!$E$73+'WINA Model'!$E$74</x:f>
        <x:v>173.07321130312502</x:v>
      </x:c>
      <x:c r="AC96" t="n">
        <x:f>I96*'WINA Model'!$F$62+S96*'WINA Model'!$F$63+'WINA Model'!$F$73+'WINA Model'!$F$74</x:f>
        <x:v>232.02887000142158</x:v>
      </x:c>
      <x:c r="AD96" t="n">
        <x:f>AX96*$AC96/$AW96</x:f>
        <x:v>294.444636031804</x:v>
      </x:c>
      <x:c r="AE96" t="n">
        <x:f>AY96*$AC96/$AW96</x:f>
        <x:v>355.6891203264193</x:v>
      </x:c>
      <x:c r="AF96" t="n">
        <x:f>AZ96*$AC96/$AW96</x:f>
        <x:v>407.975421014403</x:v>
      </x:c>
      <x:c r="AG96" t="n">
        <x:f>BA96*$AC96/$AW96</x:f>
        <x:v>443.06130722164175</x:v>
      </x:c>
      <x:c r="AH96" t="n">
        <x:f>BB96*$AC96/$AW96</x:f>
        <x:v>454.1378399021827</x:v>
      </x:c>
      <x:c r="AI96" t="n">
        <x:f>Y96*(1-'Assumptions'!$F$6)+AS96*'Assumptions'!$G$6-AS96*'WINA Model'!$B$65-(AS96-'Inputs'!$C$14)*'Assumptions'!$H$6-'Assumptions'!$I$6</x:f>
        <x:v>50.80590300000001</x:v>
      </x:c>
      <x:c r="AJ96" t="n">
        <x:f>Z96*(1-'Assumptions'!$F$6)+AT96*'Assumptions'!$G$6-AT96*'WINA Model'!$C$65-(AT96-AS96)*'Assumptions'!$H$6-0</x:f>
        <x:v>68.94947031000001</x:v>
      </x:c>
      <x:c r="AK96" t="n">
        <x:f>AA96*(1-'Assumptions'!$F$6)+AU96*'Assumptions'!$G$6-AU96*'WINA Model'!$D$65-(AU96-AT96)*'Assumptions'!$H$6-0</x:f>
        <x:v>93.5350292079</x:v>
      </x:c>
      <x:c r="AL96" t="n">
        <x:f>AB96*(1-'Assumptions'!$F$6)+AV96*'Assumptions'!$G$6-AV96*'WINA Model'!$E$65-(AV96-AU96)*'Assumptions'!$H$6-0</x:f>
        <x:v>126.28462538548501</x:v>
      </x:c>
      <x:c r="AM96" t="n">
        <x:f>AC96*(1-'Assumptions'!$F$6)+AW96*'Assumptions'!$G$6-AW96*'WINA Model'!$F$65-(AW96-AV96)*'Assumptions'!$H$6-0</x:f>
        <x:v>170.09469056588281</x:v>
      </x:c>
      <x:c r="AN96" t="n">
        <x:f>AD96*(1-'Assumptions'!$F$6)+AX96*'Assumptions'!$G$6-AX96*'WINA Model'!$G$65-(AX96-AW96)*'Assumptions'!$H$6-0</x:f>
        <x:v>216.188001236569</x:v>
      </x:c>
      <x:c r="AO96" t="n">
        <x:f>AE96*(1-'Assumptions'!$F$6)+AY96*'Assumptions'!$G$6-AY96*'WINA Model'!$H$65-(AY96-AX96)*'Assumptions'!$H$6-0</x:f>
        <x:v>261.6044312420321</x:v>
      </x:c>
      <x:c r="AP96" t="n">
        <x:f>AF96*(1-'Assumptions'!$F$6)+AZ96*'Assumptions'!$G$6-AZ96*'WINA Model'!$I$65-(AZ96-AY96)*'Assumptions'!$H$6-0</x:f>
        <x:v>300.63047700914865</x:v>
      </x:c>
      <x:c r="AQ96" t="n">
        <x:f>AG96*(1-'Assumptions'!$F$6)+BA96*'Assumptions'!$G$6-BA96*'WINA Model'!$J$65-(BA96-AZ96)*'Assumptions'!$H$6-0</x:f>
        <x:v>327.1734928363772</x:v>
      </x:c>
      <x:c r="AR96" t="n">
        <x:f>AH96*(1-'Assumptions'!$F$6)+BB96*'Assumptions'!$G$6-BB96*'WINA Model'!$K$65-(BB96-BA96)*'Assumptions'!$H$6-0</x:f>
        <x:v>336.1428777979811</x:v>
      </x:c>
      <x:c r="AS96" t="n">
        <x:f>E96+O96</x:f>
        <x:v>117.70500000000001</x:v>
      </x:c>
      <x:c r="AT96" t="n">
        <x:f>F96+P96</x:f>
        <x:v>156.54765</x:v>
      </x:c>
      <x:c r="AU96" t="n">
        <x:f>G96+Q96</x:f>
        <x:v>208.20837450000002</x:v>
      </x:c>
      <x:c r="AV96" t="n">
        <x:f>H96+R96</x:f>
        <x:v>276.91713808500003</x:v>
      </x:c>
      <x:c r="AW96" t="n">
        <x:f>I96+S96</x:f>
        <x:v>368.29979365305013</x:v>
      </x:c>
      <x:c r="AX96" t="n">
        <x:f>J96+T96</x:f>
        <x:v>467.37243814572065</x:v>
      </x:c>
      <x:c r="AY96" t="n">
        <x:f>K96+U96</x:f>
        <x:v>564.5859052800306</x:v>
      </x:c>
      <x:c r="AZ96" t="n">
        <x:f>L96+V96</x:f>
        <x:v>647.5800333561953</x:v>
      </x:c>
      <x:c r="BA96" t="n">
        <x:f>M96+W96</x:f>
        <x:v>703.2719162248281</x:v>
      </x:c>
      <x:c r="BB96" t="n">
        <x:f>N96+X96</x:f>
        <x:v>720.8537141304488</x:v>
      </x:c>
      <x:c r="BC96" t="n">
        <x:f>AS96/'Inputs'!$C$14-1</x:f>
        <x:v>0.33000000000000007</x:v>
      </x:c>
      <x:c r="BD96" t="n">
        <x:f>AT96/AS96-1</x:f>
        <x:v>0.32999999999999985</x:v>
      </x:c>
      <x:c r="BE96" t="n">
        <x:f>AU96/AT96-1</x:f>
        <x:v>0.33000000000000007</x:v>
      </x:c>
      <x:c r="BF96" t="n">
        <x:f>AV96/AU96-1</x:f>
        <x:v>0.33000000000000007</x:v>
      </x:c>
      <x:c r="BG96" t="n">
        <x:f>AW96/AV96-1</x:f>
        <x:v>0.3300000000000003</x:v>
      </x:c>
      <x:c r="BH96" t="n">
        <x:f>AX96/AW96-1</x:f>
        <x:v>0.26900000000000013</x:v>
      </x:c>
      <x:c r="BI96" t="n">
        <x:f>AY96/AX96-1</x:f>
        <x:v>0.20800000000000018</x:v>
      </x:c>
      <x:c r="BJ96" t="n">
        <x:f>AZ96/AY96-1</x:f>
        <x:v>0.14700000000000024</x:v>
      </x:c>
      <x:c r="BK96" t="n">
        <x:f>BA96/AZ96-1</x:f>
        <x:v>0.08600000000000008</x:v>
      </x:c>
      <x:c r="BL96" t="n">
        <x:f>BB96/BA96-1</x:f>
        <x:v>0.02499999999999991</x:v>
      </x:c>
      <x:c r="BM96" t="n">
        <x:f>AH96*(1-'Assumptions'!$F$6)*(1+'Assumptions'!$D$6)*(1-'Assumptions'!$D$6/'Assumptions'!$E$6)</x:f>
        <x:v>328.5038503349574</x:v>
      </x:c>
      <x:c r="BN96" t="n">
        <x:f>SUMPRODUCT(AI96:AR96,'WINA Model'!$B$83:$K$83)+BM96/('Assumptions'!$C$6-'Assumptions'!$D$6)*'WINA Model'!$K$83</x:f>
        <x:v>2718.887783524353</x:v>
      </x:c>
      <x:c r="BO96" t="n">
        <x:f>'WINA Model'!$B$94</x:f>
        <x:v>-42.825500000000005</x:v>
      </x:c>
      <x:c r="BP96" t="n">
        <x:f>'Inputs'!$C$8</x:f>
        <x:v>3.701516</x:v>
      </x:c>
    </x:row>
    <x:row r="97">
      <x:c r="A97" t="str">
        <x:v>WINA</x:v>
      </x:c>
      <x:c r="B97" s="22" t="n">
        <x:v>0.34</x:v>
      </x:c>
      <x:c r="C97" s="42" t="n">
        <x:f>(BN97+BO97)/BP97</x:f>
        <x:v>760.1278656485824</x:v>
      </x:c>
      <x:c r="D97" s="22" t="n">
        <x:f>C97/'Inputs'!$C$5-1</x:f>
        <x:v>1.3890620286280364</x:v>
      </x:c>
      <x:c r="E97" t="n">
        <x:f>'Inputs'!$C$14*(1+$B97)^1</x:f>
        <x:v>118.59</x:v>
      </x:c>
      <x:c r="F97" t="n">
        <x:f>'Inputs'!$C$14*(1+$B97)^2</x:f>
        <x:v>158.91060000000002</x:v>
      </x:c>
      <x:c r="G97" t="n">
        <x:f>'Inputs'!$C$14*(1+$B97)^3</x:f>
        <x:v>212.94020400000005</x:v>
      </x:c>
      <x:c r="H97" t="n">
        <x:f>'Inputs'!$C$14*(1+$B97)^4</x:f>
        <x:v>285.3398733600001</x:v>
      </x:c>
      <x:c r="I97" t="n">
        <x:f>'Inputs'!$C$14*(1+$B97)^5</x:f>
        <x:v>382.3554303024002</x:v>
      </x:c>
      <x:c r="J97" t="n">
        <x:f>I97*(1+($BG97+('Assumptions'!$D$6-$BG97)*(6-5)/5))</x:f>
        <x:v>488.2678844961651</x:v>
      </x:c>
      <x:c r="K97" t="n">
        <x:f>J97*(1+($BG97+('Assumptions'!$D$6-$BG97)*(7-5)/5))</x:f>
        <x:v>592.7572117783444</x:v>
      </x:c>
      <x:c r="L97" t="n">
        <x:f>K97*(1+($BG97+('Assumptions'!$D$6-$BG97)*(8-5)/5))</x:f>
        <x:v>682.2635507568745</x:v>
      </x:c>
      <x:c r="M97" t="n">
        <x:f>L97*(1+($BG97+('Assumptions'!$D$6-$BG97)*(9-5)/5))</x:f>
        <x:v>742.3027432234794</x:v>
      </x:c>
      <x:c r="N97" t="n">
        <x:f>M97*(1+($BG97+('Assumptions'!$D$6-$BG97)*(10-5)/5))</x:f>
        <x:v>760.8603118040663</x:v>
      </x:c>
      <x:c r="O97" t="n">
        <x:f>0</x:f>
        <x:v>0</x:v>
      </x:c>
      <x:c r="P97" t="n">
        <x:f>0</x:f>
        <x:v>0</x:v>
      </x:c>
      <x:c r="Q97" t="n">
        <x:f>0</x:f>
        <x:v>0</x:v>
      </x:c>
      <x:c r="R97" t="n">
        <x:f>0</x:f>
        <x:v>0</x:v>
      </x:c>
      <x:c r="S97" t="n">
        <x:f>0</x:f>
        <x:v>0</x:v>
      </x:c>
      <x:c r="T97" t="n">
        <x:f>S97*(1+($BG97+('Assumptions'!$D$6-$BG97)*(6-5)/5))</x:f>
        <x:v>0</x:v>
      </x:c>
      <x:c r="U97" t="n">
        <x:f>T97*(1+($BG97+('Assumptions'!$D$6-$BG97)*(7-5)/5))</x:f>
        <x:v>0</x:v>
      </x:c>
      <x:c r="V97" t="n">
        <x:f>U97*(1+($BG97+('Assumptions'!$D$6-$BG97)*(8-5)/5))</x:f>
        <x:v>0</x:v>
      </x:c>
      <x:c r="W97" t="n">
        <x:f>V97*(1+($BG97+('Assumptions'!$D$6-$BG97)*(9-5)/5))</x:f>
        <x:v>0</x:v>
      </x:c>
      <x:c r="X97" t="n">
        <x:f>W97*(1+($BG97+('Assumptions'!$D$6-$BG97)*(10-5)/5))</x:f>
        <x:v>0</x:v>
      </x:c>
      <x:c r="Y97" t="n">
        <x:f>E97*'WINA Model'!$B$62+O97*'WINA Model'!$B$63+'WINA Model'!$B$73+'WINA Model'!$B$74</x:f>
        <x:v>72.3399</x:v>
      </x:c>
      <x:c r="Z97" t="n">
        <x:f>F97*'WINA Model'!$C$62+P97*'WINA Model'!$C$63+'WINA Model'!$C$73+'WINA Model'!$C$74</x:f>
        <x:v>97.73001900000001</x:v>
      </x:c>
      <x:c r="AA97" t="n">
        <x:f>G97*'WINA Model'!$D$62+Q97*'WINA Model'!$D$63+'WINA Model'!$D$73+'WINA Model'!$D$74</x:f>
        <x:v>132.02292648000002</x:v>
      </x:c>
      <x:c r="AB97" t="n">
        <x:f>H97*'WINA Model'!$E$62+R97*'WINA Model'!$E$63+'WINA Model'!$E$73+'WINA Model'!$E$74</x:f>
        <x:v>178.3374208500001</x:v>
      </x:c>
      <x:c r="AC97" t="n">
        <x:f>I97*'WINA Model'!$F$62+S97*'WINA Model'!$F$63+'WINA Model'!$F$73+'WINA Model'!$F$74</x:f>
        <x:v>240.8839210905121</x:v>
      </x:c>
      <x:c r="AD97" t="n">
        <x:f>AX97*$AC97/$AW97</x:f>
        <x:v>307.608767232584</x:v>
      </x:c>
      <x:c r="AE97" t="n">
        <x:f>AY97*$AC97/$AW97</x:f>
        <x:v>373.437043420357</x:v>
      </x:c>
      <x:c r="AF97" t="n">
        <x:f>AZ97*$AC97/$AW97</x:f>
        <x:v>429.8260369768309</x:v>
      </x:c>
      <x:c r="AG97" t="n">
        <x:f>BA97*$AC97/$AW97</x:f>
        <x:v>467.650728230792</x:v>
      </x:c>
      <x:c r="AH97" t="n">
        <x:f>BB97*$AC97/$AW97</x:f>
        <x:v>479.3419964365618</x:v>
      </x:c>
      <x:c r="AI97" t="n">
        <x:f>Y97*(1-'Assumptions'!$F$6)+AS97*'Assumptions'!$G$6-AS97*'WINA Model'!$B$65-(AS97-'Inputs'!$C$14)*'Assumptions'!$H$6-'Assumptions'!$I$6</x:f>
        <x:v>51.174594000000006</x:v>
      </x:c>
      <x:c r="AJ97" t="n">
        <x:f>Z97*(1-'Assumptions'!$F$6)+AT97*'Assumptions'!$G$6-AT97*'WINA Model'!$C$65-(AT97-AS97)*'Assumptions'!$H$6-0</x:f>
        <x:v>69.97236924000002</x:v>
      </x:c>
      <x:c r="AK97" t="n">
        <x:f>AA97*(1-'Assumptions'!$F$6)+AU97*'Assumptions'!$G$6-AU97*'WINA Model'!$D$65-(AU97-AT97)*'Assumptions'!$H$6-0</x:f>
        <x:v>95.63684857680002</x:v>
      </x:c>
      <x:c r="AL97" t="n">
        <x:f>AB97*(1-'Assumptions'!$F$6)+AV97*'Assumptions'!$G$6-AV97*'WINA Model'!$E$65-(AV97-AU97)*'Assumptions'!$H$6-0</x:f>
        <x:v>130.09368823176007</x:v>
      </x:c>
      <x:c r="AM97" t="n">
        <x:f>AC97*(1-'Assumptions'!$F$6)+AW97*'Assumptions'!$G$6-AW97*'WINA Model'!$F$65-(AW97-AV97)*'Assumptions'!$H$6-0</x:f>
        <x:v>176.5432037263124</x:v>
      </x:c>
      <x:c r="AN97" t="n">
        <x:f>AD97*(1-'Assumptions'!$F$6)+AX97*'Assumptions'!$G$6-AX97*'WINA Model'!$G$65-(AX97-AW97)*'Assumptions'!$H$6-0</x:f>
        <x:v>225.80519939893458</x:v>
      </x:c>
      <x:c r="AO97" t="n">
        <x:f>AE97*(1-'Assumptions'!$F$6)+AY97*'Assumptions'!$G$6-AY97*'WINA Model'!$H$65-(AY97-AX97)*'Assumptions'!$H$6-0</x:f>
        <x:v>274.6092799124876</x:v>
      </x:c>
      <x:c r="AP97" t="n">
        <x:f>AF97*(1-'Assumptions'!$F$6)+AZ97*'Assumptions'!$G$6-AZ97*'WINA Model'!$I$65-(AZ97-AY97)*'Assumptions'!$H$6-0</x:f>
        <x:v>316.69049871373835</x:v>
      </x:c>
      <x:c r="AQ97" t="n">
        <x:f>AG97*(1-'Assumptions'!$F$6)+BA97*'Assumptions'!$G$6-BA97*'WINA Model'!$J$65-(BA97-AZ97)*'Assumptions'!$H$6-0</x:f>
        <x:v>345.3061366873881</x:v>
      </x:c>
      <x:c r="AR97" t="n">
        <x:f>AH97*(1-'Assumptions'!$F$6)+BB97*'Assumptions'!$G$6-BB97*'WINA Model'!$K$65-(BB97-BA97)*'Assumptions'!$H$6-0</x:f>
        <x:v>354.7984421785264</x:v>
      </x:c>
      <x:c r="AS97" t="n">
        <x:f>E97+O97</x:f>
        <x:v>118.59</x:v>
      </x:c>
      <x:c r="AT97" t="n">
        <x:f>F97+P97</x:f>
        <x:v>158.91060000000002</x:v>
      </x:c>
      <x:c r="AU97" t="n">
        <x:f>G97+Q97</x:f>
        <x:v>212.94020400000005</x:v>
      </x:c>
      <x:c r="AV97" t="n">
        <x:f>H97+R97</x:f>
        <x:v>285.3398733600001</x:v>
      </x:c>
      <x:c r="AW97" t="n">
        <x:f>I97+S97</x:f>
        <x:v>382.3554303024002</x:v>
      </x:c>
      <x:c r="AX97" t="n">
        <x:f>J97+T97</x:f>
        <x:v>488.2678844961651</x:v>
      </x:c>
      <x:c r="AY97" t="n">
        <x:f>K97+U97</x:f>
        <x:v>592.7572117783444</x:v>
      </x:c>
      <x:c r="AZ97" t="n">
        <x:f>L97+V97</x:f>
        <x:v>682.2635507568745</x:v>
      </x:c>
      <x:c r="BA97" t="n">
        <x:f>M97+W97</x:f>
        <x:v>742.3027432234794</x:v>
      </x:c>
      <x:c r="BB97" t="n">
        <x:f>N97+X97</x:f>
        <x:v>760.8603118040663</x:v>
      </x:c>
      <x:c r="BC97" t="n">
        <x:f>AS97/'Inputs'!$C$14-1</x:f>
        <x:v>0.3400000000000001</x:v>
      </x:c>
      <x:c r="BD97" t="n">
        <x:f>AT97/AS97-1</x:f>
        <x:v>0.3400000000000001</x:v>
      </x:c>
      <x:c r="BE97" t="n">
        <x:f>AU97/AT97-1</x:f>
        <x:v>0.3400000000000001</x:v>
      </x:c>
      <x:c r="BF97" t="n">
        <x:f>AV97/AU97-1</x:f>
        <x:v>0.3400000000000003</x:v>
      </x:c>
      <x:c r="BG97" t="n">
        <x:f>AW97/AV97-1</x:f>
        <x:v>0.3400000000000001</x:v>
      </x:c>
      <x:c r="BH97" t="n">
        <x:f>AX97/AW97-1</x:f>
        <x:v>0.27700000000000014</x:v>
      </x:c>
      <x:c r="BI97" t="n">
        <x:f>AY97/AX97-1</x:f>
        <x:v>0.21399999999999997</x:v>
      </x:c>
      <x:c r="BJ97" t="n">
        <x:f>AZ97/AY97-1</x:f>
        <x:v>0.15100000000000002</x:v>
      </x:c>
      <x:c r="BK97" t="n">
        <x:f>BA97/AZ97-1</x:f>
        <x:v>0.08800000000000008</x:v>
      </x:c>
      <x:c r="BL97" t="n">
        <x:f>BB97/BA97-1</x:f>
        <x:v>0.02499999999999991</x:v>
      </x:c>
      <x:c r="BM97" t="n">
        <x:f>AH97*(1-'Assumptions'!$F$6)*(1+'Assumptions'!$D$6)*(1-'Assumptions'!$D$6/'Assumptions'!$E$6)</x:f>
        <x:v>346.73545699379</x:v>
      </x:c>
      <x:c r="BN97" t="n">
        <x:f>SUMPRODUCT(AI97:AR97,'WINA Model'!$B$83:$K$83)+BM97/('Assumptions'!$C$6-'Assumptions'!$D$6)*'WINA Model'!$K$83</x:f>
        <x:v>2856.450956744078</x:v>
      </x:c>
      <x:c r="BO97" t="n">
        <x:f>'WINA Model'!$B$94</x:f>
        <x:v>-42.825500000000005</x:v>
      </x:c>
      <x:c r="BP97" t="n">
        <x:f>'Inputs'!$C$8</x:f>
        <x:v>3.701516</x:v>
      </x:c>
    </x:row>
    <x:row r="98">
      <x:c r="A98" t="str">
        <x:v>WINA</x:v>
      </x:c>
      <x:c r="B98" s="22" t="n">
        <x:v>0.35</x:v>
      </x:c>
      <x:c r="C98" s="42" t="n">
        <x:f>(BN98+BO98)/BP98</x:f>
        <x:v>798.989058426146</x:v>
      </x:c>
      <x:c r="D98" s="22" t="n">
        <x:f>C98/'Inputs'!$C$5-1</x:f>
        <x:v>1.5112017425468962</x:v>
      </x:c>
      <x:c r="E98" t="n">
        <x:f>'Inputs'!$C$14*(1+$B98)^1</x:f>
        <x:v>119.47500000000001</x:v>
      </x:c>
      <x:c r="F98" t="n">
        <x:f>'Inputs'!$C$14*(1+$B98)^2</x:f>
        <x:v>161.29125000000002</x:v>
      </x:c>
      <x:c r="G98" t="n">
        <x:f>'Inputs'!$C$14*(1+$B98)^3</x:f>
        <x:v>217.74318750000003</x:v>
      </x:c>
      <x:c r="H98" t="n">
        <x:f>'Inputs'!$C$14*(1+$B98)^4</x:f>
        <x:v>293.9533031250001</x:v>
      </x:c>
      <x:c r="I98" t="n">
        <x:f>'Inputs'!$C$14*(1+$B98)^5</x:f>
        <x:v>396.83695921875017</x:v>
      </x:c>
      <x:c r="J98" t="n">
        <x:f>I98*(1+($BG98+('Assumptions'!$D$6-$BG98)*(6-5)/5))</x:f>
        <x:v>509.93549259609404</x:v>
      </x:c>
      <x:c r="K98" t="n">
        <x:f>J98*(1+($BG98+('Assumptions'!$D$6-$BG98)*(7-5)/5))</x:f>
        <x:v>622.1213009672347</x:v>
      </x:c>
      <x:c r="L98" t="n">
        <x:f>K98*(1+($BG98+('Assumptions'!$D$6-$BG98)*(8-5)/5))</x:f>
        <x:v>718.5501026171561</x:v>
      </x:c>
      <x:c r="M98" t="n">
        <x:f>L98*(1+($BG98+('Assumptions'!$D$6-$BG98)*(9-5)/5))</x:f>
        <x:v>783.2196118527002</x:v>
      </x:c>
      <x:c r="N98" t="n">
        <x:f>M98*(1+($BG98+('Assumptions'!$D$6-$BG98)*(10-5)/5))</x:f>
        <x:v>802.8001021490176</x:v>
      </x:c>
      <x:c r="O98" t="n">
        <x:f>0</x:f>
        <x:v>0</x:v>
      </x:c>
      <x:c r="P98" t="n">
        <x:f>0</x:f>
        <x:v>0</x:v>
      </x:c>
      <x:c r="Q98" t="n">
        <x:f>0</x:f>
        <x:v>0</x:v>
      </x:c>
      <x:c r="R98" t="n">
        <x:f>0</x:f>
        <x:v>0</x:v>
      </x:c>
      <x:c r="S98" t="n">
        <x:f>0</x:f>
        <x:v>0</x:v>
      </x:c>
      <x:c r="T98" t="n">
        <x:f>S98*(1+($BG98+('Assumptions'!$D$6-$BG98)*(6-5)/5))</x:f>
        <x:v>0</x:v>
      </x:c>
      <x:c r="U98" t="n">
        <x:f>T98*(1+($BG98+('Assumptions'!$D$6-$BG98)*(7-5)/5))</x:f>
        <x:v>0</x:v>
      </x:c>
      <x:c r="V98" t="n">
        <x:f>U98*(1+($BG98+('Assumptions'!$D$6-$BG98)*(8-5)/5))</x:f>
        <x:v>0</x:v>
      </x:c>
      <x:c r="W98" t="n">
        <x:f>V98*(1+($BG98+('Assumptions'!$D$6-$BG98)*(9-5)/5))</x:f>
        <x:v>0</x:v>
      </x:c>
      <x:c r="X98" t="n">
        <x:f>W98*(1+($BG98+('Assumptions'!$D$6-$BG98)*(10-5)/5))</x:f>
        <x:v>0</x:v>
      </x:c>
      <x:c r="Y98" t="n">
        <x:f>E98*'WINA Model'!$B$62+O98*'WINA Model'!$B$63+'WINA Model'!$B$73+'WINA Model'!$B$74</x:f>
        <x:v>72.87975</x:v>
      </x:c>
      <x:c r="Z98" t="n">
        <x:f>F98*'WINA Model'!$C$62+P98*'WINA Model'!$C$63+'WINA Model'!$C$73+'WINA Model'!$C$74</x:f>
        <x:v>99.19411875000002</x:v>
      </x:c>
      <x:c r="AA98" t="n">
        <x:f>G98*'WINA Model'!$D$62+Q98*'WINA Model'!$D$63+'WINA Model'!$D$73+'WINA Model'!$D$74</x:f>
        <x:v>135.00077625000003</x:v>
      </x:c>
      <x:c r="AB98" t="n">
        <x:f>H98*'WINA Model'!$E$62+R98*'WINA Model'!$E$63+'WINA Model'!$E$73+'WINA Model'!$E$74</x:f>
        <x:v>183.72081445312506</x:v>
      </x:c>
      <x:c r="AC98" t="n">
        <x:f>I98*'WINA Model'!$F$62+S98*'WINA Model'!$F$63+'WINA Model'!$F$73+'WINA Model'!$F$74</x:f>
        <x:v>250.0072843078126</x:v>
      </x:c>
      <x:c r="AD98" t="n">
        <x:f>AX98*$AC98/$AW98</x:f>
        <x:v>321.2593603355392</x:v>
      </x:c>
      <x:c r="AE98" t="n">
        <x:f>AY98*$AC98/$AW98</x:f>
        <x:v>391.9364196093578</x:v>
      </x:c>
      <x:c r="AF98" t="n">
        <x:f>AZ98*$AC98/$AW98</x:f>
        <x:v>452.6865646488083</x:v>
      </x:c>
      <x:c r="AG98" t="n">
        <x:f>BA98*$AC98/$AW98</x:f>
        <x:v>493.4283554672011</x:v>
      </x:c>
      <x:c r="AH98" t="n">
        <x:f>BB98*$AC98/$AW98</x:f>
        <x:v>505.76406435388105</x:v>
      </x:c>
      <x:c r="AI98" t="n">
        <x:f>Y98*(1-'Assumptions'!$F$6)+AS98*'Assumptions'!$G$6-AS98*'WINA Model'!$B$65-(AS98-'Inputs'!$C$14)*'Assumptions'!$H$6-'Assumptions'!$I$6</x:f>
        <x:v>51.543285</x:v>
      </x:c>
      <x:c r="AJ98" t="n">
        <x:f>Z98*(1-'Assumptions'!$F$6)+AT98*'Assumptions'!$G$6-AT98*'WINA Model'!$C$65-(AT98-AS98)*'Assumptions'!$H$6-0</x:f>
        <x:v>71.00279775</x:v>
      </x:c>
      <x:c r="AK98" t="n">
        <x:f>AA98*(1-'Assumptions'!$F$6)+AU98*'Assumptions'!$G$6-AU98*'WINA Model'!$D$65-(AU98-AT98)*'Assumptions'!$H$6-0</x:f>
        <x:v>97.76991701250002</x:v>
      </x:c>
      <x:c r="AL98" t="n">
        <x:f>AB98*(1-'Assumptions'!$F$6)+AV98*'Assumptions'!$G$6-AV98*'WINA Model'!$E$65-(AV98-AU98)*'Assumptions'!$H$6-0</x:f>
        <x:v>133.98827042812505</x:v>
      </x:c>
      <x:c r="AM98" t="n">
        <x:f>AC98*(1-'Assumptions'!$F$6)+AW98*'Assumptions'!$G$6-AW98*'WINA Model'!$F$65-(AW98-AV98)*'Assumptions'!$H$6-0</x:f>
        <x:v>183.18581944143756</x:v>
      </x:c>
      <x:c r="AN98" t="n">
        <x:f>AD98*(1-'Assumptions'!$F$6)+AX98*'Assumptions'!$G$6-AX98*'WINA Model'!$G$65-(AX98-AW98)*'Assumptions'!$H$6-0</x:f>
        <x:v>235.7759172763098</x:v>
      </x:c>
      <x:c r="AO98" t="n">
        <x:f>AE98*(1-'Assumptions'!$F$6)+AY98*'Assumptions'!$G$6-AY98*'WINA Model'!$H$65-(AY98-AX98)*'Assumptions'!$H$6-0</x:f>
        <x:v>288.16250712408237</x:v>
      </x:c>
      <x:c r="AP98" t="n">
        <x:f>AF98*(1-'Assumptions'!$F$6)+AZ98*'Assumptions'!$G$6-AZ98*'WINA Model'!$I$65-(AZ98-AY98)*'Assumptions'!$H$6-0</x:f>
        <x:v>333.49061186869005</x:v>
      </x:c>
      <x:c r="AQ98" t="n">
        <x:f>AG98*(1-'Assumptions'!$F$6)+BA98*'Assumptions'!$G$6-BA98*'WINA Model'!$J$65-(BA98-AZ98)*'Assumptions'!$H$6-0</x:f>
        <x:v>364.3135246281295</x:v>
      </x:c>
      <x:c r="AR98" t="n">
        <x:f>AH98*(1-'Assumptions'!$F$6)+BB98*'Assumptions'!$G$6-BB98*'WINA Model'!$K$65-(BB98-BA98)*'Assumptions'!$H$6-0</x:f>
        <x:v>374.355477877235</x:v>
      </x:c>
      <x:c r="AS98" t="n">
        <x:f>E98+O98</x:f>
        <x:v>119.47500000000001</x:v>
      </x:c>
      <x:c r="AT98" t="n">
        <x:f>F98+P98</x:f>
        <x:v>161.29125000000002</x:v>
      </x:c>
      <x:c r="AU98" t="n">
        <x:f>G98+Q98</x:f>
        <x:v>217.74318750000003</x:v>
      </x:c>
      <x:c r="AV98" t="n">
        <x:f>H98+R98</x:f>
        <x:v>293.9533031250001</x:v>
      </x:c>
      <x:c r="AW98" t="n">
        <x:f>I98+S98</x:f>
        <x:v>396.83695921875017</x:v>
      </x:c>
      <x:c r="AX98" t="n">
        <x:f>J98+T98</x:f>
        <x:v>509.93549259609404</x:v>
      </x:c>
      <x:c r="AY98" t="n">
        <x:f>K98+U98</x:f>
        <x:v>622.1213009672347</x:v>
      </x:c>
      <x:c r="AZ98" t="n">
        <x:f>L98+V98</x:f>
        <x:v>718.5501026171561</x:v>
      </x:c>
      <x:c r="BA98" t="n">
        <x:f>M98+W98</x:f>
        <x:v>783.2196118527002</x:v>
      </x:c>
      <x:c r="BB98" t="n">
        <x:f>N98+X98</x:f>
        <x:v>802.8001021490176</x:v>
      </x:c>
      <x:c r="BC98" t="n">
        <x:f>AS98/'Inputs'!$C$14-1</x:f>
        <x:v>0.3500000000000001</x:v>
      </x:c>
      <x:c r="BD98" t="n">
        <x:f>AT98/AS98-1</x:f>
        <x:v>0.3500000000000001</x:v>
      </x:c>
      <x:c r="BE98" t="n">
        <x:f>AU98/AT98-1</x:f>
        <x:v>0.3500000000000001</x:v>
      </x:c>
      <x:c r="BF98" t="n">
        <x:f>AV98/AU98-1</x:f>
        <x:v>0.3500000000000003</x:v>
      </x:c>
      <x:c r="BG98" t="n">
        <x:f>AW98/AV98-1</x:f>
        <x:v>0.3500000000000001</x:v>
      </x:c>
      <x:c r="BH98" t="n">
        <x:f>AX98/AW98-1</x:f>
        <x:v>0.28500000000000014</x:v>
      </x:c>
      <x:c r="BI98" t="n">
        <x:f>AY98/AX98-1</x:f>
        <x:v>0.21999999999999997</x:v>
      </x:c>
      <x:c r="BJ98" t="n">
        <x:f>AZ98/AY98-1</x:f>
        <x:v>0.15500000000000003</x:v>
      </x:c>
      <x:c r="BK98" t="n">
        <x:f>BA98/AZ98-1</x:f>
        <x:v>0.09000000000000008</x:v>
      </x:c>
      <x:c r="BL98" t="n">
        <x:f>BB98/BA98-1</x:f>
        <x:v>0.02499999999999991</x:v>
      </x:c>
      <x:c r="BM98" t="n">
        <x:f>AH98*(1-'Assumptions'!$F$6)*(1+'Assumptions'!$D$6)*(1-'Assumptions'!$D$6/'Assumptions'!$E$6)</x:f>
        <x:v>365.8480485508395</x:v>
      </x:c>
      <x:c r="BN98" t="n">
        <x:f>SUMPRODUCT(AI98:AR98,'WINA Model'!$B$83:$K$83)+BM98/('Assumptions'!$C$6-'Assumptions'!$D$6)*'WINA Model'!$K$83</x:f>
        <x:v>3000.296283589314</x:v>
      </x:c>
      <x:c r="BO98" t="n">
        <x:f>'WINA Model'!$B$94</x:f>
        <x:v>-42.825500000000005</x:v>
      </x:c>
      <x:c r="BP98" t="n">
        <x:f>'Inputs'!$C$8</x:f>
        <x:v>3.701516</x:v>
      </x:c>
    </x:row>
    <x:row r="99">
      <x:c r="A99" t="str">
        <x:v>WINA</x:v>
      </x:c>
      <x:c r="B99" s="22" t="n">
        <x:v>0.36</x:v>
      </x:c>
      <x:c r="C99" s="42" t="n">
        <x:f>(BN99+BO99)/BP99</x:f>
        <x:v>839.6148888018245</x:v>
      </x:c>
      <x:c r="D99" s="22" t="n">
        <x:f>C99/'Inputs'!$C$5-1</x:f>
        <x:v>1.6388876663476268</x:v>
      </x:c>
      <x:c r="E99" t="n">
        <x:f>'Inputs'!$C$14*(1+$B99)^1</x:f>
        <x:v>120.35999999999999</x:v>
      </x:c>
      <x:c r="F99" t="n">
        <x:f>'Inputs'!$C$14*(1+$B99)^2</x:f>
        <x:v>163.68959999999998</x:v>
      </x:c>
      <x:c r="G99" t="n">
        <x:f>'Inputs'!$C$14*(1+$B99)^3</x:f>
        <x:v>222.61785599999996</x:v>
      </x:c>
      <x:c r="H99" t="n">
        <x:f>'Inputs'!$C$14*(1+$B99)^4</x:f>
        <x:v>302.7602841599999</x:v>
      </x:c>
      <x:c r="I99" t="n">
        <x:f>'Inputs'!$C$14*(1+$B99)^5</x:f>
        <x:v>411.75398645759986</x:v>
      </x:c>
      <x:c r="J99" t="n">
        <x:f>I99*(1+($BG99+('Assumptions'!$D$6-$BG99)*(6-5)/5))</x:f>
        <x:v>532.3979044896766</x:v>
      </x:c>
      <x:c r="K99" t="n">
        <x:f>J99*(1+($BG99+('Assumptions'!$D$6-$BG99)*(7-5)/5))</x:f>
        <x:v>652.7198309043436</x:v>
      </x:c>
      <x:c r="L99" t="n">
        <x:f>K99*(1+($BG99+('Assumptions'!$D$6-$BG99)*(8-5)/5))</x:f>
        <x:v>756.5022840181342</x:v>
      </x:c>
      <x:c r="M99" t="n">
        <x:f>L99*(1+($BG99+('Assumptions'!$D$6-$BG99)*(9-5)/5))</x:f>
        <x:v>826.1004941478026</x:v>
      </x:c>
      <x:c r="N99" t="n">
        <x:f>M99*(1+($BG99+('Assumptions'!$D$6-$BG99)*(10-5)/5))</x:f>
        <x:v>846.7530065014976</x:v>
      </x:c>
      <x:c r="O99" t="n">
        <x:f>0</x:f>
        <x:v>0</x:v>
      </x:c>
      <x:c r="P99" t="n">
        <x:f>0</x:f>
        <x:v>0</x:v>
      </x:c>
      <x:c r="Q99" t="n">
        <x:f>0</x:f>
        <x:v>0</x:v>
      </x:c>
      <x:c r="R99" t="n">
        <x:f>0</x:f>
        <x:v>0</x:v>
      </x:c>
      <x:c r="S99" t="n">
        <x:f>0</x:f>
        <x:v>0</x:v>
      </x:c>
      <x:c r="T99" t="n">
        <x:f>S99*(1+($BG99+('Assumptions'!$D$6-$BG99)*(6-5)/5))</x:f>
        <x:v>0</x:v>
      </x:c>
      <x:c r="U99" t="n">
        <x:f>T99*(1+($BG99+('Assumptions'!$D$6-$BG99)*(7-5)/5))</x:f>
        <x:v>0</x:v>
      </x:c>
      <x:c r="V99" t="n">
        <x:f>U99*(1+($BG99+('Assumptions'!$D$6-$BG99)*(8-5)/5))</x:f>
        <x:v>0</x:v>
      </x:c>
      <x:c r="W99" t="n">
        <x:f>V99*(1+($BG99+('Assumptions'!$D$6-$BG99)*(9-5)/5))</x:f>
        <x:v>0</x:v>
      </x:c>
      <x:c r="X99" t="n">
        <x:f>W99*(1+($BG99+('Assumptions'!$D$6-$BG99)*(10-5)/5))</x:f>
        <x:v>0</x:v>
      </x:c>
      <x:c r="Y99" t="n">
        <x:f>E99*'WINA Model'!$B$62+O99*'WINA Model'!$B$63+'WINA Model'!$B$73+'WINA Model'!$B$74</x:f>
        <x:v>73.41959999999999</x:v>
      </x:c>
      <x:c r="Z99" t="n">
        <x:f>F99*'WINA Model'!$C$62+P99*'WINA Model'!$C$63+'WINA Model'!$C$73+'WINA Model'!$C$74</x:f>
        <x:v>100.66910399999999</x:v>
      </x:c>
      <x:c r="AA99" t="n">
        <x:f>G99*'WINA Model'!$D$62+Q99*'WINA Model'!$D$63+'WINA Model'!$D$73+'WINA Model'!$D$74</x:f>
        <x:v>138.02307071999996</x:v>
      </x:c>
      <x:c r="AB99" t="n">
        <x:f>H99*'WINA Model'!$E$62+R99*'WINA Model'!$E$63+'WINA Model'!$E$73+'WINA Model'!$E$74</x:f>
        <x:v>189.22517759999994</x:v>
      </x:c>
      <x:c r="AC99" t="n">
        <x:f>I99*'WINA Model'!$F$62+S99*'WINA Model'!$F$63+'WINA Model'!$F$73+'WINA Model'!$F$74</x:f>
        <x:v>259.4050114682879</x:v>
      </x:c>
      <x:c r="AD99" t="n">
        <x:f>AX99*$AC99/$AW99</x:f>
        <x:v>335.4106798284963</x:v>
      </x:c>
      <x:c r="AE99" t="n">
        <x:f>AY99*$AC99/$AW99</x:f>
        <x:v>411.2134934697364</x:v>
      </x:c>
      <x:c r="AF99" t="n">
        <x:f>AZ99*$AC99/$AW99</x:f>
        <x:v>476.5964389314246</x:v>
      </x:c>
      <x:c r="AG99" t="n">
        <x:f>BA99*$AC99/$AW99</x:f>
        <x:v>520.4433113131156</x:v>
      </x:c>
      <x:c r="AH99" t="n">
        <x:f>BB99*$AC99/$AW99</x:f>
        <x:v>533.4543940959435</x:v>
      </x:c>
      <x:c r="AI99" t="n">
        <x:f>Y99*(1-'Assumptions'!$F$6)+AS99*'Assumptions'!$G$6-AS99*'WINA Model'!$B$65-(AS99-'Inputs'!$C$14)*'Assumptions'!$H$6-'Assumptions'!$I$6</x:f>
        <x:v>51.91197599999999</x:v>
      </x:c>
      <x:c r="AJ99" t="n">
        <x:f>Z99*(1-'Assumptions'!$F$6)+AT99*'Assumptions'!$G$6-AT99*'WINA Model'!$C$65-(AT99-AS99)*'Assumptions'!$H$6-0</x:f>
        <x:v>72.04075584</x:v>
      </x:c>
      <x:c r="AK99" t="n">
        <x:f>AA99*(1-'Assumptions'!$F$6)+AU99*'Assumptions'!$G$6-AU99*'WINA Model'!$D$65-(AU99-AT99)*'Assumptions'!$H$6-0</x:f>
        <x:v>99.93446507519997</x:v>
      </x:c>
      <x:c r="AL99" t="n">
        <x:f>AB99*(1-'Assumptions'!$F$6)+AV99*'Assumptions'!$G$6-AV99*'WINA Model'!$E$65-(AV99-AU99)*'Assumptions'!$H$6-0</x:f>
        <x:v>137.96964243455994</x:v>
      </x:c>
      <x:c r="AM99" t="n">
        <x:f>AC99*(1-'Assumptions'!$F$6)+AW99*'Assumptions'!$G$6-AW99*'WINA Model'!$F$65-(AW99-AV99)*'Assumptions'!$H$6-0</x:f>
        <x:v>190.0268868324556</x:v>
      </x:c>
      <x:c r="AN99" t="n">
        <x:f>AD99*(1-'Assumptions'!$F$6)+AX99*'Assumptions'!$G$6-AX99*'WINA Model'!$G$65-(AX99-AW99)*'Assumptions'!$H$6-0</x:f>
        <x:v>246.11046345513952</x:v>
      </x:c>
      <x:c r="AO99" t="n">
        <x:f>AE99*(1-'Assumptions'!$F$6)+AY99*'Assumptions'!$G$6-AY99*'WINA Model'!$H$65-(AY99-AX99)*'Assumptions'!$H$6-0</x:f>
        <x:v>302.28317853785427</x:v>
      </x:c>
      <x:c r="AP99" t="n">
        <x:f>AF99*(1-'Assumptions'!$F$6)+AZ99*'Assumptions'!$G$6-AZ99*'WINA Model'!$I$65-(AZ99-AY99)*'Assumptions'!$H$6-0</x:f>
        <x:v>351.0596171173892</x:v>
      </x:c>
      <x:c r="AQ99" t="n">
        <x:f>AG99*(1-'Assumptions'!$F$6)+BA99*'Assumptions'!$G$6-BA99*'WINA Model'!$J$65-(BA99-AZ99)*'Assumptions'!$H$6-0</x:f>
        <x:v>384.23174646560085</x:v>
      </x:c>
      <x:c r="AR99" t="n">
        <x:f>AH99*(1-'Assumptions'!$F$6)+BB99*'Assumptions'!$G$6-BB99*'WINA Model'!$K$65-(BB99-BA99)*'Assumptions'!$H$6-0</x:f>
        <x:v>394.85125318782514</x:v>
      </x:c>
      <x:c r="AS99" t="n">
        <x:f>E99+O99</x:f>
        <x:v>120.35999999999999</x:v>
      </x:c>
      <x:c r="AT99" t="n">
        <x:f>F99+P99</x:f>
        <x:v>163.68959999999998</x:v>
      </x:c>
      <x:c r="AU99" t="n">
        <x:f>G99+Q99</x:f>
        <x:v>222.61785599999996</x:v>
      </x:c>
      <x:c r="AV99" t="n">
        <x:f>H99+R99</x:f>
        <x:v>302.7602841599999</x:v>
      </x:c>
      <x:c r="AW99" t="n">
        <x:f>I99+S99</x:f>
        <x:v>411.75398645759986</x:v>
      </x:c>
      <x:c r="AX99" t="n">
        <x:f>J99+T99</x:f>
        <x:v>532.3979044896766</x:v>
      </x:c>
      <x:c r="AY99" t="n">
        <x:f>K99+U99</x:f>
        <x:v>652.7198309043436</x:v>
      </x:c>
      <x:c r="AZ99" t="n">
        <x:f>L99+V99</x:f>
        <x:v>756.5022840181342</x:v>
      </x:c>
      <x:c r="BA99" t="n">
        <x:f>M99+W99</x:f>
        <x:v>826.1004941478026</x:v>
      </x:c>
      <x:c r="BB99" t="n">
        <x:f>N99+X99</x:f>
        <x:v>846.7530065014976</x:v>
      </x:c>
      <x:c r="BC99" t="n">
        <x:f>AS99/'Inputs'!$C$14-1</x:f>
        <x:v>0.3599999999999999</x:v>
      </x:c>
      <x:c r="BD99" t="n">
        <x:f>AT99/AS99-1</x:f>
        <x:v>0.3600000000000001</x:v>
      </x:c>
      <x:c r="BE99" t="n">
        <x:f>AU99/AT99-1</x:f>
        <x:v>0.3599999999999999</x:v>
      </x:c>
      <x:c r="BF99" t="n">
        <x:f>AV99/AU99-1</x:f>
        <x:v>0.3599999999999999</x:v>
      </x:c>
      <x:c r="BG99" t="n">
        <x:f>AW99/AV99-1</x:f>
        <x:v>0.3599999999999999</x:v>
      </x:c>
      <x:c r="BH99" t="n">
        <x:f>AX99/AW99-1</x:f>
        <x:v>0.29300000000000015</x:v>
      </x:c>
      <x:c r="BI99" t="n">
        <x:f>AY99/AX99-1</x:f>
        <x:v>0.22599999999999998</x:v>
      </x:c>
      <x:c r="BJ99" t="n">
        <x:f>AZ99/AY99-1</x:f>
        <x:v>0.15900000000000003</x:v>
      </x:c>
      <x:c r="BK99" t="n">
        <x:f>BA99/AZ99-1</x:f>
        <x:v>0.09200000000000008</x:v>
      </x:c>
      <x:c r="BL99" t="n">
        <x:f>BB99/BA99-1</x:f>
        <x:v>0.02499999999999991</x:v>
      </x:c>
      <x:c r="BM99" t="n">
        <x:f>AH99*(1-'Assumptions'!$F$6)*(1+'Assumptions'!$D$6)*(1-'Assumptions'!$D$6/'Assumptions'!$E$6)</x:f>
        <x:v>385.87804635782993</x:v>
      </x:c>
      <x:c r="BN99" t="n">
        <x:f>SUMPRODUCT(AI99:AR99,'WINA Model'!$B$83:$K$83)+BM99/('Assumptions'!$C$6-'Assumptions'!$D$6)*'WINA Model'!$K$83</x:f>
        <x:v>3150.6734447381737</x:v>
      </x:c>
      <x:c r="BO99" t="n">
        <x:f>'WINA Model'!$B$94</x:f>
        <x:v>-42.825500000000005</x:v>
      </x:c>
      <x:c r="BP99" t="n">
        <x:f>'Inputs'!$C$8</x:f>
        <x:v>3.701516</x:v>
      </x:c>
    </x:row>
    <x:row r="100">
      <x:c r="A100" t="str">
        <x:v>WINA</x:v>
      </x:c>
      <x:c r="B100" s="22" t="n">
        <x:v>0.37</x:v>
      </x:c>
      <x:c r="C100" s="42" t="n">
        <x:f>(BN100+BO100)/BP100</x:f>
        <x:v>882.0750710449098</x:v>
      </x:c>
      <x:c r="D100" s="22" t="n">
        <x:f>C100/'Inputs'!$C$5-1</x:f>
        <x:v>1.7723389101578078</x:v>
      </x:c>
      <x:c r="E100" t="n">
        <x:f>'Inputs'!$C$14*(1+$B100)^1</x:f>
        <x:v>121.245</x:v>
      </x:c>
      <x:c r="F100" t="n">
        <x:f>'Inputs'!$C$14*(1+$B100)^2</x:f>
        <x:v>166.10565000000003</x:v>
      </x:c>
      <x:c r="G100" t="n">
        <x:f>'Inputs'!$C$14*(1+$B100)^3</x:f>
        <x:v>227.56474050000006</x:v>
      </x:c>
      <x:c r="H100" t="n">
        <x:f>'Inputs'!$C$14*(1+$B100)^4</x:f>
        <x:v>311.7636944850001</x:v>
      </x:c>
      <x:c r="I100" t="n">
        <x:f>'Inputs'!$C$14*(1+$B100)^5</x:f>
        <x:v>427.1162614444502</x:v>
      </x:c>
      <x:c r="J100" t="n">
        <x:f>I100*(1+($BG100+('Assumptions'!$D$6-$BG100)*(6-5)/5))</x:f>
        <x:v>555.6782561392297</x:v>
      </x:c>
      <x:c r="K100" t="n">
        <x:f>J100*(1+($BG100+('Assumptions'!$D$6-$BG100)*(7-5)/5))</x:f>
        <x:v>684.595611563531</x:v>
      </x:c>
      <x:c r="L100" t="n">
        <x:f>K100*(1+($BG100+('Assumptions'!$D$6-$BG100)*(8-5)/5))</x:f>
        <x:v>796.1846962483866</x:v>
      </x:c>
      <x:c r="M100" t="n">
        <x:f>L100*(1+($BG100+('Assumptions'!$D$6-$BG100)*(9-5)/5))</x:f>
        <x:v>871.026057695735</x:v>
      </x:c>
      <x:c r="N100" t="n">
        <x:f>M100*(1+($BG100+('Assumptions'!$D$6-$BG100)*(10-5)/5))</x:f>
        <x:v>892.8017091381282</x:v>
      </x:c>
      <x:c r="O100" t="n">
        <x:f>0</x:f>
        <x:v>0</x:v>
      </x:c>
      <x:c r="P100" t="n">
        <x:f>0</x:f>
        <x:v>0</x:v>
      </x:c>
      <x:c r="Q100" t="n">
        <x:f>0</x:f>
        <x:v>0</x:v>
      </x:c>
      <x:c r="R100" t="n">
        <x:f>0</x:f>
        <x:v>0</x:v>
      </x:c>
      <x:c r="S100" t="n">
        <x:f>0</x:f>
        <x:v>0</x:v>
      </x:c>
      <x:c r="T100" t="n">
        <x:f>S100*(1+($BG100+('Assumptions'!$D$6-$BG100)*(6-5)/5))</x:f>
        <x:v>0</x:v>
      </x:c>
      <x:c r="U100" t="n">
        <x:f>T100*(1+($BG100+('Assumptions'!$D$6-$BG100)*(7-5)/5))</x:f>
        <x:v>0</x:v>
      </x:c>
      <x:c r="V100" t="n">
        <x:f>U100*(1+($BG100+('Assumptions'!$D$6-$BG100)*(8-5)/5))</x:f>
        <x:v>0</x:v>
      </x:c>
      <x:c r="W100" t="n">
        <x:f>V100*(1+($BG100+('Assumptions'!$D$6-$BG100)*(9-5)/5))</x:f>
        <x:v>0</x:v>
      </x:c>
      <x:c r="X100" t="n">
        <x:f>W100*(1+($BG100+('Assumptions'!$D$6-$BG100)*(10-5)/5))</x:f>
        <x:v>0</x:v>
      </x:c>
      <x:c r="Y100" t="n">
        <x:f>E100*'WINA Model'!$B$62+O100*'WINA Model'!$B$63+'WINA Model'!$B$73+'WINA Model'!$B$74</x:f>
        <x:v>73.95945</x:v>
      </x:c>
      <x:c r="Z100" t="n">
        <x:f>F100*'WINA Model'!$C$62+P100*'WINA Model'!$C$63+'WINA Model'!$C$73+'WINA Model'!$C$74</x:f>
        <x:v>102.15497475000001</x:v>
      </x:c>
      <x:c r="AA100" t="n">
        <x:f>G100*'WINA Model'!$D$62+Q100*'WINA Model'!$D$63+'WINA Model'!$D$73+'WINA Model'!$D$74</x:f>
        <x:v>141.09013911000002</x:v>
      </x:c>
      <x:c r="AB100" t="n">
        <x:f>H100*'WINA Model'!$E$62+R100*'WINA Model'!$E$63+'WINA Model'!$E$73+'WINA Model'!$E$74</x:f>
        <x:v>194.85230905312505</x:v>
      </x:c>
      <x:c r="AC100" t="n">
        <x:f>I100*'WINA Model'!$F$62+S100*'WINA Model'!$F$63+'WINA Model'!$F$73+'WINA Model'!$F$74</x:f>
        <x:v>269.0832447100036</x:v>
      </x:c>
      <x:c r="AD100" t="n">
        <x:f>AX100*$AC100/$AW100</x:f>
        <x:v>350.0773013677147</x:v>
      </x:c>
      <x:c r="AE100" t="n">
        <x:f>AY100*$AC100/$AW100</x:f>
        <x:v>431.29523528502455</x:v>
      </x:c>
      <x:c r="AF100" t="n">
        <x:f>AZ100*$AC100/$AW100</x:f>
        <x:v>501.59635863648356</x:v>
      </x:c>
      <x:c r="AG100" t="n">
        <x:f>BA100*$AC100/$AW100</x:f>
        <x:v>548.746416348313</x:v>
      </x:c>
      <x:c r="AH100" t="n">
        <x:f>BB100*$AC100/$AW100</x:f>
        <x:v>562.4650767570207</x:v>
      </x:c>
      <x:c r="AI100" t="n">
        <x:f>Y100*(1-'Assumptions'!$F$6)+AS100*'Assumptions'!$G$6-AS100*'WINA Model'!$B$65-(AS100-'Inputs'!$C$14)*'Assumptions'!$H$6-'Assumptions'!$I$6</x:f>
        <x:v>52.28066700000001</x:v>
      </x:c>
      <x:c r="AJ100" t="n">
        <x:f>Z100*(1-'Assumptions'!$F$6)+AT100*'Assumptions'!$G$6-AT100*'WINA Model'!$C$65-(AT100-AS100)*'Assumptions'!$H$6-0</x:f>
        <x:v>73.08624351000002</x:v>
      </x:c>
      <x:c r="AK100" t="n">
        <x:f>AA100*(1-'Assumptions'!$F$6)+AU100*'Assumptions'!$G$6-AU100*'WINA Model'!$D$65-(AU100-AT100)*'Assumptions'!$H$6-0</x:f>
        <x:v>102.13072332510002</x:v>
      </x:c>
      <x:c r="AL100" t="n">
        <x:f>AB100*(1-'Assumptions'!$F$6)+AV100*'Assumptions'!$G$6-AV100*'WINA Model'!$E$65-(AV100-AU100)*'Assumptions'!$H$6-0</x:f>
        <x:v>142.039084077885</x:v>
      </x:c>
      <x:c r="AM100" t="n">
        <x:f>AC100*(1-'Assumptions'!$F$6)+AW100*'Assumptions'!$G$6-AW100*'WINA Model'!$F$65-(AW100-AV100)*'Assumptions'!$H$6-0</x:f>
        <x:v>197.07081950308034</x:v>
      </x:c>
      <x:c r="AN100" t="n">
        <x:f>AD100*(1-'Assumptions'!$F$6)+AX100*'Assumptions'!$G$6-AX100*'WINA Model'!$G$65-(AX100-AW100)*'Assumptions'!$H$6-0</x:f>
        <x:v>256.8193700718968</x:v>
      </x:c>
      <x:c r="AO100" t="n">
        <x:f>AE100*(1-'Assumptions'!$F$6)+AY100*'Assumptions'!$G$6-AY100*'WINA Model'!$H$65-(AY100-AX100)*'Assumptions'!$H$6-0</x:f>
        <x:v>316.99088436937024</x:v>
      </x:c>
      <x:c r="AP100" t="n">
        <x:f>AF100*(1-'Assumptions'!$F$6)+AZ100*'Assumptions'!$G$6-AZ100*'WINA Model'!$I$65-(AZ100-AY100)*'Assumptions'!$H$6-0</x:f>
        <x:v>369.4272345150498</x:v>
      </x:c>
      <x:c r="AQ100" t="n">
        <x:f>AG100*(1-'Assumptions'!$F$6)+BA100*'Assumptions'!$G$6-BA100*'WINA Model'!$J$65-(BA100-AZ100)*'Assumptions'!$H$6-0</x:f>
        <x:v>405.0981365034221</x:v>
      </x:c>
      <x:c r="AR100" t="n">
        <x:f>AH100*(1-'Assumptions'!$F$6)+BB100*'Assumptions'!$G$6-BB100*'WINA Model'!$K$65-(BB100-BA100)*'Assumptions'!$H$6-0</x:f>
        <x:v>416.3243247968303</x:v>
      </x:c>
      <x:c r="AS100" t="n">
        <x:f>E100+O100</x:f>
        <x:v>121.245</x:v>
      </x:c>
      <x:c r="AT100" t="n">
        <x:f>F100+P100</x:f>
        <x:v>166.10565000000003</x:v>
      </x:c>
      <x:c r="AU100" t="n">
        <x:f>G100+Q100</x:f>
        <x:v>227.56474050000006</x:v>
      </x:c>
      <x:c r="AV100" t="n">
        <x:f>H100+R100</x:f>
        <x:v>311.7636944850001</x:v>
      </x:c>
      <x:c r="AW100" t="n">
        <x:f>I100+S100</x:f>
        <x:v>427.1162614444502</x:v>
      </x:c>
      <x:c r="AX100" t="n">
        <x:f>J100+T100</x:f>
        <x:v>555.6782561392297</x:v>
      </x:c>
      <x:c r="AY100" t="n">
        <x:f>K100+U100</x:f>
        <x:v>684.595611563531</x:v>
      </x:c>
      <x:c r="AZ100" t="n">
        <x:f>L100+V100</x:f>
        <x:v>796.1846962483866</x:v>
      </x:c>
      <x:c r="BA100" t="n">
        <x:f>M100+W100</x:f>
        <x:v>871.026057695735</x:v>
      </x:c>
      <x:c r="BB100" t="n">
        <x:f>N100+X100</x:f>
        <x:v>892.8017091381282</x:v>
      </x:c>
      <x:c r="BC100" t="n">
        <x:f>AS100/'Inputs'!$C$14-1</x:f>
        <x:v>0.3700000000000001</x:v>
      </x:c>
      <x:c r="BD100" t="n">
        <x:f>AT100/AS100-1</x:f>
        <x:v>0.3700000000000001</x:v>
      </x:c>
      <x:c r="BE100" t="n">
        <x:f>AU100/AT100-1</x:f>
        <x:v>0.3700000000000001</x:v>
      </x:c>
      <x:c r="BF100" t="n">
        <x:f>AV100/AU100-1</x:f>
        <x:v>0.3700000000000001</x:v>
      </x:c>
      <x:c r="BG100" t="n">
        <x:f>AW100/AV100-1</x:f>
        <x:v>0.3700000000000001</x:v>
      </x:c>
      <x:c r="BH100" t="n">
        <x:f>AX100/AW100-1</x:f>
        <x:v>0.30099999999999993</x:v>
      </x:c>
      <x:c r="BI100" t="n">
        <x:f>AY100/AX100-1</x:f>
        <x:v>0.23199999999999998</x:v>
      </x:c>
      <x:c r="BJ100" t="n">
        <x:f>AZ100/AY100-1</x:f>
        <x:v>0.16300000000000003</x:v>
      </x:c>
      <x:c r="BK100" t="n">
        <x:f>BA100/AZ100-1</x:f>
        <x:v>0.09400000000000008</x:v>
      </x:c>
      <x:c r="BL100" t="n">
        <x:f>BB100/BA100-1</x:f>
        <x:v>0.02499999999999991</x:v>
      </x:c>
      <x:c r="BM100" t="n">
        <x:f>AH100*(1-'Assumptions'!$F$6)*(1+'Assumptions'!$D$6)*(1-'Assumptions'!$D$6/'Assumptions'!$E$6)</x:f>
        <x:v>406.8631308798821</x:v>
      </x:c>
      <x:c r="BN100" t="n">
        <x:f>SUMPRODUCT(AI100:AR100,'WINA Model'!$B$83:$K$83)+BM100/('Assumptions'!$C$6-'Assumptions'!$D$6)*'WINA Model'!$K$83</x:f>
        <x:v>3307.84048867387</x:v>
      </x:c>
      <x:c r="BO100" t="n">
        <x:f>'WINA Model'!$B$94</x:f>
        <x:v>-42.825500000000005</x:v>
      </x:c>
      <x:c r="BP100" t="n">
        <x:f>'Inputs'!$C$8</x:f>
        <x:v>3.701516</x:v>
      </x:c>
    </x:row>
    <x:row r="101">
      <x:c r="A101" t="str">
        <x:v>WINA</x:v>
      </x:c>
      <x:c r="B101" s="22" t="n">
        <x:v>0.38</x:v>
      </x:c>
      <x:c r="C101" s="42" t="n">
        <x:f>(BN101+BO101)/BP101</x:f>
        <x:v>926.4416417816834</x:v>
      </x:c>
      <x:c r="D101" s="22" t="n">
        <x:f>C101/'Inputs'!$C$5-1</x:f>
        <x:v>1.9117818832123814</x:v>
      </x:c>
      <x:c r="E101" t="n">
        <x:f>'Inputs'!$C$14*(1+$B101)^1</x:f>
        <x:v>122.13</x:v>
      </x:c>
      <x:c r="F101" t="n">
        <x:f>'Inputs'!$C$14*(1+$B101)^2</x:f>
        <x:v>168.53939999999997</x:v>
      </x:c>
      <x:c r="G101" t="n">
        <x:f>'Inputs'!$C$14*(1+$B101)^3</x:f>
        <x:v>232.58437199999995</x:v>
      </x:c>
      <x:c r="H101" t="n">
        <x:f>'Inputs'!$C$14*(1+$B101)^4</x:f>
        <x:v>320.9664333599999</x:v>
      </x:c>
      <x:c r="I101" t="n">
        <x:f>'Inputs'!$C$14*(1+$B101)^5</x:f>
        <x:v>442.9336780367998</x:v>
      </x:c>
      <x:c r="J101" t="n">
        <x:f>I101*(1+($BG101+('Assumptions'!$D$6-$BG101)*(6-5)/5))</x:f>
        <x:v>579.8001845501709</x:v>
      </x:c>
      <x:c r="K101" t="n">
        <x:f>J101*(1+($BG101+('Assumptions'!$D$6-$BG101)*(7-5)/5))</x:f>
        <x:v>717.7926284731116</x:v>
      </x:c>
      <x:c r="L101" t="n">
        <x:f>K101*(1+($BG101+('Assumptions'!$D$6-$BG101)*(8-5)/5))</x:f>
        <x:v>837.6639974281212</x:v>
      </x:c>
      <x:c r="M101" t="n">
        <x:f>L101*(1+($BG101+('Assumptions'!$D$6-$BG101)*(9-5)/5))</x:f>
        <x:v>918.0797411812209</x:v>
      </x:c>
      <x:c r="N101" t="n">
        <x:f>M101*(1+($BG101+('Assumptions'!$D$6-$BG101)*(10-5)/5))</x:f>
        <x:v>941.0317347107514</x:v>
      </x:c>
      <x:c r="O101" t="n">
        <x:f>0</x:f>
        <x:v>0</x:v>
      </x:c>
      <x:c r="P101" t="n">
        <x:f>0</x:f>
        <x:v>0</x:v>
      </x:c>
      <x:c r="Q101" t="n">
        <x:f>0</x:f>
        <x:v>0</x:v>
      </x:c>
      <x:c r="R101" t="n">
        <x:f>0</x:f>
        <x:v>0</x:v>
      </x:c>
      <x:c r="S101" t="n">
        <x:f>0</x:f>
        <x:v>0</x:v>
      </x:c>
      <x:c r="T101" t="n">
        <x:f>S101*(1+($BG101+('Assumptions'!$D$6-$BG101)*(6-5)/5))</x:f>
        <x:v>0</x:v>
      </x:c>
      <x:c r="U101" t="n">
        <x:f>T101*(1+($BG101+('Assumptions'!$D$6-$BG101)*(7-5)/5))</x:f>
        <x:v>0</x:v>
      </x:c>
      <x:c r="V101" t="n">
        <x:f>U101*(1+($BG101+('Assumptions'!$D$6-$BG101)*(8-5)/5))</x:f>
        <x:v>0</x:v>
      </x:c>
      <x:c r="W101" t="n">
        <x:f>V101*(1+($BG101+('Assumptions'!$D$6-$BG101)*(9-5)/5))</x:f>
        <x:v>0</x:v>
      </x:c>
      <x:c r="X101" t="n">
        <x:f>W101*(1+($BG101+('Assumptions'!$D$6-$BG101)*(10-5)/5))</x:f>
        <x:v>0</x:v>
      </x:c>
      <x:c r="Y101" t="n">
        <x:f>E101*'WINA Model'!$B$62+O101*'WINA Model'!$B$63+'WINA Model'!$B$73+'WINA Model'!$B$74</x:f>
        <x:v>74.49929999999999</x:v>
      </x:c>
      <x:c r="Z101" t="n">
        <x:f>F101*'WINA Model'!$C$62+P101*'WINA Model'!$C$63+'WINA Model'!$C$73+'WINA Model'!$C$74</x:f>
        <x:v>103.65173099999998</x:v>
      </x:c>
      <x:c r="AA101" t="n">
        <x:f>G101*'WINA Model'!$D$62+Q101*'WINA Model'!$D$63+'WINA Model'!$D$73+'WINA Model'!$D$74</x:f>
        <x:v>144.20231063999998</x:v>
      </x:c>
      <x:c r="AB101" t="n">
        <x:f>H101*'WINA Model'!$E$62+R101*'WINA Model'!$E$63+'WINA Model'!$E$73+'WINA Model'!$E$74</x:f>
        <x:v>200.60402084999993</x:v>
      </x:c>
      <x:c r="AC101" t="n">
        <x:f>I101*'WINA Model'!$F$62+S101*'WINA Model'!$F$63+'WINA Model'!$F$73+'WINA Model'!$F$74</x:f>
        <x:v>279.0482171631839</x:v>
      </x:c>
      <x:c r="AD101" t="n">
        <x:f>AX101*$AC101/$AW101</x:f>
        <x:v>365.27411626660773</x:v>
      </x:c>
      <x:c r="AE101" t="n">
        <x:f>AY101*$AC101/$AW101</x:f>
        <x:v>452.20935593806036</x:v>
      </x:c>
      <x:c r="AF101" t="n">
        <x:f>AZ101*$AC101/$AW101</x:f>
        <x:v>527.7283183797164</x:v>
      </x:c>
      <x:c r="AG101" t="n">
        <x:f>BA101*$AC101/$AW101</x:f>
        <x:v>578.3902369441693</x:v>
      </x:c>
      <x:c r="AH101" t="n">
        <x:f>BB101*$AC101/$AW101</x:f>
        <x:v>592.8499928677734</x:v>
      </x:c>
      <x:c r="AI101" t="n">
        <x:f>Y101*(1-'Assumptions'!$F$6)+AS101*'Assumptions'!$G$6-AS101*'WINA Model'!$B$65-(AS101-'Inputs'!$C$14)*'Assumptions'!$H$6-'Assumptions'!$I$6</x:f>
        <x:v>52.64935799999999</x:v>
      </x:c>
      <x:c r="AJ101" t="n">
        <x:f>Z101*(1-'Assumptions'!$F$6)+AT101*'Assumptions'!$G$6-AT101*'WINA Model'!$C$65-(AT101-AS101)*'Assumptions'!$H$6-0</x:f>
        <x:v>74.13926076</x:v>
      </x:c>
      <x:c r="AK101" t="n">
        <x:f>AA101*(1-'Assumptions'!$F$6)+AU101*'Assumptions'!$G$6-AU101*'WINA Model'!$D$65-(AU101-AT101)*'Assumptions'!$H$6-0</x:f>
        <x:v>104.35892232239999</x:v>
      </x:c>
      <x:c r="AL101" t="n">
        <x:f>AB101*(1-'Assumptions'!$F$6)+AV101*'Assumptions'!$G$6-AV101*'WINA Model'!$E$65-(AV101-AU101)*'Assumptions'!$H$6-0</x:f>
        <x:v>146.19788455175996</x:v>
      </x:c>
      <x:c r="AM101" t="n">
        <x:f>AC101*(1-'Assumptions'!$F$6)+AW101*'Assumptions'!$G$6-AW101*'WINA Model'!$F$65-(AW101-AV101)*'Assumptions'!$H$6-0</x:f>
        <x:v>204.32209601404213</x:v>
      </x:c>
      <x:c r="AN101" t="n">
        <x:f>AD101*(1-'Assumptions'!$F$6)+AX101*'Assumptions'!$G$6-AX101*'WINA Model'!$G$65-(AX101-AW101)*'Assumptions'!$H$6-0</x:f>
        <x:v>267.9133960177524</x:v>
      </x:c>
      <x:c r="AO101" t="n">
        <x:f>AE101*(1-'Assumptions'!$F$6)+AY101*'Assumptions'!$G$6-AY101*'WINA Model'!$H$65-(AY101-AX101)*'Assumptions'!$H$6-0</x:f>
        <x:v>332.30575009278976</x:v>
      </x:c>
      <x:c r="AP101" t="n">
        <x:f>AF101*(1-'Assumptions'!$F$6)+AZ101*'Assumptions'!$G$6-AZ101*'WINA Model'!$I$65-(AZ101-AY101)*'Assumptions'!$H$6-0</x:f>
        <x:v>388.62412662034683</x:v>
      </x:c>
      <x:c r="AQ101" t="n">
        <x:f>AG101*(1-'Assumptions'!$F$6)+BA101*'Assumptions'!$G$6-BA101*'WINA Model'!$J$65-(BA101-AZ101)*'Assumptions'!$H$6-0</x:f>
        <x:v>426.951308308332</x:v>
      </x:c>
      <x:c r="AR101" t="n">
        <x:f>AH101*(1-'Assumptions'!$F$6)+BB101*'Assumptions'!$G$6-BB101*'WINA Model'!$K$65-(BB101-BA101)*'Assumptions'!$H$6-0</x:f>
        <x:v>438.8145738923881</x:v>
      </x:c>
      <x:c r="AS101" t="n">
        <x:f>E101+O101</x:f>
        <x:v>122.13</x:v>
      </x:c>
      <x:c r="AT101" t="n">
        <x:f>F101+P101</x:f>
        <x:v>168.53939999999997</x:v>
      </x:c>
      <x:c r="AU101" t="n">
        <x:f>G101+Q101</x:f>
        <x:v>232.58437199999995</x:v>
      </x:c>
      <x:c r="AV101" t="n">
        <x:f>H101+R101</x:f>
        <x:v>320.9664333599999</x:v>
      </x:c>
      <x:c r="AW101" t="n">
        <x:f>I101+S101</x:f>
        <x:v>442.9336780367998</x:v>
      </x:c>
      <x:c r="AX101" t="n">
        <x:f>J101+T101</x:f>
        <x:v>579.8001845501709</x:v>
      </x:c>
      <x:c r="AY101" t="n">
        <x:f>K101+U101</x:f>
        <x:v>717.7926284731116</x:v>
      </x:c>
      <x:c r="AZ101" t="n">
        <x:f>L101+V101</x:f>
        <x:v>837.6639974281212</x:v>
      </x:c>
      <x:c r="BA101" t="n">
        <x:f>M101+W101</x:f>
        <x:v>918.0797411812209</x:v>
      </x:c>
      <x:c r="BB101" t="n">
        <x:f>N101+X101</x:f>
        <x:v>941.0317347107514</x:v>
      </x:c>
      <x:c r="BC101" t="n">
        <x:f>AS101/'Inputs'!$C$14-1</x:f>
        <x:v>0.3799999999999999</x:v>
      </x:c>
      <x:c r="BD101" t="n">
        <x:f>AT101/AS101-1</x:f>
        <x:v>0.3799999999999999</x:v>
      </x:c>
      <x:c r="BE101" t="n">
        <x:f>AU101/AT101-1</x:f>
        <x:v>0.3799999999999999</x:v>
      </x:c>
      <x:c r="BF101" t="n">
        <x:f>AV101/AU101-1</x:f>
        <x:v>0.3799999999999999</x:v>
      </x:c>
      <x:c r="BG101" t="n">
        <x:f>AW101/AV101-1</x:f>
        <x:v>0.3799999999999999</x:v>
      </x:c>
      <x:c r="BH101" t="n">
        <x:f>AX101/AW101-1</x:f>
        <x:v>0.30899999999999994</x:v>
      </x:c>
      <x:c r="BI101" t="n">
        <x:f>AY101/AX101-1</x:f>
        <x:v>0.238</x:v>
      </x:c>
      <x:c r="BJ101" t="n">
        <x:f>AZ101/AY101-1</x:f>
        <x:v>0.16700000000000004</x:v>
      </x:c>
      <x:c r="BK101" t="n">
        <x:f>BA101/AZ101-1</x:f>
        <x:v>0.09600000000000009</x:v>
      </x:c>
      <x:c r="BL101" t="n">
        <x:f>BB101/BA101-1</x:f>
        <x:v>0.02499999999999991</x:v>
      </x:c>
      <x:c r="BM101" t="n">
        <x:f>AH101*(1-'Assumptions'!$F$6)*(1+'Assumptions'!$D$6)*(1-'Assumptions'!$D$6/'Assumptions'!$E$6)</x:f>
        <x:v>428.84227698371006</x:v>
      </x:c>
      <x:c r="BN101" t="n">
        <x:f>SUMPRODUCT(AI101:AR101,'WINA Model'!$B$83:$K$83)+BM101/('Assumptions'!$C$6-'Assumptions'!$D$6)*'WINA Model'!$K$83</x:f>
        <x:v>3472.0640601211694</x:v>
      </x:c>
      <x:c r="BO101" t="n">
        <x:f>'WINA Model'!$B$94</x:f>
        <x:v>-42.825500000000005</x:v>
      </x:c>
      <x:c r="BP101" t="n">
        <x:f>'Inputs'!$C$8</x:f>
        <x:v>3.701516</x:v>
      </x:c>
    </x:row>
    <x:row r="102">
      <x:c r="A102" t="str">
        <x:v>WINA</x:v>
      </x:c>
      <x:c r="B102" s="22" t="n">
        <x:v>0.39</x:v>
      </x:c>
      <x:c r="C102" s="42" t="n">
        <x:f>(BN102+BO102)/BP102</x:f>
        <x:v>972.7890230199529</x:v>
      </x:c>
      <x:c r="D102" s="22" t="n">
        <x:f>C102/'Inputs'!$C$5-1</x:f>
        <x:v>2.057450491938124</x:v>
      </x:c>
      <x:c r="E102" t="n">
        <x:f>'Inputs'!$C$14*(1+$B102)^1</x:f>
        <x:v>123.01500000000001</x:v>
      </x:c>
      <x:c r="F102" t="n">
        <x:f>'Inputs'!$C$14*(1+$B102)^2</x:f>
        <x:v>170.99085000000002</x:v>
      </x:c>
      <x:c r="G102" t="n">
        <x:f>'Inputs'!$C$14*(1+$B102)^3</x:f>
        <x:v>237.67728150000008</x:v>
      </x:c>
      <x:c r="H102" t="n">
        <x:f>'Inputs'!$C$14*(1+$B102)^4</x:f>
        <x:v>330.3714212850001</x:v>
      </x:c>
      <x:c r="I102" t="n">
        <x:f>'Inputs'!$C$14*(1+$B102)^5</x:f>
        <x:v>459.2162755861502</x:v>
      </x:c>
      <x:c r="J102" t="n">
        <x:f>I102*(1+($BG102+('Assumptions'!$D$6-$BG102)*(6-5)/5))</x:f>
        <x:v>604.7878349469598</x:v>
      </x:c>
      <x:c r="K102" t="n">
        <x:f>J102*(1+($BG102+('Assumptions'!$D$6-$BG102)*(7-5)/5))</x:f>
        <x:v>752.356066674018</x:v>
      </x:c>
      <x:c r="L102" t="n">
        <x:f>K102*(1+($BG102+('Assumptions'!$D$6-$BG102)*(8-5)/5))</x:f>
        <x:v>881.0089540752751</x:v>
      </x:c>
      <x:c r="M102" t="n">
        <x:f>L102*(1+($BG102+('Assumptions'!$D$6-$BG102)*(9-5)/5))</x:f>
        <x:v>967.3478315746522</x:v>
      </x:c>
      <x:c r="N102" t="n">
        <x:f>M102*(1+($BG102+('Assumptions'!$D$6-$BG102)*(10-5)/5))</x:f>
        <x:v>991.5315273640184</x:v>
      </x:c>
      <x:c r="O102" t="n">
        <x:f>0</x:f>
        <x:v>0</x:v>
      </x:c>
      <x:c r="P102" t="n">
        <x:f>0</x:f>
        <x:v>0</x:v>
      </x:c>
      <x:c r="Q102" t="n">
        <x:f>0</x:f>
        <x:v>0</x:v>
      </x:c>
      <x:c r="R102" t="n">
        <x:f>0</x:f>
        <x:v>0</x:v>
      </x:c>
      <x:c r="S102" t="n">
        <x:f>0</x:f>
        <x:v>0</x:v>
      </x:c>
      <x:c r="T102" t="n">
        <x:f>S102*(1+($BG102+('Assumptions'!$D$6-$BG102)*(6-5)/5))</x:f>
        <x:v>0</x:v>
      </x:c>
      <x:c r="U102" t="n">
        <x:f>T102*(1+($BG102+('Assumptions'!$D$6-$BG102)*(7-5)/5))</x:f>
        <x:v>0</x:v>
      </x:c>
      <x:c r="V102" t="n">
        <x:f>U102*(1+($BG102+('Assumptions'!$D$6-$BG102)*(8-5)/5))</x:f>
        <x:v>0</x:v>
      </x:c>
      <x:c r="W102" t="n">
        <x:f>V102*(1+($BG102+('Assumptions'!$D$6-$BG102)*(9-5)/5))</x:f>
        <x:v>0</x:v>
      </x:c>
      <x:c r="X102" t="n">
        <x:f>W102*(1+($BG102+('Assumptions'!$D$6-$BG102)*(10-5)/5))</x:f>
        <x:v>0</x:v>
      </x:c>
      <x:c r="Y102" t="n">
        <x:f>E102*'WINA Model'!$B$62+O102*'WINA Model'!$B$63+'WINA Model'!$B$73+'WINA Model'!$B$74</x:f>
        <x:v>75.03915</x:v>
      </x:c>
      <x:c r="Z102" t="n">
        <x:f>F102*'WINA Model'!$C$62+P102*'WINA Model'!$C$63+'WINA Model'!$C$73+'WINA Model'!$C$74</x:f>
        <x:v>105.15937275000002</x:v>
      </x:c>
      <x:c r="AA102" t="n">
        <x:f>G102*'WINA Model'!$D$62+Q102*'WINA Model'!$D$63+'WINA Model'!$D$73+'WINA Model'!$D$74</x:f>
        <x:v>147.35991453000005</x:v>
      </x:c>
      <x:c r="AB102" t="n">
        <x:f>H102*'WINA Model'!$E$62+R102*'WINA Model'!$E$63+'WINA Model'!$E$73+'WINA Model'!$E$74</x:f>
        <x:v>206.48213830312505</x:v>
      </x:c>
      <x:c r="AC102" t="n">
        <x:f>I102*'WINA Model'!$F$62+S102*'WINA Model'!$F$63+'WINA Model'!$F$73+'WINA Model'!$F$74</x:f>
        <x:v>289.3062536192746</x:v>
      </x:c>
      <x:c r="AD102" t="n">
        <x:f>AX102*$AC102/$AW102</x:f>
        <x:v>381.0163360165847</x:v>
      </x:c>
      <x:c r="AE102" t="n">
        <x:f>AY102*$AC102/$AW102</x:f>
        <x:v>473.9843220046314</x:v>
      </x:c>
      <x:c r="AF102" t="n">
        <x:f>AZ102*$AC102/$AW102</x:f>
        <x:v>555.0356410674234</x:v>
      </x:c>
      <x:c r="AG102" t="n">
        <x:f>BA102*$AC102/$AW102</x:f>
        <x:v>609.4291338920309</x:v>
      </x:c>
      <x:c r="AH102" t="n">
        <x:f>BB102*$AC102/$AW102</x:f>
        <x:v>624.6648622393316</x:v>
      </x:c>
      <x:c r="AI102" t="n">
        <x:f>Y102*(1-'Assumptions'!$F$6)+AS102*'Assumptions'!$G$6-AS102*'WINA Model'!$B$65-(AS102-'Inputs'!$C$14)*'Assumptions'!$H$6-'Assumptions'!$I$6</x:f>
        <x:v>53.018049</x:v>
      </x:c>
      <x:c r="AJ102" t="n">
        <x:f>Z102*(1-'Assumptions'!$F$6)+AT102*'Assumptions'!$G$6-AT102*'WINA Model'!$C$65-(AT102-AS102)*'Assumptions'!$H$6-0</x:f>
        <x:v>75.19980759</x:v>
      </x:c>
      <x:c r="AK102" t="n">
        <x:f>AA102*(1-'Assumptions'!$F$6)+AU102*'Assumptions'!$G$6-AU102*'WINA Model'!$D$65-(AU102-AT102)*'Assumptions'!$H$6-0</x:f>
        <x:v>106.61929262730004</x:v>
      </x:c>
      <x:c r="AL102" t="n">
        <x:f>AB102*(1-'Assumptions'!$F$6)+AV102*'Assumptions'!$G$6-AV102*'WINA Model'!$E$65-(AV102-AU102)*'Assumptions'!$H$6-0</x:f>
        <x:v>150.44734241668505</x:v>
      </x:c>
      <x:c r="AM102" t="n">
        <x:f>AC102*(1-'Assumptions'!$F$6)+AW102*'Assumptions'!$G$6-AW102*'WINA Model'!$F$65-(AW102-AV102)*'Assumptions'!$H$6-0</x:f>
        <x:v>211.78526035759194</x:v>
      </x:c>
      <x:c r="AN102" t="n">
        <x:f>AD102*(1-'Assumptions'!$F$6)+AX102*'Assumptions'!$G$6-AX102*'WINA Model'!$G$65-(AX102-AW102)*'Assumptions'!$H$6-0</x:f>
        <x:v>279.40353016602467</x:v>
      </x:c>
      <x:c r="AO102" t="n">
        <x:f>AE102*(1-'Assumptions'!$F$6)+AY102*'Assumptions'!$G$6-AY102*'WINA Model'!$H$65-(AY102-AX102)*'Assumptions'!$H$6-0</x:f>
        <x:v>348.2484472888905</x:v>
      </x:c>
      <x:c r="AP102" t="n">
        <x:f>AF102*(1-'Assumptions'!$F$6)+AZ102*'Assumptions'!$G$6-AZ102*'WINA Model'!$I$65-(AZ102-AY102)*'Assumptions'!$H$6-0</x:f>
        <x:v>408.6819220143134</x:v>
      </x:c>
      <x:c r="AQ102" t="n">
        <x:f>AG102*(1-'Assumptions'!$F$6)+BA102*'Assumptions'!$G$6-BA102*'WINA Model'!$J$65-(BA102-AZ102)*'Assumptions'!$H$6-0</x:f>
        <x:v>449.8311902290601</x:v>
      </x:c>
      <x:c r="AR102" t="n">
        <x:f>AH102*(1-'Assumptions'!$F$6)+BB102*'Assumptions'!$G$6-BB102*'WINA Model'!$K$65-(BB102-BA102)*'Assumptions'!$H$6-0</x:f>
        <x:v>462.36324305773644</x:v>
      </x:c>
      <x:c r="AS102" t="n">
        <x:f>E102+O102</x:f>
        <x:v>123.01500000000001</x:v>
      </x:c>
      <x:c r="AT102" t="n">
        <x:f>F102+P102</x:f>
        <x:v>170.99085000000002</x:v>
      </x:c>
      <x:c r="AU102" t="n">
        <x:f>G102+Q102</x:f>
        <x:v>237.67728150000008</x:v>
      </x:c>
      <x:c r="AV102" t="n">
        <x:f>H102+R102</x:f>
        <x:v>330.3714212850001</x:v>
      </x:c>
      <x:c r="AW102" t="n">
        <x:f>I102+S102</x:f>
        <x:v>459.2162755861502</x:v>
      </x:c>
      <x:c r="AX102" t="n">
        <x:f>J102+T102</x:f>
        <x:v>604.7878349469598</x:v>
      </x:c>
      <x:c r="AY102" t="n">
        <x:f>K102+U102</x:f>
        <x:v>752.356066674018</x:v>
      </x:c>
      <x:c r="AZ102" t="n">
        <x:f>L102+V102</x:f>
        <x:v>881.0089540752751</x:v>
      </x:c>
      <x:c r="BA102" t="n">
        <x:f>M102+W102</x:f>
        <x:v>967.3478315746522</x:v>
      </x:c>
      <x:c r="BB102" t="n">
        <x:f>N102+X102</x:f>
        <x:v>991.5315273640184</x:v>
      </x:c>
      <x:c r="BC102" t="n">
        <x:f>AS102/'Inputs'!$C$14-1</x:f>
        <x:v>0.3900000000000001</x:v>
      </x:c>
      <x:c r="BD102" t="n">
        <x:f>AT102/AS102-1</x:f>
        <x:v>0.3900000000000001</x:v>
      </x:c>
      <x:c r="BE102" t="n">
        <x:f>AU102/AT102-1</x:f>
        <x:v>0.39000000000000035</x:v>
      </x:c>
      <x:c r="BF102" t="n">
        <x:f>AV102/AU102-1</x:f>
        <x:v>0.3899999999999999</x:v>
      </x:c>
      <x:c r="BG102" t="n">
        <x:f>AW102/AV102-1</x:f>
        <x:v>0.3900000000000001</x:v>
      </x:c>
      <x:c r="BH102" t="n">
        <x:f>AX102/AW102-1</x:f>
        <x:v>0.31700000000000017</x:v>
      </x:c>
      <x:c r="BI102" t="n">
        <x:f>AY102/AX102-1</x:f>
        <x:v>0.244</x:v>
      </x:c>
      <x:c r="BJ102" t="n">
        <x:f>AZ102/AY102-1</x:f>
        <x:v>0.17100000000000004</x:v>
      </x:c>
      <x:c r="BK102" t="n">
        <x:f>BA102/AZ102-1</x:f>
        <x:v>0.09800000000000009</x:v>
      </x:c>
      <x:c r="BL102" t="n">
        <x:f>BB102/BA102-1</x:f>
        <x:v>0.02499999999999991</x:v>
      </x:c>
      <x:c r="BM102" t="n">
        <x:f>AH102*(1-'Assumptions'!$F$6)*(1+'Assumptions'!$D$6)*(1-'Assumptions'!$D$6/'Assumptions'!$E$6)</x:f>
        <x:v>451.8557899926936</x:v>
      </x:c>
      <x:c r="BN102" t="n">
        <x:f>SUMPRODUCT(AI102:AR102,'WINA Model'!$B$83:$K$83)+BM102/('Assumptions'!$C$6-'Assumptions'!$D$6)*'WINA Model'!$K$83</x:f>
        <x:v>3643.6196333327234</x:v>
      </x:c>
      <x:c r="BO102" t="n">
        <x:f>'WINA Model'!$B$94</x:f>
        <x:v>-42.825500000000005</x:v>
      </x:c>
      <x:c r="BP102" t="n">
        <x:f>'Inputs'!$C$8</x:f>
        <x:v>3.701516</x:v>
      </x:c>
    </x:row>
    <x:row r="103">
      <x:c r="A103" t="str">
        <x:v>WINA</x:v>
      </x:c>
      <x:c r="B103" s="22" t="n">
        <x:v>0.4</x:v>
      </x:c>
      <x:c r="C103" s="42" t="n">
        <x:f>(BN103+BO103)/BP103</x:f>
        <x:v>1021.194086503942</x:v>
      </x:c>
      <x:c r="D103" s="22" t="n">
        <x:f>C103/'Inputs'!$C$5-1</x:f>
        <x:v>2.2095863422193855</x:v>
      </x:c>
      <x:c r="E103" t="n">
        <x:f>'Inputs'!$C$14*(1+$B103)^1</x:f>
        <x:v>123.89999999999999</x:v>
      </x:c>
      <x:c r="F103" t="n">
        <x:f>'Inputs'!$C$14*(1+$B103)^2</x:f>
        <x:v>173.45999999999998</x:v>
      </x:c>
      <x:c r="G103" t="n">
        <x:f>'Inputs'!$C$14*(1+$B103)^3</x:f>
        <x:v>242.84399999999994</x:v>
      </x:c>
      <x:c r="H103" t="n">
        <x:f>'Inputs'!$C$14*(1+$B103)^4</x:f>
        <x:v>339.9815999999999</x:v>
      </x:c>
      <x:c r="I103" t="n">
        <x:f>'Inputs'!$C$14*(1+$B103)^5</x:f>
        <x:v>475.97423999999984</x:v>
      </x:c>
      <x:c r="J103" t="n">
        <x:f>I103*(1+($BG103+('Assumptions'!$D$6-$BG103)*(6-5)/5))</x:f>
        <x:v>630.6658679999998</x:v>
      </x:c>
      <x:c r="K103" t="n">
        <x:f>J103*(1+($BG103+('Assumptions'!$D$6-$BG103)*(7-5)/5))</x:f>
        <x:v>788.3323349999998</x:v>
      </x:c>
      <x:c r="L103" t="n">
        <x:f>K103*(1+($BG103+('Assumptions'!$D$6-$BG103)*(8-5)/5))</x:f>
        <x:v>926.2904936249998</x:v>
      </x:c>
      <x:c r="M103" t="n">
        <x:f>L103*(1+($BG103+('Assumptions'!$D$6-$BG103)*(9-5)/5))</x:f>
        <x:v>1018.9195429874999</x:v>
      </x:c>
      <x:c r="N103" t="n">
        <x:f>M103*(1+($BG103+('Assumptions'!$D$6-$BG103)*(10-5)/5))</x:f>
        <x:v>1044.3925315621873</x:v>
      </x:c>
      <x:c r="O103" t="n">
        <x:f>0</x:f>
        <x:v>0</x:v>
      </x:c>
      <x:c r="P103" t="n">
        <x:f>0</x:f>
        <x:v>0</x:v>
      </x:c>
      <x:c r="Q103" t="n">
        <x:f>0</x:f>
        <x:v>0</x:v>
      </x:c>
      <x:c r="R103" t="n">
        <x:f>0</x:f>
        <x:v>0</x:v>
      </x:c>
      <x:c r="S103" t="n">
        <x:f>0</x:f>
        <x:v>0</x:v>
      </x:c>
      <x:c r="T103" t="n">
        <x:f>S103*(1+($BG103+('Assumptions'!$D$6-$BG103)*(6-5)/5))</x:f>
        <x:v>0</x:v>
      </x:c>
      <x:c r="U103" t="n">
        <x:f>T103*(1+($BG103+('Assumptions'!$D$6-$BG103)*(7-5)/5))</x:f>
        <x:v>0</x:v>
      </x:c>
      <x:c r="V103" t="n">
        <x:f>U103*(1+($BG103+('Assumptions'!$D$6-$BG103)*(8-5)/5))</x:f>
        <x:v>0</x:v>
      </x:c>
      <x:c r="W103" t="n">
        <x:f>V103*(1+($BG103+('Assumptions'!$D$6-$BG103)*(9-5)/5))</x:f>
        <x:v>0</x:v>
      </x:c>
      <x:c r="X103" t="n">
        <x:f>W103*(1+($BG103+('Assumptions'!$D$6-$BG103)*(10-5)/5))</x:f>
        <x:v>0</x:v>
      </x:c>
      <x:c r="Y103" t="n">
        <x:f>E103*'WINA Model'!$B$62+O103*'WINA Model'!$B$63+'WINA Model'!$B$73+'WINA Model'!$B$74</x:f>
        <x:v>75.579</x:v>
      </x:c>
      <x:c r="Z103" t="n">
        <x:f>F103*'WINA Model'!$C$62+P103*'WINA Model'!$C$63+'WINA Model'!$C$73+'WINA Model'!$C$74</x:f>
        <x:v>106.67789999999998</x:v>
      </x:c>
      <x:c r="AA103" t="n">
        <x:f>G103*'WINA Model'!$D$62+Q103*'WINA Model'!$D$63+'WINA Model'!$D$73+'WINA Model'!$D$74</x:f>
        <x:v>150.56327999999996</x:v>
      </x:c>
      <x:c r="AB103" t="n">
        <x:f>H103*'WINA Model'!$E$62+R103*'WINA Model'!$E$63+'WINA Model'!$E$73+'WINA Model'!$E$74</x:f>
        <x:v>212.48849999999993</x:v>
      </x:c>
      <x:c r="AC103" t="n">
        <x:f>I103*'WINA Model'!$F$62+S103*'WINA Model'!$F$63+'WINA Model'!$F$73+'WINA Model'!$F$74</x:f>
        <x:v>299.8637711999999</x:v>
      </x:c>
      <x:c r="AD103" t="n">
        <x:f>AX103*$AC103/$AW103</x:f>
        <x:v>397.31949683999994</x:v>
      </x:c>
      <x:c r="AE103" t="n">
        <x:f>AY103*$AC103/$AW103</x:f>
        <x:v>496.6493710499999</x:v>
      </x:c>
      <x:c r="AF103" t="n">
        <x:f>AZ103*$AC103/$AW103</x:f>
        <x:v>583.5630109837499</x:v>
      </x:c>
      <x:c r="AG103" t="n">
        <x:f>BA103*$AC103/$AW103</x:f>
        <x:v>641.919312082125</x:v>
      </x:c>
      <x:c r="AH103" t="n">
        <x:f>BB103*$AC103/$AW103</x:f>
        <x:v>657.967294884178</x:v>
      </x:c>
      <x:c r="AI103" t="n">
        <x:f>Y103*(1-'Assumptions'!$F$6)+AS103*'Assumptions'!$G$6-AS103*'WINA Model'!$B$65-(AS103-'Inputs'!$C$14)*'Assumptions'!$H$6-'Assumptions'!$I$6</x:f>
        <x:v>53.386739999999996</x:v>
      </x:c>
      <x:c r="AJ103" t="n">
        <x:f>Z103*(1-'Assumptions'!$F$6)+AT103*'Assumptions'!$G$6-AT103*'WINA Model'!$C$65-(AT103-AS103)*'Assumptions'!$H$6-0</x:f>
        <x:v>76.26788399999998</x:v>
      </x:c>
      <x:c r="AK103" t="n">
        <x:f>AA103*(1-'Assumptions'!$F$6)+AU103*'Assumptions'!$G$6-AU103*'WINA Model'!$D$65-(AU103-AT103)*'Assumptions'!$H$6-0</x:f>
        <x:v>108.91206479999997</x:v>
      </x:c>
      <x:c r="AL103" t="n">
        <x:f>AB103*(1-'Assumptions'!$F$6)+AV103*'Assumptions'!$G$6-AV103*'WINA Model'!$E$65-(AV103-AU103)*'Assumptions'!$H$6-0</x:f>
        <x:v>154.78876559999995</x:v>
      </x:c>
      <x:c r="AM103" t="n">
        <x:f>AC103*(1-'Assumptions'!$F$6)+AW103*'Assumptions'!$G$6-AW103*'WINA Model'!$F$65-(AW103-AV103)*'Assumptions'!$H$6-0</x:f>
        <x:v>219.46492243199992</x:v>
      </x:c>
      <x:c r="AN103" t="n">
        <x:f>AD103*(1-'Assumptions'!$F$6)+AX103*'Assumptions'!$G$6-AX103*'WINA Model'!$G$65-(AX103-AW103)*'Assumptions'!$H$6-0</x:f>
        <x:v>291.30099462239997</x:v>
      </x:c>
      <x:c r="AO103" t="n">
        <x:f>AE103*(1-'Assumptions'!$F$6)+AY103*'Assumptions'!$G$6-AY103*'WINA Model'!$H$65-(AY103-AX103)*'Assumptions'!$H$6-0</x:f>
        <x:v>364.8402046379999</x:v>
      </x:c>
      <x:c r="AP103" t="n">
        <x:f>AF103*(1-'Assumptions'!$F$6)+AZ103*'Assumptions'!$G$6-AZ103*'WINA Model'!$I$65-(AZ103-AY103)*'Assumptions'!$H$6-0</x:f>
        <x:v>429.6332392516499</x:v>
      </x:c>
      <x:c r="AQ103" t="n">
        <x:f>AG103*(1-'Assumptions'!$F$6)+BA103*'Assumptions'!$G$6-BA103*'WINA Model'!$J$65-(BA103-AZ103)*'Assumptions'!$H$6-0</x:f>
        <x:v>473.77906167931496</x:v>
      </x:c>
      <x:c r="AR103" t="n">
        <x:f>AH103*(1-'Assumptions'!$F$6)+BB103*'Assumptions'!$G$6-BB103*'WINA Model'!$K$65-(BB103-BA103)*'Assumptions'!$H$6-0</x:f>
        <x:v>487.0129739617353</x:v>
      </x:c>
      <x:c r="AS103" t="n">
        <x:f>E103+O103</x:f>
        <x:v>123.89999999999999</x:v>
      </x:c>
      <x:c r="AT103" t="n">
        <x:f>F103+P103</x:f>
        <x:v>173.45999999999998</x:v>
      </x:c>
      <x:c r="AU103" t="n">
        <x:f>G103+Q103</x:f>
        <x:v>242.84399999999994</x:v>
      </x:c>
      <x:c r="AV103" t="n">
        <x:f>H103+R103</x:f>
        <x:v>339.9815999999999</x:v>
      </x:c>
      <x:c r="AW103" t="n">
        <x:f>I103+S103</x:f>
        <x:v>475.97423999999984</x:v>
      </x:c>
      <x:c r="AX103" t="n">
        <x:f>J103+T103</x:f>
        <x:v>630.6658679999998</x:v>
      </x:c>
      <x:c r="AY103" t="n">
        <x:f>K103+U103</x:f>
        <x:v>788.3323349999998</x:v>
      </x:c>
      <x:c r="AZ103" t="n">
        <x:f>L103+V103</x:f>
        <x:v>926.2904936249998</x:v>
      </x:c>
      <x:c r="BA103" t="n">
        <x:f>M103+W103</x:f>
        <x:v>1018.9195429874999</x:v>
      </x:c>
      <x:c r="BB103" t="n">
        <x:f>N103+X103</x:f>
        <x:v>1044.3925315621873</x:v>
      </x:c>
      <x:c r="BC103" t="n">
        <x:f>AS103/'Inputs'!$C$14-1</x:f>
        <x:v>0.3999999999999999</x:v>
      </x:c>
      <x:c r="BD103" t="n">
        <x:f>AT103/AS103-1</x:f>
        <x:v>0.3999999999999999</x:v>
      </x:c>
      <x:c r="BE103" t="n">
        <x:f>AU103/AT103-1</x:f>
        <x:v>0.3999999999999999</x:v>
      </x:c>
      <x:c r="BF103" t="n">
        <x:f>AV103/AU103-1</x:f>
        <x:v>0.3999999999999999</x:v>
      </x:c>
      <x:c r="BG103" t="n">
        <x:f>AW103/AV103-1</x:f>
        <x:v>0.3999999999999999</x:v>
      </x:c>
      <x:c r="BH103" t="n">
        <x:f>AX103/AW103-1</x:f>
        <x:v>0.3250000000000002</x:v>
      </x:c>
      <x:c r="BI103" t="n">
        <x:f>AY103/AX103-1</x:f>
        <x:v>0.25</x:v>
      </x:c>
      <x:c r="BJ103" t="n">
        <x:f>AZ103/AY103-1</x:f>
        <x:v>0.17500000000000004</x:v>
      </x:c>
      <x:c r="BK103" t="n">
        <x:f>BA103/AZ103-1</x:f>
        <x:v>0.10000000000000009</x:v>
      </x:c>
      <x:c r="BL103" t="n">
        <x:f>BB103/BA103-1</x:f>
        <x:v>0.02499999999999991</x:v>
      </x:c>
      <x:c r="BM103" t="n">
        <x:f>AH103*(1-'Assumptions'!$F$6)*(1+'Assumptions'!$D$6)*(1-'Assumptions'!$D$6/'Assumptions'!$E$6)</x:f>
        <x:v>475.94534252086225</x:v>
      </x:c>
      <x:c r="BN103" t="n">
        <x:f>SUMPRODUCT(AI103:AR103,'WINA Model'!$B$83:$K$83)+BM103/('Assumptions'!$C$6-'Assumptions'!$D$6)*'WINA Model'!$K$83</x:f>
        <x:v>3822.791750299725</x:v>
      </x:c>
      <x:c r="BO103" t="n">
        <x:f>'WINA Model'!$B$94</x:f>
        <x:v>-42.825500000000005</x:v>
      </x:c>
      <x:c r="BP103" t="n">
        <x:f>'Inputs'!$C$8</x:f>
        <x:v>3.701516</x:v>
      </x:c>
    </x:row>
    <x:row r="104">
      <x:c r="A104" t="str">
        <x:v>WINA</x:v>
      </x:c>
      <x:c r="B104" s="22" t="n">
        <x:v>0.41</x:v>
      </x:c>
      <x:c r="C104" s="42" t="n">
        <x:f>(BN104+BO104)/BP104</x:f>
        <x:v>1071.736219419938</x:v>
      </x:c>
      <x:c r="D104" s="22" t="n">
        <x:f>C104/'Inputs'!$C$5-1</x:f>
        <x:v>2.368438945909224</x:v>
      </x:c>
      <x:c r="E104" t="n">
        <x:f>'Inputs'!$C$14*(1+$B104)^1</x:f>
        <x:v>124.785</x:v>
      </x:c>
      <x:c r="F104" t="n">
        <x:f>'Inputs'!$C$14*(1+$B104)^2</x:f>
        <x:v>175.94684999999998</x:v>
      </x:c>
      <x:c r="G104" t="n">
        <x:f>'Inputs'!$C$14*(1+$B104)^3</x:f>
        <x:v>248.08505849999995</x:v>
      </x:c>
      <x:c r="H104" t="n">
        <x:f>'Inputs'!$C$14*(1+$B104)^4</x:f>
        <x:v>349.79993248499994</x:v>
      </x:c>
      <x:c r="I104" t="n">
        <x:f>'Inputs'!$C$14*(1+$B104)^5</x:f>
        <x:v>493.2179048038498</x:v>
      </x:c>
      <x:c r="J104" t="n">
        <x:f>I104*(1+($BG104+('Assumptions'!$D$6-$BG104)*(6-5)/5))</x:f>
        <x:v>657.4594671035317</x:v>
      </x:c>
      <x:c r="K104" t="n">
        <x:f>J104*(1+($BG104+('Assumptions'!$D$6-$BG104)*(7-5)/5))</x:f>
        <x:v>825.7690906820357</x:v>
      </x:c>
      <x:c r="L104" t="n">
        <x:f>K104*(1+($BG104+('Assumptions'!$D$6-$BG104)*(8-5)/5))</x:f>
        <x:v>973.5817579141199</x:v>
      </x:c>
      <x:c r="M104" t="n">
        <x:f>L104*(1+($BG104+('Assumptions'!$D$6-$BG104)*(9-5)/5))</x:f>
        <x:v>1072.88709722136</x:v>
      </x:c>
      <x:c r="N104" t="n">
        <x:f>M104*(1+($BG104+('Assumptions'!$D$6-$BG104)*(10-5)/5))</x:f>
        <x:v>1099.7092746518938</x:v>
      </x:c>
      <x:c r="O104" t="n">
        <x:f>0</x:f>
        <x:v>0</x:v>
      </x:c>
      <x:c r="P104" t="n">
        <x:f>0</x:f>
        <x:v>0</x:v>
      </x:c>
      <x:c r="Q104" t="n">
        <x:f>0</x:f>
        <x:v>0</x:v>
      </x:c>
      <x:c r="R104" t="n">
        <x:f>0</x:f>
        <x:v>0</x:v>
      </x:c>
      <x:c r="S104" t="n">
        <x:f>0</x:f>
        <x:v>0</x:v>
      </x:c>
      <x:c r="T104" t="n">
        <x:f>S104*(1+($BG104+('Assumptions'!$D$6-$BG104)*(6-5)/5))</x:f>
        <x:v>0</x:v>
      </x:c>
      <x:c r="U104" t="n">
        <x:f>T104*(1+($BG104+('Assumptions'!$D$6-$BG104)*(7-5)/5))</x:f>
        <x:v>0</x:v>
      </x:c>
      <x:c r="V104" t="n">
        <x:f>U104*(1+($BG104+('Assumptions'!$D$6-$BG104)*(8-5)/5))</x:f>
        <x:v>0</x:v>
      </x:c>
      <x:c r="W104" t="n">
        <x:f>V104*(1+($BG104+('Assumptions'!$D$6-$BG104)*(9-5)/5))</x:f>
        <x:v>0</x:v>
      </x:c>
      <x:c r="X104" t="n">
        <x:f>W104*(1+($BG104+('Assumptions'!$D$6-$BG104)*(10-5)/5))</x:f>
        <x:v>0</x:v>
      </x:c>
      <x:c r="Y104" t="n">
        <x:f>E104*'WINA Model'!$B$62+O104*'WINA Model'!$B$63+'WINA Model'!$B$73+'WINA Model'!$B$74</x:f>
        <x:v>76.11885</x:v>
      </x:c>
      <x:c r="Z104" t="n">
        <x:f>F104*'WINA Model'!$C$62+P104*'WINA Model'!$C$63+'WINA Model'!$C$73+'WINA Model'!$C$74</x:f>
        <x:v>108.20731274999999</x:v>
      </x:c>
      <x:c r="AA104" t="n">
        <x:f>G104*'WINA Model'!$D$62+Q104*'WINA Model'!$D$63+'WINA Model'!$D$73+'WINA Model'!$D$74</x:f>
        <x:v>153.81273626999996</x:v>
      </x:c>
      <x:c r="AB104" t="n">
        <x:f>H104*'WINA Model'!$E$62+R104*'WINA Model'!$E$63+'WINA Model'!$E$73+'WINA Model'!$E$74</x:f>
        <x:v>218.62495780312497</x:v>
      </x:c>
      <x:c r="AC104" t="n">
        <x:f>I104*'WINA Model'!$F$62+S104*'WINA Model'!$F$63+'WINA Model'!$F$73+'WINA Model'!$F$74</x:f>
        <x:v>310.7272800264254</x:v>
      </x:c>
      <x:c r="AD104" t="n">
        <x:f>AX104*$AC104/$AW104</x:f>
        <x:v>414.1994642752249</x:v>
      </x:c>
      <x:c r="AE104" t="n">
        <x:f>AY104*$AC104/$AW104</x:f>
        <x:v>520.2345271296824</x:v>
      </x:c>
      <x:c r="AF104" t="n">
        <x:f>AZ104*$AC104/$AW104</x:f>
        <x:v>613.3565074858955</x:v>
      </x:c>
      <x:c r="AG104" t="n">
        <x:f>BA104*$AC104/$AW104</x:f>
        <x:v>675.9188712494566</x:v>
      </x:c>
      <x:c r="AH104" t="n">
        <x:f>BB104*$AC104/$AW104</x:f>
        <x:v>692.8168430306931</x:v>
      </x:c>
      <x:c r="AI104" t="n">
        <x:f>Y104*(1-'Assumptions'!$F$6)+AS104*'Assumptions'!$G$6-AS104*'WINA Model'!$B$65-(AS104-'Inputs'!$C$14)*'Assumptions'!$H$6-'Assumptions'!$I$6</x:f>
        <x:v>53.755430999999994</x:v>
      </x:c>
      <x:c r="AJ104" t="n">
        <x:f>Z104*(1-'Assumptions'!$F$6)+AT104*'Assumptions'!$G$6-AT104*'WINA Model'!$C$65-(AT104-AS104)*'Assumptions'!$H$6-0</x:f>
        <x:v>77.34348999</x:v>
      </x:c>
      <x:c r="AK104" t="n">
        <x:f>AA104*(1-'Assumptions'!$F$6)+AU104*'Assumptions'!$G$6-AU104*'WINA Model'!$D$65-(AU104-AT104)*'Assumptions'!$H$6-0</x:f>
        <x:v>111.23746940069995</x:v>
      </x:c>
      <x:c r="AL104" t="n">
        <x:f>AB104*(1-'Assumptions'!$F$6)+AV104*'Assumptions'!$G$6-AV104*'WINA Model'!$E$65-(AV104-AU104)*'Assumptions'!$H$6-0</x:f>
        <x:v>159.22347139588499</x:v>
      </x:c>
      <x:c r="AM104" t="n">
        <x:f>AC104*(1-'Assumptions'!$F$6)+AW104*'Assumptions'!$G$6-AW104*'WINA Model'!$F$65-(AW104-AV104)*'Assumptions'!$H$6-0</x:f>
        <x:v>227.3657585160601</x:v>
      </x:c>
      <x:c r="AN104" t="n">
        <x:f>AD104*(1-'Assumptions'!$F$6)+AX104*'Assumptions'!$G$6-AX104*'WINA Model'!$G$65-(AX104-AW104)*'Assumptions'!$H$6-0</x:f>
        <x:v>303.61724799793484</x:v>
      </x:c>
      <x:c r="AO104" t="n">
        <x:f>AE104*(1-'Assumptions'!$F$6)+AY104*'Assumptions'!$G$6-AY104*'WINA Model'!$H$65-(AY104-AX104)*'Assumptions'!$H$6-0</x:f>
        <x:v>382.1028190588042</x:v>
      </x:c>
      <x:c r="AP104" t="n">
        <x:f>AF104*(1-'Assumptions'!$F$6)+AZ104*'Assumptions'!$G$6-AZ104*'WINA Model'!$I$65-(AZ104-AY104)*'Assumptions'!$H$6-0</x:f>
        <x:v>451.51171124966936</x:v>
      </x:c>
      <x:c r="AQ104" t="n">
        <x:f>AG104*(1-'Assumptions'!$F$6)+BA104*'Assumptions'!$G$6-BA104*'WINA Model'!$J$65-(BA104-AZ104)*'Assumptions'!$H$6-0</x:f>
        <x:v>498.83759019678587</x:v>
      </x:c>
      <x:c r="AR104" t="n">
        <x:f>AH104*(1-'Assumptions'!$F$6)+BB104*'Assumptions'!$G$6-BB104*'WINA Model'!$K$65-(BB104-BA104)*'Assumptions'!$H$6-0</x:f>
        <x:v>512.8078458588934</x:v>
      </x:c>
      <x:c r="AS104" t="n">
        <x:f>E104+O104</x:f>
        <x:v>124.785</x:v>
      </x:c>
      <x:c r="AT104" t="n">
        <x:f>F104+P104</x:f>
        <x:v>175.94684999999998</x:v>
      </x:c>
      <x:c r="AU104" t="n">
        <x:f>G104+Q104</x:f>
        <x:v>248.08505849999995</x:v>
      </x:c>
      <x:c r="AV104" t="n">
        <x:f>H104+R104</x:f>
        <x:v>349.79993248499994</x:v>
      </x:c>
      <x:c r="AW104" t="n">
        <x:f>I104+S104</x:f>
        <x:v>493.2179048038498</x:v>
      </x:c>
      <x:c r="AX104" t="n">
        <x:f>J104+T104</x:f>
        <x:v>657.4594671035317</x:v>
      </x:c>
      <x:c r="AY104" t="n">
        <x:f>K104+U104</x:f>
        <x:v>825.7690906820357</x:v>
      </x:c>
      <x:c r="AZ104" t="n">
        <x:f>L104+V104</x:f>
        <x:v>973.5817579141199</x:v>
      </x:c>
      <x:c r="BA104" t="n">
        <x:f>M104+W104</x:f>
        <x:v>1072.88709722136</x:v>
      </x:c>
      <x:c r="BB104" t="n">
        <x:f>N104+X104</x:f>
        <x:v>1099.7092746518938</x:v>
      </x:c>
      <x:c r="BC104" t="n">
        <x:f>AS104/'Inputs'!$C$14-1</x:f>
        <x:v>0.4099999999999999</x:v>
      </x:c>
      <x:c r="BD104" t="n">
        <x:f>AT104/AS104-1</x:f>
        <x:v>0.4099999999999999</x:v>
      </x:c>
      <x:c r="BE104" t="n">
        <x:f>AU104/AT104-1</x:f>
        <x:v>0.4099999999999999</x:v>
      </x:c>
      <x:c r="BF104" t="n">
        <x:f>AV104/AU104-1</x:f>
        <x:v>0.41000000000000014</x:v>
      </x:c>
      <x:c r="BG104" t="n">
        <x:f>AW104/AV104-1</x:f>
        <x:v>0.4099999999999997</x:v>
      </x:c>
      <x:c r="BH104" t="n">
        <x:f>AX104/AW104-1</x:f>
        <x:v>0.33299999999999974</x:v>
      </x:c>
      <x:c r="BI104" t="n">
        <x:f>AY104/AX104-1</x:f>
        <x:v>0.2559999999999998</x:v>
      </x:c>
      <x:c r="BJ104" t="n">
        <x:f>AZ104/AY104-1</x:f>
        <x:v>0.17899999999999983</x:v>
      </x:c>
      <x:c r="BK104" t="n">
        <x:f>BA104/AZ104-1</x:f>
        <x:v>0.10199999999999987</x:v>
      </x:c>
      <x:c r="BL104" t="n">
        <x:f>BB104/BA104-1</x:f>
        <x:v>0.02499999999999991</x:v>
      </x:c>
      <x:c r="BM104" t="n">
        <x:f>AH104*(1-'Assumptions'!$F$6)*(1+'Assumptions'!$D$6)*(1-'Assumptions'!$D$6/'Assumptions'!$E$6)</x:f>
        <x:v>501.1540120979878</x:v>
      </x:c>
      <x:c r="BN104" t="n">
        <x:f>SUMPRODUCT(AI104:AR104,'WINA Model'!$B$83:$K$83)+BM104/('Assumptions'!$C$6-'Assumptions'!$D$6)*'WINA Model'!$K$83</x:f>
        <x:v>4009.8742639624106</x:v>
      </x:c>
      <x:c r="BO104" t="n">
        <x:f>'WINA Model'!$B$94</x:f>
        <x:v>-42.825500000000005</x:v>
      </x:c>
      <x:c r="BP104" t="n">
        <x:f>'Inputs'!$C$8</x:f>
        <x:v>3.701516</x:v>
      </x:c>
    </x:row>
    <x:row r="105">
      <x:c r="A105" t="str">
        <x:v>WINA</x:v>
      </x:c>
      <x:c r="B105" s="22" t="n">
        <x:v>0.42</x:v>
      </x:c>
      <x:c r="C105" s="42" t="n">
        <x:f>(BN105+BO105)/BP105</x:f>
        <x:v>1124.497391473215</x:v>
      </x:c>
      <x:c r="D105" s="22" t="n">
        <x:f>C105/'Inputs'!$C$5-1</x:f>
        <x:v>2.5342659316504226</x:v>
      </x:c>
      <x:c r="E105" t="n">
        <x:f>'Inputs'!$C$14*(1+$B105)^1</x:f>
        <x:v>125.66999999999999</x:v>
      </x:c>
      <x:c r="F105" t="n">
        <x:f>'Inputs'!$C$14*(1+$B105)^2</x:f>
        <x:v>178.4514</x:v>
      </x:c>
      <x:c r="G105" t="n">
        <x:f>'Inputs'!$C$14*(1+$B105)^3</x:f>
        <x:v>253.40098799999998</x:v>
      </x:c>
      <x:c r="H105" t="n">
        <x:f>'Inputs'!$C$14*(1+$B105)^4</x:f>
        <x:v>359.82940296</x:v>
      </x:c>
      <x:c r="I105" t="n">
        <x:f>'Inputs'!$C$14*(1+$B105)^5</x:f>
        <x:v>510.9577522031999</x:v>
      </x:c>
      <x:c r="J105" t="n">
        <x:f>I105*(1+($BG105+('Assumptions'!$D$6-$BG105)*(6-5)/5))</x:f>
        <x:v>685.194345704491</x:v>
      </x:c>
      <x:c r="K105" t="n">
        <x:f>J105*(1+($BG105+('Assumptions'!$D$6-$BG105)*(7-5)/5))</x:f>
        <x:v>864.7152642790675</x:v>
      </x:c>
      <x:c r="L105" t="n">
        <x:f>K105*(1+($BG105+('Assumptions'!$D$6-$BG105)*(8-5)/5))</x:f>
        <x:v>1022.9581576421367</x:v>
      </x:c>
      <x:c r="M105" t="n">
        <x:f>L105*(1+($BG105+('Assumptions'!$D$6-$BG105)*(9-5)/5))</x:f>
        <x:v>1129.345806036919</x:v>
      </x:c>
      <x:c r="N105" t="n">
        <x:f>M105*(1+($BG105+('Assumptions'!$D$6-$BG105)*(10-5)/5))</x:f>
        <x:v>1157.5794511878419</x:v>
      </x:c>
      <x:c r="O105" t="n">
        <x:f>0</x:f>
        <x:v>0</x:v>
      </x:c>
      <x:c r="P105" t="n">
        <x:f>0</x:f>
        <x:v>0</x:v>
      </x:c>
      <x:c r="Q105" t="n">
        <x:f>0</x:f>
        <x:v>0</x:v>
      </x:c>
      <x:c r="R105" t="n">
        <x:f>0</x:f>
        <x:v>0</x:v>
      </x:c>
      <x:c r="S105" t="n">
        <x:f>0</x:f>
        <x:v>0</x:v>
      </x:c>
      <x:c r="T105" t="n">
        <x:f>S105*(1+($BG105+('Assumptions'!$D$6-$BG105)*(6-5)/5))</x:f>
        <x:v>0</x:v>
      </x:c>
      <x:c r="U105" t="n">
        <x:f>T105*(1+($BG105+('Assumptions'!$D$6-$BG105)*(7-5)/5))</x:f>
        <x:v>0</x:v>
      </x:c>
      <x:c r="V105" t="n">
        <x:f>U105*(1+($BG105+('Assumptions'!$D$6-$BG105)*(8-5)/5))</x:f>
        <x:v>0</x:v>
      </x:c>
      <x:c r="W105" t="n">
        <x:f>V105*(1+($BG105+('Assumptions'!$D$6-$BG105)*(9-5)/5))</x:f>
        <x:v>0</x:v>
      </x:c>
      <x:c r="X105" t="n">
        <x:f>W105*(1+($BG105+('Assumptions'!$D$6-$BG105)*(10-5)/5))</x:f>
        <x:v>0</x:v>
      </x:c>
      <x:c r="Y105" t="n">
        <x:f>E105*'WINA Model'!$B$62+O105*'WINA Model'!$B$63+'WINA Model'!$B$73+'WINA Model'!$B$74</x:f>
        <x:v>76.6587</x:v>
      </x:c>
      <x:c r="Z105" t="n">
        <x:f>F105*'WINA Model'!$C$62+P105*'WINA Model'!$C$63+'WINA Model'!$C$73+'WINA Model'!$C$74</x:f>
        <x:v>109.747611</x:v>
      </x:c>
      <x:c r="AA105" t="n">
        <x:f>G105*'WINA Model'!$D$62+Q105*'WINA Model'!$D$63+'WINA Model'!$D$73+'WINA Model'!$D$74</x:f>
        <x:v>157.10861255999998</x:v>
      </x:c>
      <x:c r="AB105" t="n">
        <x:f>H105*'WINA Model'!$E$62+R105*'WINA Model'!$E$63+'WINA Model'!$E$73+'WINA Model'!$E$74</x:f>
        <x:v>224.89337684999998</x:v>
      </x:c>
      <x:c r="AC105" t="n">
        <x:f>I105*'WINA Model'!$F$62+S105*'WINA Model'!$F$63+'WINA Model'!$F$73+'WINA Model'!$F$74</x:f>
        <x:v>321.9033838880159</x:v>
      </x:c>
      <x:c r="AD105" t="n">
        <x:f>AX105*$AC105/$AW105</x:f>
        <x:v>431.67243779382926</x:v>
      </x:c>
      <x:c r="AE105" t="n">
        <x:f>AY105*$AC105/$AW105</x:f>
        <x:v>544.7706164958125</x:v>
      </x:c>
      <x:c r="AF105" t="n">
        <x:f>AZ105*$AC105/$AW105</x:f>
        <x:v>644.4636393145461</x:v>
      </x:c>
      <x:c r="AG105" t="n">
        <x:f>BA105*$AC105/$AW105</x:f>
        <x:v>711.4878578032589</x:v>
      </x:c>
      <x:c r="AH105" t="n">
        <x:f>BB105*$AC105/$AW105</x:f>
        <x:v>729.2750542483404</x:v>
      </x:c>
      <x:c r="AI105" t="n">
        <x:f>Y105*(1-'Assumptions'!$F$6)+AS105*'Assumptions'!$G$6-AS105*'WINA Model'!$B$65-(AS105-'Inputs'!$C$14)*'Assumptions'!$H$6-'Assumptions'!$I$6</x:f>
        <x:v>54.12412199999999</x:v>
      </x:c>
      <x:c r="AJ105" t="n">
        <x:f>Z105*(1-'Assumptions'!$F$6)+AT105*'Assumptions'!$G$6-AT105*'WINA Model'!$C$65-(AT105-AS105)*'Assumptions'!$H$6-0</x:f>
        <x:v>78.42662556</x:v>
      </x:c>
      <x:c r="AK105" t="n">
        <x:f>AA105*(1-'Assumptions'!$F$6)+AU105*'Assumptions'!$G$6-AU105*'WINA Model'!$D$65-(AU105-AT105)*'Assumptions'!$H$6-0</x:f>
        <x:v>113.59573698959998</x:v>
      </x:c>
      <x:c r="AL105" t="n">
        <x:f>AB105*(1-'Assumptions'!$F$6)+AV105*'Assumptions'!$G$6-AV105*'WINA Model'!$E$65-(AV105-AU105)*'Assumptions'!$H$6-0</x:f>
        <x:v>163.75278646535997</x:v>
      </x:c>
      <x:c r="AM105" t="n">
        <x:f>AC105*(1-'Assumptions'!$F$6)+AW105*'Assumptions'!$G$6-AW105*'WINA Model'!$F$65-(AW105-AV105)*'Assumptions'!$H$6-0</x:f>
        <x:v>235.49251174358972</x:v>
      </x:c>
      <x:c r="AN105" t="n">
        <x:f>AD105*(1-'Assumptions'!$F$6)+AX105*'Assumptions'!$G$6-AX105*'WINA Model'!$G$65-(AX105-AW105)*'Assumptions'!$H$6-0</x:f>
        <x:v>316.3639887048305</x:v>
      </x:c>
      <x:c r="AO105" t="n">
        <x:f>AE105*(1-'Assumptions'!$F$6)+AY105*'Assumptions'!$G$6-AY105*'WINA Model'!$H$65-(AY105-AX105)*'Assumptions'!$H$6-0</x:f>
        <x:v>400.0586669939772</x:v>
      </x:c>
      <x:c r="AP105" t="n">
        <x:f>AF105*(1-'Assumptions'!$F$6)+AZ105*'Assumptions'!$G$6-AZ105*'WINA Model'!$I$65-(AZ105-AY105)*'Assumptions'!$H$6-0</x:f>
        <x:v>474.352010120088</x:v>
      </x:c>
      <x:c r="AQ105" t="n">
        <x:f>AG105*(1-'Assumptions'!$F$6)+BA105*'Assumptions'!$G$6-BA105*'WINA Model'!$J$65-(BA105-AZ105)*'Assumptions'!$H$6-0</x:f>
        <x:v>525.0508692901382</x:v>
      </x:c>
      <x:c r="AR105" t="n">
        <x:f>AH105*(1-'Assumptions'!$F$6)+BB105*'Assumptions'!$G$6-BB105*'WINA Model'!$K$65-(BB105-BA105)*'Assumptions'!$H$6-0</x:f>
        <x:v>539.7934149114661</x:v>
      </x:c>
      <x:c r="AS105" t="n">
        <x:f>E105+O105</x:f>
        <x:v>125.66999999999999</x:v>
      </x:c>
      <x:c r="AT105" t="n">
        <x:f>F105+P105</x:f>
        <x:v>178.4514</x:v>
      </x:c>
      <x:c r="AU105" t="n">
        <x:f>G105+Q105</x:f>
        <x:v>253.40098799999998</x:v>
      </x:c>
      <x:c r="AV105" t="n">
        <x:f>H105+R105</x:f>
        <x:v>359.82940296</x:v>
      </x:c>
      <x:c r="AW105" t="n">
        <x:f>I105+S105</x:f>
        <x:v>510.9577522031999</x:v>
      </x:c>
      <x:c r="AX105" t="n">
        <x:f>J105+T105</x:f>
        <x:v>685.194345704491</x:v>
      </x:c>
      <x:c r="AY105" t="n">
        <x:f>K105+U105</x:f>
        <x:v>864.7152642790675</x:v>
      </x:c>
      <x:c r="AZ105" t="n">
        <x:f>L105+V105</x:f>
        <x:v>1022.9581576421367</x:v>
      </x:c>
      <x:c r="BA105" t="n">
        <x:f>M105+W105</x:f>
        <x:v>1129.345806036919</x:v>
      </x:c>
      <x:c r="BB105" t="n">
        <x:f>N105+X105</x:f>
        <x:v>1157.5794511878419</x:v>
      </x:c>
      <x:c r="BC105" t="n">
        <x:f>AS105/'Inputs'!$C$14-1</x:f>
        <x:v>0.41999999999999993</x:v>
      </x:c>
      <x:c r="BD105" t="n">
        <x:f>AT105/AS105-1</x:f>
        <x:v>0.42000000000000015</x:v>
      </x:c>
      <x:c r="BE105" t="n">
        <x:f>AU105/AT105-1</x:f>
        <x:v>0.41999999999999993</x:v>
      </x:c>
      <x:c r="BF105" t="n">
        <x:f>AV105/AU105-1</x:f>
        <x:v>0.41999999999999993</x:v>
      </x:c>
      <x:c r="BG105" t="n">
        <x:f>AW105/AV105-1</x:f>
        <x:v>0.4199999999999997</x:v>
      </x:c>
      <x:c r="BH105" t="n">
        <x:f>AX105/AW105-1</x:f>
        <x:v>0.34099999999999975</x:v>
      </x:c>
      <x:c r="BI105" t="n">
        <x:f>AY105/AX105-1</x:f>
        <x:v>0.2619999999999998</x:v>
      </x:c>
      <x:c r="BJ105" t="n">
        <x:f>AZ105/AY105-1</x:f>
        <x:v>0.18299999999999983</x:v>
      </x:c>
      <x:c r="BK105" t="n">
        <x:f>BA105/AZ105-1</x:f>
        <x:v>0.10400000000000009</x:v>
      </x:c>
      <x:c r="BL105" t="n">
        <x:f>BB105/BA105-1</x:f>
        <x:v>0.02499999999999991</x:v>
      </x:c>
      <x:c r="BM105" t="n">
        <x:f>AH105*(1-'Assumptions'!$F$6)*(1+'Assumptions'!$D$6)*(1-'Assumptions'!$D$6/'Assumptions'!$E$6)</x:f>
        <x:v>527.5263195980674</x:v>
      </x:c>
      <x:c r="BN105" t="n">
        <x:f>SUMPRODUCT(AI105:AR105,'WINA Model'!$B$83:$K$83)+BM105/('Assumptions'!$C$6-'Assumptions'!$D$6)*'WINA Model'!$K$83</x:f>
        <x:v>4205.170586496369</x:v>
      </x:c>
      <x:c r="BO105" t="n">
        <x:f>'WINA Model'!$B$94</x:f>
        <x:v>-42.825500000000005</x:v>
      </x:c>
      <x:c r="BP105" t="n">
        <x:f>'Inputs'!$C$8</x:f>
        <x:v>3.701516</x:v>
      </x:c>
    </x:row>
    <x:row r="106">
      <x:c r="A106" t="str">
        <x:v>WINA</x:v>
      </x:c>
      <x:c r="B106" s="22" t="n">
        <x:v>0.43</x:v>
      </x:c>
      <x:c r="C106" s="42" t="n">
        <x:f>(BN106+BO106)/BP106</x:f>
        <x:v>1179.5622233570007</x:v>
      </x:c>
      <x:c r="D106" s="22" t="n">
        <x:f>C106/'Inputs'!$C$5-1</x:f>
        <x:v>2.7073332600716618</x:v>
      </x:c>
      <x:c r="E106" t="n">
        <x:f>'Inputs'!$C$14*(1+$B106)^1</x:f>
        <x:v>126.55499999999999</x:v>
      </x:c>
      <x:c r="F106" t="n">
        <x:f>'Inputs'!$C$14*(1+$B106)^2</x:f>
        <x:v>180.97364999999996</x:v>
      </x:c>
      <x:c r="G106" t="n">
        <x:f>'Inputs'!$C$14*(1+$B106)^3</x:f>
        <x:v>258.79231949999996</x:v>
      </x:c>
      <x:c r="H106" t="n">
        <x:f>'Inputs'!$C$14*(1+$B106)^4</x:f>
        <x:v>370.0730168849999</x:v>
      </x:c>
      <x:c r="I106" t="n">
        <x:f>'Inputs'!$C$14*(1+$B106)^5</x:f>
        <x:v>529.2044141455499</x:v>
      </x:c>
      <x:c r="J106" t="n">
        <x:f>I106*(1+($BG106+('Assumptions'!$D$6-$BG106)*(6-5)/5))</x:f>
        <x:v>713.8967546823469</x:v>
      </x:c>
      <x:c r="K106" t="n">
        <x:f>J106*(1+($BG106+('Assumptions'!$D$6-$BG106)*(7-5)/5))</x:f>
        <x:v>905.221084937216</x:v>
      </x:c>
      <x:c r="L106" t="n">
        <x:f>K106*(1+($BG106+('Assumptions'!$D$6-$BG106)*(8-5)/5))</x:f>
        <x:v>1074.4974278204754</x:v>
      </x:c>
      <x:c r="M106" t="n">
        <x:f>L106*(1+($BG106+('Assumptions'!$D$6-$BG106)*(9-5)/5))</x:f>
        <x:v>1188.3941551694459</x:v>
      </x:c>
      <x:c r="N106" t="n">
        <x:f>M106*(1+($BG106+('Assumptions'!$D$6-$BG106)*(10-5)/5))</x:f>
        <x:v>1218.104009048682</x:v>
      </x:c>
      <x:c r="O106" t="n">
        <x:f>0</x:f>
        <x:v>0</x:v>
      </x:c>
      <x:c r="P106" t="n">
        <x:f>0</x:f>
        <x:v>0</x:v>
      </x:c>
      <x:c r="Q106" t="n">
        <x:f>0</x:f>
        <x:v>0</x:v>
      </x:c>
      <x:c r="R106" t="n">
        <x:f>0</x:f>
        <x:v>0</x:v>
      </x:c>
      <x:c r="S106" t="n">
        <x:f>0</x:f>
        <x:v>0</x:v>
      </x:c>
      <x:c r="T106" t="n">
        <x:f>S106*(1+($BG106+('Assumptions'!$D$6-$BG106)*(6-5)/5))</x:f>
        <x:v>0</x:v>
      </x:c>
      <x:c r="U106" t="n">
        <x:f>T106*(1+($BG106+('Assumptions'!$D$6-$BG106)*(7-5)/5))</x:f>
        <x:v>0</x:v>
      </x:c>
      <x:c r="V106" t="n">
        <x:f>U106*(1+($BG106+('Assumptions'!$D$6-$BG106)*(8-5)/5))</x:f>
        <x:v>0</x:v>
      </x:c>
      <x:c r="W106" t="n">
        <x:f>V106*(1+($BG106+('Assumptions'!$D$6-$BG106)*(9-5)/5))</x:f>
        <x:v>0</x:v>
      </x:c>
      <x:c r="X106" t="n">
        <x:f>W106*(1+($BG106+('Assumptions'!$D$6-$BG106)*(10-5)/5))</x:f>
        <x:v>0</x:v>
      </x:c>
      <x:c r="Y106" t="n">
        <x:f>E106*'WINA Model'!$B$62+O106*'WINA Model'!$B$63+'WINA Model'!$B$73+'WINA Model'!$B$74</x:f>
        <x:v>77.19855</x:v>
      </x:c>
      <x:c r="Z106" t="n">
        <x:f>F106*'WINA Model'!$C$62+P106*'WINA Model'!$C$63+'WINA Model'!$C$73+'WINA Model'!$C$74</x:f>
        <x:v>111.29879474999997</x:v>
      </x:c>
      <x:c r="AA106" t="n">
        <x:f>G106*'WINA Model'!$D$62+Q106*'WINA Model'!$D$63+'WINA Model'!$D$73+'WINA Model'!$D$74</x:f>
        <x:v>160.45123808999998</x:v>
      </x:c>
      <x:c r="AB106" t="n">
        <x:f>H106*'WINA Model'!$E$62+R106*'WINA Model'!$E$63+'WINA Model'!$E$73+'WINA Model'!$E$74</x:f>
        <x:v>231.29563555312495</x:v>
      </x:c>
      <x:c r="AC106" t="n">
        <x:f>I106*'WINA Model'!$F$62+S106*'WINA Model'!$F$63+'WINA Model'!$F$73+'WINA Model'!$F$74</x:f>
        <x:v>333.3987809116964</x:v>
      </x:c>
      <x:c r="AD106" t="n">
        <x:f>AX106*$AC106/$AW106</x:f>
        <x:v>449.75495544987854</x:v>
      </x:c>
      <x:c r="AE106" t="n">
        <x:f>AY106*$AC106/$AW106</x:f>
        <x:v>570.289283510446</x:v>
      </x:c>
      <x:c r="AF106" t="n">
        <x:f>AZ106*$AC106/$AW106</x:f>
        <x:v>676.9333795268994</x:v>
      </x:c>
      <x:c r="AG106" t="n">
        <x:f>BA106*$AC106/$AW106</x:f>
        <x:v>748.6883177567508</x:v>
      </x:c>
      <x:c r="AH106" t="n">
        <x:f>BB106*$AC106/$AW106</x:f>
        <x:v>767.4055257006695</x:v>
      </x:c>
      <x:c r="AI106" t="n">
        <x:f>Y106*(1-'Assumptions'!$F$6)+AS106*'Assumptions'!$G$6-AS106*'WINA Model'!$B$65-(AS106-'Inputs'!$C$14)*'Assumptions'!$H$6-'Assumptions'!$I$6</x:f>
        <x:v>54.492813</x:v>
      </x:c>
      <x:c r="AJ106" t="n">
        <x:f>Z106*(1-'Assumptions'!$F$6)+AT106*'Assumptions'!$G$6-AT106*'WINA Model'!$C$65-(AT106-AS106)*'Assumptions'!$H$6-0</x:f>
        <x:v>79.51729070999998</x:v>
      </x:c>
      <x:c r="AK106" t="n">
        <x:f>AA106*(1-'Assumptions'!$F$6)+AU106*'Assumptions'!$G$6-AU106*'WINA Model'!$D$65-(AU106-AT106)*'Assumptions'!$H$6-0</x:f>
        <x:v>115.98709812689997</x:v>
      </x:c>
      <x:c r="AL106" t="n">
        <x:f>AB106*(1-'Assumptions'!$F$6)+AV106*'Assumptions'!$G$6-AV106*'WINA Model'!$E$65-(AV106-AU106)*'Assumptions'!$H$6-0</x:f>
        <x:v>168.37804683628497</x:v>
      </x:c>
      <x:c r="AM106" t="n">
        <x:f>AC106*(1-'Assumptions'!$F$6)+AW106*'Assumptions'!$G$6-AW106*'WINA Model'!$F$65-(AW106-AV106)*'Assumptions'!$H$6-0</x:f>
        <x:v>243.84999257793166</x:v>
      </x:c>
      <x:c r="AN106" t="n">
        <x:f>AD106*(1-'Assumptions'!$F$6)+AX106*'Assumptions'!$G$6-AX106*'WINA Model'!$G$65-(AX106-AW106)*'Assumptions'!$H$6-0</x:f>
        <x:v>329.5531582749836</x:v>
      </x:c>
      <x:c r="AO106" t="n">
        <x:f>AE106*(1-'Assumptions'!$F$6)+AY106*'Assumptions'!$G$6-AY106*'WINA Model'!$H$65-(AY106-AX106)*'Assumptions'!$H$6-0</x:f>
        <x:v>418.730715843595</x:v>
      </x:c>
      <x:c r="AP106" t="n">
        <x:f>AF106*(1-'Assumptions'!$F$6)+AZ106*'Assumptions'!$G$6-AZ106*'WINA Model'!$I$65-(AZ106-AY106)*'Assumptions'!$H$6-0</x:f>
        <x:v>498.18987244893265</x:v>
      </x:c>
      <x:c r="AQ106" t="n">
        <x:f>AG106*(1-'Assumptions'!$F$6)+BA106*'Assumptions'!$G$6-BA106*'WINA Model'!$J$65-(BA106-AZ106)*'Assumptions'!$H$6-0</x:f>
        <x:v>552.4644570861179</x:v>
      </x:c>
      <x:c r="AR106" t="n">
        <x:f>AH106*(1-'Assumptions'!$F$6)+BB106*'Assumptions'!$G$6-BB106*'WINA Model'!$K$65-(BB106-BA106)*'Assumptions'!$H$6-0</x:f>
        <x:v>568.01675434634</x:v>
      </x:c>
      <x:c r="AS106" t="n">
        <x:f>E106+O106</x:f>
        <x:v>126.55499999999999</x:v>
      </x:c>
      <x:c r="AT106" t="n">
        <x:f>F106+P106</x:f>
        <x:v>180.97364999999996</x:v>
      </x:c>
      <x:c r="AU106" t="n">
        <x:f>G106+Q106</x:f>
        <x:v>258.79231949999996</x:v>
      </x:c>
      <x:c r="AV106" t="n">
        <x:f>H106+R106</x:f>
        <x:v>370.0730168849999</x:v>
      </x:c>
      <x:c r="AW106" t="n">
        <x:f>I106+S106</x:f>
        <x:v>529.2044141455499</x:v>
      </x:c>
      <x:c r="AX106" t="n">
        <x:f>J106+T106</x:f>
        <x:v>713.8967546823469</x:v>
      </x:c>
      <x:c r="AY106" t="n">
        <x:f>K106+U106</x:f>
        <x:v>905.221084937216</x:v>
      </x:c>
      <x:c r="AZ106" t="n">
        <x:f>L106+V106</x:f>
        <x:v>1074.4974278204754</x:v>
      </x:c>
      <x:c r="BA106" t="n">
        <x:f>M106+W106</x:f>
        <x:v>1188.3941551694459</x:v>
      </x:c>
      <x:c r="BB106" t="n">
        <x:f>N106+X106</x:f>
        <x:v>1218.104009048682</x:v>
      </x:c>
      <x:c r="BC106" t="n">
        <x:f>AS106/'Inputs'!$C$14-1</x:f>
        <x:v>0.42999999999999994</x:v>
      </x:c>
      <x:c r="BD106" t="n">
        <x:f>AT106/AS106-1</x:f>
        <x:v>0.4299999999999997</x:v>
      </x:c>
      <x:c r="BE106" t="n">
        <x:f>AU106/AT106-1</x:f>
        <x:v>0.43000000000000016</x:v>
      </x:c>
      <x:c r="BF106" t="n">
        <x:f>AV106/AU106-1</x:f>
        <x:v>0.42999999999999994</x:v>
      </x:c>
      <x:c r="BG106" t="n">
        <x:f>AW106/AV106-1</x:f>
        <x:v>0.43000000000000016</x:v>
      </x:c>
      <x:c r="BH106" t="n">
        <x:f>AX106/AW106-1</x:f>
        <x:v>0.3490000000000002</x:v>
      </x:c>
      <x:c r="BI106" t="n">
        <x:f>AY106/AX106-1</x:f>
        <x:v>0.26800000000000024</x:v>
      </x:c>
      <x:c r="BJ106" t="n">
        <x:f>AZ106/AY106-1</x:f>
        <x:v>0.18700000000000006</x:v>
      </x:c>
      <x:c r="BK106" t="n">
        <x:f>BA106/AZ106-1</x:f>
        <x:v>0.1060000000000001</x:v>
      </x:c>
      <x:c r="BL106" t="n">
        <x:f>BB106/BA106-1</x:f>
        <x:v>0.02499999999999991</x:v>
      </x:c>
      <x:c r="BM106" t="n">
        <x:f>AH106*(1-'Assumptions'!$F$6)*(1+'Assumptions'!$D$6)*(1-'Assumptions'!$D$6/'Assumptions'!$E$6)</x:f>
        <x:v>555.1082684836199</x:v>
      </x:c>
      <x:c r="BN106" t="n">
        <x:f>SUMPRODUCT(AI106:AR106,'WINA Model'!$B$83:$K$83)+BM106/('Assumptions'!$C$6-'Assumptions'!$D$6)*'WINA Model'!$K$83</x:f>
        <x:v>4408.993942751511</x:v>
      </x:c>
      <x:c r="BO106" t="n">
        <x:f>'WINA Model'!$B$94</x:f>
        <x:v>-42.825500000000005</x:v>
      </x:c>
      <x:c r="BP106" t="n">
        <x:f>'Inputs'!$C$8</x:f>
        <x:v>3.701516</x:v>
      </x:c>
    </x:row>
    <x:row r="107">
      <x:c r="A107" t="str">
        <x:v>WINA</x:v>
      </x:c>
      <x:c r="B107" s="22" t="n">
        <x:v>0.44</x:v>
      </x:c>
      <x:c r="C107" s="42" t="n">
        <x:f>(BN107+BO107)/BP107</x:f>
        <x:v>1237.0180566344536</x:v>
      </x:c>
      <x:c r="D107" s="22" t="n">
        <x:f>C107/'Inputs'!$C$5-1</x:f>
        <x:v>2.8879154434247525</x:v>
      </x:c>
      <x:c r="E107" t="n">
        <x:f>'Inputs'!$C$14*(1+$B107)^1</x:f>
        <x:v>127.44</x:v>
      </x:c>
      <x:c r="F107" t="n">
        <x:f>'Inputs'!$C$14*(1+$B107)^2</x:f>
        <x:v>183.5136</x:v>
      </x:c>
      <x:c r="G107" t="n">
        <x:f>'Inputs'!$C$14*(1+$B107)^3</x:f>
        <x:v>264.25958399999996</x:v>
      </x:c>
      <x:c r="H107" t="n">
        <x:f>'Inputs'!$C$14*(1+$B107)^4</x:f>
        <x:v>380.53380095999995</x:v>
      </x:c>
      <x:c r="I107" t="n">
        <x:f>'Inputs'!$C$14*(1+$B107)^5</x:f>
        <x:v>547.9686733824</x:v>
      </x:c>
      <x:c r="J107" t="n">
        <x:f>I107*(1+($BG107+('Assumptions'!$D$6-$BG107)*(6-5)/5))</x:f>
        <x:v>743.5934897799169</x:v>
      </x:c>
      <x:c r="K107" t="n">
        <x:f>J107*(1+($BG107+('Assumptions'!$D$6-$BG107)*(7-5)/5))</x:f>
        <x:v>947.3381059796142</x:v>
      </x:c>
      <x:c r="L107" t="n">
        <x:f>K107*(1+($BG107+('Assumptions'!$D$6-$BG107)*(8-5)/5))</x:f>
        <x:v>1128.2796842217206</x:v>
      </x:c>
      <x:c r="M107" t="n">
        <x:f>L107*(1+($BG107+('Assumptions'!$D$6-$BG107)*(9-5)/5))</x:f>
        <x:v>1250.1338901176664</x:v>
      </x:c>
      <x:c r="N107" t="n">
        <x:f>M107*(1+($BG107+('Assumptions'!$D$6-$BG107)*(10-5)/5))</x:f>
        <x:v>1281.3872373706079</x:v>
      </x:c>
      <x:c r="O107" t="n">
        <x:f>0</x:f>
        <x:v>0</x:v>
      </x:c>
      <x:c r="P107" t="n">
        <x:f>0</x:f>
        <x:v>0</x:v>
      </x:c>
      <x:c r="Q107" t="n">
        <x:f>0</x:f>
        <x:v>0</x:v>
      </x:c>
      <x:c r="R107" t="n">
        <x:f>0</x:f>
        <x:v>0</x:v>
      </x:c>
      <x:c r="S107" t="n">
        <x:f>0</x:f>
        <x:v>0</x:v>
      </x:c>
      <x:c r="T107" t="n">
        <x:f>S107*(1+($BG107+('Assumptions'!$D$6-$BG107)*(6-5)/5))</x:f>
        <x:v>0</x:v>
      </x:c>
      <x:c r="U107" t="n">
        <x:f>T107*(1+($BG107+('Assumptions'!$D$6-$BG107)*(7-5)/5))</x:f>
        <x:v>0</x:v>
      </x:c>
      <x:c r="V107" t="n">
        <x:f>U107*(1+($BG107+('Assumptions'!$D$6-$BG107)*(8-5)/5))</x:f>
        <x:v>0</x:v>
      </x:c>
      <x:c r="W107" t="n">
        <x:f>V107*(1+($BG107+('Assumptions'!$D$6-$BG107)*(9-5)/5))</x:f>
        <x:v>0</x:v>
      </x:c>
      <x:c r="X107" t="n">
        <x:f>W107*(1+($BG107+('Assumptions'!$D$6-$BG107)*(10-5)/5))</x:f>
        <x:v>0</x:v>
      </x:c>
      <x:c r="Y107" t="n">
        <x:f>E107*'WINA Model'!$B$62+O107*'WINA Model'!$B$63+'WINA Model'!$B$73+'WINA Model'!$B$74</x:f>
        <x:v>77.7384</x:v>
      </x:c>
      <x:c r="Z107" t="n">
        <x:f>F107*'WINA Model'!$C$62+P107*'WINA Model'!$C$63+'WINA Model'!$C$73+'WINA Model'!$C$74</x:f>
        <x:v>112.86086399999999</x:v>
      </x:c>
      <x:c r="AA107" t="n">
        <x:f>G107*'WINA Model'!$D$62+Q107*'WINA Model'!$D$63+'WINA Model'!$D$73+'WINA Model'!$D$74</x:f>
        <x:v>163.84094207999996</x:v>
      </x:c>
      <x:c r="AB107" t="n">
        <x:f>H107*'WINA Model'!$E$62+R107*'WINA Model'!$E$63+'WINA Model'!$E$73+'WINA Model'!$E$74</x:f>
        <x:v>237.83362559999998</x:v>
      </x:c>
      <x:c r="AC107" t="n">
        <x:f>I107*'WINA Model'!$F$62+S107*'WINA Model'!$F$63+'WINA Model'!$F$73+'WINA Model'!$F$74</x:f>
        <x:v>345.220264230912</x:v>
      </x:c>
      <x:c r="AD107" t="n">
        <x:f>AX107*$AC107/$AW107</x:f>
        <x:v>468.46389856134766</x:v>
      </x:c>
      <x:c r="AE107" t="n">
        <x:f>AY107*$AC107/$AW107</x:f>
        <x:v>596.8230067671569</x:v>
      </x:c>
      <x:c r="AF107" t="n">
        <x:f>AZ107*$AC107/$AW107</x:f>
        <x:v>710.816201059684</x:v>
      </x:c>
      <x:c r="AG107" t="n">
        <x:f>BA107*$AC107/$AW107</x:f>
        <x:v>787.5843507741298</x:v>
      </x:c>
      <x:c r="AH107" t="n">
        <x:f>BB107*$AC107/$AW107</x:f>
        <x:v>807.273959543483</x:v>
      </x:c>
      <x:c r="AI107" t="n">
        <x:f>Y107*(1-'Assumptions'!$F$6)+AS107*'Assumptions'!$G$6-AS107*'WINA Model'!$B$65-(AS107-'Inputs'!$C$14)*'Assumptions'!$H$6-'Assumptions'!$I$6</x:f>
        <x:v>54.861504000000004</x:v>
      </x:c>
      <x:c r="AJ107" t="n">
        <x:f>Z107*(1-'Assumptions'!$F$6)+AT107*'Assumptions'!$G$6-AT107*'WINA Model'!$C$65-(AT107-AS107)*'Assumptions'!$H$6-0</x:f>
        <x:v>80.61548543999999</x:v>
      </x:c>
      <x:c r="AK107" t="n">
        <x:f>AA107*(1-'Assumptions'!$F$6)+AU107*'Assumptions'!$G$6-AU107*'WINA Model'!$D$65-(AU107-AT107)*'Assumptions'!$H$6-0</x:f>
        <x:v>118.41178337279996</x:v>
      </x:c>
      <x:c r="AL107" t="n">
        <x:f>AB107*(1-'Assumptions'!$F$6)+AV107*'Assumptions'!$G$6-AV107*'WINA Model'!$E$65-(AV107-AU107)*'Assumptions'!$H$6-0</x:f>
        <x:v>173.10059790335998</x:v>
      </x:c>
      <x:c r="AM107" t="n">
        <x:f>AC107*(1-'Assumptions'!$F$6)+AW107*'Assumptions'!$G$6-AW107*'WINA Model'!$F$65-(AW107-AV107)*'Assumptions'!$H$6-0</x:f>
        <x:v>252.4430792864563</x:v>
      </x:c>
      <x:c r="AN107" t="n">
        <x:f>AD107*(1-'Assumptions'!$F$6)+AX107*'Assumptions'!$G$6-AX107*'WINA Model'!$G$65-(AX107-AW107)*'Assumptions'!$H$6-0</x:f>
        <x:v>343.19694470131486</x:v>
      </x:c>
      <x:c r="AO107" t="n">
        <x:f>AE107*(1-'Assumptions'!$F$6)+AY107*'Assumptions'!$G$6-AY107*'WINA Model'!$H$65-(AY107-AX107)*'Assumptions'!$H$6-0</x:f>
        <x:v>438.1425355472899</x:v>
      </x:c>
      <x:c r="AP107" t="n">
        <x:f>AF107*(1-'Assumptions'!$F$6)+AZ107*'Assumptions'!$G$6-AZ107*'WINA Model'!$I$65-(AZ107-AY107)*'Assumptions'!$H$6-0</x:f>
        <x:v>523.0621250298572</x:v>
      </x:c>
      <x:c r="AQ107" t="n">
        <x:f>AG107*(1-'Assumptions'!$F$6)+BA107*'Assumptions'!$G$6-BA107*'WINA Model'!$J$65-(BA107-AZ107)*'Assumptions'!$H$6-0</x:f>
        <x:v>581.1254157890077</x:v>
      </x:c>
      <x:c r="AR107" t="n">
        <x:f>AH107*(1-'Assumptions'!$F$6)+BB107*'Assumptions'!$G$6-BB107*'WINA Model'!$K$65-(BB107-BA107)*'Assumptions'!$H$6-0</x:f>
        <x:v>597.5264954595409</x:v>
      </x:c>
      <x:c r="AS107" t="n">
        <x:f>E107+O107</x:f>
        <x:v>127.44</x:v>
      </x:c>
      <x:c r="AT107" t="n">
        <x:f>F107+P107</x:f>
        <x:v>183.5136</x:v>
      </x:c>
      <x:c r="AU107" t="n">
        <x:f>G107+Q107</x:f>
        <x:v>264.25958399999996</x:v>
      </x:c>
      <x:c r="AV107" t="n">
        <x:f>H107+R107</x:f>
        <x:v>380.53380095999995</x:v>
      </x:c>
      <x:c r="AW107" t="n">
        <x:f>I107+S107</x:f>
        <x:v>547.9686733824</x:v>
      </x:c>
      <x:c r="AX107" t="n">
        <x:f>J107+T107</x:f>
        <x:v>743.5934897799169</x:v>
      </x:c>
      <x:c r="AY107" t="n">
        <x:f>K107+U107</x:f>
        <x:v>947.3381059796142</x:v>
      </x:c>
      <x:c r="AZ107" t="n">
        <x:f>L107+V107</x:f>
        <x:v>1128.2796842217206</x:v>
      </x:c>
      <x:c r="BA107" t="n">
        <x:f>M107+W107</x:f>
        <x:v>1250.1338901176664</x:v>
      </x:c>
      <x:c r="BB107" t="n">
        <x:f>N107+X107</x:f>
        <x:v>1281.3872373706079</x:v>
      </x:c>
      <x:c r="BC107" t="n">
        <x:f>AS107/'Inputs'!$C$14-1</x:f>
        <x:v>0.43999999999999995</x:v>
      </x:c>
      <x:c r="BD107" t="n">
        <x:f>AT107/AS107-1</x:f>
        <x:v>0.43999999999999995</x:v>
      </x:c>
      <x:c r="BE107" t="n">
        <x:f>AU107/AT107-1</x:f>
        <x:v>0.4399999999999997</x:v>
      </x:c>
      <x:c r="BF107" t="n">
        <x:f>AV107/AU107-1</x:f>
        <x:v>0.43999999999999995</x:v>
      </x:c>
      <x:c r="BG107" t="n">
        <x:f>AW107/AV107-1</x:f>
        <x:v>0.44000000000000017</x:v>
      </x:c>
      <x:c r="BH107" t="n">
        <x:f>AX107/AW107-1</x:f>
        <x:v>0.3570000000000002</x:v>
      </x:c>
      <x:c r="BI107" t="n">
        <x:f>AY107/AX107-1</x:f>
        <x:v>0.274</x:v>
      </x:c>
      <x:c r="BJ107" t="n">
        <x:f>AZ107/AY107-1</x:f>
        <x:v>0.19100000000000006</x:v>
      </x:c>
      <x:c r="BK107" t="n">
        <x:f>BA107/AZ107-1</x:f>
        <x:v>0.1080000000000001</x:v>
      </x:c>
      <x:c r="BL107" t="n">
        <x:f>BB107/BA107-1</x:f>
        <x:v>0.02499999999999991</x:v>
      </x:c>
      <x:c r="BM107" t="n">
        <x:f>AH107*(1-'Assumptions'!$F$6)*(1+'Assumptions'!$D$6)*(1-'Assumptions'!$D$6/'Assumptions'!$E$6)</x:f>
        <x:v>583.9473848783466</x:v>
      </x:c>
      <x:c r="BN107" t="n">
        <x:f>SUMPRODUCT(AI107:AR107,'WINA Model'!$B$83:$K$83)+BM107/('Assumptions'!$C$6-'Assumptions'!$D$6)*'WINA Model'!$K$83</x:f>
        <x:v>4621.667628921336</x:v>
      </x:c>
      <x:c r="BO107" t="n">
        <x:f>'WINA Model'!$B$94</x:f>
        <x:v>-42.825500000000005</x:v>
      </x:c>
      <x:c r="BP107" t="n">
        <x:f>'Inputs'!$C$8</x:f>
        <x:v>3.701516</x:v>
      </x:c>
    </x:row>
    <x:row r="108">
      <x:c r="A108" t="str">
        <x:v>WINA</x:v>
      </x:c>
      <x:c r="B108" s="22" t="n">
        <x:v>0.45</x:v>
      </x:c>
      <x:c r="C108" s="42" t="n">
        <x:f>(BN108+BO108)/BP108</x:f>
        <x:v>1296.955025054792</x:v>
      </x:c>
      <x:c r="D108" s="22" t="n">
        <x:f>C108/'Inputs'!$C$5-1</x:f>
        <x:v>3.0762957697293647</x:v>
      </x:c>
      <x:c r="E108" t="n">
        <x:f>'Inputs'!$C$14*(1+$B108)^1</x:f>
        <x:v>128.325</x:v>
      </x:c>
      <x:c r="F108" t="n">
        <x:f>'Inputs'!$C$14*(1+$B108)^2</x:f>
        <x:v>186.07125</x:v>
      </x:c>
      <x:c r="G108" t="n">
        <x:f>'Inputs'!$C$14*(1+$B108)^3</x:f>
        <x:v>269.8033125</x:v>
      </x:c>
      <x:c r="H108" t="n">
        <x:f>'Inputs'!$C$14*(1+$B108)^4</x:f>
        <x:v>391.214803125</x:v>
      </x:c>
      <x:c r="I108" t="n">
        <x:f>'Inputs'!$C$14*(1+$B108)^5</x:f>
        <x:v>567.2614645312499</x:v>
      </x:c>
      <x:c r="J108" t="n">
        <x:f>I108*(1+($BG108+('Assumptions'!$D$6-$BG108)*(6-5)/5))</x:f>
        <x:v>774.3118990851559</x:v>
      </x:c>
      <x:c r="K108" t="n">
        <x:f>J108*(1+($BG108+('Assumptions'!$D$6-$BG108)*(7-5)/5))</x:f>
        <x:v>991.1192308289994</x:v>
      </x:c>
      <x:c r="L108" t="n">
        <x:f>K108*(1+($BG108+('Assumptions'!$D$6-$BG108)*(8-5)/5))</x:f>
        <x:v>1184.3874808406542</x:v>
      </x:c>
      <x:c r="M108" t="n">
        <x:f>L108*(1+($BG108+('Assumptions'!$D$6-$BG108)*(9-5)/5))</x:f>
        <x:v>1314.670103733126</x:v>
      </x:c>
      <x:c r="N108" t="n">
        <x:f>M108*(1+($BG108+('Assumptions'!$D$6-$BG108)*(10-5)/5))</x:f>
        <x:v>1347.5368563264542</x:v>
      </x:c>
      <x:c r="O108" t="n">
        <x:f>0</x:f>
        <x:v>0</x:v>
      </x:c>
      <x:c r="P108" t="n">
        <x:f>0</x:f>
        <x:v>0</x:v>
      </x:c>
      <x:c r="Q108" t="n">
        <x:f>0</x:f>
        <x:v>0</x:v>
      </x:c>
      <x:c r="R108" t="n">
        <x:f>0</x:f>
        <x:v>0</x:v>
      </x:c>
      <x:c r="S108" t="n">
        <x:f>0</x:f>
        <x:v>0</x:v>
      </x:c>
      <x:c r="T108" t="n">
        <x:f>S108*(1+($BG108+('Assumptions'!$D$6-$BG108)*(6-5)/5))</x:f>
        <x:v>0</x:v>
      </x:c>
      <x:c r="U108" t="n">
        <x:f>T108*(1+($BG108+('Assumptions'!$D$6-$BG108)*(7-5)/5))</x:f>
        <x:v>0</x:v>
      </x:c>
      <x:c r="V108" t="n">
        <x:f>U108*(1+($BG108+('Assumptions'!$D$6-$BG108)*(8-5)/5))</x:f>
        <x:v>0</x:v>
      </x:c>
      <x:c r="W108" t="n">
        <x:f>V108*(1+($BG108+('Assumptions'!$D$6-$BG108)*(9-5)/5))</x:f>
        <x:v>0</x:v>
      </x:c>
      <x:c r="X108" t="n">
        <x:f>W108*(1+($BG108+('Assumptions'!$D$6-$BG108)*(10-5)/5))</x:f>
        <x:v>0</x:v>
      </x:c>
      <x:c r="Y108" t="n">
        <x:f>E108*'WINA Model'!$B$62+O108*'WINA Model'!$B$63+'WINA Model'!$B$73+'WINA Model'!$B$74</x:f>
        <x:v>78.27824999999999</x:v>
      </x:c>
      <x:c r="Z108" t="n">
        <x:f>F108*'WINA Model'!$C$62+P108*'WINA Model'!$C$63+'WINA Model'!$C$73+'WINA Model'!$C$74</x:f>
        <x:v>114.43381875</x:v>
      </x:c>
      <x:c r="AA108" t="n">
        <x:f>G108*'WINA Model'!$D$62+Q108*'WINA Model'!$D$63+'WINA Model'!$D$73+'WINA Model'!$D$74</x:f>
        <x:v>167.27805375</x:v>
      </x:c>
      <x:c r="AB108" t="n">
        <x:f>H108*'WINA Model'!$E$62+R108*'WINA Model'!$E$63+'WINA Model'!$E$73+'WINA Model'!$E$74</x:f>
        <x:v>244.509251953125</x:v>
      </x:c>
      <x:c r="AC108" t="n">
        <x:f>I108*'WINA Model'!$F$62+S108*'WINA Model'!$F$63+'WINA Model'!$F$73+'WINA Model'!$F$74</x:f>
        <x:v>357.37472265468745</x:v>
      </x:c>
      <x:c r="AD108" t="n">
        <x:f>AX108*$AC108/$AW108</x:f>
        <x:v>487.8164964236482</x:v>
      </x:c>
      <x:c r="AE108" t="n">
        <x:f>AY108*$AC108/$AW108</x:f>
        <x:v>624.4051154222697</x:v>
      </x:c>
      <x:c r="AF108" t="n">
        <x:f>AZ108*$AC108/$AW108</x:f>
        <x:v>746.1641129296122</x:v>
      </x:c>
      <x:c r="AG108" t="n">
        <x:f>BA108*$AC108/$AW108</x:f>
        <x:v>828.2421653518695</x:v>
      </x:c>
      <x:c r="AH108" t="n">
        <x:f>BB108*$AC108/$AW108</x:f>
        <x:v>848.9482194856662</x:v>
      </x:c>
      <x:c r="AI108" t="n">
        <x:f>Y108*(1-'Assumptions'!$F$6)+AS108*'Assumptions'!$G$6-AS108*'WINA Model'!$B$65-(AS108-'Inputs'!$C$14)*'Assumptions'!$H$6-'Assumptions'!$I$6</x:f>
        <x:v>55.230194999999995</x:v>
      </x:c>
      <x:c r="AJ108" t="n">
        <x:f>Z108*(1-'Assumptions'!$F$6)+AT108*'Assumptions'!$G$6-AT108*'WINA Model'!$C$65-(AT108-AS108)*'Assumptions'!$H$6-0</x:f>
        <x:v>81.72120974999999</x:v>
      </x:c>
      <x:c r="AK108" t="n">
        <x:f>AA108*(1-'Assumptions'!$F$6)+AU108*'Assumptions'!$G$6-AU108*'WINA Model'!$D$65-(AU108-AT108)*'Assumptions'!$H$6-0</x:f>
        <x:v>120.8700232875</x:v>
      </x:c>
      <x:c r="AL108" t="n">
        <x:f>AB108*(1-'Assumptions'!$F$6)+AV108*'Assumptions'!$G$6-AV108*'WINA Model'!$E$65-(AV108-AU108)*'Assumptions'!$H$6-0</x:f>
        <x:v>177.921794428125</x:v>
      </x:c>
      <x:c r="AM108" t="n">
        <x:f>AC108*(1-'Assumptions'!$F$6)+AW108*'Assumptions'!$G$6-AW108*'WINA Model'!$F$65-(AW108-AV108)*'Assumptions'!$H$6-0</x:f>
        <x:v>261.2767184150625</x:v>
      </x:c>
      <x:c r="AN108" t="n">
        <x:f>AD108*(1-'Assumptions'!$F$6)+AX108*'Assumptions'!$G$6-AX108*'WINA Model'!$G$65-(AX108-AW108)*'Assumptions'!$H$6-0</x:f>
        <x:v>357.30778580187257</x:v>
      </x:c>
      <x:c r="AO108" t="n">
        <x:f>AE108*(1-'Assumptions'!$F$6)+AY108*'Assumptions'!$G$6-AY108*'WINA Model'!$H$65-(AY108-AX108)*'Assumptions'!$H$6-0</x:f>
        <x:v>458.3183103161001</x:v>
      </x:c>
      <x:c r="AP108" t="n">
        <x:f>AF108*(1-'Assumptions'!$F$6)+AZ108*'Assumptions'!$G$6-AZ108*'WINA Model'!$I$65-(AZ108-AY108)*'Assumptions'!$H$6-0</x:f>
        <x:v>549.0067110561844</x:v>
      </x:c>
      <x:c r="AQ108" t="n">
        <x:f>AG108*(1-'Assumptions'!$F$6)+BA108*'Assumptions'!$G$6-BA108*'WINA Model'!$J$65-(BA108-AZ108)*'Assumptions'!$H$6-0</x:f>
        <x:v>611.0823519647738</x:v>
      </x:c>
      <x:c r="AR108" t="n">
        <x:f>AH108*(1-'Assumptions'!$F$6)+BB108*'Assumptions'!$G$6-BB108*'WINA Model'!$K$65-(BB108-BA108)*'Assumptions'!$H$6-0</x:f>
        <x:v>628.3728694813223</x:v>
      </x:c>
      <x:c r="AS108" t="n">
        <x:f>E108+O108</x:f>
        <x:v>128.325</x:v>
      </x:c>
      <x:c r="AT108" t="n">
        <x:f>F108+P108</x:f>
        <x:v>186.07125</x:v>
      </x:c>
      <x:c r="AU108" t="n">
        <x:f>G108+Q108</x:f>
        <x:v>269.8033125</x:v>
      </x:c>
      <x:c r="AV108" t="n">
        <x:f>H108+R108</x:f>
        <x:v>391.214803125</x:v>
      </x:c>
      <x:c r="AW108" t="n">
        <x:f>I108+S108</x:f>
        <x:v>567.2614645312499</x:v>
      </x:c>
      <x:c r="AX108" t="n">
        <x:f>J108+T108</x:f>
        <x:v>774.3118990851559</x:v>
      </x:c>
      <x:c r="AY108" t="n">
        <x:f>K108+U108</x:f>
        <x:v>991.1192308289994</x:v>
      </x:c>
      <x:c r="AZ108" t="n">
        <x:f>L108+V108</x:f>
        <x:v>1184.3874808406542</x:v>
      </x:c>
      <x:c r="BA108" t="n">
        <x:f>M108+W108</x:f>
        <x:v>1314.670103733126</x:v>
      </x:c>
      <x:c r="BB108" t="n">
        <x:f>N108+X108</x:f>
        <x:v>1347.5368563264542</x:v>
      </x:c>
      <x:c r="BC108" t="n">
        <x:f>AS108/'Inputs'!$C$14-1</x:f>
        <x:v>0.44999999999999996</x:v>
      </x:c>
      <x:c r="BD108" t="n">
        <x:f>AT108/AS108-1</x:f>
        <x:v>0.44999999999999996</x:v>
      </x:c>
      <x:c r="BE108" t="n">
        <x:f>AU108/AT108-1</x:f>
        <x:v>0.4500000000000002</x:v>
      </x:c>
      <x:c r="BF108" t="n">
        <x:f>AV108/AU108-1</x:f>
        <x:v>0.44999999999999996</x:v>
      </x:c>
      <x:c r="BG108" t="n">
        <x:f>AW108/AV108-1</x:f>
        <x:v>0.44999999999999973</x:v>
      </x:c>
      <x:c r="BH108" t="n">
        <x:f>AX108/AW108-1</x:f>
        <x:v>0.36499999999999977</x:v>
      </x:c>
      <x:c r="BI108" t="n">
        <x:f>AY108/AX108-1</x:f>
        <x:v>0.2799999999999998</x:v>
      </x:c>
      <x:c r="BJ108" t="n">
        <x:f>AZ108/AY108-1</x:f>
        <x:v>0.19499999999999984</x:v>
      </x:c>
      <x:c r="BK108" t="n">
        <x:f>BA108/AZ108-1</x:f>
        <x:v>0.10999999999999988</x:v>
      </x:c>
      <x:c r="BL108" t="n">
        <x:f>BB108/BA108-1</x:f>
        <x:v>0.02499999999999991</x:v>
      </x:c>
      <x:c r="BM108" t="n">
        <x:f>AH108*(1-'Assumptions'!$F$6)*(1+'Assumptions'!$D$6)*(1-'Assumptions'!$D$6/'Assumptions'!$E$6)</x:f>
        <x:v>614.0927584808101</x:v>
      </x:c>
      <x:c r="BN108" t="n">
        <x:f>SUMPRODUCT(AI108:AR108,'WINA Model'!$B$83:$K$83)+BM108/('Assumptions'!$C$6-'Assumptions'!$D$6)*'WINA Model'!$K$83</x:f>
        <x:v>4843.525276520713</x:v>
      </x:c>
      <x:c r="BO108" t="n">
        <x:f>'WINA Model'!$B$94</x:f>
        <x:v>-42.825500000000005</x:v>
      </x:c>
      <x:c r="BP108" t="n">
        <x:f>'Inputs'!$C$8</x:f>
        <x:v>3.701516</x:v>
      </x:c>
    </x:row>
    <x:row r="109">
      <x:c r="A109" t="str">
        <x:v>WINA</x:v>
      </x:c>
      <x:c r="B109" s="22" t="n">
        <x:v>0.46</x:v>
      </x:c>
      <x:c r="C109" s="42" t="n">
        <x:f>(BN109+BO109)/BP109</x:f>
        <x:v>1359.4661273249528</x:v>
      </x:c>
      <x:c r="D109" s="22" t="n">
        <x:f>C109/'Inputs'!$C$5-1</x:f>
        <x:v>3.27276653149245</x:v>
      </x:c>
      <x:c r="E109" t="n">
        <x:f>'Inputs'!$C$14*(1+$B109)^1</x:f>
        <x:v>129.21</x:v>
      </x:c>
      <x:c r="F109" t="n">
        <x:f>'Inputs'!$C$14*(1+$B109)^2</x:f>
        <x:v>188.64659999999998</x:v>
      </x:c>
      <x:c r="G109" t="n">
        <x:f>'Inputs'!$C$14*(1+$B109)^3</x:f>
        <x:v>275.42403599999994</x:v>
      </x:c>
      <x:c r="H109" t="n">
        <x:f>'Inputs'!$C$14*(1+$B109)^4</x:f>
        <x:v>402.11909255999984</x:v>
      </x:c>
      <x:c r="I109" t="n">
        <x:f>'Inputs'!$C$14*(1+$B109)^5</x:f>
        <x:v>587.0938751375998</x:v>
      </x:c>
      <x:c r="J109" t="n">
        <x:f>I109*(1+($BG109+('Assumptions'!$D$6-$BG109)*(6-5)/5))</x:f>
        <x:v>806.0798905639244</x:v>
      </x:c>
      <x:c r="K109" t="n">
        <x:f>J109*(1+($BG109+('Assumptions'!$D$6-$BG109)*(7-5)/5))</x:f>
        <x:v>1036.6187392652068</x:v>
      </x:c>
      <x:c r="L109" t="n">
        <x:f>K109*(1+($BG109+('Assumptions'!$D$6-$BG109)*(8-5)/5))</x:f>
        <x:v>1242.905868378983</x:v>
      </x:c>
      <x:c r="M109" t="n">
        <x:f>L109*(1+($BG109+('Assumptions'!$D$6-$BG109)*(9-5)/5))</x:f>
        <x:v>1382.1113256374292</x:v>
      </x:c>
      <x:c r="N109" t="n">
        <x:f>M109*(1+($BG109+('Assumptions'!$D$6-$BG109)*(10-5)/5))</x:f>
        <x:v>1416.6641087783648</x:v>
      </x:c>
      <x:c r="O109" t="n">
        <x:f>0</x:f>
        <x:v>0</x:v>
      </x:c>
      <x:c r="P109" t="n">
        <x:f>0</x:f>
        <x:v>0</x:v>
      </x:c>
      <x:c r="Q109" t="n">
        <x:f>0</x:f>
        <x:v>0</x:v>
      </x:c>
      <x:c r="R109" t="n">
        <x:f>0</x:f>
        <x:v>0</x:v>
      </x:c>
      <x:c r="S109" t="n">
        <x:f>0</x:f>
        <x:v>0</x:v>
      </x:c>
      <x:c r="T109" t="n">
        <x:f>S109*(1+($BG109+('Assumptions'!$D$6-$BG109)*(6-5)/5))</x:f>
        <x:v>0</x:v>
      </x:c>
      <x:c r="U109" t="n">
        <x:f>T109*(1+($BG109+('Assumptions'!$D$6-$BG109)*(7-5)/5))</x:f>
        <x:v>0</x:v>
      </x:c>
      <x:c r="V109" t="n">
        <x:f>U109*(1+($BG109+('Assumptions'!$D$6-$BG109)*(8-5)/5))</x:f>
        <x:v>0</x:v>
      </x:c>
      <x:c r="W109" t="n">
        <x:f>V109*(1+($BG109+('Assumptions'!$D$6-$BG109)*(9-5)/5))</x:f>
        <x:v>0</x:v>
      </x:c>
      <x:c r="X109" t="n">
        <x:f>W109*(1+($BG109+('Assumptions'!$D$6-$BG109)*(10-5)/5))</x:f>
        <x:v>0</x:v>
      </x:c>
      <x:c r="Y109" t="n">
        <x:f>E109*'WINA Model'!$B$62+O109*'WINA Model'!$B$63+'WINA Model'!$B$73+'WINA Model'!$B$74</x:f>
        <x:v>78.8181</x:v>
      </x:c>
      <x:c r="Z109" t="n">
        <x:f>F109*'WINA Model'!$C$62+P109*'WINA Model'!$C$63+'WINA Model'!$C$73+'WINA Model'!$C$74</x:f>
        <x:v>116.01765899999998</x:v>
      </x:c>
      <x:c r="AA109" t="n">
        <x:f>G109*'WINA Model'!$D$62+Q109*'WINA Model'!$D$63+'WINA Model'!$D$73+'WINA Model'!$D$74</x:f>
        <x:v>170.76290231999997</x:v>
      </x:c>
      <x:c r="AB109" t="n">
        <x:f>H109*'WINA Model'!$E$62+R109*'WINA Model'!$E$63+'WINA Model'!$E$73+'WINA Model'!$E$74</x:f>
        <x:v>251.3244328499999</x:v>
      </x:c>
      <x:c r="AC109" t="n">
        <x:f>I109*'WINA Model'!$F$62+S109*'WINA Model'!$F$63+'WINA Model'!$F$73+'WINA Model'!$F$74</x:f>
        <x:v>369.86914133668785</x:v>
      </x:c>
      <x:c r="AD109" t="n">
        <x:f>AX109*$AC109/$AW109</x:f>
        <x:v>507.83033105527244</x:v>
      </x:c>
      <x:c r="AE109" t="n">
        <x:f>AY109*$AC109/$AW109</x:f>
        <x:v>653.0698057370803</x:v>
      </x:c>
      <x:c r="AF109" t="n">
        <x:f>AZ109*$AC109/$AW109</x:f>
        <x:v>783.0306970787593</x:v>
      </x:c>
      <x:c r="AG109" t="n">
        <x:f>BA109*$AC109/$AW109</x:f>
        <x:v>870.7301351515805</x:v>
      </x:c>
      <x:c r="AH109" t="n">
        <x:f>BB109*$AC109/$AW109</x:f>
        <x:v>892.4983885303699</x:v>
      </x:c>
      <x:c r="AI109" t="n">
        <x:f>Y109*(1-'Assumptions'!$F$6)+AS109*'Assumptions'!$G$6-AS109*'WINA Model'!$B$65-(AS109-'Inputs'!$C$14)*'Assumptions'!$H$6-'Assumptions'!$I$6</x:f>
        <x:v>55.59888599999999</x:v>
      </x:c>
      <x:c r="AJ109" t="n">
        <x:f>Z109*(1-'Assumptions'!$F$6)+AT109*'Assumptions'!$G$6-AT109*'WINA Model'!$C$65-(AT109-AS109)*'Assumptions'!$H$6-0</x:f>
        <x:v>82.83446364</x:v>
      </x:c>
      <x:c r="AK109" t="n">
        <x:f>AA109*(1-'Assumptions'!$F$6)+AU109*'Assumptions'!$G$6-AU109*'WINA Model'!$D$65-(AU109-AT109)*'Assumptions'!$H$6-0</x:f>
        <x:v>123.3620484312</x:v>
      </x:c>
      <x:c r="AL109" t="n">
        <x:f>AB109*(1-'Assumptions'!$F$6)+AV109*'Assumptions'!$G$6-AV109*'WINA Model'!$E$65-(AV109-AU109)*'Assumptions'!$H$6-0</x:f>
        <x:v>182.84300053895996</x:v>
      </x:c>
      <x:c r="AM109" t="n">
        <x:f>AC109*(1-'Assumptions'!$F$6)+AW109*'Assumptions'!$G$6-AW109*'WINA Model'!$F$65-(AW109-AV109)*'Assumptions'!$H$6-0</x:f>
        <x:v>270.35592526267953</x:v>
      </x:c>
      <x:c r="AN109" t="n">
        <x:f>AD109*(1-'Assumptions'!$F$6)+AX109*'Assumptions'!$G$6-AX109*'WINA Model'!$G$65-(AX109-AW109)*'Assumptions'!$H$6-0</x:f>
        <x:v>371.89837260671345</x:v>
      </x:c>
      <x:c r="AO109" t="n">
        <x:f>AE109*(1-'Assumptions'!$F$6)+AY109*'Assumptions'!$G$6-AY109*'WINA Model'!$H$65-(AY109-AX109)*'Assumptions'!$H$6-0</x:f>
        <x:v>479.28285051497284</x:v>
      </x:c>
      <x:c r="AP109" t="n">
        <x:f>AF109*(1-'Assumptions'!$F$6)+AZ109*'Assumptions'!$G$6-AZ109*'WINA Model'!$I$65-(AZ109-AY109)*'Assumptions'!$H$6-0</x:f>
        <x:v>576.0627167770338</x:v>
      </x:c>
      <x:c r="AQ109" t="n">
        <x:f>AG109*(1-'Assumptions'!$F$6)+BA109*'Assumptions'!$G$6-BA109*'WINA Model'!$J$65-(BA109-AZ109)*'Assumptions'!$H$6-0</x:f>
        <x:v>642.385457662383</x:v>
      </x:c>
      <x:c r="AR109" t="n">
        <x:f>AH109*(1-'Assumptions'!$F$6)+BB109*'Assumptions'!$G$6-BB109*'WINA Model'!$K$65-(BB109-BA109)*'Assumptions'!$H$6-0</x:f>
        <x:v>660.607750314922</x:v>
      </x:c>
      <x:c r="AS109" t="n">
        <x:f>E109+O109</x:f>
        <x:v>129.21</x:v>
      </x:c>
      <x:c r="AT109" t="n">
        <x:f>F109+P109</x:f>
        <x:v>188.64659999999998</x:v>
      </x:c>
      <x:c r="AU109" t="n">
        <x:f>G109+Q109</x:f>
        <x:v>275.42403599999994</x:v>
      </x:c>
      <x:c r="AV109" t="n">
        <x:f>H109+R109</x:f>
        <x:v>402.11909255999984</x:v>
      </x:c>
      <x:c r="AW109" t="n">
        <x:f>I109+S109</x:f>
        <x:v>587.0938751375998</x:v>
      </x:c>
      <x:c r="AX109" t="n">
        <x:f>J109+T109</x:f>
        <x:v>806.0798905639244</x:v>
      </x:c>
      <x:c r="AY109" t="n">
        <x:f>K109+U109</x:f>
        <x:v>1036.6187392652068</x:v>
      </x:c>
      <x:c r="AZ109" t="n">
        <x:f>L109+V109</x:f>
        <x:v>1242.905868378983</x:v>
      </x:c>
      <x:c r="BA109" t="n">
        <x:f>M109+W109</x:f>
        <x:v>1382.1113256374292</x:v>
      </x:c>
      <x:c r="BB109" t="n">
        <x:f>N109+X109</x:f>
        <x:v>1416.6641087783648</x:v>
      </x:c>
      <x:c r="BC109" t="n">
        <x:f>AS109/'Inputs'!$C$14-1</x:f>
        <x:v>0.4600000000000002</x:v>
      </x:c>
      <x:c r="BD109" t="n">
        <x:f>AT109/AS109-1</x:f>
        <x:v>0.45999999999999974</x:v>
      </x:c>
      <x:c r="BE109" t="n">
        <x:f>AU109/AT109-1</x:f>
        <x:v>0.45999999999999996</x:v>
      </x:c>
      <x:c r="BF109" t="n">
        <x:f>AV109/AU109-1</x:f>
        <x:v>0.45999999999999974</x:v>
      </x:c>
      <x:c r="BG109" t="n">
        <x:f>AW109/AV109-1</x:f>
        <x:v>0.45999999999999996</x:v>
      </x:c>
      <x:c r="BH109" t="n">
        <x:f>AX109/AW109-1</x:f>
        <x:v>0.373</x:v>
      </x:c>
      <x:c r="BI109" t="n">
        <x:f>AY109/AX109-1</x:f>
        <x:v>0.28600000000000003</x:v>
      </x:c>
      <x:c r="BJ109" t="n">
        <x:f>AZ109/AY109-1</x:f>
        <x:v>0.19900000000000007</x:v>
      </x:c>
      <x:c r="BK109" t="n">
        <x:f>BA109/AZ109-1</x:f>
        <x:v>0.1120000000000001</x:v>
      </x:c>
      <x:c r="BL109" t="n">
        <x:f>BB109/BA109-1</x:f>
        <x:v>0.02499999999999991</x:v>
      </x:c>
      <x:c r="BM109" t="n">
        <x:f>AH109*(1-'Assumptions'!$F$6)*(1+'Assumptions'!$D$6)*(1-'Assumptions'!$D$6/'Assumptions'!$E$6)</x:f>
        <x:v>645.5950843319325</x:v>
      </x:c>
      <x:c r="BN109" t="n">
        <x:f>SUMPRODUCT(AI109:AR109,'WINA Model'!$B$83:$K$83)+BM109/('Assumptions'!$C$6-'Assumptions'!$D$6)*'WINA Model'!$K$83</x:f>
        <x:v>5074.91112175135</x:v>
      </x:c>
      <x:c r="BO109" t="n">
        <x:f>'WINA Model'!$B$94</x:f>
        <x:v>-42.825500000000005</x:v>
      </x:c>
      <x:c r="BP109" t="n">
        <x:f>'Inputs'!$C$8</x:f>
        <x:v>3.701516</x:v>
      </x:c>
    </x:row>
    <x:row r="110">
      <x:c r="A110" t="str">
        <x:v>WINA</x:v>
      </x:c>
      <x:c r="B110" s="22" t="n">
        <x:v>0.47</x:v>
      </x:c>
      <x:c r="C110" s="42" t="n">
        <x:f>(BN110+BO110)/BP110</x:f>
        <x:v>1424.6473013583222</x:v>
      </x:c>
      <x:c r="D110" s="22" t="n">
        <x:f>C110/'Inputs'!$C$5-1</x:f>
        <x:v>3.4776292590700635</x:v>
      </x:c>
      <x:c r="E110" t="n">
        <x:f>'Inputs'!$C$14*(1+$B110)^1</x:f>
        <x:v>130.095</x:v>
      </x:c>
      <x:c r="F110" t="n">
        <x:f>'Inputs'!$C$14*(1+$B110)^2</x:f>
        <x:v>191.23964999999998</x:v>
      </x:c>
      <x:c r="G110" t="n">
        <x:f>'Inputs'!$C$14*(1+$B110)^3</x:f>
        <x:v>281.1222855</x:v>
      </x:c>
      <x:c r="H110" t="n">
        <x:f>'Inputs'!$C$14*(1+$B110)^4</x:f>
        <x:v>413.2497596849999</x:v>
      </x:c>
      <x:c r="I110" t="n">
        <x:f>'Inputs'!$C$14*(1+$B110)^5</x:f>
        <x:v>607.4771467369499</x:v>
      </x:c>
      <x:c r="J110" t="n">
        <x:f>I110*(1+($BG110+('Assumptions'!$D$6-$BG110)*(6-5)/5))</x:f>
        <x:v>838.9259396437278</x:v>
      </x:c>
      <x:c r="K110" t="n">
        <x:f>J110*(1+($BG110+('Assumptions'!$D$6-$BG110)*(7-5)/5))</x:f>
        <x:v>1083.8923140196964</x:v>
      </x:c>
      <x:c r="L110" t="n">
        <x:f>K110*(1+($BG110+('Assumptions'!$D$6-$BG110)*(8-5)/5))</x:f>
        <x:v>1303.9224537656946</x:v>
      </x:c>
      <x:c r="M110" t="n">
        <x:f>L110*(1+($BG110+('Assumptions'!$D$6-$BG110)*(9-5)/5))</x:f>
        <x:v>1452.5696134949837</x:v>
      </x:c>
      <x:c r="N110" t="n">
        <x:f>M110*(1+($BG110+('Assumptions'!$D$6-$BG110)*(10-5)/5))</x:f>
        <x:v>1488.8838538323582</x:v>
      </x:c>
      <x:c r="O110" t="n">
        <x:f>0</x:f>
        <x:v>0</x:v>
      </x:c>
      <x:c r="P110" t="n">
        <x:f>0</x:f>
        <x:v>0</x:v>
      </x:c>
      <x:c r="Q110" t="n">
        <x:f>0</x:f>
        <x:v>0</x:v>
      </x:c>
      <x:c r="R110" t="n">
        <x:f>0</x:f>
        <x:v>0</x:v>
      </x:c>
      <x:c r="S110" t="n">
        <x:f>0</x:f>
        <x:v>0</x:v>
      </x:c>
      <x:c r="T110" t="n">
        <x:f>S110*(1+($BG110+('Assumptions'!$D$6-$BG110)*(6-5)/5))</x:f>
        <x:v>0</x:v>
      </x:c>
      <x:c r="U110" t="n">
        <x:f>T110*(1+($BG110+('Assumptions'!$D$6-$BG110)*(7-5)/5))</x:f>
        <x:v>0</x:v>
      </x:c>
      <x:c r="V110" t="n">
        <x:f>U110*(1+($BG110+('Assumptions'!$D$6-$BG110)*(8-5)/5))</x:f>
        <x:v>0</x:v>
      </x:c>
      <x:c r="W110" t="n">
        <x:f>V110*(1+($BG110+('Assumptions'!$D$6-$BG110)*(9-5)/5))</x:f>
        <x:v>0</x:v>
      </x:c>
      <x:c r="X110" t="n">
        <x:f>W110*(1+($BG110+('Assumptions'!$D$6-$BG110)*(10-5)/5))</x:f>
        <x:v>0</x:v>
      </x:c>
      <x:c r="Y110" t="n">
        <x:f>E110*'WINA Model'!$B$62+O110*'WINA Model'!$B$63+'WINA Model'!$B$73+'WINA Model'!$B$74</x:f>
        <x:v>79.35795</x:v>
      </x:c>
      <x:c r="Z110" t="n">
        <x:f>F110*'WINA Model'!$C$62+P110*'WINA Model'!$C$63+'WINA Model'!$C$73+'WINA Model'!$C$74</x:f>
        <x:v>117.61238474999999</x:v>
      </x:c>
      <x:c r="AA110" t="n">
        <x:f>G110*'WINA Model'!$D$62+Q110*'WINA Model'!$D$63+'WINA Model'!$D$73+'WINA Model'!$D$74</x:f>
        <x:v>174.29581700999998</x:v>
      </x:c>
      <x:c r="AB110" t="n">
        <x:f>H110*'WINA Model'!$E$62+R110*'WINA Model'!$E$63+'WINA Model'!$E$73+'WINA Model'!$E$74</x:f>
        <x:v>258.28109980312496</x:v>
      </x:c>
      <x:c r="AC110" t="n">
        <x:f>I110*'WINA Model'!$F$62+S110*'WINA Model'!$F$63+'WINA Model'!$F$73+'WINA Model'!$F$74</x:f>
        <x:v>382.71060244427844</x:v>
      </x:c>
      <x:c r="AD110" t="n">
        <x:f>AX110*$AC110/$AW110</x:f>
        <x:v>528.5233419755485</x:v>
      </x:c>
      <x:c r="AE110" t="n">
        <x:f>AY110*$AC110/$AW110</x:f>
        <x:v>682.8521578324088</x:v>
      </x:c>
      <x:c r="AF110" t="n">
        <x:f>AZ110*$AC110/$AW110</x:f>
        <x:v>821.4711458723878</x:v>
      </x:c>
      <x:c r="AG110" t="n">
        <x:f>BA110*$AC110/$AW110</x:f>
        <x:v>915.1188565018398</x:v>
      </x:c>
      <x:c r="AH110" t="n">
        <x:f>BB110*$AC110/$AW110</x:f>
        <x:v>937.9968279143857</x:v>
      </x:c>
      <x:c r="AI110" t="n">
        <x:f>Y110*(1-'Assumptions'!$F$6)+AS110*'Assumptions'!$G$6-AS110*'WINA Model'!$B$65-(AS110-'Inputs'!$C$14)*'Assumptions'!$H$6-'Assumptions'!$I$6</x:f>
        <x:v>55.967577000000006</x:v>
      </x:c>
      <x:c r="AJ110" t="n">
        <x:f>Z110*(1-'Assumptions'!$F$6)+AT110*'Assumptions'!$G$6-AT110*'WINA Model'!$C$65-(AT110-AS110)*'Assumptions'!$H$6-0</x:f>
        <x:v>83.95524710999999</x:v>
      </x:c>
      <x:c r="AK110" t="n">
        <x:f>AA110*(1-'Assumptions'!$F$6)+AU110*'Assumptions'!$G$6-AU110*'WINA Model'!$D$65-(AU110-AT110)*'Assumptions'!$H$6-0</x:f>
        <x:v>125.8880893641</x:v>
      </x:c>
      <x:c r="AL110" t="n">
        <x:f>AB110*(1-'Assumptions'!$F$6)+AV110*'Assumptions'!$G$6-AV110*'WINA Model'!$E$65-(AV110-AU110)*'Assumptions'!$H$6-0</x:f>
        <x:v>187.86558973108498</x:v>
      </x:c>
      <x:c r="AM110" t="n">
        <x:f>AC110*(1-'Assumptions'!$F$6)+AW110*'Assumptions'!$G$6-AW110*'WINA Model'!$F$65-(AW110-AV110)*'Assumptions'!$H$6-0</x:f>
        <x:v>279.6857843557692</x:v>
      </x:c>
      <x:c r="AN110" t="n">
        <x:f>AD110*(1-'Assumptions'!$F$6)+AX110*'Assumptions'!$G$6-AX110*'WINA Model'!$G$65-(AX110-AW110)*'Assumptions'!$H$6-0</x:f>
        <x:v>386.9816527675566</x:v>
      </x:c>
      <x:c r="AO110" t="n">
        <x:f>AE110*(1-'Assumptions'!$F$6)+AY110*'Assumptions'!$G$6-AY110*'WINA Model'!$H$65-(AY110-AX110)*'Assumptions'!$H$6-0</x:f>
        <x:v>501.061604696875</x:v>
      </x:c>
      <x:c r="AP110" t="n">
        <x:f>AF110*(1-'Assumptions'!$F$6)+AZ110*'Assumptions'!$G$6-AZ110*'WINA Model'!$I$65-(AZ110-AY110)*'Assumptions'!$H$6-0</x:f>
        <x:v>604.2703986229063</x:v>
      </x:c>
      <x:c r="AQ110" t="n">
        <x:f>AG110*(1-'Assumptions'!$F$6)+BA110*'Assumptions'!$G$6-BA110*'WINA Model'!$J$65-(BA110-AZ110)*'Assumptions'!$H$6-0</x:f>
        <x:v>675.0865523848727</x:v>
      </x:c>
      <x:c r="AR110" t="n">
        <x:f>AH110*(1-'Assumptions'!$F$6)+BB110*'Assumptions'!$G$6-BB110*'WINA Model'!$K$65-(BB110-BA110)*'Assumptions'!$H$6-0</x:f>
        <x:v>694.2846981621974</x:v>
      </x:c>
      <x:c r="AS110" t="n">
        <x:f>E110+O110</x:f>
        <x:v>130.095</x:v>
      </x:c>
      <x:c r="AT110" t="n">
        <x:f>F110+P110</x:f>
        <x:v>191.23964999999998</x:v>
      </x:c>
      <x:c r="AU110" t="n">
        <x:f>G110+Q110</x:f>
        <x:v>281.1222855</x:v>
      </x:c>
      <x:c r="AV110" t="n">
        <x:f>H110+R110</x:f>
        <x:v>413.2497596849999</x:v>
      </x:c>
      <x:c r="AW110" t="n">
        <x:f>I110+S110</x:f>
        <x:v>607.4771467369499</x:v>
      </x:c>
      <x:c r="AX110" t="n">
        <x:f>J110+T110</x:f>
        <x:v>838.9259396437278</x:v>
      </x:c>
      <x:c r="AY110" t="n">
        <x:f>K110+U110</x:f>
        <x:v>1083.8923140196964</x:v>
      </x:c>
      <x:c r="AZ110" t="n">
        <x:f>L110+V110</x:f>
        <x:v>1303.9224537656946</x:v>
      </x:c>
      <x:c r="BA110" t="n">
        <x:f>M110+W110</x:f>
        <x:v>1452.5696134949837</x:v>
      </x:c>
      <x:c r="BB110" t="n">
        <x:f>N110+X110</x:f>
        <x:v>1488.8838538323582</x:v>
      </x:c>
      <x:c r="BC110" t="n">
        <x:f>AS110/'Inputs'!$C$14-1</x:f>
        <x:v>0.47</x:v>
      </x:c>
      <x:c r="BD110" t="n">
        <x:f>AT110/AS110-1</x:f>
        <x:v>0.47</x:v>
      </x:c>
      <x:c r="BE110" t="n">
        <x:f>AU110/AT110-1</x:f>
        <x:v>0.47</x:v>
      </x:c>
      <x:c r="BF110" t="n">
        <x:f>AV110/AU110-1</x:f>
        <x:v>0.46999999999999975</x:v>
      </x:c>
      <x:c r="BG110" t="n">
        <x:f>AW110/AV110-1</x:f>
        <x:v>0.47</x:v>
      </x:c>
      <x:c r="BH110" t="n">
        <x:f>AX110/AW110-1</x:f>
        <x:v>0.381</x:v>
      </x:c>
      <x:c r="BI110" t="n">
        <x:f>AY110/AX110-1</x:f>
        <x:v>0.29200000000000004</x:v>
      </x:c>
      <x:c r="BJ110" t="n">
        <x:f>AZ110/AY110-1</x:f>
        <x:v>0.20299999999999985</x:v>
      </x:c>
      <x:c r="BK110" t="n">
        <x:f>BA110/AZ110-1</x:f>
        <x:v>0.11399999999999988</x:v>
      </x:c>
      <x:c r="BL110" t="n">
        <x:f>BB110/BA110-1</x:f>
        <x:v>0.02499999999999991</x:v>
      </x:c>
      <x:c r="BM110" t="n">
        <x:f>AH110*(1-'Assumptions'!$F$6)*(1+'Assumptions'!$D$6)*(1-'Assumptions'!$D$6/'Assumptions'!$E$6)</x:f>
        <x:v>678.5067054492131</x:v>
      </x:c>
      <x:c r="BN110" t="n">
        <x:f>SUMPRODUCT(AI110:AR110,'WINA Model'!$B$83:$K$83)+BM110/('Assumptions'!$C$6-'Assumptions'!$D$6)*'WINA Model'!$K$83</x:f>
        <x:v>5316.180280334651</x:v>
      </x:c>
      <x:c r="BO110" t="n">
        <x:f>'WINA Model'!$B$94</x:f>
        <x:v>-42.825500000000005</x:v>
      </x:c>
      <x:c r="BP110" t="n">
        <x:f>'Inputs'!$C$8</x:f>
        <x:v>3.701516</x:v>
      </x:c>
    </x:row>
    <x:row r="111">
      <x:c r="A111" t="str">
        <x:v>WINA</x:v>
      </x:c>
      <x:c r="B111" s="22" t="n">
        <x:v>0.48</x:v>
      </x:c>
      <x:c r="C111" s="42" t="n">
        <x:f>(BN111+BO111)/BP111</x:f>
        <x:v>1492.5975000223352</x:v>
      </x:c>
      <x:c r="D111" s="22" t="n">
        <x:f>C111/'Inputs'!$C$5-1</x:f>
        <x:v>3.691194958740092</x:v>
      </x:c>
      <x:c r="E111" t="n">
        <x:f>'Inputs'!$C$14*(1+$B111)^1</x:f>
        <x:v>130.98</x:v>
      </x:c>
      <x:c r="F111" t="n">
        <x:f>'Inputs'!$C$14*(1+$B111)^2</x:f>
        <x:v>193.85039999999998</x:v>
      </x:c>
      <x:c r="G111" t="n">
        <x:f>'Inputs'!$C$14*(1+$B111)^3</x:f>
        <x:v>286.898592</x:v>
      </x:c>
      <x:c r="H111" t="n">
        <x:f>'Inputs'!$C$14*(1+$B111)^4</x:f>
        <x:v>424.60991615999995</x:v>
      </x:c>
      <x:c r="I111" t="n">
        <x:f>'Inputs'!$C$14*(1+$B111)^5</x:f>
        <x:v>628.4226759167999</x:v>
      </x:c>
      <x:c r="J111" t="n">
        <x:f>I111*(1+($BG111+('Assumptions'!$D$6-$BG111)*(6-5)/5))</x:f>
        <x:v>872.8790968484351</x:v>
      </x:c>
      <x:c r="K111" t="n">
        <x:f>J111*(1+($BG111+('Assumptions'!$D$6-$BG111)*(7-5)/5))</x:f>
        <x:v>1132.9970677092688</x:v>
      </x:c>
      <x:c r="L111" t="n">
        <x:f>K111*(1+($BG111+('Assumptions'!$D$6-$BG111)*(8-5)/5))</x:f>
        <x:v>1367.5274607250874</x:v>
      </x:c>
      <x:c r="M111" t="n">
        <x:f>L111*(1+($BG111+('Assumptions'!$D$6-$BG111)*(9-5)/5))</x:f>
        <x:v>1526.1606461691977</x:v>
      </x:c>
      <x:c r="N111" t="n">
        <x:f>M111*(1+($BG111+('Assumptions'!$D$6-$BG111)*(10-5)/5))</x:f>
        <x:v>1564.3146623234275</x:v>
      </x:c>
      <x:c r="O111" t="n">
        <x:f>0</x:f>
        <x:v>0</x:v>
      </x:c>
      <x:c r="P111" t="n">
        <x:f>0</x:f>
        <x:v>0</x:v>
      </x:c>
      <x:c r="Q111" t="n">
        <x:f>0</x:f>
        <x:v>0</x:v>
      </x:c>
      <x:c r="R111" t="n">
        <x:f>0</x:f>
        <x:v>0</x:v>
      </x:c>
      <x:c r="S111" t="n">
        <x:f>0</x:f>
        <x:v>0</x:v>
      </x:c>
      <x:c r="T111" t="n">
        <x:f>S111*(1+($BG111+('Assumptions'!$D$6-$BG111)*(6-5)/5))</x:f>
        <x:v>0</x:v>
      </x:c>
      <x:c r="U111" t="n">
        <x:f>T111*(1+($BG111+('Assumptions'!$D$6-$BG111)*(7-5)/5))</x:f>
        <x:v>0</x:v>
      </x:c>
      <x:c r="V111" t="n">
        <x:f>U111*(1+($BG111+('Assumptions'!$D$6-$BG111)*(8-5)/5))</x:f>
        <x:v>0</x:v>
      </x:c>
      <x:c r="W111" t="n">
        <x:f>V111*(1+($BG111+('Assumptions'!$D$6-$BG111)*(9-5)/5))</x:f>
        <x:v>0</x:v>
      </x:c>
      <x:c r="X111" t="n">
        <x:f>W111*(1+($BG111+('Assumptions'!$D$6-$BG111)*(10-5)/5))</x:f>
        <x:v>0</x:v>
      </x:c>
      <x:c r="Y111" t="n">
        <x:f>E111*'WINA Model'!$B$62+O111*'WINA Model'!$B$63+'WINA Model'!$B$73+'WINA Model'!$B$74</x:f>
        <x:v>79.89779999999999</x:v>
      </x:c>
      <x:c r="Z111" t="n">
        <x:f>F111*'WINA Model'!$C$62+P111*'WINA Model'!$C$63+'WINA Model'!$C$73+'WINA Model'!$C$74</x:f>
        <x:v>119.21799599999999</x:v>
      </x:c>
      <x:c r="AA111" t="n">
        <x:f>G111*'WINA Model'!$D$62+Q111*'WINA Model'!$D$63+'WINA Model'!$D$73+'WINA Model'!$D$74</x:f>
        <x:v>177.87712704</x:v>
      </x:c>
      <x:c r="AB111" t="n">
        <x:f>H111*'WINA Model'!$E$62+R111*'WINA Model'!$E$63+'WINA Model'!$E$73+'WINA Model'!$E$74</x:f>
        <x:v>265.38119759999995</x:v>
      </x:c>
      <x:c r="AC111" t="n">
        <x:f>I111*'WINA Model'!$F$62+S111*'WINA Model'!$F$63+'WINA Model'!$F$73+'WINA Model'!$F$74</x:f>
        <x:v>395.90628582758393</x:v>
      </x:c>
      <x:c r="AD111" t="n">
        <x:f>AX111*$AC111/$AW111</x:f>
        <x:v>549.9138310145141</x:v>
      </x:c>
      <x:c r="AE111" t="n">
        <x:f>AY111*$AC111/$AW111</x:f>
        <x:v>713.7881526568393</x:v>
      </x:c>
      <x:c r="AF111" t="n">
        <x:f>AZ111*$AC111/$AW111</x:f>
        <x:v>861.5423002568051</x:v>
      </x:c>
      <x:c r="AG111" t="n">
        <x:f>BA111*$AC111/$AW111</x:f>
        <x:v>961.4812070865945</x:v>
      </x:c>
      <x:c r="AH111" t="n">
        <x:f>BB111*$AC111/$AW111</x:f>
        <x:v>985.5182372637593</x:v>
      </x:c>
      <x:c r="AI111" t="n">
        <x:f>Y111*(1-'Assumptions'!$F$6)+AS111*'Assumptions'!$G$6-AS111*'WINA Model'!$B$65-(AS111-'Inputs'!$C$14)*'Assumptions'!$H$6-'Assumptions'!$I$6</x:f>
        <x:v>56.33626799999999</x:v>
      </x:c>
      <x:c r="AJ111" t="n">
        <x:f>Z111*(1-'Assumptions'!$F$6)+AT111*'Assumptions'!$G$6-AT111*'WINA Model'!$C$65-(AT111-AS111)*'Assumptions'!$H$6-0</x:f>
        <x:v>85.08356016</x:v>
      </x:c>
      <x:c r="AK111" t="n">
        <x:f>AA111*(1-'Assumptions'!$F$6)+AU111*'Assumptions'!$G$6-AU111*'WINA Model'!$D$65-(AU111-AT111)*'Assumptions'!$H$6-0</x:f>
        <x:v>128.4483766464</x:v>
      </x:c>
      <x:c r="AL111" t="n">
        <x:f>AB111*(1-'Assumptions'!$F$6)+AV111*'Assumptions'!$G$6-AV111*'WINA Model'!$E$65-(AV111-AU111)*'Assumptions'!$H$6-0</x:f>
        <x:v>192.99094486656</x:v>
      </x:c>
      <x:c r="AM111" t="n">
        <x:f>AC111*(1-'Assumptions'!$F$6)+AW111*'Assumptions'!$G$6-AW111*'WINA Model'!$F$65-(AW111-AV111)*'Assumptions'!$H$6-0</x:f>
        <x:v>289.2714499228262</x:v>
      </x:c>
      <x:c r="AN111" t="n">
        <x:f>AD111*(1-'Assumptions'!$F$6)+AX111*'Assumptions'!$G$6-AX111*'WINA Model'!$G$65-(AX111-AW111)*'Assumptions'!$H$6-0</x:f>
        <x:v>402.5708339902168</x:v>
      </x:c>
      <x:c r="AO111" t="n">
        <x:f>AE111*(1-'Assumptions'!$F$6)+AY111*'Assumptions'!$G$6-AY111*'WINA Model'!$H$65-(AY111-AX111)*'Assumptions'!$H$6-0</x:f>
        <x:v>523.68067178947</x:v>
      </x:c>
      <x:c r="AP111" t="n">
        <x:f>AF111*(1-'Assumptions'!$F$6)+AZ111*'Assumptions'!$G$6-AZ111*'WINA Model'!$I$65-(AZ111-AY111)*'Assumptions'!$H$6-0</x:f>
        <x:v>633.6712108061545</x:v>
      </x:c>
      <x:c r="AQ111" t="n">
        <x:f>AG111*(1-'Assumptions'!$F$6)+BA111*'Assumptions'!$G$6-BA111*'WINA Model'!$J$65-(BA111-AZ111)*'Assumptions'!$H$6-0</x:f>
        <x:v>709.2391259228993</x:v>
      </x:c>
      <x:c r="AR111" t="n">
        <x:f>AH111*(1-'Assumptions'!$F$6)+BB111*'Assumptions'!$G$6-BB111*'WINA Model'!$K$65-(BB111-BA111)*'Assumptions'!$H$6-0</x:f>
        <x:v>729.4590040494913</x:v>
      </x:c>
      <x:c r="AS111" t="n">
        <x:f>E111+O111</x:f>
        <x:v>130.98</x:v>
      </x:c>
      <x:c r="AT111" t="n">
        <x:f>F111+P111</x:f>
        <x:v>193.85039999999998</x:v>
      </x:c>
      <x:c r="AU111" t="n">
        <x:f>G111+Q111</x:f>
        <x:v>286.898592</x:v>
      </x:c>
      <x:c r="AV111" t="n">
        <x:f>H111+R111</x:f>
        <x:v>424.60991615999995</x:v>
      </x:c>
      <x:c r="AW111" t="n">
        <x:f>I111+S111</x:f>
        <x:v>628.4226759167999</x:v>
      </x:c>
      <x:c r="AX111" t="n">
        <x:f>J111+T111</x:f>
        <x:v>872.8790968484351</x:v>
      </x:c>
      <x:c r="AY111" t="n">
        <x:f>K111+U111</x:f>
        <x:v>1132.9970677092688</x:v>
      </x:c>
      <x:c r="AZ111" t="n">
        <x:f>L111+V111</x:f>
        <x:v>1367.5274607250874</x:v>
      </x:c>
      <x:c r="BA111" t="n">
        <x:f>M111+W111</x:f>
        <x:v>1526.1606461691977</x:v>
      </x:c>
      <x:c r="BB111" t="n">
        <x:f>N111+X111</x:f>
        <x:v>1564.3146623234275</x:v>
      </x:c>
      <x:c r="BC111" t="n">
        <x:f>AS111/'Inputs'!$C$14-1</x:f>
        <x:v>0.48</x:v>
      </x:c>
      <x:c r="BD111" t="n">
        <x:f>AT111/AS111-1</x:f>
        <x:v>0.48</x:v>
      </x:c>
      <x:c r="BE111" t="n">
        <x:f>AU111/AT111-1</x:f>
        <x:v>0.4800000000000002</x:v>
      </x:c>
      <x:c r="BF111" t="n">
        <x:f>AV111/AU111-1</x:f>
        <x:v>0.47999999999999976</x:v>
      </x:c>
      <x:c r="BG111" t="n">
        <x:f>AW111/AV111-1</x:f>
        <x:v>0.48</x:v>
      </x:c>
      <x:c r="BH111" t="n">
        <x:f>AX111/AW111-1</x:f>
        <x:v>0.389</x:v>
      </x:c>
      <x:c r="BI111" t="n">
        <x:f>AY111/AX111-1</x:f>
        <x:v>0.29800000000000004</x:v>
      </x:c>
      <x:c r="BJ111" t="n">
        <x:f>AZ111/AY111-1</x:f>
        <x:v>0.20700000000000007</x:v>
      </x:c>
      <x:c r="BK111" t="n">
        <x:f>BA111/AZ111-1</x:f>
        <x:v>0.1160000000000001</x:v>
      </x:c>
      <x:c r="BL111" t="n">
        <x:f>BB111/BA111-1</x:f>
        <x:v>0.02499999999999991</x:v>
      </x:c>
      <x:c r="BM111" t="n">
        <x:f>AH111*(1-'Assumptions'!$F$6)*(1+'Assumptions'!$D$6)*(1-'Assumptions'!$D$6/'Assumptions'!$E$6)</x:f>
        <x:v>712.8816563407207</x:v>
      </x:c>
      <x:c r="BN111" t="n">
        <x:f>SUMPRODUCT(AI111:AR111,'WINA Model'!$B$83:$K$83)+BM111/('Assumptions'!$C$6-'Assumptions'!$D$6)*'WINA Model'!$K$83</x:f>
        <x:v>5567.699027892674</x:v>
      </x:c>
      <x:c r="BO111" t="n">
        <x:f>'WINA Model'!$B$94</x:f>
        <x:v>-42.825500000000005</x:v>
      </x:c>
      <x:c r="BP111" t="n">
        <x:f>'Inputs'!$C$8</x:f>
        <x:v>3.701516</x:v>
      </x:c>
    </x:row>
    <x:row r="112">
      <x:c r="A112" t="str">
        <x:v>WINA</x:v>
      </x:c>
      <x:c r="B112" s="22" t="n">
        <x:v>0.49</x:v>
      </x:c>
      <x:c r="C112" s="42" t="n">
        <x:f>(BN112+BO112)/BP112</x:f>
        <x:v>1563.4187684068993</x:v>
      </x:c>
      <x:c r="D112" s="22" t="n">
        <x:f>C112/'Inputs'!$C$5-1</x:f>
        <x:v>3.9137843555548892</x:v>
      </x:c>
      <x:c r="E112" t="n">
        <x:f>'Inputs'!$C$14*(1+$B112)^1</x:f>
        <x:v>131.865</x:v>
      </x:c>
      <x:c r="F112" t="n">
        <x:f>'Inputs'!$C$14*(1+$B112)^2</x:f>
        <x:v>196.47885</x:v>
      </x:c>
      <x:c r="G112" t="n">
        <x:f>'Inputs'!$C$14*(1+$B112)^3</x:f>
        <x:v>292.7534865</x:v>
      </x:c>
      <x:c r="H112" t="n">
        <x:f>'Inputs'!$C$14*(1+$B112)^4</x:f>
        <x:v>436.20269488499997</x:v>
      </x:c>
      <x:c r="I112" t="n">
        <x:f>'Inputs'!$C$14*(1+$B112)^5</x:f>
        <x:v>649.9420153786499</x:v>
      </x:c>
      <x:c r="J112" t="n">
        <x:f>I112*(1+($BG112+('Assumptions'!$D$6-$BG112)*(6-5)/5))</x:f>
        <x:v>907.9689954839738</x:v>
      </x:c>
      <x:c r="K112" t="n">
        <x:f>J112*(1+($BG112+('Assumptions'!$D$6-$BG112)*(7-5)/5))</x:f>
        <x:v>1183.9915701111017</x:v>
      </x:c>
      <x:c r="L112" t="n">
        <x:f>K112*(1+($BG112+('Assumptions'!$D$6-$BG112)*(8-5)/5))</x:f>
        <x:v>1433.813791404544</x:v>
      </x:c>
      <x:c r="M112" t="n">
        <x:f>L112*(1+($BG112+('Assumptions'!$D$6-$BG112)*(9-5)/5))</x:f>
        <x:v>1603.00381879028</x:v>
      </x:c>
      <x:c r="N112" t="n">
        <x:f>M112*(1+($BG112+('Assumptions'!$D$6-$BG112)*(10-5)/5))</x:f>
        <x:v>1643.078914260037</x:v>
      </x:c>
      <x:c r="O112" t="n">
        <x:f>0</x:f>
        <x:v>0</x:v>
      </x:c>
      <x:c r="P112" t="n">
        <x:f>0</x:f>
        <x:v>0</x:v>
      </x:c>
      <x:c r="Q112" t="n">
        <x:f>0</x:f>
        <x:v>0</x:v>
      </x:c>
      <x:c r="R112" t="n">
        <x:f>0</x:f>
        <x:v>0</x:v>
      </x:c>
      <x:c r="S112" t="n">
        <x:f>0</x:f>
        <x:v>0</x:v>
      </x:c>
      <x:c r="T112" t="n">
        <x:f>S112*(1+($BG112+('Assumptions'!$D$6-$BG112)*(6-5)/5))</x:f>
        <x:v>0</x:v>
      </x:c>
      <x:c r="U112" t="n">
        <x:f>T112*(1+($BG112+('Assumptions'!$D$6-$BG112)*(7-5)/5))</x:f>
        <x:v>0</x:v>
      </x:c>
      <x:c r="V112" t="n">
        <x:f>U112*(1+($BG112+('Assumptions'!$D$6-$BG112)*(8-5)/5))</x:f>
        <x:v>0</x:v>
      </x:c>
      <x:c r="W112" t="n">
        <x:f>V112*(1+($BG112+('Assumptions'!$D$6-$BG112)*(9-5)/5))</x:f>
        <x:v>0</x:v>
      </x:c>
      <x:c r="X112" t="n">
        <x:f>W112*(1+($BG112+('Assumptions'!$D$6-$BG112)*(10-5)/5))</x:f>
        <x:v>0</x:v>
      </x:c>
      <x:c r="Y112" t="n">
        <x:f>E112*'WINA Model'!$B$62+O112*'WINA Model'!$B$63+'WINA Model'!$B$73+'WINA Model'!$B$74</x:f>
        <x:v>80.43765</x:v>
      </x:c>
      <x:c r="Z112" t="n">
        <x:f>F112*'WINA Model'!$C$62+P112*'WINA Model'!$C$63+'WINA Model'!$C$73+'WINA Model'!$C$74</x:f>
        <x:v>120.83449275</x:v>
      </x:c>
      <x:c r="AA112" t="n">
        <x:f>G112*'WINA Model'!$D$62+Q112*'WINA Model'!$D$63+'WINA Model'!$D$73+'WINA Model'!$D$74</x:f>
        <x:v>181.50716163</x:v>
      </x:c>
      <x:c r="AB112" t="n">
        <x:f>H112*'WINA Model'!$E$62+R112*'WINA Model'!$E$63+'WINA Model'!$E$73+'WINA Model'!$E$74</x:f>
        <x:v>272.626684303125</x:v>
      </x:c>
      <x:c r="AC112" t="n">
        <x:f>I112*'WINA Model'!$F$62+S112*'WINA Model'!$F$63+'WINA Model'!$F$73+'WINA Model'!$F$74</x:f>
        <x:v>409.4634696885494</x:v>
      </x:c>
      <x:c r="AD112" t="n">
        <x:f>AX112*$AC112/$AW112</x:f>
        <x:v>572.0204671549035</x:v>
      </x:c>
      <x:c r="AE112" t="n">
        <x:f>AY112*$AC112/$AW112</x:f>
        <x:v>745.9146891699941</x:v>
      </x:c>
      <x:c r="AF112" t="n">
        <x:f>AZ112*$AC112/$AW112</x:f>
        <x:v>903.3026885848627</x:v>
      </x:c>
      <x:c r="AG112" t="n">
        <x:f>BA112*$AC112/$AW112</x:f>
        <x:v>1009.8924058378765</x:v>
      </x:c>
      <x:c r="AH112" t="n">
        <x:f>BB112*$AC112/$AW112</x:f>
        <x:v>1035.1397159838232</x:v>
      </x:c>
      <x:c r="AI112" t="n">
        <x:f>Y112*(1-'Assumptions'!$F$6)+AS112*'Assumptions'!$G$6-AS112*'WINA Model'!$B$65-(AS112-'Inputs'!$C$14)*'Assumptions'!$H$6-'Assumptions'!$I$6</x:f>
        <x:v>56.704959</x:v>
      </x:c>
      <x:c r="AJ112" t="n">
        <x:f>Z112*(1-'Assumptions'!$F$6)+AT112*'Assumptions'!$G$6-AT112*'WINA Model'!$C$65-(AT112-AS112)*'Assumptions'!$H$6-0</x:f>
        <x:v>86.21940278999999</x:v>
      </x:c>
      <x:c r="AK112" t="n">
        <x:f>AA112*(1-'Assumptions'!$F$6)+AU112*'Assumptions'!$G$6-AU112*'WINA Model'!$D$65-(AU112-AT112)*'Assumptions'!$H$6-0</x:f>
        <x:v>131.04314083830002</x:v>
      </x:c>
      <x:c r="AL112" t="n">
        <x:f>AB112*(1-'Assumptions'!$F$6)+AV112*'Assumptions'!$G$6-AV112*'WINA Model'!$E$65-(AV112-AU112)*'Assumptions'!$H$6-0</x:f>
        <x:v>198.220458174285</x:v>
      </x:c>
      <x:c r="AM112" t="n">
        <x:f>AC112*(1-'Assumptions'!$F$6)+AW112*'Assumptions'!$G$6-AW112*'WINA Model'!$F$65-(AW112-AV112)*'Assumptions'!$H$6-0</x:f>
        <x:v>299.11814636888073</x:v>
      </x:c>
      <x:c r="AN112" t="n">
        <x:f>AD112*(1-'Assumptions'!$F$6)+AX112*'Assumptions'!$G$6-AX112*'WINA Model'!$G$65-(AX112-AW112)*'Assumptions'!$H$6-0</x:f>
        <x:v>418.6793874898125</x:v>
      </x:c>
      <x:c r="AO112" t="n">
        <x:f>AE112*(1-'Assumptions'!$F$6)+AY112*'Assumptions'!$G$6-AY112*'WINA Model'!$H$65-(AY112-AX112)*'Assumptions'!$H$6-0</x:f>
        <x:v>547.1668134353198</x:v>
      </x:c>
      <x:c r="AP112" t="n">
        <x:f>AF112*(1-'Assumptions'!$F$6)+AZ112*'Assumptions'!$G$6-AZ112*'WINA Model'!$I$65-(AZ112-AY112)*'Assumptions'!$H$6-0</x:f>
        <x:v>664.3078334017723</x:v>
      </x:c>
      <x:c r="AQ112" t="n">
        <x:f>AG112*(1-'Assumptions'!$F$6)+BA112*'Assumptions'!$G$6-BA112*'WINA Model'!$J$65-(BA112-AZ112)*'Assumptions'!$H$6-0</x:f>
        <x:v>744.8983820635881</x:v>
      </x:c>
      <x:c r="AR112" t="n">
        <x:f>AH112*(1-'Assumptions'!$F$6)+BB112*'Assumptions'!$G$6-BB112*'WINA Model'!$K$65-(BB112-BA112)*'Assumptions'!$H$6-0</x:f>
        <x:v>766.18773526719</x:v>
      </x:c>
      <x:c r="AS112" t="n">
        <x:f>E112+O112</x:f>
        <x:v>131.865</x:v>
      </x:c>
      <x:c r="AT112" t="n">
        <x:f>F112+P112</x:f>
        <x:v>196.47885</x:v>
      </x:c>
      <x:c r="AU112" t="n">
        <x:f>G112+Q112</x:f>
        <x:v>292.7534865</x:v>
      </x:c>
      <x:c r="AV112" t="n">
        <x:f>H112+R112</x:f>
        <x:v>436.20269488499997</x:v>
      </x:c>
      <x:c r="AW112" t="n">
        <x:f>I112+S112</x:f>
        <x:v>649.9420153786499</x:v>
      </x:c>
      <x:c r="AX112" t="n">
        <x:f>J112+T112</x:f>
        <x:v>907.9689954839738</x:v>
      </x:c>
      <x:c r="AY112" t="n">
        <x:f>K112+U112</x:f>
        <x:v>1183.9915701111017</x:v>
      </x:c>
      <x:c r="AZ112" t="n">
        <x:f>L112+V112</x:f>
        <x:v>1433.813791404544</x:v>
      </x:c>
      <x:c r="BA112" t="n">
        <x:f>M112+W112</x:f>
        <x:v>1603.00381879028</x:v>
      </x:c>
      <x:c r="BB112" t="n">
        <x:f>N112+X112</x:f>
        <x:v>1643.078914260037</x:v>
      </x:c>
      <x:c r="BC112" t="n">
        <x:f>AS112/'Inputs'!$C$14-1</x:f>
        <x:v>0.4900000000000002</x:v>
      </x:c>
      <x:c r="BD112" t="n">
        <x:f>AT112/AS112-1</x:f>
        <x:v>0.48999999999999977</x:v>
      </x:c>
      <x:c r="BE112" t="n">
        <x:f>AU112/AT112-1</x:f>
        <x:v>0.49</x:v>
      </x:c>
      <x:c r="BF112" t="n">
        <x:f>AV112/AU112-1</x:f>
        <x:v>0.48999999999999977</x:v>
      </x:c>
      <x:c r="BG112" t="n">
        <x:f>AW112/AV112-1</x:f>
        <x:v>0.48999999999999977</x:v>
      </x:c>
      <x:c r="BH112" t="n">
        <x:f>AX112/AW112-1</x:f>
        <x:v>0.3969999999999998</x:v>
      </x:c>
      <x:c r="BI112" t="n">
        <x:f>AY112/AX112-1</x:f>
        <x:v>0.3039999999999998</x:v>
      </x:c>
      <x:c r="BJ112" t="n">
        <x:f>AZ112/AY112-1</x:f>
        <x:v>0.21099999999999985</x:v>
      </x:c>
      <x:c r="BK112" t="n">
        <x:f>BA112/AZ112-1</x:f>
        <x:v>0.11799999999999988</x:v>
      </x:c>
      <x:c r="BL112" t="n">
        <x:f>BB112/BA112-1</x:f>
        <x:v>0.02499999999999991</x:v>
      </x:c>
      <x:c r="BM112" t="n">
        <x:f>AH112*(1-'Assumptions'!$F$6)*(1+'Assumptions'!$D$6)*(1-'Assumptions'!$D$6/'Assumptions'!$E$6)</x:f>
        <x:v>748.7757074120126</x:v>
      </x:c>
      <x:c r="BN112" t="n">
        <x:f>SUMPRODUCT(AI112:AR112,'WINA Model'!$B$83:$K$83)+BM112/('Assumptions'!$C$6-'Assumptions'!$D$6)*'WINA Model'!$K$83</x:f>
        <x:v>5829.845085958432</x:v>
      </x:c>
      <x:c r="BO112" t="n">
        <x:f>'WINA Model'!$B$94</x:f>
        <x:v>-42.825500000000005</x:v>
      </x:c>
      <x:c r="BP112" t="n">
        <x:f>'Inputs'!$C$8</x:f>
        <x:v>3.701516</x:v>
      </x:c>
    </x:row>
    <x:row r="113">
      <x:c r="A113" t="str">
        <x:v>WINA</x:v>
      </x:c>
      <x:c r="B113" s="22" t="n">
        <x:v>0.5</x:v>
      </x:c>
      <x:c r="C113" s="42" t="n">
        <x:f>(BN113+BO113)/BP113</x:f>
        <x:v>1637.2163226358393</x:v>
      </x:c>
      <x:c r="D113" s="22" t="n">
        <x:f>C113/'Inputs'!$C$5-1</x:f>
        <x:v>4.145728141043591</x:v>
      </x:c>
      <x:c r="E113" t="n">
        <x:f>'Inputs'!$C$14*(1+$B113)^1</x:f>
        <x:v>132.75</x:v>
      </x:c>
      <x:c r="F113" t="n">
        <x:f>'Inputs'!$C$14*(1+$B113)^2</x:f>
        <x:v>199.125</x:v>
      </x:c>
      <x:c r="G113" t="n">
        <x:f>'Inputs'!$C$14*(1+$B113)^3</x:f>
        <x:v>298.6875</x:v>
      </x:c>
      <x:c r="H113" t="n">
        <x:f>'Inputs'!$C$14*(1+$B113)^4</x:f>
        <x:v>448.03125</x:v>
      </x:c>
      <x:c r="I113" t="n">
        <x:f>'Inputs'!$C$14*(1+$B113)^5</x:f>
        <x:v>672.046875</x:v>
      </x:c>
      <x:c r="J113" t="n">
        <x:f>I113*(1+($BG113+('Assumptions'!$D$6-$BG113)*(6-5)/5))</x:f>
        <x:v>944.225859375</x:v>
      </x:c>
      <x:c r="K113" t="n">
        <x:f>J113*(1+($BG113+('Assumptions'!$D$6-$BG113)*(7-5)/5))</x:f>
        <x:v>1236.9358757812502</x:v>
      </x:c>
      <x:c r="L113" t="n">
        <x:f>K113*(1+($BG113+('Assumptions'!$D$6-$BG113)*(8-5)/5))</x:f>
        <x:v>1502.8770890742192</x:v>
      </x:c>
      <x:c r="M113" t="n">
        <x:f>L113*(1+($BG113+('Assumptions'!$D$6-$BG113)*(9-5)/5))</x:f>
        <x:v>1683.2223397631255</x:v>
      </x:c>
      <x:c r="N113" t="n">
        <x:f>M113*(1+($BG113+('Assumptions'!$D$6-$BG113)*(10-5)/5))</x:f>
        <x:v>1725.3028982572034</x:v>
      </x:c>
      <x:c r="O113" t="n">
        <x:f>0</x:f>
        <x:v>0</x:v>
      </x:c>
      <x:c r="P113" t="n">
        <x:f>0</x:f>
        <x:v>0</x:v>
      </x:c>
      <x:c r="Q113" t="n">
        <x:f>0</x:f>
        <x:v>0</x:v>
      </x:c>
      <x:c r="R113" t="n">
        <x:f>0</x:f>
        <x:v>0</x:v>
      </x:c>
      <x:c r="S113" t="n">
        <x:f>0</x:f>
        <x:v>0</x:v>
      </x:c>
      <x:c r="T113" t="n">
        <x:f>S113*(1+($BG113+('Assumptions'!$D$6-$BG113)*(6-5)/5))</x:f>
        <x:v>0</x:v>
      </x:c>
      <x:c r="U113" t="n">
        <x:f>T113*(1+($BG113+('Assumptions'!$D$6-$BG113)*(7-5)/5))</x:f>
        <x:v>0</x:v>
      </x:c>
      <x:c r="V113" t="n">
        <x:f>U113*(1+($BG113+('Assumptions'!$D$6-$BG113)*(8-5)/5))</x:f>
        <x:v>0</x:v>
      </x:c>
      <x:c r="W113" t="n">
        <x:f>V113*(1+($BG113+('Assumptions'!$D$6-$BG113)*(9-5)/5))</x:f>
        <x:v>0</x:v>
      </x:c>
      <x:c r="X113" t="n">
        <x:f>W113*(1+($BG113+('Assumptions'!$D$6-$BG113)*(10-5)/5))</x:f>
        <x:v>0</x:v>
      </x:c>
      <x:c r="Y113" t="n">
        <x:f>E113*'WINA Model'!$B$62+O113*'WINA Model'!$B$63+'WINA Model'!$B$73+'WINA Model'!$B$74</x:f>
        <x:v>80.97749999999999</x:v>
      </x:c>
      <x:c r="Z113" t="n">
        <x:f>F113*'WINA Model'!$C$62+P113*'WINA Model'!$C$63+'WINA Model'!$C$73+'WINA Model'!$C$74</x:f>
        <x:v>122.46187499999999</x:v>
      </x:c>
      <x:c r="AA113" t="n">
        <x:f>G113*'WINA Model'!$D$62+Q113*'WINA Model'!$D$63+'WINA Model'!$D$73+'WINA Model'!$D$74</x:f>
        <x:v>185.18625</x:v>
      </x:c>
      <x:c r="AB113" t="n">
        <x:f>H113*'WINA Model'!$E$62+R113*'WINA Model'!$E$63+'WINA Model'!$E$73+'WINA Model'!$E$74</x:f>
        <x:v>280.01953125</x:v>
      </x:c>
      <x:c r="AC113" t="n">
        <x:f>I113*'WINA Model'!$F$62+S113*'WINA Model'!$F$63+'WINA Model'!$F$73+'WINA Model'!$F$74</x:f>
        <x:v>423.38953125</x:v>
      </x:c>
      <x:c r="AD113" t="n">
        <x:f>AX113*$AC113/$AW113</x:f>
        <x:v>594.86229140625</x:v>
      </x:c>
      <x:c r="AE113" t="n">
        <x:f>AY113*$AC113/$AW113</x:f>
        <x:v>779.2696017421875</x:v>
      </x:c>
      <x:c r="AF113" t="n">
        <x:f>AZ113*$AC113/$AW113</x:f>
        <x:v>946.8125661167581</x:v>
      </x:c>
      <x:c r="AG113" t="n">
        <x:f>BA113*$AC113/$AW113</x:f>
        <x:v>1060.430074050769</x:v>
      </x:c>
      <x:c r="AH113" t="n">
        <x:f>BB113*$AC113/$AW113</x:f>
        <x:v>1086.9408259020381</x:v>
      </x:c>
      <x:c r="AI113" t="n">
        <x:f>Y113*(1-'Assumptions'!$F$6)+AS113*'Assumptions'!$G$6-AS113*'WINA Model'!$B$65-(AS113-'Inputs'!$C$14)*'Assumptions'!$H$6-'Assumptions'!$I$6</x:f>
        <x:v>57.073649999999994</x:v>
      </x:c>
      <x:c r="AJ113" t="n">
        <x:f>Z113*(1-'Assumptions'!$F$6)+AT113*'Assumptions'!$G$6-AT113*'WINA Model'!$C$65-(AT113-AS113)*'Assumptions'!$H$6-0</x:f>
        <x:v>87.362775</x:v>
      </x:c>
      <x:c r="AK113" t="n">
        <x:f>AA113*(1-'Assumptions'!$F$6)+AU113*'Assumptions'!$G$6-AU113*'WINA Model'!$D$65-(AU113-AT113)*'Assumptions'!$H$6-0</x:f>
        <x:v>133.67261249999999</x:v>
      </x:c>
      <x:c r="AL113" t="n">
        <x:f>AB113*(1-'Assumptions'!$F$6)+AV113*'Assumptions'!$G$6-AV113*'WINA Model'!$E$65-(AV113-AU113)*'Assumptions'!$H$6-0</x:f>
        <x:v>203.55553125</x:v>
      </x:c>
      <x:c r="AM113" t="n">
        <x:f>AC113*(1-'Assumptions'!$F$6)+AW113*'Assumptions'!$G$6-AW113*'WINA Model'!$F$65-(AW113-AV113)*'Assumptions'!$H$6-0</x:f>
        <x:v>309.23116874999994</x:v>
      </x:c>
      <x:c r="AN113" t="n">
        <x:f>AD113*(1-'Assumptions'!$F$6)+AX113*'Assumptions'!$G$6-AX113*'WINA Model'!$G$65-(AX113-AW113)*'Assumptions'!$H$6-0</x:f>
        <x:v>435.32105146875006</x:v>
      </x:c>
      <x:c r="AO113" t="n">
        <x:f>AE113*(1-'Assumptions'!$F$6)+AY113*'Assumptions'!$G$6-AY113*'WINA Model'!$H$65-(AY113-AX113)*'Assumptions'!$H$6-0</x:f>
        <x:v>571.5474664865626</x:v>
      </x:c>
      <x:c r="AP113" t="n">
        <x:f>AF113*(1-'Assumptions'!$F$6)+AZ113*'Assumptions'!$G$6-AZ113*'WINA Model'!$I$65-(AZ113-AY113)*'Assumptions'!$H$6-0</x:f>
        <x:v>696.2242009139862</x:v>
      </x:c>
      <x:c r="AQ113" t="n">
        <x:f>AG113*(1-'Assumptions'!$F$6)+BA113*'Assumptions'!$G$6-BA113*'WINA Model'!$J$65-(BA113-AZ113)*'Assumptions'!$H$6-0</x:f>
        <x:v>782.1212831876487</x:v>
      </x:c>
      <x:c r="AR113" t="n">
        <x:f>AH113*(1-'Assumptions'!$F$6)+BB113*'Assumptions'!$G$6-BB113*'WINA Model'!$K$65-(BB113-BA113)*'Assumptions'!$H$6-0</x:f>
        <x:v>804.529781736581</x:v>
      </x:c>
      <x:c r="AS113" t="n">
        <x:f>E113+O113</x:f>
        <x:v>132.75</x:v>
      </x:c>
      <x:c r="AT113" t="n">
        <x:f>F113+P113</x:f>
        <x:v>199.125</x:v>
      </x:c>
      <x:c r="AU113" t="n">
        <x:f>G113+Q113</x:f>
        <x:v>298.6875</x:v>
      </x:c>
      <x:c r="AV113" t="n">
        <x:f>H113+R113</x:f>
        <x:v>448.03125</x:v>
      </x:c>
      <x:c r="AW113" t="n">
        <x:f>I113+S113</x:f>
        <x:v>672.046875</x:v>
      </x:c>
      <x:c r="AX113" t="n">
        <x:f>J113+T113</x:f>
        <x:v>944.225859375</x:v>
      </x:c>
      <x:c r="AY113" t="n">
        <x:f>K113+U113</x:f>
        <x:v>1236.9358757812502</x:v>
      </x:c>
      <x:c r="AZ113" t="n">
        <x:f>L113+V113</x:f>
        <x:v>1502.8770890742192</x:v>
      </x:c>
      <x:c r="BA113" t="n">
        <x:f>M113+W113</x:f>
        <x:v>1683.2223397631255</x:v>
      </x:c>
      <x:c r="BB113" t="n">
        <x:f>N113+X113</x:f>
        <x:v>1725.3028982572034</x:v>
      </x:c>
      <x:c r="BC113" t="n">
        <x:f>AS113/'Inputs'!$C$14-1</x:f>
        <x:v>0.5</x:v>
      </x:c>
      <x:c r="BD113" t="n">
        <x:f>AT113/AS113-1</x:f>
        <x:v>0.5</x:v>
      </x:c>
      <x:c r="BE113" t="n">
        <x:f>AU113/AT113-1</x:f>
        <x:v>0.5</x:v>
      </x:c>
      <x:c r="BF113" t="n">
        <x:f>AV113/AU113-1</x:f>
        <x:v>0.5</x:v>
      </x:c>
      <x:c r="BG113" t="n">
        <x:f>AW113/AV113-1</x:f>
        <x:v>0.5</x:v>
      </x:c>
      <x:c r="BH113" t="n">
        <x:f>AX113/AW113-1</x:f>
        <x:v>0.405</x:v>
      </x:c>
      <x:c r="BI113" t="n">
        <x:f>AY113/AX113-1</x:f>
        <x:v>0.31000000000000005</x:v>
      </x:c>
      <x:c r="BJ113" t="n">
        <x:f>AZ113/AY113-1</x:f>
        <x:v>0.21500000000000008</x:v>
      </x:c>
      <x:c r="BK113" t="n">
        <x:f>BA113/AZ113-1</x:f>
        <x:v>0.1200000000000001</x:v>
      </x:c>
      <x:c r="BL113" t="n">
        <x:f>BB113/BA113-1</x:f>
        <x:v>0.02499999999999991</x:v>
      </x:c>
      <x:c r="BM113" t="n">
        <x:f>AH113*(1-'Assumptions'!$F$6)*(1+'Assumptions'!$D$6)*(1-'Assumptions'!$D$6/'Assumptions'!$E$6)</x:f>
        <x:v>786.2464102792815</x:v>
      </x:c>
      <x:c r="BN113" t="n">
        <x:f>SUMPRODUCT(AI113:AR113,'WINA Model'!$B$83:$K$83)+BM113/('Assumptions'!$C$6-'Assumptions'!$D$6)*'WINA Model'!$K$83</x:f>
        <x:v>6103.007913697721</x:v>
      </x:c>
      <x:c r="BO113" t="n">
        <x:f>'WINA Model'!$B$94</x:f>
        <x:v>-42.825500000000005</x:v>
      </x:c>
      <x:c r="BP113" t="n">
        <x:f>'Inputs'!$C$8</x:f>
        <x:v>3.701516</x:v>
      </x:c>
    </x:row>
    <x:row r="114">
      <x:c r="A114" t="str">
        <x:v>WINA</x:v>
      </x:c>
      <x:c r="B114" s="22" t="n">
        <x:v>0.51</x:v>
      </x:c>
      <x:c r="C114" s="42" t="n">
        <x:f>(BN114+BO114)/BP114</x:f>
        <x:v>1714.0986302437243</x:v>
      </x:c>
      <x:c r="D114" s="22" t="n">
        <x:f>C114/'Inputs'!$C$5-1</x:f>
        <x:v>4.387367225834378</x:v>
      </x:c>
      <x:c r="E114" t="n">
        <x:f>'Inputs'!$C$14*(1+$B114)^1</x:f>
        <x:v>133.635</x:v>
      </x:c>
      <x:c r="F114" t="n">
        <x:f>'Inputs'!$C$14*(1+$B114)^2</x:f>
        <x:v>201.78885</x:v>
      </x:c>
      <x:c r="G114" t="n">
        <x:f>'Inputs'!$C$14*(1+$B114)^3</x:f>
        <x:v>304.7011635</x:v>
      </x:c>
      <x:c r="H114" t="n">
        <x:f>'Inputs'!$C$14*(1+$B114)^4</x:f>
        <x:v>460.098756885</x:v>
      </x:c>
      <x:c r="I114" t="n">
        <x:f>'Inputs'!$C$14*(1+$B114)^5</x:f>
        <x:v>694.74912289635</x:v>
      </x:c>
      <x:c r="J114" t="n">
        <x:f>I114*(1+($BG114+('Assumptions'!$D$6-$BG114)*(6-5)/5))</x:f>
        <x:v>981.6805106525424</x:v>
      </x:c>
      <x:c r="K114" t="n">
        <x:f>J114*(1+($BG114+('Assumptions'!$D$6-$BG114)*(7-5)/5))</x:f>
        <x:v>1291.8915520187456</x:v>
      </x:c>
      <x:c r="L114" t="n">
        <x:f>K114*(1+($BG114+('Assumptions'!$D$6-$BG114)*(8-5)/5))</x:f>
        <x:v>1574.8158019108507</x:v>
      </x:c>
      <x:c r="M114" t="n">
        <x:f>L114*(1+($BG114+('Assumptions'!$D$6-$BG114)*(9-5)/5))</x:f>
        <x:v>1766.9433297439743</x:v>
      </x:c>
      <x:c r="N114" t="n">
        <x:f>M114*(1+($BG114+('Assumptions'!$D$6-$BG114)*(10-5)/5))</x:f>
        <x:v>1811.1169129875736</x:v>
      </x:c>
      <x:c r="O114" t="n">
        <x:f>0</x:f>
        <x:v>0</x:v>
      </x:c>
      <x:c r="P114" t="n">
        <x:f>0</x:f>
        <x:v>0</x:v>
      </x:c>
      <x:c r="Q114" t="n">
        <x:f>0</x:f>
        <x:v>0</x:v>
      </x:c>
      <x:c r="R114" t="n">
        <x:f>0</x:f>
        <x:v>0</x:v>
      </x:c>
      <x:c r="S114" t="n">
        <x:f>0</x:f>
        <x:v>0</x:v>
      </x:c>
      <x:c r="T114" t="n">
        <x:f>S114*(1+($BG114+('Assumptions'!$D$6-$BG114)*(6-5)/5))</x:f>
        <x:v>0</x:v>
      </x:c>
      <x:c r="U114" t="n">
        <x:f>T114*(1+($BG114+('Assumptions'!$D$6-$BG114)*(7-5)/5))</x:f>
        <x:v>0</x:v>
      </x:c>
      <x:c r="V114" t="n">
        <x:f>U114*(1+($BG114+('Assumptions'!$D$6-$BG114)*(8-5)/5))</x:f>
        <x:v>0</x:v>
      </x:c>
      <x:c r="W114" t="n">
        <x:f>V114*(1+($BG114+('Assumptions'!$D$6-$BG114)*(9-5)/5))</x:f>
        <x:v>0</x:v>
      </x:c>
      <x:c r="X114" t="n">
        <x:f>W114*(1+($BG114+('Assumptions'!$D$6-$BG114)*(10-5)/5))</x:f>
        <x:v>0</x:v>
      </x:c>
      <x:c r="Y114" t="n">
        <x:f>E114*'WINA Model'!$B$62+O114*'WINA Model'!$B$63+'WINA Model'!$B$73+'WINA Model'!$B$74</x:f>
        <x:v>81.51735</x:v>
      </x:c>
      <x:c r="Z114" t="n">
        <x:f>F114*'WINA Model'!$C$62+P114*'WINA Model'!$C$63+'WINA Model'!$C$73+'WINA Model'!$C$74</x:f>
        <x:v>124.10014274999999</x:v>
      </x:c>
      <x:c r="AA114" t="n">
        <x:f>G114*'WINA Model'!$D$62+Q114*'WINA Model'!$D$63+'WINA Model'!$D$73+'WINA Model'!$D$74</x:f>
        <x:v>188.91472137</x:v>
      </x:c>
      <x:c r="AB114" t="n">
        <x:f>H114*'WINA Model'!$E$62+R114*'WINA Model'!$E$63+'WINA Model'!$E$73+'WINA Model'!$E$74</x:f>
        <x:v>287.561723053125</x:v>
      </x:c>
      <x:c r="AC114" t="n">
        <x:f>I114*'WINA Model'!$F$62+S114*'WINA Model'!$F$63+'WINA Model'!$F$73+'WINA Model'!$F$74</x:f>
        <x:v>437.69194742470046</x:v>
      </x:c>
      <x:c r="AD114" t="n">
        <x:f>AX114*$AC114/$AW114</x:f>
        <x:v>618.4587217111016</x:v>
      </x:c>
      <x:c r="AE114" t="n">
        <x:f>AY114*$AC114/$AW114</x:f>
        <x:v>813.8916777718098</x:v>
      </x:c>
      <x:c r="AF114" t="n">
        <x:f>AZ114*$AC114/$AW114</x:f>
        <x:v>992.133955203836</x:v>
      </x:c>
      <x:c r="AG114" t="n">
        <x:f>BA114*$AC114/$AW114</x:f>
        <x:v>1113.174297738704</x:v>
      </x:c>
      <x:c r="AH114" t="n">
        <x:f>BB114*$AC114/$AW114</x:f>
        <x:v>1141.0036551821715</x:v>
      </x:c>
      <x:c r="AI114" t="n">
        <x:f>Y114*(1-'Assumptions'!$F$6)+AS114*'Assumptions'!$G$6-AS114*'WINA Model'!$B$65-(AS114-'Inputs'!$C$14)*'Assumptions'!$H$6-'Assumptions'!$I$6</x:f>
        <x:v>57.44234099999999</x:v>
      </x:c>
      <x:c r="AJ114" t="n">
        <x:f>Z114*(1-'Assumptions'!$F$6)+AT114*'Assumptions'!$G$6-AT114*'WINA Model'!$C$65-(AT114-AS114)*'Assumptions'!$H$6-0</x:f>
        <x:v>88.51367678999999</x:v>
      </x:c>
      <x:c r="AK114" t="n">
        <x:f>AA114*(1-'Assumptions'!$F$6)+AU114*'Assumptions'!$G$6-AU114*'WINA Model'!$D$65-(AU114-AT114)*'Assumptions'!$H$6-0</x:f>
        <x:v>136.3370221917</x:v>
      </x:c>
      <x:c r="AL114" t="n">
        <x:f>AB114*(1-'Assumptions'!$F$6)+AV114*'Assumptions'!$G$6-AV114*'WINA Model'!$E$65-(AV114-AU114)*'Assumptions'!$H$6-0</x:f>
        <x:v>208.99757505628497</x:v>
      </x:c>
      <x:c r="AM114" t="n">
        <x:f>AC114*(1-'Assumptions'!$F$6)+AW114*'Assumptions'!$G$6-AW114*'WINA Model'!$F$65-(AW114-AV114)*'Assumptions'!$H$6-0</x:f>
        <x:v>319.61588324778916</x:v>
      </x:c>
      <x:c r="AN114" t="n">
        <x:f>AD114*(1-'Assumptions'!$F$6)+AX114*'Assumptions'!$G$6-AX114*'WINA Model'!$G$65-(AX114-AW114)*'Assumptions'!$H$6-0</x:f>
        <x:v>452.50983461748285</x:v>
      </x:c>
      <x:c r="AO114" t="n">
        <x:f>AE114*(1-'Assumptions'!$F$6)+AY114*'Assumptions'!$G$6-AY114*'WINA Model'!$H$65-(AY114-AX114)*'Assumptions'!$H$6-0</x:f>
        <x:v>596.8507556550263</x:v>
      </x:c>
      <x:c r="AP114" t="n">
        <x:f>AF114*(1-'Assumptions'!$F$6)+AZ114*'Assumptions'!$G$6-AZ114*'WINA Model'!$I$65-(AZ114-AY114)*'Assumptions'!$H$6-0</x:f>
        <x:v>729.4655313341428</x:v>
      </x:c>
      <x:c r="AQ114" t="n">
        <x:f>AG114*(1-'Assumptions'!$F$6)+BA114*'Assumptions'!$G$6-BA114*'WINA Model'!$J$65-(BA114-AZ114)*'Assumptions'!$H$6-0</x:f>
        <x:v>820.9665957678249</x:v>
      </x:c>
      <x:c r="AR114" t="n">
        <x:f>AH114*(1-'Assumptions'!$F$6)+BB114*'Assumptions'!$G$6-BB114*'WINA Model'!$K$65-(BB114-BA114)*'Assumptions'!$H$6-0</x:f>
        <x:v>844.5459033177275</x:v>
      </x:c>
      <x:c r="AS114" t="n">
        <x:f>E114+O114</x:f>
        <x:v>133.635</x:v>
      </x:c>
      <x:c r="AT114" t="n">
        <x:f>F114+P114</x:f>
        <x:v>201.78885</x:v>
      </x:c>
      <x:c r="AU114" t="n">
        <x:f>G114+Q114</x:f>
        <x:v>304.7011635</x:v>
      </x:c>
      <x:c r="AV114" t="n">
        <x:f>H114+R114</x:f>
        <x:v>460.098756885</x:v>
      </x:c>
      <x:c r="AW114" t="n">
        <x:f>I114+S114</x:f>
        <x:v>694.74912289635</x:v>
      </x:c>
      <x:c r="AX114" t="n">
        <x:f>J114+T114</x:f>
        <x:v>981.6805106525424</x:v>
      </x:c>
      <x:c r="AY114" t="n">
        <x:f>K114+U114</x:f>
        <x:v>1291.8915520187456</x:v>
      </x:c>
      <x:c r="AZ114" t="n">
        <x:f>L114+V114</x:f>
        <x:v>1574.8158019108507</x:v>
      </x:c>
      <x:c r="BA114" t="n">
        <x:f>M114+W114</x:f>
        <x:v>1766.9433297439743</x:v>
      </x:c>
      <x:c r="BB114" t="n">
        <x:f>N114+X114</x:f>
        <x:v>1811.1169129875736</x:v>
      </x:c>
      <x:c r="BC114" t="n">
        <x:f>AS114/'Inputs'!$C$14-1</x:f>
        <x:v>0.5099999999999998</x:v>
      </x:c>
      <x:c r="BD114" t="n">
        <x:f>AT114/AS114-1</x:f>
        <x:v>0.51</x:v>
      </x:c>
      <x:c r="BE114" t="n">
        <x:f>AU114/AT114-1</x:f>
        <x:v>0.51</x:v>
      </x:c>
      <x:c r="BF114" t="n">
        <x:f>AV114/AU114-1</x:f>
        <x:v>0.51</x:v>
      </x:c>
      <x:c r="BG114" t="n">
        <x:f>AW114/AV114-1</x:f>
        <x:v>0.5099999999999998</x:v>
      </x:c>
      <x:c r="BH114" t="n">
        <x:f>AX114/AW114-1</x:f>
        <x:v>0.4129999999999998</x:v>
      </x:c>
      <x:c r="BI114" t="n">
        <x:f>AY114/AX114-1</x:f>
        <x:v>0.31599999999999984</x:v>
      </x:c>
      <x:c r="BJ114" t="n">
        <x:f>AZ114/AY114-1</x:f>
        <x:v>0.21899999999999986</x:v>
      </x:c>
      <x:c r="BK114" t="n">
        <x:f>BA114/AZ114-1</x:f>
        <x:v>0.12199999999999989</x:v>
      </x:c>
      <x:c r="BL114" t="n">
        <x:f>BB114/BA114-1</x:f>
        <x:v>0.02499999999999991</x:v>
      </x:c>
      <x:c r="BM114" t="n">
        <x:f>AH114*(1-'Assumptions'!$F$6)*(1+'Assumptions'!$D$6)*(1-'Assumptions'!$D$6/'Assumptions'!$E$6)</x:f>
        <x:v>825.3531440021322</x:v>
      </x:c>
      <x:c r="BN114" t="n">
        <x:f>SUMPRODUCT(AI114:AR114,'WINA Model'!$B$83:$K$83)+BM114/('Assumptions'!$C$6-'Assumptions'!$D$6)*'WINA Model'!$K$83</x:f>
        <x:v>6387.589005425229</x:v>
      </x:c>
      <x:c r="BO114" t="n">
        <x:f>'WINA Model'!$B$94</x:f>
        <x:v>-42.825500000000005</x:v>
      </x:c>
      <x:c r="BP114" t="n">
        <x:f>'Inputs'!$C$8</x:f>
        <x:v>3.701516</x:v>
      </x:c>
    </x:row>
    <x:row r="115">
      <x:c r="A115" t="str">
        <x:v>WINA</x:v>
      </x:c>
      <x:c r="B115" s="22" t="n">
        <x:v>0.52</x:v>
      </x:c>
      <x:c r="C115" s="42" t="n">
        <x:f>(BN115+BO115)/BP115</x:f>
        <x:v>1794.1774921407264</x:v>
      </x:c>
      <x:c r="D115" s="22" t="n">
        <x:f>C115/'Inputs'!$C$5-1</x:f>
        <x:v>4.639052997267895</x:v>
      </x:c>
      <x:c r="E115" t="n">
        <x:f>'Inputs'!$C$14*(1+$B115)^1</x:f>
        <x:v>134.52</x:v>
      </x:c>
      <x:c r="F115" t="n">
        <x:f>'Inputs'!$C$14*(1+$B115)^2</x:f>
        <x:v>204.4704</x:v>
      </x:c>
      <x:c r="G115" t="n">
        <x:f>'Inputs'!$C$14*(1+$B115)^3</x:f>
        <x:v>310.795008</x:v>
      </x:c>
      <x:c r="H115" t="n">
        <x:f>'Inputs'!$C$14*(1+$B115)^4</x:f>
        <x:v>472.40841216</x:v>
      </x:c>
      <x:c r="I115" t="n">
        <x:f>'Inputs'!$C$14*(1+$B115)^5</x:f>
        <x:v>718.0607864832</x:v>
      </x:c>
      <x:c r="J115" t="n">
        <x:f>I115*(1+($BG115+('Assumptions'!$D$6-$BG115)*(6-5)/5))</x:f>
        <x:v>1020.3643775926272</x:v>
      </x:c>
      <x:c r="K115" t="n">
        <x:f>J115*(1+($BG115+('Assumptions'!$D$6-$BG115)*(7-5)/5))</x:f>
        <x:v>1348.9217071774533</x:v>
      </x:c>
      <x:c r="L115" t="n">
        <x:f>K115*(1+($BG115+('Assumptions'!$D$6-$BG115)*(8-5)/5))</x:f>
        <x:v>1649.7312478780254</x:v>
      </x:c>
      <x:c r="M115" t="n">
        <x:f>L115*(1+($BG115+('Assumptions'!$D$6-$BG115)*(9-5)/5))</x:f>
        <x:v>1854.2979226149007</x:v>
      </x:c>
      <x:c r="N115" t="n">
        <x:f>M115*(1+($BG115+('Assumptions'!$D$6-$BG115)*(10-5)/5))</x:f>
        <x:v>1900.655370680273</x:v>
      </x:c>
      <x:c r="O115" t="n">
        <x:f>0</x:f>
        <x:v>0</x:v>
      </x:c>
      <x:c r="P115" t="n">
        <x:f>0</x:f>
        <x:v>0</x:v>
      </x:c>
      <x:c r="Q115" t="n">
        <x:f>0</x:f>
        <x:v>0</x:v>
      </x:c>
      <x:c r="R115" t="n">
        <x:f>0</x:f>
        <x:v>0</x:v>
      </x:c>
      <x:c r="S115" t="n">
        <x:f>0</x:f>
        <x:v>0</x:v>
      </x:c>
      <x:c r="T115" t="n">
        <x:f>S115*(1+($BG115+('Assumptions'!$D$6-$BG115)*(6-5)/5))</x:f>
        <x:v>0</x:v>
      </x:c>
      <x:c r="U115" t="n">
        <x:f>T115*(1+($BG115+('Assumptions'!$D$6-$BG115)*(7-5)/5))</x:f>
        <x:v>0</x:v>
      </x:c>
      <x:c r="V115" t="n">
        <x:f>U115*(1+($BG115+('Assumptions'!$D$6-$BG115)*(8-5)/5))</x:f>
        <x:v>0</x:v>
      </x:c>
      <x:c r="W115" t="n">
        <x:f>V115*(1+($BG115+('Assumptions'!$D$6-$BG115)*(9-5)/5))</x:f>
        <x:v>0</x:v>
      </x:c>
      <x:c r="X115" t="n">
        <x:f>W115*(1+($BG115+('Assumptions'!$D$6-$BG115)*(10-5)/5))</x:f>
        <x:v>0</x:v>
      </x:c>
      <x:c r="Y115" t="n">
        <x:f>E115*'WINA Model'!$B$62+O115*'WINA Model'!$B$63+'WINA Model'!$B$73+'WINA Model'!$B$74</x:f>
        <x:v>82.05720000000001</x:v>
      </x:c>
      <x:c r="Z115" t="n">
        <x:f>F115*'WINA Model'!$C$62+P115*'WINA Model'!$C$63+'WINA Model'!$C$73+'WINA Model'!$C$74</x:f>
        <x:v>125.749296</x:v>
      </x:c>
      <x:c r="AA115" t="n">
        <x:f>G115*'WINA Model'!$D$62+Q115*'WINA Model'!$D$63+'WINA Model'!$D$73+'WINA Model'!$D$74</x:f>
        <x:v>192.69290496</x:v>
      </x:c>
      <x:c r="AB115" t="n">
        <x:f>H115*'WINA Model'!$E$62+R115*'WINA Model'!$E$63+'WINA Model'!$E$73+'WINA Model'!$E$74</x:f>
        <x:v>295.2552576</x:v>
      </x:c>
      <x:c r="AC115" t="n">
        <x:f>I115*'WINA Model'!$F$62+S115*'WINA Model'!$F$63+'WINA Model'!$F$73+'WINA Model'!$F$74</x:f>
        <x:v>452.378295484416</x:v>
      </x:c>
      <x:c r="AD115" t="n">
        <x:f>AX115*$AC115/$AW115</x:f>
        <x:v>642.8295578833552</x:v>
      </x:c>
      <x:c r="AE115" t="n">
        <x:f>AY115*$AC115/$AW115</x:f>
        <x:v>849.8206755217957</x:v>
      </x:c>
      <x:c r="AF115" t="n">
        <x:f>AZ115*$AC115/$AW115</x:f>
        <x:v>1039.330686163156</x:v>
      </x:c>
      <x:c r="AG115" t="n">
        <x:f>BA115*$AC115/$AW115</x:f>
        <x:v>1168.2076912473874</x:v>
      </x:c>
      <x:c r="AH115" t="n">
        <x:f>BB115*$AC115/$AW115</x:f>
        <x:v>1197.4128835285721</x:v>
      </x:c>
      <x:c r="AI115" t="n">
        <x:f>Y115*(1-'Assumptions'!$F$6)+AS115*'Assumptions'!$G$6-AS115*'WINA Model'!$B$65-(AS115-'Inputs'!$C$14)*'Assumptions'!$H$6-'Assumptions'!$I$6</x:f>
        <x:v>57.81103200000001</x:v>
      </x:c>
      <x:c r="AJ115" t="n">
        <x:f>Z115*(1-'Assumptions'!$F$6)+AT115*'Assumptions'!$G$6-AT115*'WINA Model'!$C$65-(AT115-AS115)*'Assumptions'!$H$6-0</x:f>
        <x:v>89.67210816000001</x:v>
      </x:c>
      <x:c r="AK115" t="n">
        <x:f>AA115*(1-'Assumptions'!$F$6)+AU115*'Assumptions'!$G$6-AU115*'WINA Model'!$D$65-(AU115-AT115)*'Assumptions'!$H$6-0</x:f>
        <x:v>139.0366004736</x:v>
      </x:c>
      <x:c r="AL115" t="n">
        <x:f>AB115*(1-'Assumptions'!$F$6)+AV115*'Assumptions'!$G$6-AV115*'WINA Model'!$E$65-(AV115-AU115)*'Assumptions'!$H$6-0</x:f>
        <x:v>214.54800992256</x:v>
      </x:c>
      <x:c r="AM115" t="n">
        <x:f>AC115*(1-'Assumptions'!$F$6)+AW115*'Assumptions'!$G$6-AW115*'WINA Model'!$F$65-(AW115-AV115)*'Assumptions'!$H$6-0</x:f>
        <x:v>330.27772764389374</x:v>
      </x:c>
      <x:c r="AN115" t="n">
        <x:f>AD115*(1-'Assumptions'!$F$6)+AX115*'Assumptions'!$G$6-AX115*'WINA Model'!$G$65-(AX115-AW115)*'Assumptions'!$H$6-0</x:f>
        <x:v>470.26001963804987</x:v>
      </x:c>
      <x:c r="AO115" t="n">
        <x:f>AE115*(1-'Assumptions'!$F$6)+AY115*'Assumptions'!$G$6-AY115*'WINA Model'!$H$65-(AY115-AX115)*'Assumptions'!$H$6-0</x:f>
        <x:v>623.1055063187388</x:v>
      </x:c>
      <x:c r="AP115" t="n">
        <x:f>AF115*(1-'Assumptions'!$F$6)+AZ115*'Assumptions'!$G$6-AZ115*'WINA Model'!$I$65-(AZ115-AY115)*'Assumptions'!$H$6-0</x:f>
        <x:v>764.0783556954508</x:v>
      </x:c>
      <x:c r="AQ115" t="n">
        <x:f>AG115*(1-'Assumptions'!$F$6)+BA115*'Assumptions'!$G$6-BA115*'WINA Model'!$J$65-(BA115-AZ115)*'Assumptions'!$H$6-0</x:f>
        <x:v>861.4949367818982</x:v>
      </x:c>
      <x:c r="AR115" t="n">
        <x:f>AH115*(1-'Assumptions'!$F$6)+BB115*'Assumptions'!$G$6-BB115*'WINA Model'!$K$65-(BB115-BA115)*'Assumptions'!$H$6-0</x:f>
        <x:v>886.2987780722441</x:v>
      </x:c>
      <x:c r="AS115" t="n">
        <x:f>E115+O115</x:f>
        <x:v>134.52</x:v>
      </x:c>
      <x:c r="AT115" t="n">
        <x:f>F115+P115</x:f>
        <x:v>204.4704</x:v>
      </x:c>
      <x:c r="AU115" t="n">
        <x:f>G115+Q115</x:f>
        <x:v>310.795008</x:v>
      </x:c>
      <x:c r="AV115" t="n">
        <x:f>H115+R115</x:f>
        <x:v>472.40841216</x:v>
      </x:c>
      <x:c r="AW115" t="n">
        <x:f>I115+S115</x:f>
        <x:v>718.0607864832</x:v>
      </x:c>
      <x:c r="AX115" t="n">
        <x:f>J115+T115</x:f>
        <x:v>1020.3643775926272</x:v>
      </x:c>
      <x:c r="AY115" t="n">
        <x:f>K115+U115</x:f>
        <x:v>1348.9217071774533</x:v>
      </x:c>
      <x:c r="AZ115" t="n">
        <x:f>L115+V115</x:f>
        <x:v>1649.7312478780254</x:v>
      </x:c>
      <x:c r="BA115" t="n">
        <x:f>M115+W115</x:f>
        <x:v>1854.2979226149007</x:v>
      </x:c>
      <x:c r="BB115" t="n">
        <x:f>N115+X115</x:f>
        <x:v>1900.655370680273</x:v>
      </x:c>
      <x:c r="BC115" t="n">
        <x:f>AS115/'Inputs'!$C$14-1</x:f>
        <x:v>0.52</x:v>
      </x:c>
      <x:c r="BD115" t="n">
        <x:f>AT115/AS115-1</x:f>
        <x:v>0.52</x:v>
      </x:c>
      <x:c r="BE115" t="n">
        <x:f>AU115/AT115-1</x:f>
        <x:v>0.5199999999999998</x:v>
      </x:c>
      <x:c r="BF115" t="n">
        <x:f>AV115/AU115-1</x:f>
        <x:v>0.52</x:v>
      </x:c>
      <x:c r="BG115" t="n">
        <x:f>AW115/AV115-1</x:f>
        <x:v>0.52</x:v>
      </x:c>
      <x:c r="BH115" t="n">
        <x:f>AX115/AW115-1</x:f>
        <x:v>0.42100000000000004</x:v>
      </x:c>
      <x:c r="BI115" t="n">
        <x:f>AY115/AX115-1</x:f>
        <x:v>0.32200000000000006</x:v>
      </x:c>
      <x:c r="BJ115" t="n">
        <x:f>AZ115/AY115-1</x:f>
        <x:v>0.2230000000000001</x:v>
      </x:c>
      <x:c r="BK115" t="n">
        <x:f>BA115/AZ115-1</x:f>
        <x:v>0.12400000000000011</x:v>
      </x:c>
      <x:c r="BL115" t="n">
        <x:f>BB115/BA115-1</x:f>
        <x:v>0.02499999999999991</x:v>
      </x:c>
      <x:c r="BM115" t="n">
        <x:f>AH115*(1-'Assumptions'!$F$6)*(1+'Assumptions'!$D$6)*(1-'Assumptions'!$D$6/'Assumptions'!$E$6)</x:f>
        <x:v>866.1571622495607</x:v>
      </x:c>
      <x:c r="BN115" t="n">
        <x:f>SUMPRODUCT(AI115:AR115,'WINA Model'!$B$83:$K$83)+BM115/('Assumptions'!$C$6-'Assumptions'!$D$6)*'WINA Model'!$K$83</x:f>
        <x:v>6684.002193998773</x:v>
      </x:c>
      <x:c r="BO115" t="n">
        <x:f>'WINA Model'!$B$94</x:f>
        <x:v>-42.825500000000005</x:v>
      </x:c>
      <x:c r="BP115" t="n">
        <x:f>'Inputs'!$C$8</x:f>
        <x:v>3.701516</x:v>
      </x:c>
    </x:row>
    <x:row r="116">
      <x:c r="A116" t="str">
        <x:v>WINA</x:v>
      </x:c>
      <x:c r="B116" s="22" t="n">
        <x:v>0.53</x:v>
      </x:c>
      <x:c r="C116" s="42" t="n">
        <x:f>(BN116+BO116)/BP116</x:f>
        <x:v>1877.5681261882544</x:v>
      </x:c>
      <x:c r="D116" s="22" t="n">
        <x:f>C116/'Inputs'!$C$5-1</x:f>
        <x:v>4.901147582073277</x:v>
      </x:c>
      <x:c r="E116" t="n">
        <x:f>'Inputs'!$C$14*(1+$B116)^1</x:f>
        <x:v>135.405</x:v>
      </x:c>
      <x:c r="F116" t="n">
        <x:f>'Inputs'!$C$14*(1+$B116)^2</x:f>
        <x:v>207.16965</x:v>
      </x:c>
      <x:c r="G116" t="n">
        <x:f>'Inputs'!$C$14*(1+$B116)^3</x:f>
        <x:v>316.96956450000005</x:v>
      </x:c>
      <x:c r="H116" t="n">
        <x:f>'Inputs'!$C$14*(1+$B116)^4</x:f>
        <x:v>484.96343368500004</x:v>
      </x:c>
      <x:c r="I116" t="n">
        <x:f>'Inputs'!$C$14*(1+$B116)^5</x:f>
        <x:v>741.99405353805</x:v>
      </x:c>
      <x:c r="J116" t="n">
        <x:f>I116*(1+($BG116+('Assumptions'!$D$6-$BG116)*(6-5)/5))</x:f>
        <x:v>1060.3095025058735</x:v>
      </x:c>
      <x:c r="K116" t="n">
        <x:f>J116*(1+($BG116+('Assumptions'!$D$6-$BG116)*(7-5)/5))</x:f>
        <x:v>1408.0910193278</x:v>
      </x:c>
      <x:c r="L116" t="n">
        <x:f>K116*(1+($BG116+('Assumptions'!$D$6-$BG116)*(8-5)/5))</x:f>
        <x:v>1727.7276807152105</x:v>
      </x:c>
      <x:c r="M116" t="n">
        <x:f>L116*(1+($BG116+('Assumptions'!$D$6-$BG116)*(9-5)/5))</x:f>
        <x:v>1945.4213684853269</x:v>
      </x:c>
      <x:c r="N116" t="n">
        <x:f>M116*(1+($BG116+('Assumptions'!$D$6-$BG116)*(10-5)/5))</x:f>
        <x:v>1994.05690269746</x:v>
      </x:c>
      <x:c r="O116" t="n">
        <x:f>0</x:f>
        <x:v>0</x:v>
      </x:c>
      <x:c r="P116" t="n">
        <x:f>0</x:f>
        <x:v>0</x:v>
      </x:c>
      <x:c r="Q116" t="n">
        <x:f>0</x:f>
        <x:v>0</x:v>
      </x:c>
      <x:c r="R116" t="n">
        <x:f>0</x:f>
        <x:v>0</x:v>
      </x:c>
      <x:c r="S116" t="n">
        <x:f>0</x:f>
        <x:v>0</x:v>
      </x:c>
      <x:c r="T116" t="n">
        <x:f>S116*(1+($BG116+('Assumptions'!$D$6-$BG116)*(6-5)/5))</x:f>
        <x:v>0</x:v>
      </x:c>
      <x:c r="U116" t="n">
        <x:f>T116*(1+($BG116+('Assumptions'!$D$6-$BG116)*(7-5)/5))</x:f>
        <x:v>0</x:v>
      </x:c>
      <x:c r="V116" t="n">
        <x:f>U116*(1+($BG116+('Assumptions'!$D$6-$BG116)*(8-5)/5))</x:f>
        <x:v>0</x:v>
      </x:c>
      <x:c r="W116" t="n">
        <x:f>V116*(1+($BG116+('Assumptions'!$D$6-$BG116)*(9-5)/5))</x:f>
        <x:v>0</x:v>
      </x:c>
      <x:c r="X116" t="n">
        <x:f>W116*(1+($BG116+('Assumptions'!$D$6-$BG116)*(10-5)/5))</x:f>
        <x:v>0</x:v>
      </x:c>
      <x:c r="Y116" t="n">
        <x:f>E116*'WINA Model'!$B$62+O116*'WINA Model'!$B$63+'WINA Model'!$B$73+'WINA Model'!$B$74</x:f>
        <x:v>82.59705</x:v>
      </x:c>
      <x:c r="Z116" t="n">
        <x:f>F116*'WINA Model'!$C$62+P116*'WINA Model'!$C$63+'WINA Model'!$C$73+'WINA Model'!$C$74</x:f>
        <x:v>127.40933474999999</x:v>
      </x:c>
      <x:c r="AA116" t="n">
        <x:f>G116*'WINA Model'!$D$62+Q116*'WINA Model'!$D$63+'WINA Model'!$D$73+'WINA Model'!$D$74</x:f>
        <x:v>196.52112999000002</x:v>
      </x:c>
      <x:c r="AB116" t="n">
        <x:f>H116*'WINA Model'!$E$62+R116*'WINA Model'!$E$63+'WINA Model'!$E$73+'WINA Model'!$E$74</x:f>
        <x:v>303.102146053125</x:v>
      </x:c>
      <x:c r="AC116" t="n">
        <x:f>I116*'WINA Model'!$F$62+S116*'WINA Model'!$F$63+'WINA Model'!$F$73+'WINA Model'!$F$74</x:f>
        <x:v>467.45625372897155</x:v>
      </x:c>
      <x:c r="AD116" t="n">
        <x:f>AX116*$AC116/$AW116</x:f>
        <x:v>667.9949865787004</x:v>
      </x:c>
      <x:c r="AE116" t="n">
        <x:f>AY116*$AC116/$AW116</x:f>
        <x:v>887.0973421765141</x:v>
      </x:c>
      <x:c r="AF116" t="n">
        <x:f>AZ116*$AC116/$AW116</x:f>
        <x:v>1088.4684388505827</x:v>
      </x:c>
      <x:c r="AG116" t="n">
        <x:f>BA116*$AC116/$AW116</x:f>
        <x:v>1225.615462145756</x:v>
      </x:c>
      <x:c r="AH116" t="n">
        <x:f>BB116*$AC116/$AW116</x:f>
        <x:v>1256.2558486993998</x:v>
      </x:c>
      <x:c r="AI116" t="n">
        <x:f>Y116*(1-'Assumptions'!$F$6)+AS116*'Assumptions'!$G$6-AS116*'WINA Model'!$B$65-(AS116-'Inputs'!$C$14)*'Assumptions'!$H$6-'Assumptions'!$I$6</x:f>
        <x:v>58.179723</x:v>
      </x:c>
      <x:c r="AJ116" t="n">
        <x:f>Z116*(1-'Assumptions'!$F$6)+AT116*'Assumptions'!$G$6-AT116*'WINA Model'!$C$65-(AT116-AS116)*'Assumptions'!$H$6-0</x:f>
        <x:v>90.83806910999999</x:v>
      </x:c>
      <x:c r="AK116" t="n">
        <x:f>AA116*(1-'Assumptions'!$F$6)+AU116*'Assumptions'!$G$6-AU116*'WINA Model'!$D$65-(AU116-AT116)*'Assumptions'!$H$6-0</x:f>
        <x:v>141.7715779059</x:v>
      </x:c>
      <x:c r="AL116" t="n">
        <x:f>AB116*(1-'Assumptions'!$F$6)+AV116*'Assumptions'!$G$6-AV116*'WINA Model'!$E$65-(AV116-AU116)*'Assumptions'!$H$6-0</x:f>
        <x:v>220.20826554508503</x:v>
      </x:c>
      <x:c r="AM116" t="n">
        <x:f>AC116*(1-'Assumptions'!$F$6)+AW116*'Assumptions'!$G$6-AW116*'WINA Model'!$F$65-(AW116-AV116)*'Assumptions'!$H$6-0</x:f>
        <x:v>341.2222117945008</x:v>
      </x:c>
      <x:c r="AN116" t="n">
        <x:f>AD116*(1-'Assumptions'!$F$6)+AX116*'Assumptions'!$G$6-AX116*'WINA Model'!$G$65-(AX116-AW116)*'Assumptions'!$H$6-0</x:f>
        <x:v>488.58616679038533</x:v>
      </x:c>
      <x:c r="AO116" t="n">
        <x:f>AE116*(1-'Assumptions'!$F$6)+AY116*'Assumptions'!$G$6-AY116*'WINA Model'!$H$65-(AY116-AX116)*'Assumptions'!$H$6-0</x:f>
        <x:v>650.3412574857787</x:v>
      </x:c>
      <x:c r="AP116" t="n">
        <x:f>AF116*(1-'Assumptions'!$F$6)+AZ116*'Assumptions'!$G$6-AZ116*'WINA Model'!$I$65-(AZ116-AY116)*'Assumptions'!$H$6-0</x:f>
        <x:v>800.1105481301121</x:v>
      </x:c>
      <x:c r="AQ116" t="n">
        <x:f>AG116*(1-'Assumptions'!$F$6)+BA116*'Assumptions'!$G$6-BA116*'WINA Model'!$J$65-(BA116-AZ116)*'Assumptions'!$H$6-0</x:f>
        <x:v>903.7688210535484</x:v>
      </x:c>
      <x:c r="AR116" t="n">
        <x:f>AH116*(1-'Assumptions'!$F$6)+BB116*'Assumptions'!$G$6-BB116*'WINA Model'!$K$65-(BB116-BA116)*'Assumptions'!$H$6-0</x:f>
        <x:v>929.8530514949318</x:v>
      </x:c>
      <x:c r="AS116" t="n">
        <x:f>E116+O116</x:f>
        <x:v>135.405</x:v>
      </x:c>
      <x:c r="AT116" t="n">
        <x:f>F116+P116</x:f>
        <x:v>207.16965</x:v>
      </x:c>
      <x:c r="AU116" t="n">
        <x:f>G116+Q116</x:f>
        <x:v>316.96956450000005</x:v>
      </x:c>
      <x:c r="AV116" t="n">
        <x:f>H116+R116</x:f>
        <x:v>484.96343368500004</x:v>
      </x:c>
      <x:c r="AW116" t="n">
        <x:f>I116+S116</x:f>
        <x:v>741.99405353805</x:v>
      </x:c>
      <x:c r="AX116" t="n">
        <x:f>J116+T116</x:f>
        <x:v>1060.3095025058735</x:v>
      </x:c>
      <x:c r="AY116" t="n">
        <x:f>K116+U116</x:f>
        <x:v>1408.0910193278</x:v>
      </x:c>
      <x:c r="AZ116" t="n">
        <x:f>L116+V116</x:f>
        <x:v>1727.7276807152105</x:v>
      </x:c>
      <x:c r="BA116" t="n">
        <x:f>M116+W116</x:f>
        <x:v>1945.4213684853269</x:v>
      </x:c>
      <x:c r="BB116" t="n">
        <x:f>N116+X116</x:f>
        <x:v>1994.05690269746</x:v>
      </x:c>
      <x:c r="BC116" t="n">
        <x:f>AS116/'Inputs'!$C$14-1</x:f>
        <x:v>0.53</x:v>
      </x:c>
      <x:c r="BD116" t="n">
        <x:f>AT116/AS116-1</x:f>
        <x:v>0.5299999999999998</x:v>
      </x:c>
      <x:c r="BE116" t="n">
        <x:f>AU116/AT116-1</x:f>
        <x:v>0.5300000000000002</x:v>
      </x:c>
      <x:c r="BF116" t="n">
        <x:f>AV116/AU116-1</x:f>
        <x:v>0.5299999999999998</x:v>
      </x:c>
      <x:c r="BG116" t="n">
        <x:f>AW116/AV116-1</x:f>
        <x:v>0.53</x:v>
      </x:c>
      <x:c r="BH116" t="n">
        <x:f>AX116/AW116-1</x:f>
        <x:v>0.42900000000000005</x:v>
      </x:c>
      <x:c r="BI116" t="n">
        <x:f>AY116/AX116-1</x:f>
        <x:v>0.32800000000000007</x:v>
      </x:c>
      <x:c r="BJ116" t="n">
        <x:f>AZ116/AY116-1</x:f>
        <x:v>0.22699999999999987</x:v>
      </x:c>
      <x:c r="BK116" t="n">
        <x:f>BA116/AZ116-1</x:f>
        <x:v>0.1259999999999999</x:v>
      </x:c>
      <x:c r="BL116" t="n">
        <x:f>BB116/BA116-1</x:f>
        <x:v>0.02499999999999991</x:v>
      </x:c>
      <x:c r="BM116" t="n">
        <x:f>AH116*(1-'Assumptions'!$F$6)*(1+'Assumptions'!$D$6)*(1-'Assumptions'!$D$6/'Assumptions'!$E$6)</x:f>
        <x:v>908.721641412773</x:v>
      </x:c>
      <x:c r="BN116" t="n">
        <x:f>SUMPRODUCT(AI116:AR116,'WINA Model'!$B$83:$K$83)+BM116/('Assumptions'!$C$6-'Assumptions'!$D$6)*'WINA Model'!$K$83</x:f>
        <x:v>6992.673960175842</x:v>
      </x:c>
      <x:c r="BO116" t="n">
        <x:f>'WINA Model'!$B$94</x:f>
        <x:v>-42.825500000000005</x:v>
      </x:c>
      <x:c r="BP116" t="n">
        <x:f>'Inputs'!$C$8</x:f>
        <x:v>3.701516</x:v>
      </x:c>
    </x:row>
    <x:row r="117">
      <x:c r="A117" t="str">
        <x:v>WINA</x:v>
      </x:c>
      <x:c r="B117" s="22" t="n">
        <x:v>0.54</x:v>
      </x:c>
      <x:c r="C117" s="42" t="n">
        <x:f>(BN117+BO117)/BP117</x:f>
        <x:v>1964.3892524084365</x:v>
      </x:c>
      <x:c r="D117" s="22" t="n">
        <x:f>C117/'Inputs'!$C$5-1</x:f>
        <x:v>5.174024114179327</x:v>
      </x:c>
      <x:c r="E117" t="n">
        <x:f>'Inputs'!$C$14*(1+$B117)^1</x:f>
        <x:v>136.29</x:v>
      </x:c>
      <x:c r="F117" t="n">
        <x:f>'Inputs'!$C$14*(1+$B117)^2</x:f>
        <x:v>209.8866</x:v>
      </x:c>
      <x:c r="G117" t="n">
        <x:f>'Inputs'!$C$14*(1+$B117)^3</x:f>
        <x:v>323.225364</x:v>
      </x:c>
      <x:c r="H117" t="n">
        <x:f>'Inputs'!$C$14*(1+$B117)^4</x:f>
        <x:v>497.76706055999995</x:v>
      </x:c>
      <x:c r="I117" t="n">
        <x:f>'Inputs'!$C$14*(1+$B117)^5</x:f>
        <x:v>766.5612732623998</x:v>
      </x:c>
      <x:c r="J117" t="n">
        <x:f>I117*(1+($BG117+('Assumptions'!$D$6-$BG117)*(6-5)/5))</x:f>
        <x:v>1101.5485496780684</x:v>
      </x:c>
      <x:c r="K117" t="n">
        <x:f>J117*(1+($BG117+('Assumptions'!$D$6-$BG117)*(7-5)/5))</x:f>
        <x:v>1469.465765270543</x:v>
      </x:c>
      <x:c r="L117" t="n">
        <x:f>K117*(1+($BG117+('Assumptions'!$D$6-$BG117)*(8-5)/5))</x:f>
        <x:v>1808.9123570480383</x:v>
      </x:c>
      <x:c r="M117" t="n">
        <x:f>L117*(1+($BG117+('Assumptions'!$D$6-$BG117)*(9-5)/5))</x:f>
        <x:v>2040.4531387501875</x:v>
      </x:c>
      <x:c r="N117" t="n">
        <x:f>M117*(1+($BG117+('Assumptions'!$D$6-$BG117)*(10-5)/5))</x:f>
        <x:v>2091.464467218942</x:v>
      </x:c>
      <x:c r="O117" t="n">
        <x:f>0</x:f>
        <x:v>0</x:v>
      </x:c>
      <x:c r="P117" t="n">
        <x:f>0</x:f>
        <x:v>0</x:v>
      </x:c>
      <x:c r="Q117" t="n">
        <x:f>0</x:f>
        <x:v>0</x:v>
      </x:c>
      <x:c r="R117" t="n">
        <x:f>0</x:f>
        <x:v>0</x:v>
      </x:c>
      <x:c r="S117" t="n">
        <x:f>0</x:f>
        <x:v>0</x:v>
      </x:c>
      <x:c r="T117" t="n">
        <x:f>S117*(1+($BG117+('Assumptions'!$D$6-$BG117)*(6-5)/5))</x:f>
        <x:v>0</x:v>
      </x:c>
      <x:c r="U117" t="n">
        <x:f>T117*(1+($BG117+('Assumptions'!$D$6-$BG117)*(7-5)/5))</x:f>
        <x:v>0</x:v>
      </x:c>
      <x:c r="V117" t="n">
        <x:f>U117*(1+($BG117+('Assumptions'!$D$6-$BG117)*(8-5)/5))</x:f>
        <x:v>0</x:v>
      </x:c>
      <x:c r="W117" t="n">
        <x:f>V117*(1+($BG117+('Assumptions'!$D$6-$BG117)*(9-5)/5))</x:f>
        <x:v>0</x:v>
      </x:c>
      <x:c r="X117" t="n">
        <x:f>W117*(1+($BG117+('Assumptions'!$D$6-$BG117)*(10-5)/5))</x:f>
        <x:v>0</x:v>
      </x:c>
      <x:c r="Y117" t="n">
        <x:f>E117*'WINA Model'!$B$62+O117*'WINA Model'!$B$63+'WINA Model'!$B$73+'WINA Model'!$B$74</x:f>
        <x:v>83.1369</x:v>
      </x:c>
      <x:c r="Z117" t="n">
        <x:f>F117*'WINA Model'!$C$62+P117*'WINA Model'!$C$63+'WINA Model'!$C$73+'WINA Model'!$C$74</x:f>
        <x:v>129.08025899999998</x:v>
      </x:c>
      <x:c r="AA117" t="n">
        <x:f>G117*'WINA Model'!$D$62+Q117*'WINA Model'!$D$63+'WINA Model'!$D$73+'WINA Model'!$D$74</x:f>
        <x:v>200.39972568000002</x:v>
      </x:c>
      <x:c r="AB117" t="n">
        <x:f>H117*'WINA Model'!$E$62+R117*'WINA Model'!$E$63+'WINA Model'!$E$73+'WINA Model'!$E$74</x:f>
        <x:v>311.10441284999996</x:v>
      </x:c>
      <x:c r="AC117" t="n">
        <x:f>I117*'WINA Model'!$F$62+S117*'WINA Model'!$F$63+'WINA Model'!$F$73+'WINA Model'!$F$74</x:f>
        <x:v>482.9336021553119</x:v>
      </x:c>
      <x:c r="AD117" t="n">
        <x:f>AX117*$AC117/$AW117</x:f>
        <x:v>693.9755862971832</x:v>
      </x:c>
      <x:c r="AE117" t="n">
        <x:f>AY117*$AC117/$AW117</x:f>
        <x:v>925.7634321204422</x:v>
      </x:c>
      <x:c r="AF117" t="n">
        <x:f>AZ117*$AC117/$AW117</x:f>
        <x:v>1139.6147849402641</x:v>
      </x:c>
      <x:c r="AG117" t="n">
        <x:f>BA117*$AC117/$AW117</x:f>
        <x:v>1285.4854774126181</x:v>
      </x:c>
      <x:c r="AH117" t="n">
        <x:f>BB117*$AC117/$AW117</x:f>
        <x:v>1317.6226143479334</x:v>
      </x:c>
      <x:c r="AI117" t="n">
        <x:f>Y117*(1-'Assumptions'!$F$6)+AS117*'Assumptions'!$G$6-AS117*'WINA Model'!$B$65-(AS117-'Inputs'!$C$14)*'Assumptions'!$H$6-'Assumptions'!$I$6</x:f>
        <x:v>58.54841400000001</x:v>
      </x:c>
      <x:c r="AJ117" t="n">
        <x:f>Z117*(1-'Assumptions'!$F$6)+AT117*'Assumptions'!$G$6-AT117*'WINA Model'!$C$65-(AT117-AS117)*'Assumptions'!$H$6-0</x:f>
        <x:v>92.01155964</x:v>
      </x:c>
      <x:c r="AK117" t="n">
        <x:f>AA117*(1-'Assumptions'!$F$6)+AU117*'Assumptions'!$G$6-AU117*'WINA Model'!$D$65-(AU117-AT117)*'Assumptions'!$H$6-0</x:f>
        <x:v>144.5421850488</x:v>
      </x:c>
      <x:c r="AL117" t="n">
        <x:f>AB117*(1-'Assumptions'!$F$6)+AV117*'Assumptions'!$G$6-AV117*'WINA Model'!$E$65-(AV117-AU117)*'Assumptions'!$H$6-0</x:f>
        <x:v>225.97978098695998</x:v>
      </x:c>
      <x:c r="AM117" t="n">
        <x:f>AC117*(1-'Assumptions'!$F$6)+AW117*'Assumptions'!$G$6-AW117*'WINA Model'!$F$65-(AW117-AV117)*'Assumptions'!$H$6-0</x:f>
        <x:v>352.45491810484026</x:v>
      </x:c>
      <x:c r="AN117" t="n">
        <x:f>AD117*(1-'Assumptions'!$F$6)+AX117*'Assumptions'!$G$6-AX117*'WINA Model'!$G$65-(AX117-AW117)*'Assumptions'!$H$6-0</x:f>
        <x:v>507.5031174614091</x:v>
      </x:c>
      <x:c r="AO117" t="n">
        <x:f>AE117*(1-'Assumptions'!$F$6)+AY117*'Assumptions'!$G$6-AY117*'WINA Model'!$H$65-(AY117-AX117)*'Assumptions'!$H$6-0</x:f>
        <x:v>678.5882749164401</x:v>
      </x:c>
      <x:c r="AP117" t="n">
        <x:f>AF117*(1-'Assumptions'!$F$6)+AZ117*'Assumptions'!$G$6-AZ117*'WINA Model'!$I$65-(AZ117-AY117)*'Assumptions'!$H$6-0</x:f>
        <x:v>837.6113564344744</x:v>
      </x:c>
      <x:c r="AQ117" t="n">
        <x:f>AG117*(1-'Assumptions'!$F$6)+BA117*'Assumptions'!$G$6-BA117*'WINA Model'!$J$65-(BA117-AZ117)*'Assumptions'!$H$6-0</x:f>
        <x:v>947.8527095345446</x:v>
      </x:c>
      <x:c r="AR117" t="n">
        <x:f>AH117*(1-'Assumptions'!$F$6)+BB117*'Assumptions'!$G$6-BB117*'WINA Model'!$K$65-(BB117-BA117)*'Assumptions'!$H$6-0</x:f>
        <x:v>975.2753867284271</x:v>
      </x:c>
      <x:c r="AS117" t="n">
        <x:f>E117+O117</x:f>
        <x:v>136.29</x:v>
      </x:c>
      <x:c r="AT117" t="n">
        <x:f>F117+P117</x:f>
        <x:v>209.8866</x:v>
      </x:c>
      <x:c r="AU117" t="n">
        <x:f>G117+Q117</x:f>
        <x:v>323.225364</x:v>
      </x:c>
      <x:c r="AV117" t="n">
        <x:f>H117+R117</x:f>
        <x:v>497.76706055999995</x:v>
      </x:c>
      <x:c r="AW117" t="n">
        <x:f>I117+S117</x:f>
        <x:v>766.5612732623998</x:v>
      </x:c>
      <x:c r="AX117" t="n">
        <x:f>J117+T117</x:f>
        <x:v>1101.5485496780684</x:v>
      </x:c>
      <x:c r="AY117" t="n">
        <x:f>K117+U117</x:f>
        <x:v>1469.465765270543</x:v>
      </x:c>
      <x:c r="AZ117" t="n">
        <x:f>L117+V117</x:f>
        <x:v>1808.9123570480383</x:v>
      </x:c>
      <x:c r="BA117" t="n">
        <x:f>M117+W117</x:f>
        <x:v>2040.4531387501875</x:v>
      </x:c>
      <x:c r="BB117" t="n">
        <x:f>N117+X117</x:f>
        <x:v>2091.464467218942</x:v>
      </x:c>
      <x:c r="BC117" t="n">
        <x:f>AS117/'Inputs'!$C$14-1</x:f>
        <x:v>0.5399999999999998</x:v>
      </x:c>
      <x:c r="BD117" t="n">
        <x:f>AT117/AS117-1</x:f>
        <x:v>0.54</x:v>
      </x:c>
      <x:c r="BE117" t="n">
        <x:f>AU117/AT117-1</x:f>
        <x:v>0.5400000000000003</x:v>
      </x:c>
      <x:c r="BF117" t="n">
        <x:f>AV117/AU117-1</x:f>
        <x:v>0.5399999999999998</x:v>
      </x:c>
      <x:c r="BG117" t="n">
        <x:f>AW117/AV117-1</x:f>
        <x:v>0.5399999999999998</x:v>
      </x:c>
      <x:c r="BH117" t="n">
        <x:f>AX117/AW117-1</x:f>
        <x:v>0.43699999999999983</x:v>
      </x:c>
      <x:c r="BI117" t="n">
        <x:f>AY117/AX117-1</x:f>
        <x:v>0.33399999999999985</x:v>
      </x:c>
      <x:c r="BJ117" t="n">
        <x:f>AZ117/AY117-1</x:f>
        <x:v>0.23099999999999987</x:v>
      </x:c>
      <x:c r="BK117" t="n">
        <x:f>BA117/AZ117-1</x:f>
        <x:v>0.1280000000000001</x:v>
      </x:c>
      <x:c r="BL117" t="n">
        <x:f>BB117/BA117-1</x:f>
        <x:v>0.02499999999999991</x:v>
      </x:c>
      <x:c r="BM117" t="n">
        <x:f>AH117*(1-'Assumptions'!$F$6)*(1+'Assumptions'!$D$6)*(1-'Assumptions'!$D$6/'Assumptions'!$E$6)</x:f>
        <x:v>953.1117296786801</x:v>
      </x:c>
      <x:c r="BN117" t="n">
        <x:f>SUMPRODUCT(AI117:AR117,'WINA Model'!$B$83:$K$83)+BM117/('Assumptions'!$C$6-'Assumptions'!$D$6)*'WINA Model'!$K$83</x:f>
        <x:v>7314.043748017866</x:v>
      </x:c>
      <x:c r="BO117" t="n">
        <x:f>'WINA Model'!$B$94</x:f>
        <x:v>-42.825500000000005</x:v>
      </x:c>
      <x:c r="BP117" t="n">
        <x:f>'Inputs'!$C$8</x:f>
        <x:v>3.701516</x:v>
      </x:c>
    </x:row>
    <x:row r="118">
      <x:c r="A118" t="str">
        <x:v>WINA</x:v>
      </x:c>
      <x:c r="B118" s="22" t="n">
        <x:v>0.55</x:v>
      </x:c>
      <x:c r="C118" s="42" t="n">
        <x:f>(BN118+BO118)/BP118</x:f>
        <x:v>2054.763179850646</x:v>
      </x:c>
      <x:c r="D118" s="22" t="n">
        <x:f>C118/'Inputs'!$C$5-1</x:f>
        <x:v>5.458067007733745</x:v>
      </x:c>
      <x:c r="E118" t="n">
        <x:f>'Inputs'!$C$14*(1+$B118)^1</x:f>
        <x:v>137.175</x:v>
      </x:c>
      <x:c r="F118" t="n">
        <x:f>'Inputs'!$C$14*(1+$B118)^2</x:f>
        <x:v>212.62125000000003</x:v>
      </x:c>
      <x:c r="G118" t="n">
        <x:f>'Inputs'!$C$14*(1+$B118)^3</x:f>
        <x:v>329.56293750000003</x:v>
      </x:c>
      <x:c r="H118" t="n">
        <x:f>'Inputs'!$C$14*(1+$B118)^4</x:f>
        <x:v>510.8225531250001</x:v>
      </x:c>
      <x:c r="I118" t="n">
        <x:f>'Inputs'!$C$14*(1+$B118)^5</x:f>
        <x:v>791.7749573437502</x:v>
      </x:c>
      <x:c r="J118" t="n">
        <x:f>I118*(1+($BG118+('Assumptions'!$D$6-$BG118)*(6-5)/5))</x:f>
        <x:v>1144.1148133617191</x:v>
      </x:c>
      <x:c r="K118" t="n">
        <x:f>J118*(1+($BG118+('Assumptions'!$D$6-$BG118)*(7-5)/5))</x:f>
        <x:v>1533.1138499047038</x:v>
      </x:c>
      <x:c r="L118" t="n">
        <x:f>K118*(1+($BG118+('Assumptions'!$D$6-$BG118)*(8-5)/5))</x:f>
        <x:v>1893.395604632309</x:v>
      </x:c>
      <x:c r="M118" t="n">
        <x:f>L118*(1+($BG118+('Assumptions'!$D$6-$BG118)*(9-5)/5))</x:f>
        <x:v>2139.5370332345087</x:v>
      </x:c>
      <x:c r="N118" t="n">
        <x:f>M118*(1+($BG118+('Assumptions'!$D$6-$BG118)*(10-5)/5))</x:f>
        <x:v>2193.0254590653713</x:v>
      </x:c>
      <x:c r="O118" t="n">
        <x:f>0</x:f>
        <x:v>0</x:v>
      </x:c>
      <x:c r="P118" t="n">
        <x:f>0</x:f>
        <x:v>0</x:v>
      </x:c>
      <x:c r="Q118" t="n">
        <x:f>0</x:f>
        <x:v>0</x:v>
      </x:c>
      <x:c r="R118" t="n">
        <x:f>0</x:f>
        <x:v>0</x:v>
      </x:c>
      <x:c r="S118" t="n">
        <x:f>0</x:f>
        <x:v>0</x:v>
      </x:c>
      <x:c r="T118" t="n">
        <x:f>S118*(1+($BG118+('Assumptions'!$D$6-$BG118)*(6-5)/5))</x:f>
        <x:v>0</x:v>
      </x:c>
      <x:c r="U118" t="n">
        <x:f>T118*(1+($BG118+('Assumptions'!$D$6-$BG118)*(7-5)/5))</x:f>
        <x:v>0</x:v>
      </x:c>
      <x:c r="V118" t="n">
        <x:f>U118*(1+($BG118+('Assumptions'!$D$6-$BG118)*(8-5)/5))</x:f>
        <x:v>0</x:v>
      </x:c>
      <x:c r="W118" t="n">
        <x:f>V118*(1+($BG118+('Assumptions'!$D$6-$BG118)*(9-5)/5))</x:f>
        <x:v>0</x:v>
      </x:c>
      <x:c r="X118" t="n">
        <x:f>W118*(1+($BG118+('Assumptions'!$D$6-$BG118)*(10-5)/5))</x:f>
        <x:v>0</x:v>
      </x:c>
      <x:c r="Y118" t="n">
        <x:f>E118*'WINA Model'!$B$62+O118*'WINA Model'!$B$63+'WINA Model'!$B$73+'WINA Model'!$B$74</x:f>
        <x:v>83.67675</x:v>
      </x:c>
      <x:c r="Z118" t="n">
        <x:f>F118*'WINA Model'!$C$62+P118*'WINA Model'!$C$63+'WINA Model'!$C$73+'WINA Model'!$C$74</x:f>
        <x:v>130.76206875000003</x:v>
      </x:c>
      <x:c r="AA118" t="n">
        <x:f>G118*'WINA Model'!$D$62+Q118*'WINA Model'!$D$63+'WINA Model'!$D$73+'WINA Model'!$D$74</x:f>
        <x:v>204.32902125</x:v>
      </x:c>
      <x:c r="AB118" t="n">
        <x:f>H118*'WINA Model'!$E$62+R118*'WINA Model'!$E$63+'WINA Model'!$E$73+'WINA Model'!$E$74</x:f>
        <x:v>319.26409570312507</x:v>
      </x:c>
      <x:c r="AC118" t="n">
        <x:f>I118*'WINA Model'!$F$62+S118*'WINA Model'!$F$63+'WINA Model'!$F$73+'WINA Model'!$F$74</x:f>
        <x:v>498.81822312656266</x:v>
      </x:c>
      <x:c r="AD118" t="n">
        <x:f>AX118*$AC118/$AW118</x:f>
        <x:v>720.7923324178831</x:v>
      </x:c>
      <x:c r="AE118" t="n">
        <x:f>AY118*$AC118/$AW118</x:f>
        <x:v>965.8617254399635</x:v>
      </x:c>
      <x:c r="AF118" t="n">
        <x:f>AZ118*$AC118/$AW118</x:f>
        <x:v>1192.8392309183548</x:v>
      </x:c>
      <x:c r="AG118" t="n">
        <x:f>BA118*$AC118/$AW118</x:f>
        <x:v>1347.9083309377406</x:v>
      </x:c>
      <x:c r="AH118" t="n">
        <x:f>BB118*$AC118/$AW118</x:f>
        <x:v>1381.606039211184</x:v>
      </x:c>
      <x:c r="AI118" t="n">
        <x:f>Y118*(1-'Assumptions'!$F$6)+AS118*'Assumptions'!$G$6-AS118*'WINA Model'!$B$65-(AS118-'Inputs'!$C$14)*'Assumptions'!$H$6-'Assumptions'!$I$6</x:f>
        <x:v>58.91710499999999</x:v>
      </x:c>
      <x:c r="AJ118" t="n">
        <x:f>Z118*(1-'Assumptions'!$F$6)+AT118*'Assumptions'!$G$6-AT118*'WINA Model'!$C$65-(AT118-AS118)*'Assumptions'!$H$6-0</x:f>
        <x:v>93.19257975000002</x:v>
      </x:c>
      <x:c r="AK118" t="n">
        <x:f>AA118*(1-'Assumptions'!$F$6)+AU118*'Assumptions'!$G$6-AU118*'WINA Model'!$D$65-(AU118-AT118)*'Assumptions'!$H$6-0</x:f>
        <x:v>147.3486524625</x:v>
      </x:c>
      <x:c r="AL118" t="n">
        <x:f>AB118*(1-'Assumptions'!$F$6)+AV118*'Assumptions'!$G$6-AV118*'WINA Model'!$E$65-(AV118-AU118)*'Assumptions'!$H$6-0</x:f>
        <x:v>231.86400467812507</x:v>
      </x:c>
      <x:c r="AM118" t="n">
        <x:f>AC118*(1-'Assumptions'!$F$6)+AW118*'Assumptions'!$G$6-AW118*'WINA Model'!$F$65-(AW118-AV118)*'Assumptions'!$H$6-0</x:f>
        <x:v>363.98150200368764</x:v>
      </x:c>
      <x:c r="AN118" t="n">
        <x:f>AD118*(1-'Assumptions'!$F$6)+AX118*'Assumptions'!$G$6-AX118*'WINA Model'!$G$65-(AX118-AW118)*'Assumptions'!$H$6-0</x:f>
        <x:v>527.0259977568911</x:v>
      </x:c>
      <x:c r="AO118" t="n">
        <x:f>AE118*(1-'Assumptions'!$F$6)+AY118*'Assumptions'!$G$6-AY118*'WINA Model'!$H$65-(AY118-AX118)*'Assumptions'!$H$6-0</x:f>
        <x:v>707.8775644046561</x:v>
      </x:c>
      <x:c r="AP118" t="n">
        <x:f>AF118*(1-'Assumptions'!$F$6)+AZ118*'Assumptions'!$G$6-AZ118*'WINA Model'!$I$65-(AZ118-AY118)*'Assumptions'!$H$6-0</x:f>
        <x:v>876.6314331478098</x:v>
      </x:c>
      <x:c r="AQ118" t="n">
        <x:f>AG118*(1-'Assumptions'!$F$6)+BA118*'Assumptions'!$G$6-BA118*'WINA Model'!$J$65-(BA118-AZ118)*'Assumptions'!$H$6-0</x:f>
        <x:v>993.813058541825</x:v>
      </x:c>
      <x:c r="AR118" t="n">
        <x:f>AH118*(1-'Assumptions'!$F$6)+BB118*'Assumptions'!$G$6-BB118*'WINA Model'!$K$65-(BB118-BA118)*'Assumptions'!$H$6-0</x:f>
        <x:v>1022.6345157750983</x:v>
      </x:c>
      <x:c r="AS118" t="n">
        <x:f>E118+O118</x:f>
        <x:v>137.175</x:v>
      </x:c>
      <x:c r="AT118" t="n">
        <x:f>F118+P118</x:f>
        <x:v>212.62125000000003</x:v>
      </x:c>
      <x:c r="AU118" t="n">
        <x:f>G118+Q118</x:f>
        <x:v>329.56293750000003</x:v>
      </x:c>
      <x:c r="AV118" t="n">
        <x:f>H118+R118</x:f>
        <x:v>510.8225531250001</x:v>
      </x:c>
      <x:c r="AW118" t="n">
        <x:f>I118+S118</x:f>
        <x:v>791.7749573437502</x:v>
      </x:c>
      <x:c r="AX118" t="n">
        <x:f>J118+T118</x:f>
        <x:v>1144.1148133617191</x:v>
      </x:c>
      <x:c r="AY118" t="n">
        <x:f>K118+U118</x:f>
        <x:v>1533.1138499047038</x:v>
      </x:c>
      <x:c r="AZ118" t="n">
        <x:f>L118+V118</x:f>
        <x:v>1893.395604632309</x:v>
      </x:c>
      <x:c r="BA118" t="n">
        <x:f>M118+W118</x:f>
        <x:v>2139.5370332345087</x:v>
      </x:c>
      <x:c r="BB118" t="n">
        <x:f>N118+X118</x:f>
        <x:v>2193.0254590653713</x:v>
      </x:c>
      <x:c r="BC118" t="n">
        <x:f>AS118/'Inputs'!$C$14-1</x:f>
        <x:v>0.55</x:v>
      </x:c>
      <x:c r="BD118" t="n">
        <x:f>AT118/AS118-1</x:f>
        <x:v>0.55</x:v>
      </x:c>
      <x:c r="BE118" t="n">
        <x:f>AU118/AT118-1</x:f>
        <x:v>0.5499999999999998</x:v>
      </x:c>
      <x:c r="BF118" t="n">
        <x:f>AV118/AU118-1</x:f>
        <x:v>0.5500000000000003</x:v>
      </x:c>
      <x:c r="BG118" t="n">
        <x:f>AW118/AV118-1</x:f>
        <x:v>0.55</x:v>
      </x:c>
      <x:c r="BH118" t="n">
        <x:f>AX118/AW118-1</x:f>
        <x:v>0.44500000000000006</x:v>
      </x:c>
      <x:c r="BI118" t="n">
        <x:f>AY118/AX118-1</x:f>
        <x:v>0.3400000000000001</x:v>
      </x:c>
      <x:c r="BJ118" t="n">
        <x:f>AZ118/AY118-1</x:f>
        <x:v>0.23499999999999988</x:v>
      </x:c>
      <x:c r="BK118" t="n">
        <x:f>BA118/AZ118-1</x:f>
        <x:v>0.1299999999999999</x:v>
      </x:c>
      <x:c r="BL118" t="n">
        <x:f>BB118/BA118-1</x:f>
        <x:v>0.02499999999999991</x:v>
      </x:c>
      <x:c r="BM118" t="n">
        <x:f>AH118*(1-'Assumptions'!$F$6)*(1+'Assumptions'!$D$6)*(1-'Assumptions'!$D$6/'Assumptions'!$E$6)</x:f>
        <x:v>999.3945970779757</x:v>
      </x:c>
      <x:c r="BN118" t="n">
        <x:f>SUMPRODUCT(AI118:AR118,'WINA Model'!$B$83:$K$83)+BM118/('Assumptions'!$C$6-'Assumptions'!$D$6)*'WINA Model'!$K$83</x:f>
        <x:v>7648.564286428043</x:v>
      </x:c>
      <x:c r="BO118" t="n">
        <x:f>'WINA Model'!$B$94</x:f>
        <x:v>-42.825500000000005</x:v>
      </x:c>
      <x:c r="BP118" t="n">
        <x:f>'Inputs'!$C$8</x:f>
        <x:v>3.701516</x:v>
      </x:c>
    </x:row>
    <x:row r="119">
      <x:c r="A119" t="str">
        <x:v>WINA</x:v>
      </x:c>
      <x:c r="B119" s="22" t="n">
        <x:v>0.56</x:v>
      </x:c>
      <x:c r="C119" s="42" t="n">
        <x:f>(BN119+BO119)/BP119</x:f>
        <x:v>2148.815895138514</x:v>
      </x:c>
      <x:c r="D119" s="22" t="n">
        <x:f>C119/'Inputs'!$C$5-1</x:f>
        <x:v>5.753672235404073</x:v>
      </x:c>
      <x:c r="E119" t="n">
        <x:f>'Inputs'!$C$14*(1+$B119)^1</x:f>
        <x:v>138.06</x:v>
      </x:c>
      <x:c r="F119" t="n">
        <x:f>'Inputs'!$C$14*(1+$B119)^2</x:f>
        <x:v>215.3736</x:v>
      </x:c>
      <x:c r="G119" t="n">
        <x:f>'Inputs'!$C$14*(1+$B119)^3</x:f>
        <x:v>335.982816</x:v>
      </x:c>
      <x:c r="H119" t="n">
        <x:f>'Inputs'!$C$14*(1+$B119)^4</x:f>
        <x:v>524.1331929600001</x:v>
      </x:c>
      <x:c r="I119" t="n">
        <x:f>'Inputs'!$C$14*(1+$B119)^5</x:f>
        <x:v>817.6477810176002</x:v>
      </x:c>
      <x:c r="J119" t="n">
        <x:f>I119*(1+($BG119+('Assumptions'!$D$6-$BG119)*(6-5)/5))</x:f>
        <x:v>1188.0422258185731</x:v>
      </x:c>
      <x:c r="K119" t="n">
        <x:f>J119*(1+($BG119+('Assumptions'!$D$6-$BG119)*(7-5)/5))</x:f>
        <x:v>1599.1048359517995</x:v>
      </x:c>
      <x:c r="L119" t="n">
        <x:f>K119*(1+($BG119+('Assumptions'!$D$6-$BG119)*(8-5)/5))</x:f>
        <x:v>1981.2908917442796</x:v>
      </x:c>
      <x:c r="M119" t="n">
        <x:f>L119*(1+($BG119+('Assumptions'!$D$6-$BG119)*(9-5)/5))</x:f>
        <x:v>2242.821289454525</x:v>
      </x:c>
      <x:c r="N119" t="n">
        <x:f>M119*(1+($BG119+('Assumptions'!$D$6-$BG119)*(10-5)/5))</x:f>
        <x:v>2298.891821690888</x:v>
      </x:c>
      <x:c r="O119" t="n">
        <x:f>0</x:f>
        <x:v>0</x:v>
      </x:c>
      <x:c r="P119" t="n">
        <x:f>0</x:f>
        <x:v>0</x:v>
      </x:c>
      <x:c r="Q119" t="n">
        <x:f>0</x:f>
        <x:v>0</x:v>
      </x:c>
      <x:c r="R119" t="n">
        <x:f>0</x:f>
        <x:v>0</x:v>
      </x:c>
      <x:c r="S119" t="n">
        <x:f>0</x:f>
        <x:v>0</x:v>
      </x:c>
      <x:c r="T119" t="n">
        <x:f>S119*(1+($BG119+('Assumptions'!$D$6-$BG119)*(6-5)/5))</x:f>
        <x:v>0</x:v>
      </x:c>
      <x:c r="U119" t="n">
        <x:f>T119*(1+($BG119+('Assumptions'!$D$6-$BG119)*(7-5)/5))</x:f>
        <x:v>0</x:v>
      </x:c>
      <x:c r="V119" t="n">
        <x:f>U119*(1+($BG119+('Assumptions'!$D$6-$BG119)*(8-5)/5))</x:f>
        <x:v>0</x:v>
      </x:c>
      <x:c r="W119" t="n">
        <x:f>V119*(1+($BG119+('Assumptions'!$D$6-$BG119)*(9-5)/5))</x:f>
        <x:v>0</x:v>
      </x:c>
      <x:c r="X119" t="n">
        <x:f>W119*(1+($BG119+('Assumptions'!$D$6-$BG119)*(10-5)/5))</x:f>
        <x:v>0</x:v>
      </x:c>
      <x:c r="Y119" t="n">
        <x:f>E119*'WINA Model'!$B$62+O119*'WINA Model'!$B$63+'WINA Model'!$B$73+'WINA Model'!$B$74</x:f>
        <x:v>84.2166</x:v>
      </x:c>
      <x:c r="Z119" t="n">
        <x:f>F119*'WINA Model'!$C$62+P119*'WINA Model'!$C$63+'WINA Model'!$C$73+'WINA Model'!$C$74</x:f>
        <x:v>132.454764</x:v>
      </x:c>
      <x:c r="AA119" t="n">
        <x:f>G119*'WINA Model'!$D$62+Q119*'WINA Model'!$D$63+'WINA Model'!$D$73+'WINA Model'!$D$74</x:f>
        <x:v>208.30934592</x:v>
      </x:c>
      <x:c r="AB119" t="n">
        <x:f>H119*'WINA Model'!$E$62+R119*'WINA Model'!$E$63+'WINA Model'!$E$73+'WINA Model'!$E$74</x:f>
        <x:v>327.58324560000005</x:v>
      </x:c>
      <x:c r="AC119" t="n">
        <x:f>I119*'WINA Model'!$F$62+S119*'WINA Model'!$F$63+'WINA Model'!$F$73+'WINA Model'!$F$74</x:f>
        <x:v>515.1181020410882</x:v>
      </x:c>
      <x:c r="AD119" t="n">
        <x:f>AX119*$AC119/$AW119</x:f>
        <x:v>748.466602265701</x:v>
      </x:c>
      <x:c r="AE119" t="n">
        <x:f>AY119*$AC119/$AW119</x:f>
        <x:v>1007.4360466496337</x:v>
      </x:c>
      <x:c r="AF119" t="n">
        <x:f>AZ119*$AC119/$AW119</x:f>
        <x:v>1248.2132617988962</x:v>
      </x:c>
      <x:c r="AG119" t="n">
        <x:f>BA119*$AC119/$AW119</x:f>
        <x:v>1412.977412356351</x:v>
      </x:c>
      <x:c r="AH119" t="n">
        <x:f>BB119*$AC119/$AW119</x:f>
        <x:v>1448.3018476652594</x:v>
      </x:c>
      <x:c r="AI119" t="n">
        <x:f>Y119*(1-'Assumptions'!$F$6)+AS119*'Assumptions'!$G$6-AS119*'WINA Model'!$B$65-(AS119-'Inputs'!$C$14)*'Assumptions'!$H$6-'Assumptions'!$I$6</x:f>
        <x:v>59.285796</x:v>
      </x:c>
      <x:c r="AJ119" t="n">
        <x:f>Z119*(1-'Assumptions'!$F$6)+AT119*'Assumptions'!$G$6-AT119*'WINA Model'!$C$65-(AT119-AS119)*'Assumptions'!$H$6-0</x:f>
        <x:v>94.38112944000001</x:v>
      </x:c>
      <x:c r="AK119" t="n">
        <x:f>AA119*(1-'Assumptions'!$F$6)+AU119*'Assumptions'!$G$6-AU119*'WINA Model'!$D$65-(AU119-AT119)*'Assumptions'!$H$6-0</x:f>
        <x:v>150.19121070720004</x:v>
      </x:c>
      <x:c r="AL119" t="n">
        <x:f>AB119*(1-'Assumptions'!$F$6)+AV119*'Assumptions'!$G$6-AV119*'WINA Model'!$E$65-(AV119-AU119)*'Assumptions'!$H$6-0</x:f>
        <x:v>237.86239441536006</x:v>
      </x:c>
      <x:c r="AM119" t="n">
        <x:f>AC119*(1-'Assumptions'!$F$6)+AW119*'Assumptions'!$G$6-AW119*'WINA Model'!$F$65-(AW119-AV119)*'Assumptions'!$H$6-0</x:f>
        <x:v>375.8076924178638</x:v>
      </x:c>
      <x:c r="AN119" t="n">
        <x:f>AD119*(1-'Assumptions'!$F$6)+AX119*'Assumptions'!$G$6-AX119*'WINA Model'!$G$65-(AX119-AW119)*'Assumptions'!$H$6-0</x:f>
        <x:v>547.1702221160905</x:v>
      </x:c>
      <x:c r="AO119" t="n">
        <x:f>AE119*(1-'Assumptions'!$F$6)+AY119*'Assumptions'!$G$6-AY119*'WINA Model'!$H$65-(AY119-AX119)*'Assumptions'!$H$6-0</x:f>
        <x:v>738.2408852196355</x:v>
      </x:c>
      <x:c r="AP119" t="n">
        <x:f>AF119*(1-'Assumptions'!$F$6)+AZ119*'Assumptions'!$G$6-AZ119*'WINA Model'!$I$65-(AZ119-AY119)*'Assumptions'!$H$6-0</x:f>
        <x:v>917.22286715038</x:v>
      </x:c>
      <x:c r="AQ119" t="n">
        <x:f>AG119*(1-'Assumptions'!$F$6)+BA119*'Assumptions'!$G$6-BA119*'WINA Model'!$J$65-(BA119-AZ119)*'Assumptions'!$H$6-0</x:f>
        <x:v>1041.7183699631673</x:v>
      </x:c>
      <x:c r="AR119" t="n">
        <x:f>AH119*(1-'Assumptions'!$F$6)+BB119*'Assumptions'!$G$6-BB119*'WINA Model'!$K$65-(BB119-BA119)*'Assumptions'!$H$6-0</x:f>
        <x:v>1072.001291720579</x:v>
      </x:c>
      <x:c r="AS119" t="n">
        <x:f>E119+O119</x:f>
        <x:v>138.06</x:v>
      </x:c>
      <x:c r="AT119" t="n">
        <x:f>F119+P119</x:f>
        <x:v>215.3736</x:v>
      </x:c>
      <x:c r="AU119" t="n">
        <x:f>G119+Q119</x:f>
        <x:v>335.982816</x:v>
      </x:c>
      <x:c r="AV119" t="n">
        <x:f>H119+R119</x:f>
        <x:v>524.1331929600001</x:v>
      </x:c>
      <x:c r="AW119" t="n">
        <x:f>I119+S119</x:f>
        <x:v>817.6477810176002</x:v>
      </x:c>
      <x:c r="AX119" t="n">
        <x:f>J119+T119</x:f>
        <x:v>1188.0422258185731</x:v>
      </x:c>
      <x:c r="AY119" t="n">
        <x:f>K119+U119</x:f>
        <x:v>1599.1048359517995</x:v>
      </x:c>
      <x:c r="AZ119" t="n">
        <x:f>L119+V119</x:f>
        <x:v>1981.2908917442796</x:v>
      </x:c>
      <x:c r="BA119" t="n">
        <x:f>M119+W119</x:f>
        <x:v>2242.821289454525</x:v>
      </x:c>
      <x:c r="BB119" t="n">
        <x:f>N119+X119</x:f>
        <x:v>2298.891821690888</x:v>
      </x:c>
      <x:c r="BC119" t="n">
        <x:f>AS119/'Inputs'!$C$14-1</x:f>
        <x:v>0.56</x:v>
      </x:c>
      <x:c r="BD119" t="n">
        <x:f>AT119/AS119-1</x:f>
        <x:v>0.56</x:v>
      </x:c>
      <x:c r="BE119" t="n">
        <x:f>AU119/AT119-1</x:f>
        <x:v>0.56</x:v>
      </x:c>
      <x:c r="BF119" t="n">
        <x:f>AV119/AU119-1</x:f>
        <x:v>0.5600000000000003</x:v>
      </x:c>
      <x:c r="BG119" t="n">
        <x:f>AW119/AV119-1</x:f>
        <x:v>0.56</x:v>
      </x:c>
      <x:c r="BH119" t="n">
        <x:f>AX119/AW119-1</x:f>
        <x:v>0.45300000000000007</x:v>
      </x:c>
      <x:c r="BI119" t="n">
        <x:f>AY119/AX119-1</x:f>
        <x:v>0.3460000000000001</x:v>
      </x:c>
      <x:c r="BJ119" t="n">
        <x:f>AZ119/AY119-1</x:f>
        <x:v>0.2390000000000001</x:v>
      </x:c>
      <x:c r="BK119" t="n">
        <x:f>BA119/AZ119-1</x:f>
        <x:v>0.13200000000000012</x:v>
      </x:c>
      <x:c r="BL119" t="n">
        <x:f>BB119/BA119-1</x:f>
        <x:v>0.02499999999999991</x:v>
      </x:c>
      <x:c r="BM119" t="n">
        <x:f>AH119*(1-'Assumptions'!$F$6)*(1+'Assumptions'!$D$6)*(1-'Assumptions'!$D$6/'Assumptions'!$E$6)</x:f>
        <x:v>1047.6394865218629</x:v>
      </x:c>
      <x:c r="BN119" t="n">
        <x:f>SUMPRODUCT(AI119:AR119,'WINA Model'!$B$83:$K$83)+BM119/('Assumptions'!$C$6-'Assumptions'!$D$6)*'WINA Model'!$K$83</x:f>
        <x:v>7996.701916909531</x:v>
      </x:c>
      <x:c r="BO119" t="n">
        <x:f>'WINA Model'!$B$94</x:f>
        <x:v>-42.825500000000005</x:v>
      </x:c>
      <x:c r="BP119" t="n">
        <x:f>'Inputs'!$C$8</x:f>
        <x:v>3.701516</x:v>
      </x:c>
    </x:row>
    <x:row r="120">
      <x:c r="A120" t="str">
        <x:v>WINA</x:v>
      </x:c>
      <x:c r="B120" s="22" t="n">
        <x:v>0.57</x:v>
      </x:c>
      <x:c r="C120" s="42" t="n">
        <x:f>(BN120+BO120)/BP120</x:f>
        <x:v>2246.677152721106</x:v>
      </x:c>
      <x:c r="D120" s="22" t="n">
        <x:f>C120/'Inputs'!$C$5-1</x:f>
        <x:v>6.061247612034779</x:v>
      </x:c>
      <x:c r="E120" t="n">
        <x:f>'Inputs'!$C$14*(1+$B120)^1</x:f>
        <x:v>138.945</x:v>
      </x:c>
      <x:c r="F120" t="n">
        <x:f>'Inputs'!$C$14*(1+$B120)^2</x:f>
        <x:v>218.14364999999998</x:v>
      </x:c>
      <x:c r="G120" t="n">
        <x:f>'Inputs'!$C$14*(1+$B120)^3</x:f>
        <x:v>342.4855304999999</x:v>
      </x:c>
      <x:c r="H120" t="n">
        <x:f>'Inputs'!$C$14*(1+$B120)^4</x:f>
        <x:v>537.7022828849998</x:v>
      </x:c>
      <x:c r="I120" t="n">
        <x:f>'Inputs'!$C$14*(1+$B120)^5</x:f>
        <x:v>844.1925841294498</x:v>
      </x:c>
      <x:c r="J120" t="n">
        <x:f>I120*(1+($BG120+('Assumptions'!$D$6-$BG120)*(6-5)/5))</x:f>
        <x:v>1233.3653654131263</x:v>
      </x:c>
      <x:c r="K120" t="n">
        <x:f>J120*(1+($BG120+('Assumptions'!$D$6-$BG120)*(7-5)/5))</x:f>
        <x:v>1667.5099740385467</x:v>
      </x:c>
      <x:c r="L120" t="n">
        <x:f>K120*(1+($BG120+('Assumptions'!$D$6-$BG120)*(8-5)/5))</x:f>
        <x:v>2072.7148977299134</x:v>
      </x:c>
      <x:c r="M120" t="n">
        <x:f>L120*(1+($BG120+('Assumptions'!$D$6-$BG120)*(9-5)/5))</x:f>
        <x:v>2350.458694025722</x:v>
      </x:c>
      <x:c r="N120" t="n">
        <x:f>M120*(1+($BG120+('Assumptions'!$D$6-$BG120)*(10-5)/5))</x:f>
        <x:v>2409.2201613763646</x:v>
      </x:c>
      <x:c r="O120" t="n">
        <x:f>0</x:f>
        <x:v>0</x:v>
      </x:c>
      <x:c r="P120" t="n">
        <x:f>0</x:f>
        <x:v>0</x:v>
      </x:c>
      <x:c r="Q120" t="n">
        <x:f>0</x:f>
        <x:v>0</x:v>
      </x:c>
      <x:c r="R120" t="n">
        <x:f>0</x:f>
        <x:v>0</x:v>
      </x:c>
      <x:c r="S120" t="n">
        <x:f>0</x:f>
        <x:v>0</x:v>
      </x:c>
      <x:c r="T120" t="n">
        <x:f>S120*(1+($BG120+('Assumptions'!$D$6-$BG120)*(6-5)/5))</x:f>
        <x:v>0</x:v>
      </x:c>
      <x:c r="U120" t="n">
        <x:f>T120*(1+($BG120+('Assumptions'!$D$6-$BG120)*(7-5)/5))</x:f>
        <x:v>0</x:v>
      </x:c>
      <x:c r="V120" t="n">
        <x:f>U120*(1+($BG120+('Assumptions'!$D$6-$BG120)*(8-5)/5))</x:f>
        <x:v>0</x:v>
      </x:c>
      <x:c r="W120" t="n">
        <x:f>V120*(1+($BG120+('Assumptions'!$D$6-$BG120)*(9-5)/5))</x:f>
        <x:v>0</x:v>
      </x:c>
      <x:c r="X120" t="n">
        <x:f>W120*(1+($BG120+('Assumptions'!$D$6-$BG120)*(10-5)/5))</x:f>
        <x:v>0</x:v>
      </x:c>
      <x:c r="Y120" t="n">
        <x:f>E120*'WINA Model'!$B$62+O120*'WINA Model'!$B$63+'WINA Model'!$B$73+'WINA Model'!$B$74</x:f>
        <x:v>84.75645</x:v>
      </x:c>
      <x:c r="Z120" t="n">
        <x:f>F120*'WINA Model'!$C$62+P120*'WINA Model'!$C$63+'WINA Model'!$C$73+'WINA Model'!$C$74</x:f>
        <x:v>134.15834475</x:v>
      </x:c>
      <x:c r="AA120" t="n">
        <x:f>G120*'WINA Model'!$D$62+Q120*'WINA Model'!$D$63+'WINA Model'!$D$73+'WINA Model'!$D$74</x:f>
        <x:v>212.34102890999995</x:v>
      </x:c>
      <x:c r="AB120" t="n">
        <x:f>H120*'WINA Model'!$E$62+R120*'WINA Model'!$E$63+'WINA Model'!$E$73+'WINA Model'!$E$74</x:f>
        <x:v>336.0639268031249</x:v>
      </x:c>
      <x:c r="AC120" t="n">
        <x:f>I120*'WINA Model'!$F$62+S120*'WINA Model'!$F$63+'WINA Model'!$F$73+'WINA Model'!$F$74</x:f>
        <x:v>531.8413280015534</x:v>
      </x:c>
      <x:c r="AD120" t="n">
        <x:f>AX120*$AC120/$AW120</x:f>
        <x:v>777.0201802102696</x:v>
      </x:c>
      <x:c r="AE120" t="n">
        <x:f>AY120*$AC120/$AW120</x:f>
        <x:v>1050.5312836442845</x:v>
      </x:c>
      <x:c r="AF120" t="n">
        <x:f>AZ120*$AC120/$AW120</x:f>
        <x:v>1305.8103855698455</x:v>
      </x:c>
      <x:c r="AG120" t="n">
        <x:f>BA120*$AC120/$AW120</x:f>
        <x:v>1480.7889772362048</x:v>
      </x:c>
      <x:c r="AH120" t="n">
        <x:f>BB120*$AC120/$AW120</x:f>
        <x:v>1517.8087016671097</x:v>
      </x:c>
      <x:c r="AI120" t="n">
        <x:f>Y120*(1-'Assumptions'!$F$6)+AS120*'Assumptions'!$G$6-AS120*'WINA Model'!$B$65-(AS120-'Inputs'!$C$14)*'Assumptions'!$H$6-'Assumptions'!$I$6</x:f>
        <x:v>59.654486999999996</x:v>
      </x:c>
      <x:c r="AJ120" t="n">
        <x:f>Z120*(1-'Assumptions'!$F$6)+AT120*'Assumptions'!$G$6-AT120*'WINA Model'!$C$65-(AT120-AS120)*'Assumptions'!$H$6-0</x:f>
        <x:v>95.57720871000001</x:v>
      </x:c>
      <x:c r="AK120" t="n">
        <x:f>AA120*(1-'Assumptions'!$F$6)+AU120*'Assumptions'!$G$6-AU120*'WINA Model'!$D$65-(AU120-AT120)*'Assumptions'!$H$6-0</x:f>
        <x:v>153.07009034309996</x:v>
      </x:c>
      <x:c r="AL120" t="n">
        <x:f>AB120*(1-'Assumptions'!$F$6)+AV120*'Assumptions'!$G$6-AV120*'WINA Model'!$E$65-(AV120-AU120)*'Assumptions'!$H$6-0</x:f>
        <x:v>243.97641736228493</x:v>
      </x:c>
      <x:c r="AM120" t="n">
        <x:f>AC120*(1-'Assumptions'!$F$6)+AW120*'Assumptions'!$G$6-AW120*'WINA Model'!$F$65-(AW120-AV120)*'Assumptions'!$H$6-0</x:f>
        <x:v>387.9392922467382</x:v>
      </x:c>
      <x:c r="AN120" t="n">
        <x:f>AD120*(1-'Assumptions'!$F$6)+AX120*'Assumptions'!$G$6-AX120*'WINA Model'!$G$65-(AX120-AW120)*'Assumptions'!$H$6-0</x:f>
        <x:v>567.9514969491738</x:v>
      </x:c>
      <x:c r="AO120" t="n">
        <x:f>AE120*(1-'Assumptions'!$F$6)+AY120*'Assumptions'!$G$6-AY120*'WINA Model'!$H$65-(AY120-AX120)*'Assumptions'!$H$6-0</x:f>
        <x:v>769.7107637086852</x:v>
      </x:c>
      <x:c r="AP120" t="n">
        <x:f>AF120*(1-'Assumptions'!$F$6)+AZ120*'Assumptions'!$G$6-AZ120*'WINA Model'!$I$65-(AZ120-AY120)*'Assumptions'!$H$6-0</x:f>
        <x:v>959.4392157864963</x:v>
      </x:c>
      <x:c r="AQ120" t="n">
        <x:f>AG120*(1-'Assumptions'!$F$6)+BA120*'Assumptions'!$G$6-BA120*'WINA Model'!$J$65-(BA120-AZ120)*'Assumptions'!$H$6-0</x:f>
        <x:v>1091.6392424452908</x:v>
      </x:c>
      <x:c r="AR120" t="n">
        <x:f>AH120*(1-'Assumptions'!$F$6)+BB120*'Assumptions'!$G$6-BB120*'WINA Model'!$K$65-(BB120-BA120)*'Assumptions'!$H$6-0</x:f>
        <x:v>1123.448741983474</x:v>
      </x:c>
      <x:c r="AS120" t="n">
        <x:f>E120+O120</x:f>
        <x:v>138.945</x:v>
      </x:c>
      <x:c r="AT120" t="n">
        <x:f>F120+P120</x:f>
        <x:v>218.14364999999998</x:v>
      </x:c>
      <x:c r="AU120" t="n">
        <x:f>G120+Q120</x:f>
        <x:v>342.4855304999999</x:v>
      </x:c>
      <x:c r="AV120" t="n">
        <x:f>H120+R120</x:f>
        <x:v>537.7022828849998</x:v>
      </x:c>
      <x:c r="AW120" t="n">
        <x:f>I120+S120</x:f>
        <x:v>844.1925841294498</x:v>
      </x:c>
      <x:c r="AX120" t="n">
        <x:f>J120+T120</x:f>
        <x:v>1233.3653654131263</x:v>
      </x:c>
      <x:c r="AY120" t="n">
        <x:f>K120+U120</x:f>
        <x:v>1667.5099740385467</x:v>
      </x:c>
      <x:c r="AZ120" t="n">
        <x:f>L120+V120</x:f>
        <x:v>2072.7148977299134</x:v>
      </x:c>
      <x:c r="BA120" t="n">
        <x:f>M120+W120</x:f>
        <x:v>2350.458694025722</x:v>
      </x:c>
      <x:c r="BB120" t="n">
        <x:f>N120+X120</x:f>
        <x:v>2409.2201613763646</x:v>
      </x:c>
      <x:c r="BC120" t="n">
        <x:f>AS120/'Inputs'!$C$14-1</x:f>
        <x:v>0.5699999999999998</x:v>
      </x:c>
      <x:c r="BD120" t="n">
        <x:f>AT120/AS120-1</x:f>
        <x:v>0.5699999999999998</x:v>
      </x:c>
      <x:c r="BE120" t="n">
        <x:f>AU120/AT120-1</x:f>
        <x:v>0.5699999999999998</x:v>
      </x:c>
      <x:c r="BF120" t="n">
        <x:f>AV120/AU120-1</x:f>
        <x:v>0.5699999999999998</x:v>
      </x:c>
      <x:c r="BG120" t="n">
        <x:f>AW120/AV120-1</x:f>
        <x:v>0.5700000000000001</x:v>
      </x:c>
      <x:c r="BH120" t="n">
        <x:f>AX120/AW120-1</x:f>
        <x:v>0.4610000000000003</x:v>
      </x:c>
      <x:c r="BI120" t="n">
        <x:f>AY120/AX120-1</x:f>
        <x:v>0.3520000000000001</x:v>
      </x:c>
      <x:c r="BJ120" t="n">
        <x:f>AZ120/AY120-1</x:f>
        <x:v>0.24299999999999988</x:v>
      </x:c>
      <x:c r="BK120" t="n">
        <x:f>BA120/AZ120-1</x:f>
        <x:v>0.1339999999999999</x:v>
      </x:c>
      <x:c r="BL120" t="n">
        <x:f>BB120/BA120-1</x:f>
        <x:v>0.02499999999999991</x:v>
      </x:c>
      <x:c r="BM120" t="n">
        <x:f>AH120*(1-'Assumptions'!$F$6)*(1+'Assumptions'!$D$6)*(1-'Assumptions'!$D$6/'Assumptions'!$E$6)</x:f>
        <x:v>1097.91776584163</x:v>
      </x:c>
      <x:c r="BN120" t="n">
        <x:f>SUMPRODUCT(AI120:AR120,'WINA Model'!$B$83:$K$83)+BM120/('Assumptions'!$C$6-'Assumptions'!$D$6)*'WINA Model'!$K$83</x:f>
        <x:v>8358.936927631617</x:v>
      </x:c>
      <x:c r="BO120" t="n">
        <x:f>'WINA Model'!$B$94</x:f>
        <x:v>-42.825500000000005</x:v>
      </x:c>
      <x:c r="BP120" t="n">
        <x:f>'Inputs'!$C$8</x:f>
        <x:v>3.701516</x:v>
      </x:c>
    </x:row>
    <x:row r="121">
      <x:c r="A121" t="str">
        <x:v>WINA</x:v>
      </x:c>
      <x:c r="B121" s="22" t="n">
        <x:v>0.58</x:v>
      </x:c>
      <x:c r="C121" s="42" t="n">
        <x:f>(BN121+BO121)/BP121</x:f>
        <x:v>2348.480566852109</x:v>
      </x:c>
      <x:c r="D121" s="22" t="n">
        <x:f>C121/'Inputs'!$C$5-1</x:f>
        <x:v>6.381213083735452</x:v>
      </x:c>
      <x:c r="E121" t="n">
        <x:f>'Inputs'!$C$14*(1+$B121)^1</x:f>
        <x:v>139.83</x:v>
      </x:c>
      <x:c r="F121" t="n">
        <x:f>'Inputs'!$C$14*(1+$B121)^2</x:f>
        <x:v>220.93140000000002</x:v>
      </x:c>
      <x:c r="G121" t="n">
        <x:f>'Inputs'!$C$14*(1+$B121)^3</x:f>
        <x:v>349.0716120000001</x:v>
      </x:c>
      <x:c r="H121" t="n">
        <x:f>'Inputs'!$C$14*(1+$B121)^4</x:f>
        <x:v>551.5331469600002</x:v>
      </x:c>
      <x:c r="I121" t="n">
        <x:f>'Inputs'!$C$14*(1+$B121)^5</x:f>
        <x:v>871.4223721968003</x:v>
      </x:c>
      <x:c r="J121" t="n">
        <x:f>I121*(1+($BG121+('Assumptions'!$D$6-$BG121)*(6-5)/5))</x:f>
        <x:v>1280.1194647570996</x:v>
      </x:c>
      <x:c r="K121" t="n">
        <x:f>J121*(1+($BG121+('Assumptions'!$D$6-$BG121)*(7-5)/5))</x:f>
        <x:v>1738.4022331401413</x:v>
      </x:c>
      <x:c r="L121" t="n">
        <x:f>K121*(1+($BG121+('Assumptions'!$D$6-$BG121)*(8-5)/5))</x:f>
        <x:v>2167.7875847257565</x:v>
      </x:c>
      <x:c r="M121" t="n">
        <x:f>L121*(1+($BG121+('Assumptions'!$D$6-$BG121)*(9-5)/5))</x:f>
        <x:v>2462.6066962484597</x:v>
      </x:c>
      <x:c r="N121" t="n">
        <x:f>M121*(1+($BG121+('Assumptions'!$D$6-$BG121)*(10-5)/5))</x:f>
        <x:v>2524.171863654671</x:v>
      </x:c>
      <x:c r="O121" t="n">
        <x:f>0</x:f>
        <x:v>0</x:v>
      </x:c>
      <x:c r="P121" t="n">
        <x:f>0</x:f>
        <x:v>0</x:v>
      </x:c>
      <x:c r="Q121" t="n">
        <x:f>0</x:f>
        <x:v>0</x:v>
      </x:c>
      <x:c r="R121" t="n">
        <x:f>0</x:f>
        <x:v>0</x:v>
      </x:c>
      <x:c r="S121" t="n">
        <x:f>0</x:f>
        <x:v>0</x:v>
      </x:c>
      <x:c r="T121" t="n">
        <x:f>S121*(1+($BG121+('Assumptions'!$D$6-$BG121)*(6-5)/5))</x:f>
        <x:v>0</x:v>
      </x:c>
      <x:c r="U121" t="n">
        <x:f>T121*(1+($BG121+('Assumptions'!$D$6-$BG121)*(7-5)/5))</x:f>
        <x:v>0</x:v>
      </x:c>
      <x:c r="V121" t="n">
        <x:f>U121*(1+($BG121+('Assumptions'!$D$6-$BG121)*(8-5)/5))</x:f>
        <x:v>0</x:v>
      </x:c>
      <x:c r="W121" t="n">
        <x:f>V121*(1+($BG121+('Assumptions'!$D$6-$BG121)*(9-5)/5))</x:f>
        <x:v>0</x:v>
      </x:c>
      <x:c r="X121" t="n">
        <x:f>W121*(1+($BG121+('Assumptions'!$D$6-$BG121)*(10-5)/5))</x:f>
        <x:v>0</x:v>
      </x:c>
      <x:c r="Y121" t="n">
        <x:f>E121*'WINA Model'!$B$62+O121*'WINA Model'!$B$63+'WINA Model'!$B$73+'WINA Model'!$B$74</x:f>
        <x:v>85.2963</x:v>
      </x:c>
      <x:c r="Z121" t="n">
        <x:f>F121*'WINA Model'!$C$62+P121*'WINA Model'!$C$63+'WINA Model'!$C$73+'WINA Model'!$C$74</x:f>
        <x:v>135.872811</x:v>
      </x:c>
      <x:c r="AA121" t="n">
        <x:f>G121*'WINA Model'!$D$62+Q121*'WINA Model'!$D$63+'WINA Model'!$D$73+'WINA Model'!$D$74</x:f>
        <x:v>216.42439944000003</x:v>
      </x:c>
      <x:c r="AB121" t="n">
        <x:f>H121*'WINA Model'!$E$62+R121*'WINA Model'!$E$63+'WINA Model'!$E$73+'WINA Model'!$E$74</x:f>
        <x:v>344.7082168500001</x:v>
      </x:c>
      <x:c r="AC121" t="n">
        <x:f>I121*'WINA Model'!$F$62+S121*'WINA Model'!$F$63+'WINA Model'!$F$73+'WINA Model'!$F$74</x:f>
        <x:v>548.9960944839842</x:v>
      </x:c>
      <x:c r="AD121" t="n">
        <x:f>AX121*$AC121/$AW121</x:f>
        <x:v>806.4752627969727</x:v>
      </x:c>
      <x:c r="AE121" t="n">
        <x:f>AY121*$AC121/$AW121</x:f>
        <x:v>1095.193406878289</x:v>
      </x:c>
      <x:c r="AF121" t="n">
        <x:f>AZ121*$AC121/$AW121</x:f>
        <x:v>1365.7061783772265</x:v>
      </x:c>
      <x:c r="AG121" t="n">
        <x:f>BA121*$AC121/$AW121</x:f>
        <x:v>1551.4422186365293</x:v>
      </x:c>
      <x:c r="AH121" t="n">
        <x:f>BB121*$AC121/$AW121</x:f>
        <x:v>1590.2282741024426</x:v>
      </x:c>
      <x:c r="AI121" t="n">
        <x:f>Y121*(1-'Assumptions'!$F$6)+AS121*'Assumptions'!$G$6-AS121*'WINA Model'!$B$65-(AS121-'Inputs'!$C$14)*'Assumptions'!$H$6-'Assumptions'!$I$6</x:f>
        <x:v>60.023177999999994</x:v>
      </x:c>
      <x:c r="AJ121" t="n">
        <x:f>Z121*(1-'Assumptions'!$F$6)+AT121*'Assumptions'!$G$6-AT121*'WINA Model'!$C$65-(AT121-AS121)*'Assumptions'!$H$6-0</x:f>
        <x:v>96.78081756</x:v>
      </x:c>
      <x:c r="AK121" t="n">
        <x:f>AA121*(1-'Assumptions'!$F$6)+AU121*'Assumptions'!$G$6-AU121*'WINA Model'!$D$65-(AU121-AT121)*'Assumptions'!$H$6-0</x:f>
        <x:v>155.9855219304</x:v>
      </x:c>
      <x:c r="AL121" t="n">
        <x:f>AB121*(1-'Assumptions'!$F$6)+AV121*'Assumptions'!$G$6-AV121*'WINA Model'!$E$65-(AV121-AU121)*'Assumptions'!$H$6-0</x:f>
        <x:v>250.20755004936007</x:v>
      </x:c>
      <x:c r="AM121" t="n">
        <x:f>AC121*(1-'Assumptions'!$F$6)+AW121*'Assumptions'!$G$6-AW121*'WINA Model'!$F$65-(AW121-AV121)*'Assumptions'!$H$6-0</x:f>
        <x:v>400.3821788367303</x:v>
      </x:c>
      <x:c r="AN121" t="n">
        <x:f>AD121*(1-'Assumptions'!$F$6)+AX121*'Assumptions'!$G$6-AX121*'WINA Model'!$G$65-(AX121-AW121)*'Assumptions'!$H$6-0</x:f>
        <x:v>589.3858242974081</x:v>
      </x:c>
      <x:c r="AO121" t="n">
        <x:f>AE121*(1-'Assumptions'!$F$6)+AY121*'Assumptions'!$G$6-AY121*'WINA Model'!$H$65-(AY121-AX121)*'Assumptions'!$H$6-0</x:f>
        <x:v>802.3205070621569</x:v>
      </x:c>
      <x:c r="AP121" t="n">
        <x:f>AF121*(1-'Assumptions'!$F$6)+AZ121*'Assumptions'!$G$6-AZ121*'WINA Model'!$I$65-(AZ121-AY121)*'Assumptions'!$H$6-0</x:f>
        <x:v>1003.3355375182707</x:v>
      </x:c>
      <x:c r="AQ121" t="n">
        <x:f>AG121*(1-'Assumptions'!$F$6)+BA121*'Assumptions'!$G$6-BA121*'WINA Model'!$J$65-(BA121-AZ121)*'Assumptions'!$H$6-0</x:f>
        <x:v>1143.6484235783266</x:v>
      </x:c>
      <x:c r="AR121" t="n">
        <x:f>AH121*(1-'Assumptions'!$F$6)+BB121*'Assumptions'!$G$6-BB121*'WINA Model'!$K$65-(BB121-BA121)*'Assumptions'!$H$6-0</x:f>
        <x:v>1177.052122605876</x:v>
      </x:c>
      <x:c r="AS121" t="n">
        <x:f>E121+O121</x:f>
        <x:v>139.83</x:v>
      </x:c>
      <x:c r="AT121" t="n">
        <x:f>F121+P121</x:f>
        <x:v>220.93140000000002</x:v>
      </x:c>
      <x:c r="AU121" t="n">
        <x:f>G121+Q121</x:f>
        <x:v>349.0716120000001</x:v>
      </x:c>
      <x:c r="AV121" t="n">
        <x:f>H121+R121</x:f>
        <x:v>551.5331469600002</x:v>
      </x:c>
      <x:c r="AW121" t="n">
        <x:f>I121+S121</x:f>
        <x:v>871.4223721968003</x:v>
      </x:c>
      <x:c r="AX121" t="n">
        <x:f>J121+T121</x:f>
        <x:v>1280.1194647570996</x:v>
      </x:c>
      <x:c r="AY121" t="n">
        <x:f>K121+U121</x:f>
        <x:v>1738.4022331401413</x:v>
      </x:c>
      <x:c r="AZ121" t="n">
        <x:f>L121+V121</x:f>
        <x:v>2167.7875847257565</x:v>
      </x:c>
      <x:c r="BA121" t="n">
        <x:f>M121+W121</x:f>
        <x:v>2462.6066962484597</x:v>
      </x:c>
      <x:c r="BB121" t="n">
        <x:f>N121+X121</x:f>
        <x:v>2524.171863654671</x:v>
      </x:c>
      <x:c r="BC121" t="n">
        <x:f>AS121/'Inputs'!$C$14-1</x:f>
        <x:v>0.5800000000000001</x:v>
      </x:c>
      <x:c r="BD121" t="n">
        <x:f>AT121/AS121-1</x:f>
        <x:v>0.5800000000000001</x:v>
      </x:c>
      <x:c r="BE121" t="n">
        <x:f>AU121/AT121-1</x:f>
        <x:v>0.5800000000000001</x:v>
      </x:c>
      <x:c r="BF121" t="n">
        <x:f>AV121/AU121-1</x:f>
        <x:v>0.5800000000000003</x:v>
      </x:c>
      <x:c r="BG121" t="n">
        <x:f>AW121/AV121-1</x:f>
        <x:v>0.5800000000000001</x:v>
      </x:c>
      <x:c r="BH121" t="n">
        <x:f>AX121/AW121-1</x:f>
        <x:v>0.46899999999999986</x:v>
      </x:c>
      <x:c r="BI121" t="n">
        <x:f>AY121/AX121-1</x:f>
        <x:v>0.3580000000000001</x:v>
      </x:c>
      <x:c r="BJ121" t="n">
        <x:f>AZ121/AY121-1</x:f>
        <x:v>0.2470000000000001</x:v>
      </x:c>
      <x:c r="BK121" t="n">
        <x:f>BA121/AZ121-1</x:f>
        <x:v>0.13600000000000012</x:v>
      </x:c>
      <x:c r="BL121" t="n">
        <x:f>BB121/BA121-1</x:f>
        <x:v>0.02499999999999991</x:v>
      </x:c>
      <x:c r="BM121" t="n">
        <x:f>AH121*(1-'Assumptions'!$F$6)*(1+'Assumptions'!$D$6)*(1-'Assumptions'!$D$6/'Assumptions'!$E$6)</x:f>
        <x:v>1150.3029808453882</x:v>
      </x:c>
      <x:c r="BN121" t="n">
        <x:f>SUMPRODUCT(AI121:AR121,'WINA Model'!$B$83:$K$83)+BM121/('Assumptions'!$C$6-'Assumptions'!$D$6)*'WINA Model'!$K$83</x:f>
        <x:v>8735.763893892152</x:v>
      </x:c>
      <x:c r="BO121" t="n">
        <x:f>'WINA Model'!$B$94</x:f>
        <x:v>-42.825500000000005</x:v>
      </x:c>
      <x:c r="BP121" t="n">
        <x:f>'Inputs'!$C$8</x:f>
        <x:v>3.701516</x:v>
      </x:c>
    </x:row>
    <x:row r="122">
      <x:c r="A122" t="str">
        <x:v>WINA</x:v>
      </x:c>
      <x:c r="B122" s="22" t="n">
        <x:v>0.59</x:v>
      </x:c>
      <x:c r="C122" s="42" t="n">
        <x:f>(BN122+BO122)/BP122</x:f>
        <x:v>2454.363705321096</x:v>
      </x:c>
      <x:c r="D122" s="22" t="n">
        <x:f>C122/'Inputs'!$C$5-1</x:f>
        <x:v>6.714001022475707</x:v>
      </x:c>
      <x:c r="E122" t="n">
        <x:f>'Inputs'!$C$14*(1+$B122)^1</x:f>
        <x:v>140.71499999999997</x:v>
      </x:c>
      <x:c r="F122" t="n">
        <x:f>'Inputs'!$C$14*(1+$B122)^2</x:f>
        <x:v>223.73684999999995</x:v>
      </x:c>
      <x:c r="G122" t="n">
        <x:f>'Inputs'!$C$14*(1+$B122)^3</x:f>
        <x:v>355.74159149999986</x:v>
      </x:c>
      <x:c r="H122" t="n">
        <x:f>'Inputs'!$C$14*(1+$B122)^4</x:f>
        <x:v>565.6291304849997</x:v>
      </x:c>
      <x:c r="I122" t="n">
        <x:f>'Inputs'!$C$14*(1+$B122)^5</x:f>
        <x:v>899.3503174711494</x:v>
      </x:c>
      <x:c r="J122" t="n">
        <x:f>I122*(1+($BG122+('Assumptions'!$D$6-$BG122)*(6-5)/5))</x:f>
        <x:v>1328.3404189048877</x:v>
      </x:c>
      <x:c r="K122" t="n">
        <x:f>J122*(1+($BG122+('Assumptions'!$D$6-$BG122)*(7-5)/5))</x:f>
        <x:v>1811.8563313862667</x:v>
      </x:c>
      <x:c r="L122" t="n">
        <x:f>K122*(1+($BG122+('Assumptions'!$D$6-$BG122)*(8-5)/5))</x:f>
        <x:v>2266.632270564219</x:v>
      </x:c>
      <x:c r="M122" t="n">
        <x:f>L122*(1+($BG122+('Assumptions'!$D$6-$BG122)*(9-5)/5))</x:f>
        <x:v>2579.4275239020812</x:v>
      </x:c>
      <x:c r="N122" t="n">
        <x:f>M122*(1+($BG122+('Assumptions'!$D$6-$BG122)*(10-5)/5))</x:f>
        <x:v>2643.913211999633</x:v>
      </x:c>
      <x:c r="O122" t="n">
        <x:f>0</x:f>
        <x:v>0</x:v>
      </x:c>
      <x:c r="P122" t="n">
        <x:f>0</x:f>
        <x:v>0</x:v>
      </x:c>
      <x:c r="Q122" t="n">
        <x:f>0</x:f>
        <x:v>0</x:v>
      </x:c>
      <x:c r="R122" t="n">
        <x:f>0</x:f>
        <x:v>0</x:v>
      </x:c>
      <x:c r="S122" t="n">
        <x:f>0</x:f>
        <x:v>0</x:v>
      </x:c>
      <x:c r="T122" t="n">
        <x:f>S122*(1+($BG122+('Assumptions'!$D$6-$BG122)*(6-5)/5))</x:f>
        <x:v>0</x:v>
      </x:c>
      <x:c r="U122" t="n">
        <x:f>T122*(1+($BG122+('Assumptions'!$D$6-$BG122)*(7-5)/5))</x:f>
        <x:v>0</x:v>
      </x:c>
      <x:c r="V122" t="n">
        <x:f>U122*(1+($BG122+('Assumptions'!$D$6-$BG122)*(8-5)/5))</x:f>
        <x:v>0</x:v>
      </x:c>
      <x:c r="W122" t="n">
        <x:f>V122*(1+($BG122+('Assumptions'!$D$6-$BG122)*(9-5)/5))</x:f>
        <x:v>0</x:v>
      </x:c>
      <x:c r="X122" t="n">
        <x:f>W122*(1+($BG122+('Assumptions'!$D$6-$BG122)*(10-5)/5))</x:f>
        <x:v>0</x:v>
      </x:c>
      <x:c r="Y122" t="n">
        <x:f>E122*'WINA Model'!$B$62+O122*'WINA Model'!$B$63+'WINA Model'!$B$73+'WINA Model'!$B$74</x:f>
        <x:v>85.83614999999999</x:v>
      </x:c>
      <x:c r="Z122" t="n">
        <x:f>F122*'WINA Model'!$C$62+P122*'WINA Model'!$C$63+'WINA Model'!$C$73+'WINA Model'!$C$74</x:f>
        <x:v>137.59816274999997</x:v>
      </x:c>
      <x:c r="AA122" t="n">
        <x:f>G122*'WINA Model'!$D$62+Q122*'WINA Model'!$D$63+'WINA Model'!$D$73+'WINA Model'!$D$74</x:f>
        <x:v>220.5597867299999</x:v>
      </x:c>
      <x:c r="AB122" t="n">
        <x:f>H122*'WINA Model'!$E$62+R122*'WINA Model'!$E$63+'WINA Model'!$E$73+'WINA Model'!$E$74</x:f>
        <x:v>353.5182065531248</x:v>
      </x:c>
      <x:c r="AC122" t="n">
        <x:f>I122*'WINA Model'!$F$62+S122*'WINA Model'!$F$63+'WINA Model'!$F$73+'WINA Model'!$F$74</x:f>
        <x:v>566.5907000068241</x:v>
      </x:c>
      <x:c r="AD122" t="n">
        <x:f>AX122*$AC122/$AW122</x:f>
        <x:v>836.8544639100792</x:v>
      </x:c>
      <x:c r="AE122" t="n">
        <x:f>AY122*$AC122/$AW122</x:f>
        <x:v>1141.469488773348</x:v>
      </x:c>
      <x:c r="AF122" t="n">
        <x:f>AZ122*$AC122/$AW122</x:f>
        <x:v>1427.9783304554583</x:v>
      </x:c>
      <x:c r="AG122" t="n">
        <x:f>BA122*$AC122/$AW122</x:f>
        <x:v>1625.0393400583112</x:v>
      </x:c>
      <x:c r="AH122" t="n">
        <x:f>BB122*$AC122/$AW122</x:f>
        <x:v>1665.6653235597687</x:v>
      </x:c>
      <x:c r="AI122" t="n">
        <x:f>Y122*(1-'Assumptions'!$F$6)+AS122*'Assumptions'!$G$6-AS122*'WINA Model'!$B$65-(AS122-'Inputs'!$C$14)*'Assumptions'!$H$6-'Assumptions'!$I$6</x:f>
        <x:v>60.391869</x:v>
      </x:c>
      <x:c r="AJ122" t="n">
        <x:f>Z122*(1-'Assumptions'!$F$6)+AT122*'Assumptions'!$G$6-AT122*'WINA Model'!$C$65-(AT122-AS122)*'Assumptions'!$H$6-0</x:f>
        <x:v>97.99195598999998</x:v>
      </x:c>
      <x:c r="AK122" t="n">
        <x:f>AA122*(1-'Assumptions'!$F$6)+AU122*'Assumptions'!$G$6-AU122*'WINA Model'!$D$65-(AU122-AT122)*'Assumptions'!$H$6-0</x:f>
        <x:v>158.9377360292999</x:v>
      </x:c>
      <x:c r="AL122" t="n">
        <x:f>AB122*(1-'Assumptions'!$F$6)+AV122*'Assumptions'!$G$6-AV122*'WINA Model'!$E$65-(AV122-AU122)*'Assumptions'!$H$6-0</x:f>
        <x:v>256.55727837388486</x:v>
      </x:c>
      <x:c r="AM122" t="n">
        <x:f>AC122*(1-'Assumptions'!$F$6)+AW122*'Assumptions'!$G$6-AW122*'WINA Model'!$F$65-(AW122-AV122)*'Assumptions'!$H$6-0</x:f>
        <x:v>413.14230445580955</x:v>
      </x:c>
      <x:c r="AN122" t="n">
        <x:f>AD122*(1-'Assumptions'!$F$6)+AX122*'Assumptions'!$G$6-AX122*'WINA Model'!$G$65-(AX122-AW122)*'Assumptions'!$H$6-0</x:f>
        <x:v>611.4895055161268</x:v>
      </x:c>
      <x:c r="AO122" t="n">
        <x:f>AE122*(1-'Assumptions'!$F$6)+AY122*'Assumptions'!$G$6-AY122*'WINA Model'!$H$65-(AY122-AX122)*'Assumptions'!$H$6-0</x:f>
        <x:v>836.1042172414818</x:v>
      </x:c>
      <x:c r="AP122" t="n">
        <x:f>AF122*(1-'Assumptions'!$F$6)+AZ122*'Assumptions'!$G$6-AZ122*'WINA Model'!$I$65-(AZ122-AY122)*'Assumptions'!$H$6-0</x:f>
        <x:v>1048.9684251158187</x:v>
      </x:c>
      <x:c r="AQ122" t="n">
        <x:f>AG122*(1-'Assumptions'!$F$6)+BA122*'Assumptions'!$G$6-BA122*'WINA Model'!$J$65-(BA122-AZ122)*'Assumptions'!$H$6-0</x:f>
        <x:v>1197.820863090734</x:v>
      </x:c>
      <x:c r="AR122" t="n">
        <x:f>AH122*(1-'Assumptions'!$F$6)+BB122*'Assumptions'!$G$6-BB122*'WINA Model'!$K$65-(BB122-BA122)*'Assumptions'!$H$6-0</x:f>
        <x:v>1232.8889735994776</x:v>
      </x:c>
      <x:c r="AS122" t="n">
        <x:f>E122+O122</x:f>
        <x:v>140.71499999999997</x:v>
      </x:c>
      <x:c r="AT122" t="n">
        <x:f>F122+P122</x:f>
        <x:v>223.73684999999995</x:v>
      </x:c>
      <x:c r="AU122" t="n">
        <x:f>G122+Q122</x:f>
        <x:v>355.74159149999986</x:v>
      </x:c>
      <x:c r="AV122" t="n">
        <x:f>H122+R122</x:f>
        <x:v>565.6291304849997</x:v>
      </x:c>
      <x:c r="AW122" t="n">
        <x:f>I122+S122</x:f>
        <x:v>899.3503174711494</x:v>
      </x:c>
      <x:c r="AX122" t="n">
        <x:f>J122+T122</x:f>
        <x:v>1328.3404189048877</x:v>
      </x:c>
      <x:c r="AY122" t="n">
        <x:f>K122+U122</x:f>
        <x:v>1811.8563313862667</x:v>
      </x:c>
      <x:c r="AZ122" t="n">
        <x:f>L122+V122</x:f>
        <x:v>2266.632270564219</x:v>
      </x:c>
      <x:c r="BA122" t="n">
        <x:f>M122+W122</x:f>
        <x:v>2579.4275239020812</x:v>
      </x:c>
      <x:c r="BB122" t="n">
        <x:f>N122+X122</x:f>
        <x:v>2643.913211999633</x:v>
      </x:c>
      <x:c r="BC122" t="n">
        <x:f>AS122/'Inputs'!$C$14-1</x:f>
        <x:v>0.5899999999999996</x:v>
      </x:c>
      <x:c r="BD122" t="n">
        <x:f>AT122/AS122-1</x:f>
        <x:v>0.5899999999999999</x:v>
      </x:c>
      <x:c r="BE122" t="n">
        <x:f>AU122/AT122-1</x:f>
        <x:v>0.5899999999999996</x:v>
      </x:c>
      <x:c r="BF122" t="n">
        <x:f>AV122/AU122-1</x:f>
        <x:v>0.5899999999999996</x:v>
      </x:c>
      <x:c r="BG122" t="n">
        <x:f>AW122/AV122-1</x:f>
        <x:v>0.5899999999999999</x:v>
      </x:c>
      <x:c r="BH122" t="n">
        <x:f>AX122/AW122-1</x:f>
        <x:v>0.47699999999999987</x:v>
      </x:c>
      <x:c r="BI122" t="n">
        <x:f>AY122/AX122-1</x:f>
        <x:v>0.3639999999999999</x:v>
      </x:c>
      <x:c r="BJ122" t="n">
        <x:f>AZ122/AY122-1</x:f>
        <x:v>0.25099999999999967</x:v>
      </x:c>
      <x:c r="BK122" t="n">
        <x:f>BA122/AZ122-1</x:f>
        <x:v>0.1379999999999999</x:v>
      </x:c>
      <x:c r="BL122" t="n">
        <x:f>BB122/BA122-1</x:f>
        <x:v>0.02499999999999991</x:v>
      </x:c>
      <x:c r="BM122" t="n">
        <x:f>AH122*(1-'Assumptions'!$F$6)*(1+'Assumptions'!$D$6)*(1-'Assumptions'!$D$6/'Assumptions'!$E$6)</x:f>
        <x:v>1204.8709094064127</x:v>
      </x:c>
      <x:c r="BN122" t="n">
        <x:f>SUMPRODUCT(AI122:AR122,'WINA Model'!$B$83:$K$83)+BM122/('Assumptions'!$C$6-'Assumptions'!$D$6)*'WINA Model'!$K$83</x:f>
        <x:v>9127.692025065322</x:v>
      </x:c>
      <x:c r="BO122" t="n">
        <x:f>'WINA Model'!$B$94</x:f>
        <x:v>-42.825500000000005</x:v>
      </x:c>
      <x:c r="BP122" t="n">
        <x:f>'Inputs'!$C$8</x:f>
        <x:v>3.701516</x:v>
      </x:c>
    </x:row>
    <x:row r="123">
      <x:c r="A123" t="str">
        <x:v>WINA</x:v>
      </x:c>
      <x:c r="B123" s="22" t="n">
        <x:v>0.6</x:v>
      </x:c>
      <x:c r="C123" s="42" t="n">
        <x:f>(BN123+BO123)/BP123</x:f>
        <x:v>2564.4681849612352</x:v>
      </x:c>
      <x:c r="D123" s="22" t="n">
        <x:f>C123/'Inputs'!$C$5-1</x:f>
        <x:v>7.060056526263429</x:v>
      </x:c>
      <x:c r="E123" t="n">
        <x:f>'Inputs'!$C$14*(1+$B123)^1</x:f>
        <x:v>141.6</x:v>
      </x:c>
      <x:c r="F123" t="n">
        <x:f>'Inputs'!$C$14*(1+$B123)^2</x:f>
        <x:v>226.56000000000003</x:v>
      </x:c>
      <x:c r="G123" t="n">
        <x:f>'Inputs'!$C$14*(1+$B123)^3</x:f>
        <x:v>362.4960000000001</x:v>
      </x:c>
      <x:c r="H123" t="n">
        <x:f>'Inputs'!$C$14*(1+$B123)^4</x:f>
        <x:v>579.9936000000002</x:v>
      </x:c>
      <x:c r="I123" t="n">
        <x:f>'Inputs'!$C$14*(1+$B123)^5</x:f>
        <x:v>927.9897600000005</x:v>
      </x:c>
      <x:c r="J123" t="n">
        <x:f>I123*(1+($BG123+('Assumptions'!$D$6-$BG123)*(6-5)/5))</x:f>
        <x:v>1378.064793600001</x:v>
      </x:c>
      <x:c r="K123" t="n">
        <x:f>J123*(1+($BG123+('Assumptions'!$D$6-$BG123)*(7-5)/5))</x:f>
        <x:v>1887.9487672320015</x:v>
      </x:c>
      <x:c r="L123" t="n">
        <x:f>K123*(1+($BG123+('Assumptions'!$D$6-$BG123)*(8-5)/5))</x:f>
        <x:v>2369.375702876162</x:v>
      </x:c>
      <x:c r="M123" t="n">
        <x:f>L123*(1+($BG123+('Assumptions'!$D$6-$BG123)*(9-5)/5))</x:f>
        <x:v>2701.088301278825</x:v>
      </x:c>
      <x:c r="N123" t="n">
        <x:f>M123*(1+($BG123+('Assumptions'!$D$6-$BG123)*(10-5)/5))</x:f>
        <x:v>2768.6155088107953</x:v>
      </x:c>
      <x:c r="O123" t="n">
        <x:f>0</x:f>
        <x:v>0</x:v>
      </x:c>
      <x:c r="P123" t="n">
        <x:f>0</x:f>
        <x:v>0</x:v>
      </x:c>
      <x:c r="Q123" t="n">
        <x:f>0</x:f>
        <x:v>0</x:v>
      </x:c>
      <x:c r="R123" t="n">
        <x:f>0</x:f>
        <x:v>0</x:v>
      </x:c>
      <x:c r="S123" t="n">
        <x:f>0</x:f>
        <x:v>0</x:v>
      </x:c>
      <x:c r="T123" t="n">
        <x:f>S123*(1+($BG123+('Assumptions'!$D$6-$BG123)*(6-5)/5))</x:f>
        <x:v>0</x:v>
      </x:c>
      <x:c r="U123" t="n">
        <x:f>T123*(1+($BG123+('Assumptions'!$D$6-$BG123)*(7-5)/5))</x:f>
        <x:v>0</x:v>
      </x:c>
      <x:c r="V123" t="n">
        <x:f>U123*(1+($BG123+('Assumptions'!$D$6-$BG123)*(8-5)/5))</x:f>
        <x:v>0</x:v>
      </x:c>
      <x:c r="W123" t="n">
        <x:f>V123*(1+($BG123+('Assumptions'!$D$6-$BG123)*(9-5)/5))</x:f>
        <x:v>0</x:v>
      </x:c>
      <x:c r="X123" t="n">
        <x:f>W123*(1+($BG123+('Assumptions'!$D$6-$BG123)*(10-5)/5))</x:f>
        <x:v>0</x:v>
      </x:c>
      <x:c r="Y123" t="n">
        <x:f>E123*'WINA Model'!$B$62+O123*'WINA Model'!$B$63+'WINA Model'!$B$73+'WINA Model'!$B$74</x:f>
        <x:v>86.37599999999999</x:v>
      </x:c>
      <x:c r="Z123" t="n">
        <x:f>F123*'WINA Model'!$C$62+P123*'WINA Model'!$C$63+'WINA Model'!$C$73+'WINA Model'!$C$74</x:f>
        <x:v>139.33440000000002</x:v>
      </x:c>
      <x:c r="AA123" t="n">
        <x:f>G123*'WINA Model'!$D$62+Q123*'WINA Model'!$D$63+'WINA Model'!$D$73+'WINA Model'!$D$74</x:f>
        <x:v>224.74752000000007</x:v>
      </x:c>
      <x:c r="AB123" t="n">
        <x:f>H123*'WINA Model'!$E$62+R123*'WINA Model'!$E$63+'WINA Model'!$E$73+'WINA Model'!$E$74</x:f>
        <x:v>362.49600000000015</x:v>
      </x:c>
      <x:c r="AC123" t="n">
        <x:f>I123*'WINA Model'!$F$62+S123*'WINA Model'!$F$63+'WINA Model'!$F$73+'WINA Model'!$F$74</x:f>
        <x:v>584.6335488000003</x:v>
      </x:c>
      <x:c r="AD123" t="n">
        <x:f>AX123*$AC123/$AW123</x:f>
        <x:v>868.1808199680006</x:v>
      </x:c>
      <x:c r="AE123" t="n">
        <x:f>AY123*$AC123/$AW123</x:f>
        <x:v>1189.407723356161</x:v>
      </x:c>
      <x:c r="AF123" t="n">
        <x:f>AZ123*$AC123/$AW123</x:f>
        <x:v>1492.706692811982</x:v>
      </x:c>
      <x:c r="AG123" t="n">
        <x:f>BA123*$AC123/$AW123</x:f>
        <x:v>1701.6856298056596</x:v>
      </x:c>
      <x:c r="AH123" t="n">
        <x:f>BB123*$AC123/$AW123</x:f>
        <x:v>1744.227770550801</x:v>
      </x:c>
      <x:c r="AI123" t="n">
        <x:f>Y123*(1-'Assumptions'!$F$6)+AS123*'Assumptions'!$G$6-AS123*'WINA Model'!$B$65-(AS123-'Inputs'!$C$14)*'Assumptions'!$H$6-'Assumptions'!$I$6</x:f>
        <x:v>60.76056</x:v>
      </x:c>
      <x:c r="AJ123" t="n">
        <x:f>Z123*(1-'Assumptions'!$F$6)+AT123*'Assumptions'!$G$6-AT123*'WINA Model'!$C$65-(AT123-AS123)*'Assumptions'!$H$6-0</x:f>
        <x:v>99.210624</x:v>
      </x:c>
      <x:c r="AK123" t="n">
        <x:f>AA123*(1-'Assumptions'!$F$6)+AU123*'Assumptions'!$G$6-AU123*'WINA Model'!$D$65-(AU123-AT123)*'Assumptions'!$H$6-0</x:f>
        <x:v>161.92696320000007</x:v>
      </x:c>
      <x:c r="AL123" t="n">
        <x:f>AB123*(1-'Assumptions'!$F$6)+AV123*'Assumptions'!$G$6-AV123*'WINA Model'!$E$65-(AV123-AU123)*'Assumptions'!$H$6-0</x:f>
        <x:v>263.0270976000001</x:v>
      </x:c>
      <x:c r="AM123" t="n">
        <x:f>AC123*(1-'Assumptions'!$F$6)+AW123*'Assumptions'!$G$6-AW123*'WINA Model'!$F$65-(AW123-AV123)*'Assumptions'!$H$6-0</x:f>
        <x:v>426.22569676800026</x:v>
      </x:c>
      <x:c r="AN123" t="n">
        <x:f>AD123*(1-'Assumptions'!$F$6)+AX123*'Assumptions'!$G$6-AX123*'WINA Model'!$G$65-(AX123-AW123)*'Assumptions'!$H$6-0</x:f>
        <x:v>634.2791449804804</x:v>
      </x:c>
      <x:c r="AO123" t="n">
        <x:f>AE123*(1-'Assumptions'!$F$6)+AY123*'Assumptions'!$G$6-AY123*'WINA Model'!$H$65-(AY123-AX123)*'Assumptions'!$H$6-0</x:f>
        <x:v>871.0968050712582</x:v>
      </x:c>
      <x:c r="AP123" t="n">
        <x:f>AF123*(1-'Assumptions'!$F$6)+AZ123*'Assumptions'!$G$6-AZ123*'WINA Model'!$I$65-(AZ123-AY123)*'Assumptions'!$H$6-0</x:f>
        <x:v>1096.3960393897091</x:v>
      </x:c>
      <x:c r="AQ123" t="n">
        <x:f>AG123*(1-'Assumptions'!$F$6)+BA123*'Assumptions'!$G$6-BA123*'WINA Model'!$J$65-(BA123-AZ123)*'Assumptions'!$H$6-0</x:f>
        <x:v>1254.2337670689024</x:v>
      </x:c>
      <x:c r="AR123" t="n">
        <x:f>AH123*(1-'Assumptions'!$F$6)+BB123*'Assumptions'!$G$6-BB123*'WINA Model'!$K$65-(BB123-BA123)*'Assumptions'!$H$6-0</x:f>
        <x:v>1291.0391753622398</x:v>
      </x:c>
      <x:c r="AS123" t="n">
        <x:f>E123+O123</x:f>
        <x:v>141.6</x:v>
      </x:c>
      <x:c r="AT123" t="n">
        <x:f>F123+P123</x:f>
        <x:v>226.56000000000003</x:v>
      </x:c>
      <x:c r="AU123" t="n">
        <x:f>G123+Q123</x:f>
        <x:v>362.4960000000001</x:v>
      </x:c>
      <x:c r="AV123" t="n">
        <x:f>H123+R123</x:f>
        <x:v>579.9936000000002</x:v>
      </x:c>
      <x:c r="AW123" t="n">
        <x:f>I123+S123</x:f>
        <x:v>927.9897600000005</x:v>
      </x:c>
      <x:c r="AX123" t="n">
        <x:f>J123+T123</x:f>
        <x:v>1378.064793600001</x:v>
      </x:c>
      <x:c r="AY123" t="n">
        <x:f>K123+U123</x:f>
        <x:v>1887.9487672320015</x:v>
      </x:c>
      <x:c r="AZ123" t="n">
        <x:f>L123+V123</x:f>
        <x:v>2369.375702876162</x:v>
      </x:c>
      <x:c r="BA123" t="n">
        <x:f>M123+W123</x:f>
        <x:v>2701.088301278825</x:v>
      </x:c>
      <x:c r="BB123" t="n">
        <x:f>N123+X123</x:f>
        <x:v>2768.6155088107953</x:v>
      </x:c>
      <x:c r="BC123" t="n">
        <x:f>AS123/'Inputs'!$C$14-1</x:f>
        <x:v>0.5999999999999999</x:v>
      </x:c>
      <x:c r="BD123" t="n">
        <x:f>AT123/AS123-1</x:f>
        <x:v>0.6000000000000003</x:v>
      </x:c>
      <x:c r="BE123" t="n">
        <x:f>AU123/AT123-1</x:f>
        <x:v>0.6000000000000003</x:v>
      </x:c>
      <x:c r="BF123" t="n">
        <x:f>AV123/AU123-1</x:f>
        <x:v>0.6000000000000003</x:v>
      </x:c>
      <x:c r="BG123" t="n">
        <x:f>AW123/AV123-1</x:f>
        <x:v>0.6000000000000001</x:v>
      </x:c>
      <x:c r="BH123" t="n">
        <x:f>AX123/AW123-1</x:f>
        <x:v>0.4850000000000003</x:v>
      </x:c>
      <x:c r="BI123" t="n">
        <x:f>AY123/AX123-1</x:f>
        <x:v>0.3700000000000001</x:v>
      </x:c>
      <x:c r="BJ123" t="n">
        <x:f>AZ123/AY123-1</x:f>
        <x:v>0.2550000000000001</x:v>
      </x:c>
      <x:c r="BK123" t="n">
        <x:f>BA123/AZ123-1</x:f>
        <x:v>0.14000000000000012</x:v>
      </x:c>
      <x:c r="BL123" t="n">
        <x:f>BB123/BA123-1</x:f>
        <x:v>0.02499999999999991</x:v>
      </x:c>
      <x:c r="BM123" t="n">
        <x:f>AH123*(1-'Assumptions'!$F$6)*(1+'Assumptions'!$D$6)*(1-'Assumptions'!$D$6/'Assumptions'!$E$6)</x:f>
        <x:v>1261.6996165977116</x:v>
      </x:c>
      <x:c r="BN123" t="n">
        <x:f>SUMPRODUCT(AI123:AR123,'WINA Model'!$B$83:$K$83)+BM123/('Assumptions'!$C$6-'Assumptions'!$D$6)*'WINA Model'!$K$83</x:f>
        <x:v>9535.245518124972</x:v>
      </x:c>
      <x:c r="BO123" t="n">
        <x:f>'WINA Model'!$B$94</x:f>
        <x:v>-42.825500000000005</x:v>
      </x:c>
      <x:c r="BP123" t="n">
        <x:f>'Inputs'!$C$8</x:f>
        <x:v>3.701516</x:v>
      </x:c>
    </x:row>
    <x:row r="124">
      <x:c r="A124" t="str">
        <x:v>NSSC</x:v>
      </x:c>
      <x:c r="B124" s="22" t="n">
        <x:v>0</x:v>
      </x:c>
      <x:c r="C124" s="42" t="n">
        <x:f>(BN124+BO124)/BP124</x:f>
        <x:v>16.36162469976689</x:v>
      </x:c>
      <x:c r="D124" s="22" t="n">
        <x:f>C124/'Inputs'!$D$5-1</x:f>
        <x:v>-0.5579134098955176</x:v>
      </x:c>
      <x:c r="E124" t="n">
        <x:f>'Inputs'!$D$21*(1+$B124)^1</x:f>
        <x:v>97.528</x:v>
      </x:c>
      <x:c r="F124" t="n">
        <x:f>'Inputs'!$D$21*(1+$B124)^2</x:f>
        <x:v>97.528</x:v>
      </x:c>
      <x:c r="G124" t="n">
        <x:f>'Inputs'!$D$21*(1+$B124)^3</x:f>
        <x:v>97.528</x:v>
      </x:c>
      <x:c r="H124" t="n">
        <x:f>'Inputs'!$D$21*(1+$B124)^4</x:f>
        <x:v>97.528</x:v>
      </x:c>
      <x:c r="I124" t="n">
        <x:f>'Inputs'!$D$21*(1+$B124)^5</x:f>
        <x:v>97.528</x:v>
      </x:c>
      <x:c r="J124" t="n">
        <x:f>I124*(1+($BG124+('Assumptions'!$D$9-$BG124)*(6-5)/5))</x:f>
        <x:v>99.38871258318122</x:v>
      </x:c>
      <x:c r="K124" t="n">
        <x:f>J124*(1+($BG124+('Assumptions'!$D$9-$BG124)*(7-5)/5))</x:f>
        <x:v>101.55628742121104</x:v>
      </x:c>
      <x:c r="L124" t="n">
        <x:f>K124*(1+($BG124+('Assumptions'!$D$9-$BG124)*(8-5)/5))</x:f>
        <x:v>104.04841537366721</x:v>
      </x:c>
      <x:c r="M124" t="n">
        <x:f>L124*(1+($BG124+('Assumptions'!$D$9-$BG124)*(9-5)/5))</x:f>
        <x:v>106.88578321330434</x:v>
      </x:c>
      <x:c r="N124" t="n">
        <x:f>M124*(1+($BG124+('Assumptions'!$D$9-$BG124)*(10-5)/5))</x:f>
        <x:v>110.09235670970347</x:v>
      </x:c>
      <x:c r="O124" t="n">
        <x:f>'NSSC Model'!$B$68</x:f>
        <x:v>106.88376</x:v>
      </x:c>
      <x:c r="P124" t="n">
        <x:f>'NSSC Model'!$C$68</x:f>
        <x:v>110.0902728</x:v>
      </x:c>
      <x:c r="Q124" t="n">
        <x:f>'NSSC Model'!$D$68</x:f>
        <x:v>113.39298098399999</x:v>
      </x:c>
      <x:c r="R124" t="n">
        <x:f>'NSSC Model'!$E$68</x:f>
        <x:v>116.79477041352</x:v>
      </x:c>
      <x:c r="S124" t="n">
        <x:f>'NSSC Model'!$F$68</x:f>
        <x:v>120.2986135259256</x:v>
      </x:c>
      <x:c r="T124" t="n">
        <x:f>S124*(1+($BG124+('Assumptions'!$D$9-$BG124)*(6-5)/5))</x:f>
        <x:v>122.59376101102673</x:v>
      </x:c>
      <x:c r="U124" t="n">
        <x:f>T124*(1+($BG124+('Assumptions'!$D$9-$BG124)*(7-5)/5))</x:f>
        <x:v>125.26741624571493</x:v>
      </x:c>
      <x:c r="V124" t="n">
        <x:f>U124*(1+($BG124+('Assumptions'!$D$9-$BG124)*(8-5)/5))</x:f>
        <x:v>128.34140051084577</x:v>
      </x:c>
      <x:c r="W124" t="n">
        <x:f>V124*(1+($BG124+('Assumptions'!$D$9-$BG124)*(9-5)/5))</x:f>
        <x:v>131.84123047938195</x:v>
      </x:c>
      <x:c r="X124" t="n">
        <x:f>W124*(1+($BG124+('Assumptions'!$D$9-$BG124)*(10-5)/5))</x:f>
        <x:v>135.7964673937634</x:v>
      </x:c>
      <x:c r="Y124" t="n">
        <x:f>E124*'NSSC Model'!$B$62+O124*'NSSC Model'!$B$63+'NSSC Model'!$B$73+'NSSC Model'!$B$74</x:f>
        <x:v>57.926426920000004</x:v>
      </x:c>
      <x:c r="Z124" t="n">
        <x:f>F124*'NSSC Model'!$C$62+P124*'NSSC Model'!$C$63+'NSSC Model'!$C$73+'NSSC Model'!$C$74</x:f>
        <x:v>55.818671651</x:v>
      </x:c>
      <x:c r="AA124" t="n">
        <x:f>G124*'NSSC Model'!$D$62+Q124*'NSSC Model'!$D$63+'NSSC Model'!$D$73+'NSSC Model'!$D$74</x:f>
        <x:v>53.800019614825004</x:v>
      </x:c>
      <x:c r="AB124" t="n">
        <x:f>H124*'NSSC Model'!$E$62+R124*'NSSC Model'!$E$63+'NSSC Model'!$E$73+'NSSC Model'!$E$74</x:f>
        <x:v>51.064845216260395</x:v>
      </x:c>
      <x:c r="AC124" t="n">
        <x:f>I124*'NSSC Model'!$F$62+S124*'NSSC Model'!$F$63+'NSSC Model'!$F$73+'NSSC Model'!$F$74</x:f>
        <x:v>48.15372280505332</x:v>
      </x:c>
      <x:c r="AD124" t="n">
        <x:f>AX124*$AC124/$AW124</x:f>
        <x:v>49.07243576902656</x:v>
      </x:c>
      <x:c r="AE124" t="n">
        <x:f>AY124*$AC124/$AW124</x:f>
        <x:v>50.142659683283966</x:v>
      </x:c>
      <x:c r="AF124" t="n">
        <x:f>AZ124*$AC124/$AW124</x:f>
        <x:v>51.37312927783425</x:v>
      </x:c>
      <x:c r="AG124" t="n">
        <x:f>BA124*$AC124/$AW124</x:f>
        <x:v>52.77405849247886</x:v>
      </x:c>
      <x:c r="AH124" t="n">
        <x:f>BB124*$AC124/$AW124</x:f>
        <x:v>54.35728024725322</x:v>
      </x:c>
      <x:c r="AI124" t="n">
        <x:f>Y124*(1-'Assumptions'!$F$9)+AS124*'Assumptions'!$G$9-AS124*'NSSC Model'!$B$65-(AS124-'Inputs'!$D$14)*'Assumptions'!$H$9-'Assumptions'!$I$9</x:f>
        <x:v>46.472447034400005</x:v>
      </x:c>
      <x:c r="AJ124" t="n">
        <x:f>Z124*(1-'Assumptions'!$F$9)+AT124*'Assumptions'!$G$9-AT124*'NSSC Model'!$C$65-(AT124-AS124)*'Assumptions'!$H$9-0</x:f>
        <x:v>44.62018638262</x:v>
      </x:c>
      <x:c r="AK124" t="n">
        <x:f>AA124*(1-'Assumptions'!$F$9)+AU124*'Assumptions'!$G$9-AU124*'NSSC Model'!$D$65-(AU124-AT124)*'Assumptions'!$H$9-0</x:f>
        <x:v>42.94206134182051</x:v>
      </x:c>
      <x:c r="AL124" t="n">
        <x:f>AB124*(1-'Assumptions'!$F$9)+AV124*'Assumptions'!$G$9-AV124*'NSSC Model'!$E$65-(AV124-AU124)*'Assumptions'!$H$9-0</x:f>
        <x:v>40.67570305272744</x:v>
      </x:c>
      <x:c r="AM124" t="n">
        <x:f>AC124*(1-'Assumptions'!$F$9)+AW124*'Assumptions'!$G$9-AW124*'NSSC Model'!$F$65-(AW124-AV124)*'Assumptions'!$H$9-0</x:f>
        <x:v>38.26436193479946</x:v>
      </x:c>
      <x:c r="AN124" t="n">
        <x:f>AD124*(1-'Assumptions'!$F$9)+AX124*'Assumptions'!$G$9-AX124*'NSSC Model'!$G$65-(AX124-AW124)*'Assumptions'!$H$9-0</x:f>
        <x:v>38.935881429396716</x:v>
      </x:c>
      <x:c r="AO124" t="n">
        <x:f>AE124*(1-'Assumptions'!$F$9)+AY124*'Assumptions'!$G$9-AY124*'NSSC Model'!$H$65-(AY124-AX124)*'Assumptions'!$H$9-0</x:f>
        <x:v>39.72556311835335</x:v>
      </x:c>
      <x:c r="AP124" t="n">
        <x:f>AF124*(1-'Assumptions'!$F$9)+AZ124*'Assumptions'!$G$9-AZ124*'NSSC Model'!$I$65-(AZ124-AY124)*'Assumptions'!$H$9-0</x:f>
        <x:v>40.639795522527336</x:v>
      </x:c>
      <x:c r="AQ124" t="n">
        <x:f>AG124*(1-'Assumptions'!$F$9)+BA124*'Assumptions'!$G$9-BA124*'NSSC Model'!$J$65-(BA124-AZ124)*'Assumptions'!$H$9-0</x:f>
        <x:v>41.68610012824459</x:v>
      </x:c>
      <x:c r="AR124" t="n">
        <x:f>AH124*(1-'Assumptions'!$F$9)+BB124*'Assumptions'!$G$9-BB124*'NSSC Model'!$K$65-(BB124-BA124)*'Assumptions'!$H$9-0</x:f>
        <x:v>42.87323346525572</x:v>
      </x:c>
      <x:c r="AS124" t="n">
        <x:f>E124+O124</x:f>
        <x:v>204.41176000000002</x:v>
      </x:c>
      <x:c r="AT124" t="n">
        <x:f>F124+P124</x:f>
        <x:v>207.6182728</x:v>
      </x:c>
      <x:c r="AU124" t="n">
        <x:f>G124+Q124</x:f>
        <x:v>210.92098098399998</x:v>
      </x:c>
      <x:c r="AV124" t="n">
        <x:f>H124+R124</x:f>
        <x:v>214.32277041352</x:v>
      </x:c>
      <x:c r="AW124" t="n">
        <x:f>I124+S124</x:f>
        <x:v>217.8266135259256</x:v>
      </x:c>
      <x:c r="AX124" t="n">
        <x:f>J124+T124</x:f>
        <x:v>221.98247359420793</x:v>
      </x:c>
      <x:c r="AY124" t="n">
        <x:f>K124+U124</x:f>
        <x:v>226.82370366692595</x:v>
      </x:c>
      <x:c r="AZ124" t="n">
        <x:f>L124+V124</x:f>
        <x:v>232.38981588451298</x:v>
      </x:c>
      <x:c r="BA124" t="n">
        <x:f>M124+W124</x:f>
        <x:v>238.72701369268628</x:v>
      </x:c>
      <x:c r="BB124" t="n">
        <x:f>N124+X124</x:f>
        <x:v>245.88882410346687</x:v>
      </x:c>
      <x:c r="BC124" t="n">
        <x:f>AS124/'Inputs'!$D$14-1</x:f>
        <x:v>0.010358844579766435</x:v>
      </x:c>
      <x:c r="BD124" t="n">
        <x:f>AT124/AS124-1</x:f>
        <x:v>0.01568653779997775</x:v>
      </x:c>
      <x:c r="BE124" t="n">
        <x:f>AU124/AT124-1</x:f>
        <x:v>0.015907598784339783</x:v>
      </x:c>
      <x:c r="BF124" t="n">
        <x:f>AV124/AU124-1</x:f>
        <x:v>0.016128264782620638</x:v>
      </x:c>
      <x:c r="BG124" t="n">
        <x:f>AW124/AV124-1</x:f>
        <x:v>0.016348440744980985</x:v>
      </x:c>
      <x:c r="BH124" t="n">
        <x:f>AX124/AW124-1</x:f>
        <x:v>0.019078752595984794</x:v>
      </x:c>
      <x:c r="BI124" t="n">
        <x:f>AY124/AX124-1</x:f>
        <x:v>0.021809064446988602</x:v>
      </x:c>
      <x:c r="BJ124" t="n">
        <x:f>AZ124/AY124-1</x:f>
        <x:v>0.02453937629799241</x:v>
      </x:c>
      <x:c r="BK124" t="n">
        <x:f>BA124/AZ124-1</x:f>
        <x:v>0.02726968814899622</x:v>
      </x:c>
      <x:c r="BL124" t="n">
        <x:f>BB124/BA124-1</x:f>
        <x:v>0.030000000000000027</x:v>
      </x:c>
      <x:c r="BM124" t="n">
        <x:f>AH124*(1-'Assumptions'!$F$9)*(1+'Assumptions'!$D$9)*(1-'Assumptions'!$D$9/'Assumptions'!$E$9)</x:f>
        <x:v>41.31914300714707</x:v>
      </x:c>
      <x:c r="BN124" t="n">
        <x:f>SUMPRODUCT(AI124:AR124,'NSSC Model'!$B$83:$K$83)+BM124/('Assumptions'!$C$9-'Assumptions'!$D$9)*'NSSC Model'!$K$83</x:f>
        <x:v>486.0350720993333</x:v>
      </x:c>
      <x:c r="BO124" t="n">
        <x:f>'NSSC Model'!$B$94</x:f>
        <x:v>101.2</x:v>
      </x:c>
      <x:c r="BP124" t="n">
        <x:f>'Inputs'!$D$8</x:f>
        <x:v>35.891</x:v>
      </x:c>
    </x:row>
    <x:row r="125">
      <x:c r="A125" t="str">
        <x:v>NSSC</x:v>
      </x:c>
      <x:c r="B125" s="22" t="n">
        <x:v>0.01</x:v>
      </x:c>
      <x:c r="C125" s="42" t="n">
        <x:f>(BN125+BO125)/BP125</x:f>
        <x:v>17.489532133875453</x:v>
      </x:c>
      <x:c r="D125" s="22" t="n">
        <x:f>C125/'Inputs'!$D$5-1</x:f>
        <x:v>-0.5274376618785341</x:v>
      </x:c>
      <x:c r="E125" t="n">
        <x:f>'Inputs'!$D$21*(1+$B125)^1</x:f>
        <x:v>98.50328</x:v>
      </x:c>
      <x:c r="F125" t="n">
        <x:f>'Inputs'!$D$21*(1+$B125)^2</x:f>
        <x:v>99.4883128</x:v>
      </x:c>
      <x:c r="G125" t="n">
        <x:f>'Inputs'!$D$21*(1+$B125)^3</x:f>
        <x:v>100.483195928</x:v>
      </x:c>
      <x:c r="H125" t="n">
        <x:f>'Inputs'!$D$21*(1+$B125)^4</x:f>
        <x:v>101.48802788728001</x:v>
      </x:c>
      <x:c r="I125" t="n">
        <x:f>'Inputs'!$D$21*(1+$B125)^5</x:f>
        <x:v>102.50290816615279</x:v>
      </x:c>
      <x:c r="J125" t="n">
        <x:f>I125*(1+($BG125+('Assumptions'!$D$9-$BG125)*(6-5)/5))</x:f>
        <x:v>104.81547500487736</x:v>
      </x:c>
      <x:c r="K125" t="n">
        <x:f>J125*(1+($BG125+('Assumptions'!$D$9-$BG125)*(7-5)/5))</x:f>
        <x:v>107.37514654026356</x:v>
      </x:c>
      <x:c r="L125" t="n">
        <x:f>K125*(1+($BG125+('Assumptions'!$D$9-$BG125)*(8-5)/5))</x:f>
        <x:v>110.19701841246835</x:v>
      </x:c>
      <x:c r="M125" t="n">
        <x:f>L125*(1+($BG125+('Assumptions'!$D$9-$BG125)*(9-5)/5))</x:f>
        <x:v>113.29798971786924</x:v>
      </x:c>
      <x:c r="N125" t="n">
        <x:f>M125*(1+($BG125+('Assumptions'!$D$9-$BG125)*(10-5)/5))</x:f>
        <x:v>116.69692940940533</x:v>
      </x:c>
      <x:c r="O125" t="n">
        <x:f>'NSSC Model'!$B$68</x:f>
        <x:v>106.88376</x:v>
      </x:c>
      <x:c r="P125" t="n">
        <x:f>'NSSC Model'!$C$68</x:f>
        <x:v>110.0902728</x:v>
      </x:c>
      <x:c r="Q125" t="n">
        <x:f>'NSSC Model'!$D$68</x:f>
        <x:v>113.39298098399999</x:v>
      </x:c>
      <x:c r="R125" t="n">
        <x:f>'NSSC Model'!$E$68</x:f>
        <x:v>116.79477041352</x:v>
      </x:c>
      <x:c r="S125" t="n">
        <x:f>'NSSC Model'!$F$68</x:f>
        <x:v>120.2986135259256</x:v>
      </x:c>
      <x:c r="T125" t="n">
        <x:f>S125*(1+($BG125+('Assumptions'!$D$9-$BG125)*(6-5)/5))</x:f>
        <x:v>123.01266905236636</x:v>
      </x:c>
      <x:c r="U125" t="n">
        <x:f>T125*(1+($BG125+('Assumptions'!$D$9-$BG125)*(7-5)/5))</x:f>
        <x:v>126.01672954487067</x:v>
      </x:c>
      <x:c r="V125" t="n">
        <x:f>U125*(1+($BG125+('Assumptions'!$D$9-$BG125)*(8-5)/5))</x:f>
        <x:v>129.3285114235251</x:v>
      </x:c>
      <x:c r="W125" t="n">
        <x:f>V125*(1+($BG125+('Assumptions'!$D$9-$BG125)*(9-5)/5))</x:f>
        <x:v>132.96784766575854</x:v>
      </x:c>
      <x:c r="X125" t="n">
        <x:f>W125*(1+($BG125+('Assumptions'!$D$9-$BG125)*(10-5)/5))</x:f>
        <x:v>136.9568830957313</x:v>
      </x:c>
      <x:c r="Y125" t="n">
        <x:f>E125*'NSSC Model'!$B$62+O125*'NSSC Model'!$B$63+'NSSC Model'!$B$73+'NSSC Model'!$B$74</x:f>
        <x:v>58.80710476000001</x:v>
      </x:c>
      <x:c r="Z125" t="n">
        <x:f>F125*'NSSC Model'!$C$62+P125*'NSSC Model'!$C$63+'NSSC Model'!$C$73+'NSSC Model'!$C$74</x:f>
        <x:v>57.58883410940001</x:v>
      </x:c>
      <x:c r="AA125" t="n">
        <x:f>G125*'NSSC Model'!$D$62+Q125*'NSSC Model'!$D$63+'NSSC Model'!$D$73+'NSSC Model'!$D$74</x:f>
        <x:v>56.46856153780901</x:v>
      </x:c>
      <x:c r="AB125" t="n">
        <x:f>H125*'NSSC Model'!$E$62+R125*'NSSC Model'!$E$63+'NSSC Model'!$E$73+'NSSC Model'!$E$74</x:f>
        <x:v>54.640750398474225</x:v>
      </x:c>
      <x:c r="AC125" t="n">
        <x:f>I125*'NSSC Model'!$F$62+S125*'NSSC Model'!$F$63+'NSSC Model'!$F$73+'NSSC Model'!$F$74</x:f>
        <x:v>52.646064879089295</x:v>
      </x:c>
      <x:c r="AD125" t="n">
        <x:f>AX125*$AC125/$AW125</x:f>
        <x:v>53.833812095308524</x:v>
      </x:c>
      <x:c r="AE125" t="n">
        <x:f>AY125*$AC125/$AW125</x:f>
        <x:v>55.148473660838604</x:v>
      </x:c>
      <x:c r="AF125" t="n">
        <x:f>AZ125*$AC125/$AW125</x:f>
        <x:v>56.597802780591586</x:v>
      </x:c>
      <x:c r="AG125" t="n">
        <x:f>BA125*$AC125/$AW125</x:f>
        <x:v>58.190478924645</x:v>
      </x:c>
      <x:c r="AH125" t="n">
        <x:f>BB125*$AC125/$AW125</x:f>
        <x:v>59.93619329238435</x:v>
      </x:c>
      <x:c r="AI125" t="n">
        <x:f>Y125*(1-'Assumptions'!$F$9)+AS125*'Assumptions'!$G$9-AS125*'NSSC Model'!$B$65-(AS125-'Inputs'!$D$14)*'Assumptions'!$H$9-'Assumptions'!$I$9</x:f>
        <x:v>47.09317374320001</x:v>
      </x:c>
      <x:c r="AJ125" t="n">
        <x:f>Z125*(1-'Assumptions'!$F$9)+AT125*'Assumptions'!$G$9-AT125*'NSSC Model'!$C$65-(AT125-AS125)*'Assumptions'!$H$9-0</x:f>
        <x:v>45.96537506730802</x:v>
      </x:c>
      <x:c r="AK125" t="n">
        <x:f>AA125*(1-'Assumptions'!$F$9)+AU125*'Assumptions'!$G$9-AU125*'NSSC Model'!$D$65-(AU125-AT125)*'Assumptions'!$H$9-0</x:f>
        <x:v>45.018956622155386</x:v>
      </x:c>
      <x:c r="AL125" t="n">
        <x:f>AB125*(1-'Assumptions'!$F$9)+AV125*'Assumptions'!$G$9-AV125*'NSSC Model'!$E$65-(AV125-AU125)*'Assumptions'!$H$9-0</x:f>
        <x:v>43.491621994665664</x:v>
      </x:c>
      <x:c r="AM125" t="n">
        <x:f>AC125*(1-'Assumptions'!$F$9)+AW125*'Assumptions'!$G$9-AW125*'NSSC Model'!$F$65-(AW125-AV125)*'Assumptions'!$H$9-0</x:f>
        <x:v>41.826694774957076</x:v>
      </x:c>
      <x:c r="AN125" t="n">
        <x:f>AD125*(1-'Assumptions'!$F$9)+AX125*'Assumptions'!$G$9-AX125*'NSSC Model'!$G$65-(AX125-AW125)*'Assumptions'!$H$9-0</x:f>
        <x:v>42.72975110540749</x:v>
      </x:c>
      <x:c r="AO125" t="n">
        <x:f>AE125*(1-'Assumptions'!$F$9)+AY125*'Assumptions'!$G$9-AY125*'NSSC Model'!$H$65-(AY125-AX125)*'Assumptions'!$H$9-0</x:f>
        <x:v>43.73180769475807</x:v>
      </x:c>
      <x:c r="AP125" t="n">
        <x:f>AF125*(1-'Assumptions'!$F$9)+AZ125*'Assumptions'!$G$9-AZ125*'NSSC Model'!$I$65-(AZ125-AY125)*'Assumptions'!$H$9-0</x:f>
        <x:v>44.838730785655216</x:v>
      </x:c>
      <x:c r="AQ125" t="n">
        <x:f>AG125*(1-'Assumptions'!$F$9)+BA125*'Assumptions'!$G$9-BA125*'NSSC Model'!$J$65-(BA125-AZ125)*'Assumptions'!$H$9-0</x:f>
        <x:v>46.05709861391096</x:v>
      </x:c>
      <x:c r="AR125" t="n">
        <x:f>AH125*(1-'Assumptions'!$F$9)+BB125*'Assumptions'!$G$9-BB125*'NSSC Model'!$K$65-(BB125-BA125)*'Assumptions'!$H$9-0</x:f>
        <x:v>47.394265737583744</x:v>
      </x:c>
      <x:c r="AS125" t="n">
        <x:f>E125+O125</x:f>
        <x:v>205.38704</x:v>
      </x:c>
      <x:c r="AT125" t="n">
        <x:f>F125+P125</x:f>
        <x:v>209.5785856</x:v>
      </x:c>
      <x:c r="AU125" t="n">
        <x:f>G125+Q125</x:f>
        <x:v>213.876176912</x:v>
      </x:c>
      <x:c r="AV125" t="n">
        <x:f>H125+R125</x:f>
        <x:v>218.2827983008</x:v>
      </x:c>
      <x:c r="AW125" t="n">
        <x:f>I125+S125</x:f>
        <x:v>222.80152169207838</x:v>
      </x:c>
      <x:c r="AX125" t="n">
        <x:f>J125+T125</x:f>
        <x:v>227.82814405724372</x:v>
      </x:c>
      <x:c r="AY125" t="n">
        <x:f>K125+U125</x:f>
        <x:v>233.39187608513424</x:v>
      </x:c>
      <x:c r="AZ125" t="n">
        <x:f>L125+V125</x:f>
        <x:v>239.52552983599344</x:v>
      </x:c>
      <x:c r="BA125" t="n">
        <x:f>M125+W125</x:f>
        <x:v>246.2658373836278</x:v>
      </x:c>
      <x:c r="BB125" t="n">
        <x:f>N125+X125</x:f>
        <x:v>253.65381250513664</x:v>
      </x:c>
      <x:c r="BC125" t="n">
        <x:f>AS125/'Inputs'!$D$14-1</x:f>
        <x:v>0.015179422289883115</x:v>
      </x:c>
      <x:c r="BD125" t="n">
        <x:f>AT125/AS125-1</x:f>
        <x:v>0.02040803353512466</x:v>
      </x:c>
      <x:c r="BE125" t="n">
        <x:f>AU125/AT125-1</x:f>
        <x:v>0.020505870386024805</x:v>
      </x:c>
      <x:c r="BF125" t="n">
        <x:f>AV125/AU125-1</x:f>
        <x:v>0.020603610240392145</x:v>
      </x:c>
      <x:c r="BG125" t="n">
        <x:f>AW125/AV125-1</x:f>
        <x:v>0.020701234483220476</x:v>
      </x:c>
      <x:c r="BH125" t="n">
        <x:f>AX125/AW125-1</x:f>
        <x:v>0.02256098758657643</x:v>
      </x:c>
      <x:c r="BI125" t="n">
        <x:f>AY125/AX125-1</x:f>
        <x:v>0.024420740689932385</x:v>
      </x:c>
      <x:c r="BJ125" t="n">
        <x:f>AZ125/AY125-1</x:f>
        <x:v>0.026280493793287896</x:v>
      </x:c>
      <x:c r="BK125" t="n">
        <x:f>BA125/AZ125-1</x:f>
        <x:v>0.028140246896644072</x:v>
      </x:c>
      <x:c r="BL125" t="n">
        <x:f>BB125/BA125-1</x:f>
        <x:v>0.030000000000000027</x:v>
      </x:c>
      <x:c r="BM125" t="n">
        <x:f>AH125*(1-'Assumptions'!$F$9)*(1+'Assumptions'!$D$9)*(1-'Assumptions'!$D$9/'Assumptions'!$E$9)</x:f>
        <x:v>45.559897969273045</x:v>
      </x:c>
      <x:c r="BN125" t="n">
        <x:f>SUMPRODUCT(AI125:AR125,'NSSC Model'!$B$83:$K$83)+BM125/('Assumptions'!$C$9-'Assumptions'!$D$9)*'NSSC Model'!$K$83</x:f>
        <x:v>526.5167978169238</x:v>
      </x:c>
      <x:c r="BO125" t="n">
        <x:f>'NSSC Model'!$B$94</x:f>
        <x:v>101.2</x:v>
      </x:c>
      <x:c r="BP125" t="n">
        <x:f>'Inputs'!$D$8</x:f>
        <x:v>35.891</x:v>
      </x:c>
    </x:row>
    <x:row r="126">
      <x:c r="A126" t="str">
        <x:v>NSSC</x:v>
      </x:c>
      <x:c r="B126" s="22" t="n">
        <x:v>0.02</x:v>
      </x:c>
      <x:c r="C126" s="42" t="n">
        <x:f>(BN126+BO126)/BP126</x:f>
        <x:v>18.67492507277607</x:v>
      </x:c>
      <x:c r="D126" s="22" t="n">
        <x:f>C126/'Inputs'!$D$5-1</x:f>
        <x:v>-0.49540867136514266</x:v>
      </x:c>
      <x:c r="E126" t="n">
        <x:f>'Inputs'!$D$21*(1+$B126)^1</x:f>
        <x:v>99.47856</x:v>
      </x:c>
      <x:c r="F126" t="n">
        <x:f>'Inputs'!$D$21*(1+$B126)^2</x:f>
        <x:v>101.4681312</x:v>
      </x:c>
      <x:c r="G126" t="n">
        <x:f>'Inputs'!$D$21*(1+$B126)^3</x:f>
        <x:v>103.497493824</x:v>
      </x:c>
      <x:c r="H126" t="n">
        <x:f>'Inputs'!$D$21*(1+$B126)^4</x:f>
        <x:v>105.56744370048</x:v>
      </x:c>
      <x:c r="I126" t="n">
        <x:f>'Inputs'!$D$21*(1+$B126)^5</x:f>
        <x:v>107.6787925744896</x:v>
      </x:c>
      <x:c r="J126" t="n">
        <x:f>I126*(1+($BG126+('Assumptions'!$D$9-$BG126)*(6-5)/5))</x:f>
        <x:v>110.5001884911321</x:v>
      </x:c>
      <x:c r="K126" t="n">
        <x:f>J126*(1+($BG126+('Assumptions'!$D$9-$BG126)*(7-5)/5))</x:f>
        <x:v>113.50043142935212</x:v>
      </x:c>
      <x:c r="L126" t="n">
        <x:f>K126*(1+($BG126+('Assumptions'!$D$9-$BG126)*(8-5)/5))</x:f>
        <x:v>116.68990504685513</x:v>
      </x:c>
      <x:c r="M126" t="n">
        <x:f>L126*(1+($BG126+('Assumptions'!$D$9-$BG126)*(9-5)/5))</x:f>
        <x:v>120.0798041021856</x:v>
      </x:c>
      <x:c r="N126" t="n">
        <x:f>M126*(1+($BG126+('Assumptions'!$D$9-$BG126)*(10-5)/5))</x:f>
        <x:v>123.68219822525117</x:v>
      </x:c>
      <x:c r="O126" t="n">
        <x:f>'NSSC Model'!$B$68</x:f>
        <x:v>106.88376</x:v>
      </x:c>
      <x:c r="P126" t="n">
        <x:f>'NSSC Model'!$C$68</x:f>
        <x:v>110.0902728</x:v>
      </x:c>
      <x:c r="Q126" t="n">
        <x:f>'NSSC Model'!$D$68</x:f>
        <x:v>113.39298098399999</x:v>
      </x:c>
      <x:c r="R126" t="n">
        <x:f>'NSSC Model'!$E$68</x:f>
        <x:v>116.79477041352</x:v>
      </x:c>
      <x:c r="S126" t="n">
        <x:f>'NSSC Model'!$F$68</x:f>
        <x:v>120.2986135259256</x:v>
      </x:c>
      <x:c r="T126" t="n">
        <x:f>S126*(1+($BG126+('Assumptions'!$D$9-$BG126)*(6-5)/5))</x:f>
        <x:v>123.45067354503296</x:v>
      </x:c>
      <x:c r="U126" t="n">
        <x:f>T126*(1+($BG126+('Assumptions'!$D$9-$BG126)*(7-5)/5))</x:f>
        <x:v>126.80254123484882</x:v>
      </x:c>
      <x:c r="V126" t="n">
        <x:f>U126*(1+($BG126+('Assumptions'!$D$9-$BG126)*(8-5)/5))</x:f>
        <x:v>130.36581720488445</x:v>
      </x:c>
      <x:c r="W126" t="n">
        <x:f>V126*(1+($BG126+('Assumptions'!$D$9-$BG126)*(9-5)/5))</x:f>
        <x:v>134.1530082255025</x:v>
      </x:c>
      <x:c r="X126" t="n">
        <x:f>W126*(1+($BG126+('Assumptions'!$D$9-$BG126)*(10-5)/5))</x:f>
        <x:v>138.1775984722676</x:v>
      </x:c>
      <x:c r="Y126" t="n">
        <x:f>E126*'NSSC Model'!$B$62+O126*'NSSC Model'!$B$63+'NSSC Model'!$B$73+'NSSC Model'!$B$74</x:f>
        <x:v>59.6877826</x:v>
      </x:c>
      <x:c r="Z126" t="n">
        <x:f>F126*'NSSC Model'!$C$62+P126*'NSSC Model'!$C$63+'NSSC Model'!$C$73+'NSSC Model'!$C$74</x:f>
        <x:v>59.376610124600006</x:v>
      </x:c>
      <x:c r="AA126" t="n">
        <x:f>G126*'NSSC Model'!$D$62+Q126*'NSSC Model'!$D$63+'NSSC Model'!$D$73+'NSSC Model'!$D$74</x:f>
        <x:v>59.19047253789701</x:v>
      </x:c>
      <x:c r="AB126" t="n">
        <x:f>H126*'NSSC Model'!$E$62+R126*'NSSC Model'!$E$63+'NSSC Model'!$E$73+'NSSC Model'!$E$74</x:f>
        <x:v>58.324462877793835</x:v>
      </x:c>
      <x:c r="AC126" t="n">
        <x:f>I126*'NSSC Model'!$F$62+S126*'NSSC Model'!$F$63+'NSSC Model'!$F$73+'NSSC Model'!$F$74</x:f>
        <x:v>57.31988849981744</x:v>
      </x:c>
      <x:c r="AD126" t="n">
        <x:f>AX126*$AC126/$AW126</x:f>
        <x:v>58.82178219205878</x:v>
      </x:c>
      <x:c r="AE126" t="n">
        <x:f>AY126*$AC126/$AW126</x:f>
        <x:v>60.418880251754864</x:v>
      </x:c>
      <x:c r="AF126" t="n">
        <x:f>AZ126*$AC126/$AW126</x:f>
        <x:v>62.11671013782004</x:v>
      </x:c>
      <x:c r="AG126" t="n">
        <x:f>BA126*$AC126/$AW126</x:f>
        <x:v>63.92123107672973</x:v>
      </x:c>
      <x:c r="AH126" t="n">
        <x:f>BB126*$AC126/$AW126</x:f>
        <x:v>65.83886800903161</x:v>
      </x:c>
      <x:c r="AI126" t="n">
        <x:f>Y126*(1-'Assumptions'!$F$9)+AS126*'Assumptions'!$G$9-AS126*'NSSC Model'!$B$65-(AS126-'Inputs'!$D$14)*'Assumptions'!$H$9-'Assumptions'!$I$9</x:f>
        <x:v>47.713900452000004</x:v>
      </x:c>
      <x:c r="AJ126" t="n">
        <x:f>Z126*(1-'Assumptions'!$F$9)+AT126*'Assumptions'!$G$9-AT126*'NSSC Model'!$C$65-(AT126-AS126)*'Assumptions'!$H$9-0</x:f>
        <x:v>47.32297828617201</x:v>
      </x:c>
      <x:c r="AK126" t="n">
        <x:f>AA126*(1-'Assumptions'!$F$9)+AU126*'Assumptions'!$G$9-AU126*'NSSC Model'!$D$65-(AU126-AT126)*'Assumptions'!$H$9-0</x:f>
        <x:v>47.13541850104355</x:v>
      </x:c>
      <x:c r="AL126" t="n">
        <x:f>AB126*(1-'Assumptions'!$F$9)+AV126*'Assumptions'!$G$9-AV126*'NSSC Model'!$E$65-(AV126-AU126)*'Assumptions'!$H$9-0</x:f>
        <x:v>46.38943677273495</x:v>
      </x:c>
      <x:c r="AM126" t="n">
        <x:f>AC126*(1-'Assumptions'!$F$9)+AW126*'Assumptions'!$G$9-AW126*'NSSC Model'!$F$65-(AW126-AV126)*'Assumptions'!$H$9-0</x:f>
        <x:v>45.52887974680712</x:v>
      </x:c>
      <x:c r="AN126" t="n">
        <x:f>AD126*(1-'Assumptions'!$F$9)+AX126*'Assumptions'!$G$9-AX126*'NSSC Model'!$G$65-(AX126-AW126)*'Assumptions'!$H$9-0</x:f>
        <x:v>46.70071235576855</x:v>
      </x:c>
      <x:c r="AO126" t="n">
        <x:f>AE126*(1-'Assumptions'!$F$9)+AY126*'Assumptions'!$G$9-AY126*'NSSC Model'!$H$65-(AY126-AX126)*'Assumptions'!$H$9-0</x:f>
        <x:v>47.9470588529786</x:v>
      </x:c>
      <x:c r="AP126" t="n">
        <x:f>AF126*(1-'Assumptions'!$F$9)+AZ126*'Assumptions'!$G$9-AZ126*'NSSC Model'!$I$65-(AZ126-AY126)*'Assumptions'!$H$9-0</x:f>
        <x:v>49.27220446525162</x:v>
      </x:c>
      <x:c r="AQ126" t="n">
        <x:f>AG126*(1-'Assumptions'!$F$9)+BA126*'Assumptions'!$G$9-BA126*'NSSC Model'!$J$65-(BA126-AZ126)*'Assumptions'!$H$9-0</x:f>
        <x:v>50.68076922601278</x:v>
      </x:c>
      <x:c r="AR126" t="n">
        <x:f>AH126*(1-'Assumptions'!$F$9)+BB126*'Assumptions'!$G$9-BB126*'NSSC Model'!$K$65-(BB126-BA126)*'Assumptions'!$H$9-0</x:f>
        <x:v>52.1777341436328</x:v>
      </x:c>
      <x:c r="AS126" t="n">
        <x:f>E126+O126</x:f>
        <x:v>206.36232</x:v>
      </x:c>
      <x:c r="AT126" t="n">
        <x:f>F126+P126</x:f>
        <x:v>211.558404</x:v>
      </x:c>
      <x:c r="AU126" t="n">
        <x:f>G126+Q126</x:f>
        <x:v>216.890474808</x:v>
      </x:c>
      <x:c r="AV126" t="n">
        <x:f>H126+R126</x:f>
        <x:v>222.36221411399998</x:v>
      </x:c>
      <x:c r="AW126" t="n">
        <x:f>I126+S126</x:f>
        <x:v>227.9774061004152</x:v>
      </x:c>
      <x:c r="AX126" t="n">
        <x:f>J126+T126</x:f>
        <x:v>233.95086203616506</x:v>
      </x:c>
      <x:c r="AY126" t="n">
        <x:f>K126+U126</x:f>
        <x:v>240.30297266420092</x:v>
      </x:c>
      <x:c r="AZ126" t="n">
        <x:f>L126+V126</x:f>
        <x:v>247.05572225173958</x:v>
      </x:c>
      <x:c r="BA126" t="n">
        <x:f>M126+W126</x:f>
        <x:v>254.23281232768812</x:v>
      </x:c>
      <x:c r="BB126" t="n">
        <x:f>N126+X126</x:f>
        <x:v>261.85979669751873</x:v>
      </x:c>
      <x:c r="BC126" t="n">
        <x:f>AS126/'Inputs'!$D$14-1</x:f>
        <x:v>0.020000000000000018</x:v>
      </x:c>
      <x:c r="BD126" t="n">
        <x:f>AT126/AS126-1</x:f>
        <x:v>0.025179422289883124</x:v>
      </x:c>
      <x:c r="BE126" t="n">
        <x:f>AU126/AT126-1</x:f>
        <x:v>0.025203776863433003</x:v>
      </x:c>
      <x:c r="BF126" t="n">
        <x:f>AV126/AU126-1</x:f>
        <x:v>0.025228121755202837</x:v>
      </x:c>
      <x:c r="BG126" t="n">
        <x:f>AW126/AV126-1</x:f>
        <x:v>0.025252455813092656</x:v>
      </x:c>
      <x:c r="BH126" t="n">
        <x:f>AX126/AW126-1</x:f>
        <x:v>0.026201964650474086</x:v>
      </x:c>
      <x:c r="BI126" t="n">
        <x:f>AY126/AX126-1</x:f>
        <x:v>0.027151473487855515</x:v>
      </x:c>
      <x:c r="BJ126" t="n">
        <x:f>AZ126/AY126-1</x:f>
        <x:v>0.028100982325237167</x:v>
      </x:c>
      <x:c r="BK126" t="n">
        <x:f>BA126/AZ126-1</x:f>
        <x:v>0.029050491162618597</x:v>
      </x:c>
      <x:c r="BL126" t="n">
        <x:f>BB126/BA126-1</x:f>
        <x:v>0.029999999999999805</x:v>
      </x:c>
      <x:c r="BM126" t="n">
        <x:f>AH126*(1-'Assumptions'!$F$9)*(1+'Assumptions'!$D$9)*(1-'Assumptions'!$D$9/'Assumptions'!$E$9)</x:f>
        <x:v>50.046757128385295</x:v>
      </x:c>
      <x:c r="BN126" t="n">
        <x:f>SUMPRODUCT(AI126:AR126,'NSSC Model'!$B$83:$K$83)+BM126/('Assumptions'!$C$9-'Assumptions'!$D$9)*'NSSC Model'!$K$83</x:f>
        <x:v>569.0617357870058</x:v>
      </x:c>
      <x:c r="BO126" t="n">
        <x:f>'NSSC Model'!$B$94</x:f>
        <x:v>101.2</x:v>
      </x:c>
      <x:c r="BP126" t="n">
        <x:f>'Inputs'!$D$8</x:f>
        <x:v>35.891</x:v>
      </x:c>
    </x:row>
    <x:row r="127">
      <x:c r="A127" t="str">
        <x:v>NSSC</x:v>
      </x:c>
      <x:c r="B127" s="22" t="n">
        <x:v>0.03</x:v>
      </x:c>
      <x:c r="C127" s="42" t="n">
        <x:f>(BN127+BO127)/BP127</x:f>
        <x:v>19.920922167753627</x:v>
      </x:c>
      <x:c r="D127" s="22" t="n">
        <x:f>C127/'Inputs'!$D$5-1</x:f>
        <x:v>-0.46174217325712974</x:v>
      </x:c>
      <x:c r="E127" t="n">
        <x:f>'Inputs'!$D$21*(1+$B127)^1</x:f>
        <x:v>100.45384000000001</x:v>
      </x:c>
      <x:c r="F127" t="n">
        <x:f>'Inputs'!$D$21*(1+$B127)^2</x:f>
        <x:v>103.4674552</x:v>
      </x:c>
      <x:c r="G127" t="n">
        <x:f>'Inputs'!$D$21*(1+$B127)^3</x:f>
        <x:v>106.57147885600001</x:v>
      </x:c>
      <x:c r="H127" t="n">
        <x:f>'Inputs'!$D$21*(1+$B127)^4</x:f>
        <x:v>109.76862322168</x:v>
      </x:c>
      <x:c r="I127" t="n">
        <x:f>'Inputs'!$D$21*(1+$B127)^5</x:f>
        <x:v>113.0616819183304</x:v>
      </x:c>
      <x:c r="J127" t="n">
        <x:f>I127*(1+($BG127+('Assumptions'!$D$9-$BG127)*(6-5)/5))</x:f>
        <x:v>116.45353237588031</x:v>
      </x:c>
      <x:c r="K127" t="n">
        <x:f>J127*(1+($BG127+('Assumptions'!$D$9-$BG127)*(7-5)/5))</x:f>
        <x:v>119.94713834715672</x:v>
      </x:c>
      <x:c r="L127" t="n">
        <x:f>K127*(1+($BG127+('Assumptions'!$D$9-$BG127)*(8-5)/5))</x:f>
        <x:v>123.54555249757144</x:v>
      </x:c>
      <x:c r="M127" t="n">
        <x:f>L127*(1+($BG127+('Assumptions'!$D$9-$BG127)*(9-5)/5))</x:f>
        <x:v>127.25191907249858</x:v>
      </x:c>
      <x:c r="N127" t="n">
        <x:f>M127*(1+($BG127+('Assumptions'!$D$9-$BG127)*(10-5)/5))</x:f>
        <x:v>131.06947664467353</x:v>
      </x:c>
      <x:c r="O127" t="n">
        <x:f>'NSSC Model'!$B$68</x:f>
        <x:v>106.88376</x:v>
      </x:c>
      <x:c r="P127" t="n">
        <x:f>'NSSC Model'!$C$68</x:f>
        <x:v>110.0902728</x:v>
      </x:c>
      <x:c r="Q127" t="n">
        <x:f>'NSSC Model'!$D$68</x:f>
        <x:v>113.39298098399999</x:v>
      </x:c>
      <x:c r="R127" t="n">
        <x:f>'NSSC Model'!$E$68</x:f>
        <x:v>116.79477041352</x:v>
      </x:c>
      <x:c r="S127" t="n">
        <x:f>'NSSC Model'!$F$68</x:f>
        <x:v>120.2986135259256</x:v>
      </x:c>
      <x:c r="T127" t="n">
        <x:f>S127*(1+($BG127+('Assumptions'!$D$9-$BG127)*(6-5)/5))</x:f>
        <x:v>123.90757193170337</x:v>
      </x:c>
      <x:c r="U127" t="n">
        <x:f>T127*(1+($BG127+('Assumptions'!$D$9-$BG127)*(7-5)/5))</x:f>
        <x:v>127.62479908965447</x:v>
      </x:c>
      <x:c r="V127" t="n">
        <x:f>U127*(1+($BG127+('Assumptions'!$D$9-$BG127)*(8-5)/5))</x:f>
        <x:v>131.45354306234412</x:v>
      </x:c>
      <x:c r="W127" t="n">
        <x:f>V127*(1+($BG127+('Assumptions'!$D$9-$BG127)*(9-5)/5))</x:f>
        <x:v>135.39714935421446</x:v>
      </x:c>
      <x:c r="X127" t="n">
        <x:f>W127*(1+($BG127+('Assumptions'!$D$9-$BG127)*(10-5)/5))</x:f>
        <x:v>139.4590638348409</x:v>
      </x:c>
      <x:c r="Y127" t="n">
        <x:f>E127*'NSSC Model'!$B$62+O127*'NSSC Model'!$B$63+'NSSC Model'!$B$73+'NSSC Model'!$B$74</x:f>
        <x:v>60.56846044000002</x:v>
      </x:c>
      <x:c r="Z127" t="n">
        <x:f>F127*'NSSC Model'!$C$62+P127*'NSSC Model'!$C$63+'NSSC Model'!$C$73+'NSSC Model'!$C$74</x:f>
        <x:v>61.1819996966</x:v>
      </x:c>
      <x:c r="AA127" t="n">
        <x:f>G127*'NSSC Model'!$D$62+Q127*'NSSC Model'!$D$63+'NSSC Model'!$D$73+'NSSC Model'!$D$74</x:f>
        <x:v>61.966281021792994</x:v>
      </x:c>
      <x:c r="AB127" t="n">
        <x:f>H127*'NSSC Model'!$E$62+R127*'NSSC Model'!$E$63+'NSSC Model'!$E$73+'NSSC Model'!$E$74</x:f>
        <x:v>62.118127985437425</x:v>
      </x:c>
      <x:c r="AC127" t="n">
        <x:f>I127*'NSSC Model'!$F$62+S127*'NSSC Model'!$F$63+'NSSC Model'!$F$73+'NSSC Model'!$F$74</x:f>
        <x:v>62.180637577305646</x:v>
      </x:c>
      <x:c r="AD127" t="n">
        <x:f>AX127*$AC127/$AW127</x:f>
        <x:v>64.04605670462482</x:v>
      </x:c>
      <x:c r="AE127" t="n">
        <x:f>AY127*$AC127/$AW127</x:f>
        <x:v>65.96743840576356</x:v>
      </x:c>
      <x:c r="AF127" t="n">
        <x:f>AZ127*$AC127/$AW127</x:f>
        <x:v>67.94646155793647</x:v>
      </x:c>
      <x:c r="AG127" t="n">
        <x:f>BA127*$AC127/$AW127</x:f>
        <x:v>69.98485540467458</x:v>
      </x:c>
      <x:c r="AH127" t="n">
        <x:f>BB127*$AC127/$AW127</x:f>
        <x:v>72.08440106681479</x:v>
      </x:c>
      <x:c r="AI127" t="n">
        <x:f>Y127*(1-'Assumptions'!$F$9)+AS127*'Assumptions'!$G$9-AS127*'NSSC Model'!$B$65-(AS127-'Inputs'!$D$14)*'Assumptions'!$H$9-'Assumptions'!$I$9</x:f>
        <x:v>48.33462716080001</x:v>
      </x:c>
      <x:c r="AJ127" t="n">
        <x:f>Z127*(1-'Assumptions'!$F$9)+AT127*'Assumptions'!$G$9-AT127*'NSSC Model'!$C$65-(AT127-AS127)*'Assumptions'!$H$9-0</x:f>
        <x:v>48.692996039212</x:v>
      </x:c>
      <x:c r="AK127" t="n">
        <x:f>AA127*(1-'Assumptions'!$F$9)+AU127*'Assumptions'!$G$9-AU127*'NSSC Model'!$D$65-(AU127-AT127)*'Assumptions'!$H$9-0</x:f>
        <x:v>49.29181941451026</x:v>
      </x:c>
      <x:c r="AL127" t="n">
        <x:f>AB127*(1-'Assumptions'!$F$9)+AV127*'Assumptions'!$G$9-AV127*'NSSC Model'!$E$65-(AV127-AU127)*'Assumptions'!$H$9-0</x:f>
        <x:v>49.37071799399789</x:v>
      </x:c>
      <x:c r="AM127" t="n">
        <x:f>AC127*(1-'Assumptions'!$F$9)+AW127*'Assumptions'!$G$9-AW127*'NSSC Model'!$F$65-(AW127-AV127)*'Assumptions'!$H$9-0</x:f>
        <x:v>49.37499145070801</x:v>
      </x:c>
      <x:c r="AN127" t="n">
        <x:f>AD127*(1-'Assumptions'!$F$9)+AX127*'Assumptions'!$G$9-AX127*'NSSC Model'!$G$65-(AX127-AW127)*'Assumptions'!$H$9-0</x:f>
        <x:v>50.85624119422925</x:v>
      </x:c>
      <x:c r="AO127" t="n">
        <x:f>AE127*(1-'Assumptions'!$F$9)+AY127*'Assumptions'!$G$9-AY127*'NSSC Model'!$H$65-(AY127-AX127)*'Assumptions'!$H$9-0</x:f>
        <x:v>52.38192843005613</x:v>
      </x:c>
      <x:c r="AP127" t="n">
        <x:f>AF127*(1-'Assumptions'!$F$9)+AZ127*'Assumptions'!$G$9-AZ127*'NSSC Model'!$I$65-(AZ127-AY127)*'Assumptions'!$H$9-0</x:f>
        <x:v>53.953386282957815</x:v>
      </x:c>
      <x:c r="AQ127" t="n">
        <x:f>AG127*(1-'Assumptions'!$F$9)+BA127*'Assumptions'!$G$9-BA127*'NSSC Model'!$J$65-(BA127-AZ127)*'Assumptions'!$H$9-0</x:f>
        <x:v>55.57198787144656</x:v>
      </x:c>
      <x:c r="AR127" t="n">
        <x:f>AH127*(1-'Assumptions'!$F$9)+BB127*'Assumptions'!$G$9-BB127*'NSSC Model'!$K$65-(BB127-BA127)*'Assumptions'!$H$9-0</x:f>
        <x:v>57.23914750758994</x:v>
      </x:c>
      <x:c r="AS127" t="n">
        <x:f>E127+O127</x:f>
        <x:v>207.3376</x:v>
      </x:c>
      <x:c r="AT127" t="n">
        <x:f>F127+P127</x:f>
        <x:v>213.557728</x:v>
      </x:c>
      <x:c r="AU127" t="n">
        <x:f>G127+Q127</x:f>
        <x:v>219.96445984000002</x:v>
      </x:c>
      <x:c r="AV127" t="n">
        <x:f>H127+R127</x:f>
        <x:v>226.5633936352</x:v>
      </x:c>
      <x:c r="AW127" t="n">
        <x:f>I127+S127</x:f>
        <x:v>233.360295444256</x:v>
      </x:c>
      <x:c r="AX127" t="n">
        <x:f>J127+T127</x:f>
        <x:v>240.36110430758367</x:v>
      </x:c>
      <x:c r="AY127" t="n">
        <x:f>K127+U127</x:f>
        <x:v>247.5719374368112</x:v>
      </x:c>
      <x:c r="AZ127" t="n">
        <x:f>L127+V127</x:f>
        <x:v>254.99909555991556</x:v>
      </x:c>
      <x:c r="BA127" t="n">
        <x:f>M127+W127</x:f>
        <x:v>262.64906842671303</x:v>
      </x:c>
      <x:c r="BB127" t="n">
        <x:f>N127+X127</x:f>
        <x:v>270.5285404795144</x:v>
      </x:c>
      <x:c r="BC127" t="n">
        <x:f>AS127/'Inputs'!$D$14-1</x:f>
        <x:v>0.02482057771011692</x:v>
      </x:c>
      <x:c r="BD127" t="n">
        <x:f>AT127/AS127-1</x:f>
        <x:v>0.030000000000000027</x:v>
      </x:c>
      <x:c r="BE127" t="n">
        <x:f>AU127/AT127-1</x:f>
        <x:v>0.030000000000000027</x:v>
      </x:c>
      <x:c r="BF127" t="n">
        <x:f>AV127/AU127-1</x:f>
        <x:v>0.029999999999999805</x:v>
      </x:c>
      <x:c r="BG127" t="n">
        <x:f>AW127/AV127-1</x:f>
        <x:v>0.030000000000000027</x:v>
      </x:c>
      <x:c r="BH127" t="n">
        <x:f>AX127/AW127-1</x:f>
        <x:v>0.030000000000000027</x:v>
      </x:c>
      <x:c r="BI127" t="n">
        <x:f>AY127/AX127-1</x:f>
        <x:v>0.030000000000000027</x:v>
      </x:c>
      <x:c r="BJ127" t="n">
        <x:f>AZ127/AY127-1</x:f>
        <x:v>0.030000000000000027</x:v>
      </x:c>
      <x:c r="BK127" t="n">
        <x:f>BA127/AZ127-1</x:f>
        <x:v>0.030000000000000027</x:v>
      </x:c>
      <x:c r="BL127" t="n">
        <x:f>BB127/BA127-1</x:f>
        <x:v>0.029999999999999805</x:v>
      </x:c>
      <x:c r="BM127" t="n">
        <x:f>AH127*(1-'Assumptions'!$F$9)*(1+'Assumptions'!$D$9)*(1-'Assumptions'!$D$9/'Assumptions'!$E$9)</x:f>
        <x:v>54.7942366269286</x:v>
      </x:c>
      <x:c r="BN127" t="n">
        <x:f>SUMPRODUCT(AI127:AR127,'NSSC Model'!$B$83:$K$83)+BM127/('Assumptions'!$C$9-'Assumptions'!$D$9)*'NSSC Model'!$K$83</x:f>
        <x:v>613.7818175228454</x:v>
      </x:c>
      <x:c r="BO127" t="n">
        <x:f>'NSSC Model'!$B$94</x:f>
        <x:v>101.2</x:v>
      </x:c>
      <x:c r="BP127" t="n">
        <x:f>'Inputs'!$D$8</x:f>
        <x:v>35.891</x:v>
      </x:c>
    </x:row>
    <x:row r="128">
      <x:c r="A128" t="str">
        <x:v>NSSC</x:v>
      </x:c>
      <x:c r="B128" s="22" t="n">
        <x:v>0.04</x:v>
      </x:c>
      <x:c r="C128" s="42" t="n">
        <x:f>(BN128+BO128)/BP128</x:f>
        <x:v>21.23079280546703</x:v>
      </x:c>
      <x:c r="D128" s="22" t="n">
        <x:f>C128/'Inputs'!$D$5-1</x:f>
        <x:v>-0.4263498296280186</x:v>
      </x:c>
      <x:c r="E128" t="n">
        <x:f>'Inputs'!$D$21*(1+$B128)^1</x:f>
        <x:v>101.42912000000001</x:v>
      </x:c>
      <x:c r="F128" t="n">
        <x:f>'Inputs'!$D$21*(1+$B128)^2</x:f>
        <x:v>105.48628480000002</x:v>
      </x:c>
      <x:c r="G128" t="n">
        <x:f>'Inputs'!$D$21*(1+$B128)^3</x:f>
        <x:v>109.70573619200002</x:v>
      </x:c>
      <x:c r="H128" t="n">
        <x:f>'Inputs'!$D$21*(1+$B128)^4</x:f>
        <x:v>114.09396563968002</x:v>
      </x:c>
      <x:c r="I128" t="n">
        <x:f>'Inputs'!$D$21*(1+$B128)^5</x:f>
        <x:v>118.65772426526723</x:v>
      </x:c>
      <x:c r="J128" t="n">
        <x:f>I128*(1+($BG128+('Assumptions'!$D$9-$BG128)*(6-5)/5))</x:f>
        <x:v>122.68653492870298</x:v>
      </x:c>
      <x:c r="K128" t="n">
        <x:f>J128*(1+($BG128+('Assumptions'!$D$9-$BG128)*(7-5)/5))</x:f>
        <x:v>126.73088522997335</x:v>
      </x:c>
      <x:c r="L128" t="n">
        <x:f>K128*(1+($BG128+('Assumptions'!$D$9-$BG128)*(8-5)/5))</x:f>
        <x:v>130.78330870607405</x:v>
      </x:c>
      <x:c r="M128" t="n">
        <x:f>L128*(1+($BG128+('Assumptions'!$D$9-$BG128)*(9-5)/5))</x:f>
        <x:v>134.83606144739414</x:v>
      </x:c>
      <x:c r="N128" t="n">
        <x:f>M128*(1+($BG128+('Assumptions'!$D$9-$BG128)*(10-5)/5))</x:f>
        <x:v>138.88114329081597</x:v>
      </x:c>
      <x:c r="O128" t="n">
        <x:f>'NSSC Model'!$B$68</x:f>
        <x:v>106.88376</x:v>
      </x:c>
      <x:c r="P128" t="n">
        <x:f>'NSSC Model'!$C$68</x:f>
        <x:v>110.0902728</x:v>
      </x:c>
      <x:c r="Q128" t="n">
        <x:f>'NSSC Model'!$D$68</x:f>
        <x:v>113.39298098399999</x:v>
      </x:c>
      <x:c r="R128" t="n">
        <x:f>'NSSC Model'!$E$68</x:f>
        <x:v>116.79477041352</x:v>
      </x:c>
      <x:c r="S128" t="n">
        <x:f>'NSSC Model'!$F$68</x:f>
        <x:v>120.2986135259256</x:v>
      </x:c>
      <x:c r="T128" t="n">
        <x:f>S128*(1+($BG128+('Assumptions'!$D$9-$BG128)*(6-5)/5))</x:f>
        <x:v>124.3831376474762</x:v>
      </x:c>
      <x:c r="U128" t="n">
        <x:f>T128*(1+($BG128+('Assumptions'!$D$9-$BG128)*(7-5)/5))</x:f>
        <x:v>128.48341630079264</x:v>
      </x:c>
      <x:c r="V128" t="n">
        <x:f>U128*(1+($BG128+('Assumptions'!$D$9-$BG128)*(8-5)/5))</x:f>
        <x:v>132.59187977094135</x:v>
      </x:c>
      <x:c r="W128" t="n">
        <x:f>V128*(1+($BG128+('Assumptions'!$D$9-$BG128)*(9-5)/5))</x:f>
        <x:v>136.7006770596393</x:v>
      </x:c>
      <x:c r="X128" t="n">
        <x:f>W128*(1+($BG128+('Assumptions'!$D$9-$BG128)*(10-5)/5))</x:f>
        <x:v>140.80169737142847</x:v>
      </x:c>
      <x:c r="Y128" t="n">
        <x:f>E128*'NSSC Model'!$B$62+O128*'NSSC Model'!$B$63+'NSSC Model'!$B$73+'NSSC Model'!$B$74</x:f>
        <x:v>61.44913828000002</x:v>
      </x:c>
      <x:c r="Z128" t="n">
        <x:f>F128*'NSSC Model'!$C$62+P128*'NSSC Model'!$C$63+'NSSC Model'!$C$73+'NSSC Model'!$C$74</x:f>
        <x:v>63.00500282540003</x:v>
      </x:c>
      <x:c r="AA128" t="n">
        <x:f>G128*'NSSC Model'!$D$62+Q128*'NSSC Model'!$D$63+'NSSC Model'!$D$73+'NSSC Model'!$D$74</x:f>
        <x:v>64.796515396201</x:v>
      </x:c>
      <x:c r="AB128" t="n">
        <x:f>H128*'NSSC Model'!$E$62+R128*'NSSC Model'!$E$63+'NSSC Model'!$E$73+'NSSC Model'!$E$74</x:f>
        <x:v>66.02391218889146</x:v>
      </x:c>
      <x:c r="AC128" t="n">
        <x:f>I128*'NSSC Model'!$F$62+S128*'NSSC Model'!$F$63+'NSSC Model'!$F$73+'NSSC Model'!$F$74</x:f>
        <x:v>67.23386381658963</x:v>
      </x:c>
      <x:c r="AD128" t="n">
        <x:f>AX128*$AC128/$AW128</x:f>
        <x:v>69.516669332754</x:v>
      </x:c>
      <x:c r="AE128" t="n">
        <x:f>AY128*$AC128/$AW128</x:f>
        <x:v>71.80827992166354</x:v>
      </x:c>
      <x:c r="AF128" t="n">
        <x:f>AZ128*$AC128/$AW128</x:f>
        <x:v>74.1044649345347</x:v>
      </x:c>
      <x:c r="AG128" t="n">
        <x:f>BA128*$AC128/$AW128</x:f>
        <x:v>76.40083651573134</x:v>
      </x:c>
      <x:c r="AH128" t="n">
        <x:f>BB128*$AC128/$AW128</x:f>
        <x:v>78.69286161120327</x:v>
      </x:c>
      <x:c r="AI128" t="n">
        <x:f>Y128*(1-'Assumptions'!$F$9)+AS128*'Assumptions'!$G$9-AS128*'NSSC Model'!$B$65-(AS128-'Inputs'!$D$14)*'Assumptions'!$H$9-'Assumptions'!$I$9</x:f>
        <x:v>48.95535386960002</x:v>
      </x:c>
      <x:c r="AJ128" t="n">
        <x:f>Z128*(1-'Assumptions'!$F$9)+AT128*'Assumptions'!$G$9-AT128*'NSSC Model'!$C$65-(AT128-AS128)*'Assumptions'!$H$9-0</x:f>
        <x:v>50.07542832642803</x:v>
      </x:c>
      <x:c r="AK128" t="n">
        <x:f>AA128*(1-'Assumptions'!$F$9)+AU128*'Assumptions'!$G$9-AU128*'NSSC Model'!$D$65-(AU128-AT128)*'Assumptions'!$H$9-0</x:f>
        <x:v>51.48853179858082</x:v>
      </x:c>
      <x:c r="AL128" t="n">
        <x:f>AB128*(1-'Assumptions'!$F$9)+AV128*'Assumptions'!$G$9-AV128*'NSSC Model'!$E$65-(AV128-AU128)*'Assumptions'!$H$9-0</x:f>
        <x:v>52.4370511629582</x:v>
      </x:c>
      <x:c r="AM128" t="n">
        <x:f>AC128*(1-'Assumptions'!$F$9)+AW128*'Assumptions'!$G$9-AW128*'NSSC Model'!$F$65-(AW128-AV128)*'Assumptions'!$H$9-0</x:f>
        <x:v>53.36918280463946</x:v>
      </x:c>
      <x:c r="AN128" t="n">
        <x:f>AD128*(1-'Assumptions'!$F$9)+AX128*'Assumptions'!$G$9-AX128*'NSSC Model'!$G$65-(AX128-AW128)*'Assumptions'!$H$9-0</x:f>
        <x:v>55.20405668405493</x:v>
      </x:c>
      <x:c r="AO128" t="n">
        <x:f>AE128*(1-'Assumptions'!$F$9)+AY128*'Assumptions'!$G$9-AY128*'NSSC Model'!$H$65-(AY128-AX128)*'Assumptions'!$H$9-0</x:f>
        <x:v>57.04746943418237</x:v>
      </x:c>
      <x:c r="AP128" t="n">
        <x:f>AF128*(1-'Assumptions'!$F$9)+AZ128*'Assumptions'!$G$9-AZ128*'NSSC Model'!$I$65-(AZ128-AY128)*'Assumptions'!$H$9-0</x:f>
        <x:v>58.89607179778546</x:v>
      </x:c>
      <x:c r="AQ128" t="n">
        <x:f>AG128*(1-'Assumptions'!$F$9)+BA128*'Assumptions'!$G$9-BA128*'NSSC Model'!$J$65-(BA128-AZ128)*'Assumptions'!$H$9-0</x:f>
        <x:v>60.74638398586976</x:v>
      </x:c>
      <x:c r="AR128" t="n">
        <x:f>AH128*(1-'Assumptions'!$F$9)+BB128*'Assumptions'!$G$9-BB128*'NSSC Model'!$K$65-(BB128-BA128)*'Assumptions'!$H$9-0</x:f>
        <x:v>62.594804943016605</x:v>
      </x:c>
      <x:c r="AS128" t="n">
        <x:f>E128+O128</x:f>
        <x:v>208.31288</x:v>
      </x:c>
      <x:c r="AT128" t="n">
        <x:f>F128+P128</x:f>
        <x:v>215.5765576</x:v>
      </x:c>
      <x:c r="AU128" t="n">
        <x:f>G128+Q128</x:f>
        <x:v>223.098717176</x:v>
      </x:c>
      <x:c r="AV128" t="n">
        <x:f>H128+R128</x:f>
        <x:v>230.88873605320003</x:v>
      </x:c>
      <x:c r="AW128" t="n">
        <x:f>I128+S128</x:f>
        <x:v>238.95633779119282</x:v>
      </x:c>
      <x:c r="AX128" t="n">
        <x:f>J128+T128</x:f>
        <x:v>247.0696725761792</x:v>
      </x:c>
      <x:c r="AY128" t="n">
        <x:f>K128+U128</x:f>
        <x:v>255.214301530766</x:v>
      </x:c>
      <x:c r="AZ128" t="n">
        <x:f>L128+V128</x:f>
        <x:v>263.3751884770154</x:v>
      </x:c>
      <x:c r="BA128" t="n">
        <x:f>M128+W128</x:f>
        <x:v>271.5367385070334</x:v>
      </x:c>
      <x:c r="BB128" t="n">
        <x:f>N128+X128</x:f>
        <x:v>279.6828406622444</x:v>
      </x:c>
      <x:c r="BC128" t="n">
        <x:f>AS128/'Inputs'!$D$14-1</x:f>
        <x:v>0.029641155420233822</x:v>
      </x:c>
      <x:c r="BD128" t="n">
        <x:f>AT128/AS128-1</x:f>
        <x:v>0.03486907578638432</x:v>
      </x:c>
      <x:c r="BE128" t="n">
        <x:f>AU128/AT128-1</x:f>
        <x:v>0.034893216868029375</x:v>
      </x:c>
      <x:c r="BF128" t="n">
        <x:f>AV128/AU128-1</x:f>
        <x:v>0.03491736293156089</x:v>
      </x:c>
      <x:c r="BG128" t="n">
        <x:f>AW128/AV128-1</x:f>
        <x:v>0.034941512851167866</x:v>
      </x:c>
      <x:c r="BH128" t="n">
        <x:f>AX128/AW128-1</x:f>
        <x:v>0.03395321028093434</x:v>
      </x:c>
      <x:c r="BI128" t="n">
        <x:f>AY128/AX128-1</x:f>
        <x:v>0.03296490771070082</x:v>
      </x:c>
      <x:c r="BJ128" t="n">
        <x:f>AZ128/AY128-1</x:f>
        <x:v>0.031976605140467074</x:v>
      </x:c>
      <x:c r="BK128" t="n">
        <x:f>BA128/AZ128-1</x:f>
        <x:v>0.03098830257023355</x:v>
      </x:c>
      <x:c r="BL128" t="n">
        <x:f>BB128/BA128-1</x:f>
        <x:v>0.030000000000000027</x:v>
      </x:c>
      <x:c r="BM128" t="n">
        <x:f>AH128*(1-'Assumptions'!$F$9)*(1+'Assumptions'!$D$9)*(1-'Assumptions'!$D$9/'Assumptions'!$E$9)</x:f>
        <x:v>59.817591825140056</x:v>
      </x:c>
      <x:c r="BN128" t="n">
        <x:f>SUMPRODUCT(AI128:AR128,'NSSC Model'!$B$83:$K$83)+BM128/('Assumptions'!$C$9-'Assumptions'!$D$9)*'NSSC Model'!$K$83</x:f>
        <x:v>660.7943845810171</x:v>
      </x:c>
      <x:c r="BO128" t="n">
        <x:f>'NSSC Model'!$B$94</x:f>
        <x:v>101.2</x:v>
      </x:c>
      <x:c r="BP128" t="n">
        <x:f>'Inputs'!$D$8</x:f>
        <x:v>35.891</x:v>
      </x:c>
    </x:row>
    <x:row r="129">
      <x:c r="A129" t="str">
        <x:v>NSSC</x:v>
      </x:c>
      <x:c r="B129" s="22" t="n">
        <x:v>0.05</x:v>
      </x:c>
      <x:c r="C129" s="42" t="n">
        <x:f>(BN129+BO129)/BP129</x:f>
        <x:v>22.60796244315586</x:v>
      </x:c>
      <x:c r="D129" s="22" t="n">
        <x:f>C129/'Inputs'!$D$5-1</x:f>
        <x:v>-0.38913908556725585</x:v>
      </x:c>
      <x:c r="E129" t="n">
        <x:f>'Inputs'!$D$21*(1+$B129)^1</x:f>
        <x:v>102.40440000000001</x:v>
      </x:c>
      <x:c r="F129" t="n">
        <x:f>'Inputs'!$D$21*(1+$B129)^2</x:f>
        <x:v>107.52462000000001</x:v>
      </x:c>
      <x:c r="G129" t="n">
        <x:f>'Inputs'!$D$21*(1+$B129)^3</x:f>
        <x:v>112.90085100000002</x:v>
      </x:c>
      <x:c r="H129" t="n">
        <x:f>'Inputs'!$D$21*(1+$B129)^4</x:f>
        <x:v>118.54589355</x:v>
      </x:c>
      <x:c r="I129" t="n">
        <x:f>'Inputs'!$D$21*(1+$B129)^5</x:f>
        <x:v>124.47318822750002</x:v>
      </x:c>
      <x:c r="J129" t="n">
        <x:f>I129*(1+($BG129+('Assumptions'!$D$9-$BG129)*(6-5)/5))</x:f>
        <x:v>129.21057882230792</x:v>
      </x:c>
      <x:c r="K129" t="n">
        <x:f>J129*(1+($BG129+('Assumptions'!$D$9-$BG129)*(7-5)/5))</x:f>
        <x:v>133.86792824142793</x:v>
      </x:c>
      <x:c r="L129" t="n">
        <x:f>K129*(1+($BG129+('Assumptions'!$D$9-$BG129)*(8-5)/5))</x:f>
        <x:v>138.42342214029566</x:v>
      </x:c>
      <x:c r="M129" t="n">
        <x:f>L129*(1+($BG129+('Assumptions'!$D$9-$BG129)*(9-5)/5))</x:f>
        <x:v>142.85503161116523</x:v>
      </x:c>
      <x:c r="N129" t="n">
        <x:f>M129*(1+($BG129+('Assumptions'!$D$9-$BG129)*(10-5)/5))</x:f>
        <x:v>147.1406825595002</x:v>
      </x:c>
      <x:c r="O129" t="n">
        <x:f>'NSSC Model'!$B$68</x:f>
        <x:v>106.88376</x:v>
      </x:c>
      <x:c r="P129" t="n">
        <x:f>'NSSC Model'!$C$68</x:f>
        <x:v>110.0902728</x:v>
      </x:c>
      <x:c r="Q129" t="n">
        <x:f>'NSSC Model'!$D$68</x:f>
        <x:v>113.39298098399999</x:v>
      </x:c>
      <x:c r="R129" t="n">
        <x:f>'NSSC Model'!$E$68</x:f>
        <x:v>116.79477041352</x:v>
      </x:c>
      <x:c r="S129" t="n">
        <x:f>'NSSC Model'!$F$68</x:f>
        <x:v>120.2986135259256</x:v>
      </x:c>
      <x:c r="T129" t="n">
        <x:f>S129*(1+($BG129+('Assumptions'!$D$9-$BG129)*(6-5)/5))</x:f>
        <x:v>124.87712178462417</x:v>
      </x:c>
      <x:c r="U129" t="n">
        <x:f>T129*(1+($BG129+('Assumptions'!$D$9-$BG129)*(7-5)/5))</x:f>
        <x:v>129.378273284029</x:v>
      </x:c>
      <x:c r="V129" t="n">
        <x:f>U129*(1+($BG129+('Assumptions'!$D$9-$BG129)*(8-5)/5))</x:f>
        <x:v>133.780985287822</x:v>
      </x:c>
      <x:c r="W129" t="n">
        <x:f>V129*(1+($BG129+('Assumptions'!$D$9-$BG129)*(9-5)/5))</x:f>
        <x:v>138.0639676925114</x:v>
      </x:c>
      <x:c r="X129" t="n">
        <x:f>W129*(1+($BG129+('Assumptions'!$D$9-$BG129)*(10-5)/5))</x:f>
        <x:v>142.20588672328674</x:v>
      </x:c>
      <x:c r="Y129" t="n">
        <x:f>E129*'NSSC Model'!$B$62+O129*'NSSC Model'!$B$63+'NSSC Model'!$B$73+'NSSC Model'!$B$74</x:f>
        <x:v>62.32981612000001</x:v>
      </x:c>
      <x:c r="Z129" t="n">
        <x:f>F129*'NSSC Model'!$C$62+P129*'NSSC Model'!$C$63+'NSSC Model'!$C$73+'NSSC Model'!$C$74</x:f>
        <x:v>64.845619511</x:v>
      </x:c>
      <x:c r="AA129" t="n">
        <x:f>G129*'NSSC Model'!$D$62+Q129*'NSSC Model'!$D$63+'NSSC Model'!$D$73+'NSSC Model'!$D$74</x:f>
        <x:v>67.68170406782501</x:v>
      </x:c>
      <x:c r="AB129" t="n">
        <x:f>H129*'NSSC Model'!$E$62+R129*'NSSC Model'!$E$63+'NSSC Model'!$E$73+'NSSC Model'!$E$74</x:f>
        <x:v>70.0440030919104</x:v>
      </x:c>
      <x:c r="AC129" t="n">
        <x:f>I129*'NSSC Model'!$F$62+S129*'NSSC Model'!$F$63+'NSSC Model'!$F$73+'NSSC Model'!$F$74</x:f>
        <x:v>72.48522777448582</x:v>
      </x:c>
      <x:c r="AD129" t="n">
        <x:f>AX129*$AC129/$AW129</x:f>
        <x:v>75.24398121537736</x:v>
      </x:c>
      <x:c r="AE129" t="n">
        <x:f>AY129*$AC129/$AW129</x:f>
        <x:v>77.9561237922452</x:v>
      </x:c>
      <x:c r="AF129" t="n">
        <x:f>AZ129*$AC129/$AW129</x:f>
        <x:v>80.60895222531454</x:v>
      </x:c>
      <x:c r="AG129" t="n">
        <x:f>BA129*$AC129/$AW129</x:f>
        <x:v>83.18963828693003</x:v>
      </x:c>
      <x:c r="AH129" t="n">
        <x:f>BB129*$AC129/$AW129</x:f>
        <x:v>85.68532743553794</x:v>
      </x:c>
      <x:c r="AI129" t="n">
        <x:f>Y129*(1-'Assumptions'!$F$9)+AS129*'Assumptions'!$G$9-AS129*'NSSC Model'!$B$65-(AS129-'Inputs'!$D$14)*'Assumptions'!$H$9-'Assumptions'!$I$9</x:f>
        <x:v>49.57608057840002</x:v>
      </x:c>
      <x:c r="AJ129" t="n">
        <x:f>Z129*(1-'Assumptions'!$F$9)+AT129*'Assumptions'!$G$9-AT129*'NSSC Model'!$C$65-(AT129-AS129)*'Assumptions'!$H$9-0</x:f>
        <x:v>51.47027514782</x:v>
      </x:c>
      <x:c r="AK129" t="n">
        <x:f>AA129*(1-'Assumptions'!$F$9)+AU129*'Assumptions'!$G$9-AU129*'NSSC Model'!$D$65-(AU129-AT129)*'Assumptions'!$H$9-0</x:f>
        <x:v>53.725928089280515</x:v>
      </x:c>
      <x:c r="AL129" t="n">
        <x:f>AB129*(1-'Assumptions'!$F$9)+AV129*'Assumptions'!$G$9-AV129*'NSSC Model'!$E$65-(AV129-AU129)*'Assumptions'!$H$9-0</x:f>
        <x:v>55.590036681560456</x:v>
      </x:c>
      <x:c r="AM129" t="n">
        <x:f>AC129*(1-'Assumptions'!$F$9)+AW129*'Assumptions'!$G$9-AW129*'NSSC Model'!$F$65-(AW129-AV129)*'Assumptions'!$H$9-0</x:f>
        <x:v>57.515685789074105</x:v>
      </x:c>
      <x:c r="AN129" t="n">
        <x:f>AD129*(1-'Assumptions'!$F$9)+AX129*'Assumptions'!$G$9-AX129*'NSSC Model'!$G$65-(AX129-AW129)*'Assumptions'!$H$9-0</x:f>
        <x:v>59.75212390883106</x:v>
      </x:c>
      <x:c r="AO129" t="n">
        <x:f>AE129*(1-'Assumptions'!$F$9)+AY129*'Assumptions'!$G$9-AY129*'NSSC Model'!$H$65-(AY129-AX129)*'Assumptions'!$H$9-0</x:f>
        <x:v>61.95518661168674</x:v>
      </x:c>
      <x:c r="AP129" t="n">
        <x:f>AF129*(1-'Assumptions'!$F$9)+AZ129*'Assumptions'!$G$9-AZ129*'NSSC Model'!$I$65-(AZ129-AY129)*'Assumptions'!$H$9-0</x:f>
        <x:v>64.1147026047794</x:v>
      </x:c>
      <x:c r="AQ129" t="n">
        <x:f>AG129*(1-'Assumptions'!$F$9)+BA129*'Assumptions'!$G$9-BA129*'NSSC Model'!$J$65-(BA129-AZ129)*'Assumptions'!$H$9-0</x:f>
        <x:v>66.22036821051204</x:v>
      </x:c>
      <x:c r="AR129" t="n">
        <x:f>AH129*(1-'Assumptions'!$F$9)+BB129*'Assumptions'!$G$9-BB129*'NSSC Model'!$K$65-(BB129-BA129)*'Assumptions'!$H$9-0</x:f>
        <x:v>68.26182522209893</x:v>
      </x:c>
      <x:c r="AS129" t="n">
        <x:f>E129+O129</x:f>
        <x:v>209.28816</x:v>
      </x:c>
      <x:c r="AT129" t="n">
        <x:f>F129+P129</x:f>
        <x:v>217.6148928</x:v>
      </x:c>
      <x:c r="AU129" t="n">
        <x:f>G129+Q129</x:f>
        <x:v>226.293831984</x:v>
      </x:c>
      <x:c r="AV129" t="n">
        <x:f>H129+R129</x:f>
        <x:v>235.34066396352</x:v>
      </x:c>
      <x:c r="AW129" t="n">
        <x:f>I129+S129</x:f>
        <x:v>244.77180175342562</x:v>
      </x:c>
      <x:c r="AX129" t="n">
        <x:f>J129+T129</x:f>
        <x:v>254.0877006069321</x:v>
      </x:c>
      <x:c r="AY129" t="n">
        <x:f>K129+U129</x:f>
        <x:v>263.24620152545697</x:v>
      </x:c>
      <x:c r="AZ129" t="n">
        <x:f>L129+V129</x:f>
        <x:v>272.20440742811763</x:v>
      </x:c>
      <x:c r="BA129" t="n">
        <x:f>M129+W129</x:f>
        <x:v>280.9189993036766</x:v>
      </x:c>
      <x:c r="BB129" t="n">
        <x:f>N129+X129</x:f>
        <x:v>289.34656928278696</x:v>
      </x:c>
      <x:c r="BC129" t="n">
        <x:f>AS129/'Inputs'!$D$14-1</x:f>
        <x:v>0.0344617331303505</x:v>
      </x:c>
      <x:c r="BD129" t="n">
        <x:f>AT129/AS129-1</x:f>
        <x:v>0.03978597164789455</x:v>
      </x:c>
      <x:c r="BE129" t="n">
        <x:f>AU129/AT129-1</x:f>
        <x:v>0.039882101230895195</x:v>
      </x:c>
      <x:c r="BF129" t="n">
        <x:f>AV129/AU129-1</x:f>
        <x:v>0.03997825261167365</x:v>
      </x:c>
      <x:c r="BG129" t="n">
        <x:f>AW129/AV129-1</x:f>
        <x:v>0.040074408013769824</x:v>
      </x:c>
      <x:c r="BH129" t="n">
        <x:f>AX129/AW129-1</x:f>
        <x:v>0.038059526411015954</x:v>
      </x:c>
      <x:c r="BI129" t="n">
        <x:f>AY129/AX129-1</x:f>
        <x:v>0.03604464480826208</x:v>
      </x:c>
      <x:c r="BJ129" t="n">
        <x:f>AZ129/AY129-1</x:f>
        <x:v>0.03402976320550777</x:v>
      </x:c>
      <x:c r="BK129" t="n">
        <x:f>BA129/AZ129-1</x:f>
        <x:v>0.0320148816027539</x:v>
      </x:c>
      <x:c r="BL129" t="n">
        <x:f>BB129/BA129-1</x:f>
        <x:v>0.030000000000000027</x:v>
      </x:c>
      <x:c r="BM129" t="n">
        <x:f>AH129*(1-'Assumptions'!$F$9)*(1+'Assumptions'!$D$9)*(1-'Assumptions'!$D$9/'Assumptions'!$E$9)</x:f>
        <x:v>65.13284479684981</x:v>
      </x:c>
      <x:c r="BN129" t="n">
        <x:f>SUMPRODUCT(AI129:AR129,'NSSC Model'!$B$83:$K$83)+BM129/('Assumptions'!$C$9-'Assumptions'!$D$9)*'NSSC Model'!$K$83</x:f>
        <x:v>710.2223800473068</x:v>
      </x:c>
      <x:c r="BO129" t="n">
        <x:f>'NSSC Model'!$B$94</x:f>
        <x:v>101.2</x:v>
      </x:c>
      <x:c r="BP129" t="n">
        <x:f>'Inputs'!$D$8</x:f>
        <x:v>35.891</x:v>
      </x:c>
    </x:row>
    <x:row r="130">
      <x:c r="A130" t="str">
        <x:v>NSSC</x:v>
      </x:c>
      <x:c r="B130" s="22" t="n">
        <x:v>0.06</x:v>
      </x:c>
      <x:c r="C130" s="42" t="n">
        <x:f>(BN130+BO130)/BP130</x:f>
        <x:v>24.05601807211604</x:v>
      </x:c>
      <x:c r="D130" s="22" t="n">
        <x:f>C130/'Inputs'!$D$5-1</x:f>
        <x:v>-0.3500130215586047</x:v>
      </x:c>
      <x:c r="E130" t="n">
        <x:f>'Inputs'!$D$21*(1+$B130)^1</x:f>
        <x:v>103.37968000000001</x:v>
      </x:c>
      <x:c r="F130" t="n">
        <x:f>'Inputs'!$D$21*(1+$B130)^2</x:f>
        <x:v>109.58246080000002</x:v>
      </x:c>
      <x:c r="G130" t="n">
        <x:f>'Inputs'!$D$21*(1+$B130)^3</x:f>
        <x:v>116.15740844800004</x:v>
      </x:c>
      <x:c r="H130" t="n">
        <x:f>'Inputs'!$D$21*(1+$B130)^4</x:f>
        <x:v>123.12685295488004</x:v>
      </x:c>
      <x:c r="I130" t="n">
        <x:f>'Inputs'!$D$21*(1+$B130)^5</x:f>
        <x:v>130.51446413217286</x:v>
      </x:c>
      <x:c r="J130" t="n">
        <x:f>I130*(1+($BG130+('Assumptions'!$D$9-$BG130)*(6-5)/5))</x:f>
        <x:v>136.0374065424252</x:v>
      </x:c>
      <x:c r="K130" t="n">
        <x:f>J130*(1+($BG130+('Assumptions'!$D$9-$BG130)*(7-5)/5))</x:f>
        <x:v>141.37517845329197</x:v>
      </x:c>
      <x:c r="L130" t="n">
        <x:f>K130*(1+($BG130+('Assumptions'!$D$9-$BG130)*(8-5)/5))</x:f>
        <x:v>146.48707217109484</x:v>
      </x:c>
      <x:c r="M130" t="n">
        <x:f>L130*(1+($BG130+('Assumptions'!$D$9-$BG130)*(9-5)/5))</x:f>
        <x:v>151.3327439433221</x:v>
      </x:c>
      <x:c r="N130" t="n">
        <x:f>M130*(1+($BG130+('Assumptions'!$D$9-$BG130)*(10-5)/5))</x:f>
        <x:v>155.87272626162178</x:v>
      </x:c>
      <x:c r="O130" t="n">
        <x:f>'NSSC Model'!$B$68</x:f>
        <x:v>106.88376</x:v>
      </x:c>
      <x:c r="P130" t="n">
        <x:f>'NSSC Model'!$C$68</x:f>
        <x:v>110.0902728</x:v>
      </x:c>
      <x:c r="Q130" t="n">
        <x:f>'NSSC Model'!$D$68</x:f>
        <x:v>113.39298098399999</x:v>
      </x:c>
      <x:c r="R130" t="n">
        <x:f>'NSSC Model'!$E$68</x:f>
        <x:v>116.79477041352</x:v>
      </x:c>
      <x:c r="S130" t="n">
        <x:f>'NSSC Model'!$F$68</x:f>
        <x:v>120.2986135259256</x:v>
      </x:c>
      <x:c r="T130" t="n">
        <x:f>S130*(1+($BG130+('Assumptions'!$D$9-$BG130)*(6-5)/5))</x:f>
        <x:v>125.3892547736577</x:v>
      </x:c>
      <x:c r="U130" t="n">
        <x:f>T130*(1+($BG130+('Assumptions'!$D$9-$BG130)*(7-5)/5))</x:f>
        <x:v>130.30921950296627</x:v>
      </x:c>
      <x:c r="V130" t="n">
        <x:f>U130*(1+($BG130+('Assumptions'!$D$9-$BG130)*(8-5)/5))</x:f>
        <x:v>135.02098636216132</x:v>
      </x:c>
      <x:c r="W130" t="n">
        <x:f>V130*(1+($BG130+('Assumptions'!$D$9-$BG130)*(9-5)/5))</x:f>
        <x:v>139.48736945369606</x:v>
      </x:c>
      <x:c r="X130" t="n">
        <x:f>W130*(1+($BG130+('Assumptions'!$D$9-$BG130)*(10-5)/5))</x:f>
        <x:v>143.67199053730695</x:v>
      </x:c>
      <x:c r="Y130" t="n">
        <x:f>E130*'NSSC Model'!$B$62+O130*'NSSC Model'!$B$63+'NSSC Model'!$B$73+'NSSC Model'!$B$74</x:f>
        <x:v>63.210493960000015</x:v>
      </x:c>
      <x:c r="Z130" t="n">
        <x:f>F130*'NSSC Model'!$C$62+P130*'NSSC Model'!$C$63+'NSSC Model'!$C$73+'NSSC Model'!$C$74</x:f>
        <x:v>66.70384975340002</x:v>
      </x:c>
      <x:c r="AA130" t="n">
        <x:f>G130*'NSSC Model'!$D$62+Q130*'NSSC Model'!$D$63+'NSSC Model'!$D$73+'NSSC Model'!$D$74</x:f>
        <x:v>70.62237544336902</x:v>
      </x:c>
      <x:c r="AB130" t="n">
        <x:f>H130*'NSSC Model'!$E$62+R130*'NSSC Model'!$E$63+'NSSC Model'!$E$73+'NSSC Model'!$E$74</x:f>
        <x:v>74.18060943451705</x:v>
      </x:c>
      <x:c r="AC130" t="n">
        <x:f>I130*'NSSC Model'!$F$62+S130*'NSSC Model'!$F$63+'NSSC Model'!$F$73+'NSSC Model'!$F$74</x:f>
        <x:v>77.9404999164054</x:v>
      </x:c>
      <x:c r="AD130" t="n">
        <x:f>AX130*$AC130/$AW130</x:f>
        <x:v>81.23868525798298</x:v>
      </x:c>
      <x:c r="AE130" t="n">
        <x:f>AY130*$AC130/$AW130</x:f>
        <x:v>84.42629066201994</x:v>
      </x:c>
      <x:c r="AF130" t="n">
        <x:f>AZ130*$AC130/$AW130</x:f>
        <x:v>87.47900634785842</x:v>
      </x:c>
      <x:c r="AG130" t="n">
        <x:f>BA130*$AC130/$AW130</x:f>
        <x:v>90.37273987287013</x:v>
      </x:c>
      <x:c r="AH130" t="n">
        <x:f>BB130*$AC130/$AW130</x:f>
        <x:v>93.08392206905623</x:v>
      </x:c>
      <x:c r="AI130" t="n">
        <x:f>Y130*(1-'Assumptions'!$F$9)+AS130*'Assumptions'!$G$9-AS130*'NSSC Model'!$B$65-(AS130-'Inputs'!$D$14)*'Assumptions'!$H$9-'Assumptions'!$I$9</x:f>
        <x:v>50.196807287200016</x:v>
      </x:c>
      <x:c r="AJ130" t="n">
        <x:f>Z130*(1-'Assumptions'!$F$9)+AT130*'Assumptions'!$G$9-AT130*'NSSC Model'!$C$65-(AT130-AS130)*'Assumptions'!$H$9-0</x:f>
        <x:v>52.87753650338802</x:v>
      </x:c>
      <x:c r="AK130" t="n">
        <x:f>AA130*(1-'Assumptions'!$F$9)+AU130*'Assumptions'!$G$9-AU130*'NSSC Model'!$D$65-(AU130-AT130)*'Assumptions'!$H$9-0</x:f>
        <x:v>56.0043807226346</x:v>
      </x:c>
      <x:c r="AL130" t="n">
        <x:f>AB130*(1-'Assumptions'!$F$9)+AV130*'Assumptions'!$G$9-AV130*'NSSC Model'!$E$65-(AV130-AU130)*'Assumptions'!$H$9-0</x:f>
        <x:v>58.831289849190384</x:v>
      </x:c>
      <x:c r="AM130" t="n">
        <x:f>AC130*(1-'Assumptions'!$F$9)+AW130*'Assumptions'!$G$9-AW130*'NSSC Model'!$F$65-(AW130-AV130)*'Assumptions'!$H$9-0</x:f>
        <x:v>61.81881219185019</x:v>
      </x:c>
      <x:c r="AN130" t="n">
        <x:f>AD130*(1-'Assumptions'!$F$9)+AX130*'Assumptions'!$G$9-AX130*'NSSC Model'!$G$65-(AX130-AW130)*'Assumptions'!$H$9-0</x:f>
        <x:v>64.50865690048327</x:v>
      </x:c>
      <x:c r="AO130" t="n">
        <x:f>AE130*(1-'Assumptions'!$F$9)+AY130*'Assumptions'!$G$9-AY130*'NSSC Model'!$H$65-(AY130-AX130)*'Assumptions'!$H$9-0</x:f>
        <x:v>67.11704708701379</x:v>
      </x:c>
      <x:c r="AP130" t="n">
        <x:f>AF130*(1-'Assumptions'!$F$9)+AZ130*'Assumptions'!$G$9-AZ130*'NSSC Model'!$I$65-(AZ130-AY130)*'Assumptions'!$H$9-0</x:f>
        <x:v>69.62438691341107</x:v>
      </x:c>
      <x:c r="AQ130" t="n">
        <x:f>AG130*(1-'Assumptions'!$F$9)+BA130*'Assumptions'!$G$9-BA130*'NSSC Model'!$J$65-(BA130-AZ130)*'Assumptions'!$H$9-0</x:f>
        <x:v>72.01116075578923</x:v>
      </x:c>
      <x:c r="AR130" t="n">
        <x:f>AH130*(1-'Assumptions'!$F$9)+BB130*'Assumptions'!$G$9-BB130*'NSSC Model'!$K$65-(BB130-BA130)*'Assumptions'!$H$9-0</x:f>
        <x:v>74.25817688923935</x:v>
      </x:c>
      <x:c r="AS130" t="n">
        <x:f>E130+O130</x:f>
        <x:v>210.26344</x:v>
      </x:c>
      <x:c r="AT130" t="n">
        <x:f>F130+P130</x:f>
        <x:v>219.67273360000002</x:v>
      </x:c>
      <x:c r="AU130" t="n">
        <x:f>G130+Q130</x:f>
        <x:v>229.55038943200003</x:v>
      </x:c>
      <x:c r="AV130" t="n">
        <x:f>H130+R130</x:f>
        <x:v>239.92162336840005</x:v>
      </x:c>
      <x:c r="AW130" t="n">
        <x:f>I130+S130</x:f>
        <x:v>250.81307765809845</x:v>
      </x:c>
      <x:c r="AX130" t="n">
        <x:f>J130+T130</x:f>
        <x:v>261.4266613160829</x:v>
      </x:c>
      <x:c r="AY130" t="n">
        <x:f>K130+U130</x:f>
        <x:v>271.68439795625824</x:v>
      </x:c>
      <x:c r="AZ130" t="n">
        <x:f>L130+V130</x:f>
        <x:v>281.5080585332562</x:v>
      </x:c>
      <x:c r="BA130" t="n">
        <x:f>M130+W130</x:f>
        <x:v>290.8201133970182</x:v>
      </x:c>
      <x:c r="BB130" t="n">
        <x:f>N130+X130</x:f>
        <x:v>299.54471679892873</x:v>
      </x:c>
      <x:c r="BC130" t="n">
        <x:f>AS130/'Inputs'!$D$14-1</x:f>
        <x:v>0.039282310840467405</x:v>
      </x:c>
      <x:c r="BD130" t="n">
        <x:f>AT130/AS130-1</x:f>
        <x:v>0.044750022162673764</x:v>
      </x:c>
      <x:c r="BE130" t="n">
        <x:f>AU130/AT130-1</x:f>
        <x:v>0.04496532487270888</x:v>
      </x:c>
      <x:c r="BF130" t="n">
        <x:f>AV130/AU130-1</x:f>
        <x:v>0.04518064187154125</x:v>
      </x:c>
      <x:c r="BG130" t="n">
        <x:f>AW130/AV130-1</x:f>
        <x:v>0.045395884442539725</x:v>
      </x:c>
      <x:c r="BH130" t="n">
        <x:f>AX130/AW130-1</x:f>
        <x:v>0.04231670755403205</x:v>
      </x:c>
      <x:c r="BI130" t="n">
        <x:f>AY130/AX130-1</x:f>
        <x:v>0.039237530665523934</x:v>
      </x:c>
      <x:c r="BJ130" t="n">
        <x:f>AZ130/AY130-1</x:f>
        <x:v>0.03615835377701582</x:v>
      </x:c>
      <x:c r="BK130" t="n">
        <x:f>BA130/AZ130-1</x:f>
        <x:v>0.03307917688850792</x:v>
      </x:c>
      <x:c r="BL130" t="n">
        <x:f>BB130/BA130-1</x:f>
        <x:v>0.030000000000000027</x:v>
      </x:c>
      <x:c r="BM130" t="n">
        <x:f>AH130*(1-'Assumptions'!$F$9)*(1+'Assumptions'!$D$9)*(1-'Assumptions'!$D$9/'Assumptions'!$E$9)</x:f>
        <x:v>70.7568125215724</x:v>
      </x:c>
      <x:c r="BN130" t="n">
        <x:f>SUMPRODUCT(AI130:AR130,'NSSC Model'!$B$83:$K$83)+BM130/('Assumptions'!$C$9-'Assumptions'!$D$9)*'NSSC Model'!$K$83</x:f>
        <x:v>762.1945446263167</x:v>
      </x:c>
      <x:c r="BO130" t="n">
        <x:f>'NSSC Model'!$B$94</x:f>
        <x:v>101.2</x:v>
      </x:c>
      <x:c r="BP130" t="n">
        <x:f>'Inputs'!$D$8</x:f>
        <x:v>35.891</x:v>
      </x:c>
    </x:row>
    <x:row r="131">
      <x:c r="A131" t="str">
        <x:v>NSSC</x:v>
      </x:c>
      <x:c r="B131" s="22" t="n">
        <x:v>0.07</x:v>
      </x:c>
      <x:c r="C131" s="42" t="n">
        <x:f>(BN131+BO131)/BP131</x:f>
        <x:v>25.578713812120824</x:v>
      </x:c>
      <x:c r="D131" s="22" t="n">
        <x:f>C131/'Inputs'!$D$5-1</x:f>
        <x:v>-0.3088702023204316</x:v>
      </x:c>
      <x:c r="E131" t="n">
        <x:f>'Inputs'!$D$21*(1+$B131)^1</x:f>
        <x:v>104.35496</x:v>
      </x:c>
      <x:c r="F131" t="n">
        <x:f>'Inputs'!$D$21*(1+$B131)^2</x:f>
        <x:v>111.6598072</x:v>
      </x:c>
      <x:c r="G131" t="n">
        <x:f>'Inputs'!$D$21*(1+$B131)^3</x:f>
        <x:v>119.47599370400002</x:v>
      </x:c>
      <x:c r="H131" t="n">
        <x:f>'Inputs'!$D$21*(1+$B131)^4</x:f>
        <x:v>127.83931326328</x:v>
      </x:c>
      <x:c r="I131" t="n">
        <x:f>'Inputs'!$D$21*(1+$B131)^5</x:f>
        <x:v>136.78806519170962</x:v>
      </x:c>
      <x:c r="J131" t="n">
        <x:f>I131*(1+($BG131+('Assumptions'!$D$9-$BG131)*(6-5)/5))</x:f>
        <x:v>143.17912575129847</x:v>
      </x:c>
      <x:c r="K131" t="n">
        <x:f>J131*(1+($BG131+('Assumptions'!$D$9-$BG131)*(7-5)/5))</x:f>
        <x:v>149.27021866497216</x:v>
      </x:c>
      <x:c r="L131" t="n">
        <x:f>K131*(1+($BG131+('Assumptions'!$D$9-$BG131)*(8-5)/5))</x:f>
        <x:v>154.99640002843077</x:v>
      </x:c>
      <x:c r="M131" t="n">
        <x:f>L131*(1+($BG131+('Assumptions'!$D$9-$BG131)*(9-5)/5))</x:f>
        <x:v>160.29426824061468</x:v>
      </x:c>
      <x:c r="N131" t="n">
        <x:f>M131*(1+($BG131+('Assumptions'!$D$9-$BG131)*(10-5)/5))</x:f>
        <x:v>165.10309628783313</x:v>
      </x:c>
      <x:c r="O131" t="n">
        <x:f>'NSSC Model'!$B$68</x:f>
        <x:v>106.88376</x:v>
      </x:c>
      <x:c r="P131" t="n">
        <x:f>'NSSC Model'!$C$68</x:f>
        <x:v>110.0902728</x:v>
      </x:c>
      <x:c r="Q131" t="n">
        <x:f>'NSSC Model'!$D$68</x:f>
        <x:v>113.39298098399999</x:v>
      </x:c>
      <x:c r="R131" t="n">
        <x:f>'NSSC Model'!$E$68</x:f>
        <x:v>116.79477041352</x:v>
      </x:c>
      <x:c r="S131" t="n">
        <x:f>'NSSC Model'!$F$68</x:f>
        <x:v>120.2986135259256</x:v>
      </x:c>
      <x:c r="T131" t="n">
        <x:f>S131*(1+($BG131+('Assumptions'!$D$9-$BG131)*(6-5)/5))</x:f>
        <x:v>125.9192480688679</x:v>
      </x:c>
      <x:c r="U131" t="n">
        <x:f>T131*(1+($BG131+('Assumptions'!$D$9-$BG131)*(7-5)/5))</x:f>
        <x:v>131.2760752989744</x:v>
      </x:c>
      <x:c r="V131" t="n">
        <x:f>U131*(1+($BG131+('Assumptions'!$D$9-$BG131)*(8-5)/5))</x:f>
        <x:v>136.31198013362962</x:v>
      </x:c>
      <x:c r="W131" t="n">
        <x:f>V131*(1+($BG131+('Assumptions'!$D$9-$BG131)*(9-5)/5))</x:f>
        <x:v>140.97120387274444</x:v>
      </x:c>
      <x:c r="X131" t="n">
        <x:f>W131*(1+($BG131+('Assumptions'!$D$9-$BG131)*(10-5)/5))</x:f>
        <x:v>145.20033998892677</x:v>
      </x:c>
      <x:c r="Y131" t="n">
        <x:f>E131*'NSSC Model'!$B$62+O131*'NSSC Model'!$B$63+'NSSC Model'!$B$73+'NSSC Model'!$B$74</x:f>
        <x:v>64.09117180000001</x:v>
      </x:c>
      <x:c r="Z131" t="n">
        <x:f>F131*'NSSC Model'!$C$62+P131*'NSSC Model'!$C$63+'NSSC Model'!$C$73+'NSSC Model'!$C$74</x:f>
        <x:v>68.57969355260002</x:v>
      </x:c>
      <x:c r="AA131" t="n">
        <x:f>G131*'NSSC Model'!$D$62+Q131*'NSSC Model'!$D$63+'NSSC Model'!$D$73+'NSSC Model'!$D$74</x:f>
        <x:v>73.61905792953702</x:v>
      </x:c>
      <x:c r="AB131" t="n">
        <x:f>H131*'NSSC Model'!$E$62+R131*'NSSC Model'!$E$63+'NSSC Model'!$E$73+'NSSC Model'!$E$74</x:f>
        <x:v>78.43596109300223</x:v>
      </x:c>
      <x:c r="AC131" t="n">
        <x:f>I131*'NSSC Model'!$F$62+S131*'NSSC Model'!$F$63+'NSSC Model'!$F$73+'NSSC Model'!$F$74</x:f>
        <x:v>83.6055616731671</x:v>
      </x:c>
      <x:c r="AD131" t="n">
        <x:f>AX131*$AC131/$AW131</x:f>
        <x:v>87.51181041659942</x:v>
      </x:c>
      <x:c r="AE131" t="n">
        <x:f>AY131*$AC131/$AW131</x:f>
        <x:v>91.23471740806406</x:v>
      </x:c>
      <x:c r="AF131" t="n">
        <x:f>AZ131*$AC131/$AW131</x:f>
        <x:v>94.73458860269949</x:v>
      </x:c>
      <x:c r="AG131" t="n">
        <x:f>BA131*$AC131/$AW131</x:f>
        <x:v>97.97267261923471</x:v>
      </x:c>
      <x:c r="AH131" t="n">
        <x:f>BB131*$AC131/$AW131</x:f>
        <x:v>100.91185279781176</x:v>
      </x:c>
      <x:c r="AI131" t="n">
        <x:f>Y131*(1-'Assumptions'!$F$9)+AS131*'Assumptions'!$G$9-AS131*'NSSC Model'!$B$65-(AS131-'Inputs'!$D$14)*'Assumptions'!$H$9-'Assumptions'!$I$9</x:f>
        <x:v>50.817533996000016</x:v>
      </x:c>
      <x:c r="AJ131" t="n">
        <x:f>Z131*(1-'Assumptions'!$F$9)+AT131*'Assumptions'!$G$9-AT131*'NSSC Model'!$C$65-(AT131-AS131)*'Assumptions'!$H$9-0</x:f>
        <x:v>54.29721239313202</x:v>
      </x:c>
      <x:c r="AK131" t="n">
        <x:f>AA131*(1-'Assumptions'!$F$9)+AU131*'Assumptions'!$G$9-AU131*'NSSC Model'!$D$65-(AU131-AT131)*'Assumptions'!$H$9-0</x:f>
        <x:v>58.32426213466836</x:v>
      </x:c>
      <x:c r="AL131" t="n">
        <x:f>AB131*(1-'Assumptions'!$F$9)+AV131*'Assumptions'!$G$9-AV131*'NSSC Model'!$E$65-(AV131-AU131)*'Assumptions'!$H$9-0</x:f>
        <x:v>62.16244086267464</x:v>
      </x:c>
      <x:c r="AM131" t="n">
        <x:f>AC131*(1-'Assumptions'!$F$9)+AW131*'Assumptions'!$G$9-AW131*'NSSC Model'!$F$65-(AW131-AV131)*'Assumptions'!$H$9-0</x:f>
        <x:v>66.28295435304295</x:v>
      </x:c>
      <x:c r="AN131" t="n">
        <x:f>AD131*(1-'Assumptions'!$F$9)+AX131*'Assumptions'!$G$9-AX131*'NSSC Model'!$G$65-(AX131-AW131)*'Assumptions'!$H$9-0</x:f>
        <x:v>69.48212153607776</x:v>
      </x:c>
      <x:c r="AO131" t="n">
        <x:f>AE131*(1-'Assumptions'!$F$9)+AY131*'Assumptions'!$G$9-AY131*'NSSC Model'!$H$65-(AY131-AX131)*'Assumptions'!$H$9-0</x:f>
        <x:v>72.54549108437871</x:v>
      </x:c>
      <x:c r="AP131" t="n">
        <x:f>AF131*(1-'Assumptions'!$F$9)+AZ131*'Assumptions'!$G$9-AZ131*'NSSC Model'!$I$65-(AZ131-AY131)*'Assumptions'!$H$9-0</x:f>
        <x:v>75.44092051375397</x:v>
      </x:c>
      <x:c r="AQ131" t="n">
        <x:f>AG131*(1-'Assumptions'!$F$9)+BA131*'Assumptions'!$G$9-BA131*'NSSC Model'!$J$65-(BA131-AZ131)*'Assumptions'!$H$9-0</x:f>
        <x:v>78.13682046418916</x:v>
      </x:c>
      <x:c r="AR131" t="n">
        <x:f>AH131*(1-'Assumptions'!$F$9)+BB131*'Assumptions'!$G$9-BB131*'NSSC Model'!$K$65-(BB131-BA131)*'Assumptions'!$H$9-0</x:f>
        <x:v>80.60270913275853</x:v>
      </x:c>
      <x:c r="AS131" t="n">
        <x:f>E131+O131</x:f>
        <x:v>211.23872</x:v>
      </x:c>
      <x:c r="AT131" t="n">
        <x:f>F131+P131</x:f>
        <x:v>221.75008</x:v>
      </x:c>
      <x:c r="AU131" t="n">
        <x:f>G131+Q131</x:f>
        <x:v>232.868974688</x:v>
      </x:c>
      <x:c r="AV131" t="n">
        <x:f>H131+R131</x:f>
        <x:v>244.6340836768</x:v>
      </x:c>
      <x:c r="AW131" t="n">
        <x:f>I131+S131</x:f>
        <x:v>257.0866787176352</x:v>
      </x:c>
      <x:c r="AX131" t="n">
        <x:f>J131+T131</x:f>
        <x:v>269.0983738201664</x:v>
      </x:c>
      <x:c r="AY131" t="n">
        <x:f>K131+U131</x:f>
        <x:v>280.5462939639466</x:v>
      </x:c>
      <x:c r="AZ131" t="n">
        <x:f>L131+V131</x:f>
        <x:v>291.3083801620604</x:v>
      </x:c>
      <x:c r="BA131" t="n">
        <x:f>M131+W131</x:f>
        <x:v>301.2654721133591</x:v>
      </x:c>
      <x:c r="BB131" t="n">
        <x:f>N131+X131</x:f>
        <x:v>310.3034362767599</x:v>
      </x:c>
      <x:c r="BC131" t="n">
        <x:f>AS131/'Inputs'!$D$14-1</x:f>
        <x:v>0.04410288855058431</x:v>
      </x:c>
      <x:c r="BD131" t="n">
        <x:f>AT131/AS131-1</x:f>
        <x:v>0.0497605741977607</x:v>
      </x:c>
      <x:c r="BE131" t="n">
        <x:f>AU131/AT131-1</x:f>
        <x:v>0.05014155885761129</x:v>
      </x:c>
      <x:c r="BF131" t="n">
        <x:f>AV131/AU131-1</x:f>
        <x:v>0.05052244080416024</x:v>
      </x:c>
      <x:c r="BG131" t="n">
        <x:f>AW131/AV131-1</x:f>
        <x:v>0.05090294391392747</x:v>
      </x:c>
      <x:c r="BH131" t="n">
        <x:f>AX131/AW131-1</x:f>
        <x:v>0.04672235513114198</x:v>
      </x:c>
      <x:c r="BI131" t="n">
        <x:f>AY131/AX131-1</x:f>
        <x:v>0.04254176634835649</x:v>
      </x:c>
      <x:c r="BJ131" t="n">
        <x:f>AZ131/AY131-1</x:f>
        <x:v>0.038361177565571</x:v>
      </x:c>
      <x:c r="BK131" t="n">
        <x:f>BA131/AZ131-1</x:f>
        <x:v>0.03418058878278529</x:v>
      </x:c>
      <x:c r="BL131" t="n">
        <x:f>BB131/BA131-1</x:f>
        <x:v>0.030000000000000027</x:v>
      </x:c>
      <x:c r="BM131" t="n">
        <x:f>AH131*(1-'Assumptions'!$F$9)*(1+'Assumptions'!$D$9)*(1-'Assumptions'!$D$9/'Assumptions'!$E$9)</x:f>
        <x:v>76.70713578572864</x:v>
      </x:c>
      <x:c r="BN131" t="n">
        <x:f>SUMPRODUCT(AI131:AR131,'NSSC Model'!$B$83:$K$83)+BM131/('Assumptions'!$C$9-'Assumptions'!$D$9)*'NSSC Model'!$K$83</x:f>
        <x:v>816.8456174308284</x:v>
      </x:c>
      <x:c r="BO131" t="n">
        <x:f>'NSSC Model'!$B$94</x:f>
        <x:v>101.2</x:v>
      </x:c>
      <x:c r="BP131" t="n">
        <x:f>'Inputs'!$D$8</x:f>
        <x:v>35.891</x:v>
      </x:c>
    </x:row>
    <x:row r="132">
      <x:c r="A132" t="str">
        <x:v>NSSC</x:v>
      </x:c>
      <x:c r="B132" s="22" t="n">
        <x:v>0.08</x:v>
      </x:c>
      <x:c r="C132" s="42" t="n">
        <x:f>(BN132+BO132)/BP132</x:f>
        <x:v>27.17997663946801</x:v>
      </x:c>
      <x:c r="D132" s="22" t="n">
        <x:f>C132/'Inputs'!$D$5-1</x:f>
        <x:v>-0.2656045220354496</x:v>
      </x:c>
      <x:c r="E132" t="n">
        <x:f>'Inputs'!$D$21*(1+$B132)^1</x:f>
        <x:v>105.33024000000002</x:v>
      </x:c>
      <x:c r="F132" t="n">
        <x:f>'Inputs'!$D$21*(1+$B132)^2</x:f>
        <x:v>113.75665920000002</x:v>
      </x:c>
      <x:c r="G132" t="n">
        <x:f>'Inputs'!$D$21*(1+$B132)^3</x:f>
        <x:v>122.85719193600002</x:v>
      </x:c>
      <x:c r="H132" t="n">
        <x:f>'Inputs'!$D$21*(1+$B132)^4</x:f>
        <x:v>132.68576729088005</x:v>
      </x:c>
      <x:c r="I132" t="n">
        <x:f>'Inputs'!$D$21*(1+$B132)^5</x:f>
        <x:v>143.30062867415043</x:v>
      </x:c>
      <x:c r="J132" t="n">
        <x:f>I132*(1+($BG132+('Assumptions'!$D$9-$BG132)*(6-5)/5))</x:f>
        <x:v>150.64821461601625</x:v>
      </x:c>
      <x:c r="K132" t="n">
        <x:f>J132*(1+($BG132+('Assumptions'!$D$9-$BG132)*(7-5)/5))</x:f>
        <x:v>157.5713203697189</x:v>
      </x:c>
      <x:c r="L132" t="n">
        <x:f>K132*(1+($BG132+('Assumptions'!$D$9-$BG132)*(8-5)/5))</x:f>
        <x:v>163.9745403467319</x:v>
      </x:c>
      <x:c r="M132" t="n">
        <x:f>L132*(1+($BG132+('Assumptions'!$D$9-$BG132)*(9-5)/5))</x:f>
        <x:v>169.76587214832801</x:v>
      </x:c>
      <x:c r="N132" t="n">
        <x:f>M132*(1+($BG132+('Assumptions'!$D$9-$BG132)*(10-5)/5))</x:f>
        <x:v>174.85884831277787</x:v>
      </x:c>
      <x:c r="O132" t="n">
        <x:f>'NSSC Model'!$B$68</x:f>
        <x:v>106.88376</x:v>
      </x:c>
      <x:c r="P132" t="n">
        <x:f>'NSSC Model'!$C$68</x:f>
        <x:v>110.0902728</x:v>
      </x:c>
      <x:c r="Q132" t="n">
        <x:f>'NSSC Model'!$D$68</x:f>
        <x:v>113.39298098399999</x:v>
      </x:c>
      <x:c r="R132" t="n">
        <x:f>'NSSC Model'!$E$68</x:f>
        <x:v>116.79477041352</x:v>
      </x:c>
      <x:c r="S132" t="n">
        <x:f>'NSSC Model'!$F$68</x:f>
        <x:v>120.2986135259256</x:v>
      </x:c>
      <x:c r="T132" t="n">
        <x:f>S132*(1+($BG132+('Assumptions'!$D$9-$BG132)*(6-5)/5))</x:f>
        <x:v>126.46679582733714</x:v>
      </x:c>
      <x:c r="U132" t="n">
        <x:f>T132*(1+($BG132+('Assumptions'!$D$9-$BG132)*(7-5)/5))</x:f>
        <x:v>132.2786337178573</x:v>
      </x:c>
      <x:c r="V132" t="n">
        <x:f>U132*(1+($BG132+('Assumptions'!$D$9-$BG132)*(8-5)/5))</x:f>
        <x:v>137.65403571339039</x:v>
      </x:c>
      <x:c r="W132" t="n">
        <x:f>V132*(1+($BG132+('Assumptions'!$D$9-$BG132)*(9-5)/5))</x:f>
        <x:v>142.51576725390444</x:v>
      </x:c>
      <x:c r="X132" t="n">
        <x:f>W132*(1+($BG132+('Assumptions'!$D$9-$BG132)*(10-5)/5))</x:f>
        <x:v>146.7912402715216</x:v>
      </x:c>
      <x:c r="Y132" t="n">
        <x:f>E132*'NSSC Model'!$B$62+O132*'NSSC Model'!$B$63+'NSSC Model'!$B$73+'NSSC Model'!$B$74</x:f>
        <x:v>64.97184964000002</x:v>
      </x:c>
      <x:c r="Z132" t="n">
        <x:f>F132*'NSSC Model'!$C$62+P132*'NSSC Model'!$C$63+'NSSC Model'!$C$73+'NSSC Model'!$C$74</x:f>
        <x:v>70.47315090860002</x:v>
      </x:c>
      <x:c r="AA132" t="n">
        <x:f>G132*'NSSC Model'!$D$62+Q132*'NSSC Model'!$D$63+'NSSC Model'!$D$73+'NSSC Model'!$D$74</x:f>
        <x:v>76.67227993303304</x:v>
      </x:c>
      <x:c r="AB132" t="n">
        <x:f>H132*'NSSC Model'!$E$62+R132*'NSSC Model'!$E$63+'NSSC Model'!$E$73+'NSSC Model'!$E$74</x:f>
        <x:v>82.81230907992507</x:v>
      </x:c>
      <x:c r="AC132" t="n">
        <x:f>I132*'NSSC Model'!$F$62+S132*'NSSC Model'!$F$63+'NSSC Model'!$F$73+'NSSC Model'!$F$74</x:f>
        <x:v>89.48640649781115</x:v>
      </x:c>
      <x:c r="AD132" t="n">
        <x:f>AX132*$AC132/$AW132</x:f>
        <x:v>94.07472595219757</x:v>
      </x:c>
      <x:c r="AE132" t="n">
        <x:f>AY132*$AC132/$AW132</x:f>
        <x:v>98.3979718544322</x:v>
      </x:c>
      <x:c r="AF132" t="n">
        <x:f>AZ132*$AC132/$AW132</x:f>
        <x:v>102.39656663422785</x:v>
      </x:c>
      <x:c r="AG132" t="n">
        <x:f>BA132*$AC132/$AW132</x:f>
        <x:v>106.01305789847598</x:v>
      </x:c>
      <x:c r="AH132" t="n">
        <x:f>BB132*$AC132/$AW132</x:f>
        <x:v>109.19344963543026</x:v>
      </x:c>
      <x:c r="AI132" t="n">
        <x:f>Y132*(1-'Assumptions'!$F$9)+AS132*'Assumptions'!$G$9-AS132*'NSSC Model'!$B$65-(AS132-'Inputs'!$D$14)*'Assumptions'!$H$9-'Assumptions'!$I$9</x:f>
        <x:v>51.43826070480001</x:v>
      </x:c>
      <x:c r="AJ132" t="n">
        <x:f>Z132*(1-'Assumptions'!$F$9)+AT132*'Assumptions'!$G$9-AT132*'NSSC Model'!$C$65-(AT132-AS132)*'Assumptions'!$H$9-0</x:f>
        <x:v>55.729302817052016</x:v>
      </x:c>
      <x:c r="AK132" t="n">
        <x:f>AA132*(1-'Assumptions'!$F$9)+AU132*'Assumptions'!$G$9-AU132*'NSSC Model'!$D$65-(AU132-AT132)*'Assumptions'!$H$9-0</x:f>
        <x:v>60.6859447614071</x:v>
      </x:c>
      <x:c r="AL132" t="n">
        <x:f>AB132*(1-'Assumptions'!$F$9)+AV132*'Assumptions'!$G$9-AV132*'NSSC Model'!$E$65-(AV132-AU132)*'Assumptions'!$H$9-0</x:f>
        <x:v>65.58513481628096</x:v>
      </x:c>
      <x:c r="AM132" t="n">
        <x:f>AC132*(1-'Assumptions'!$F$9)+AW132*'Assumptions'!$G$9-AW132*'NSSC Model'!$F$65-(AW132-AV132)*'Assumptions'!$H$9-0</x:f>
        <x:v>70.91258590983723</x:v>
      </x:c>
      <x:c r="AN132" t="n">
        <x:f>AD132*(1-'Assumptions'!$F$9)+AX132*'Assumptions'!$G$9-AX132*'NSSC Model'!$G$65-(AX132-AW132)*'Assumptions'!$H$9-0</x:f>
        <x:v>74.68123841470086</x:v>
      </x:c>
      <x:c r="AO132" t="n">
        <x:f>AE132*(1-'Assumptions'!$F$9)+AY132*'Assumptions'!$G$9-AY132*'NSSC Model'!$H$65-(AY132-AX132)*'Assumptions'!$H$9-0</x:f>
        <x:v>78.25344273986181</x:v>
      </x:c>
      <x:c r="AP132" t="n">
        <x:f>AF132*(1-'Assumptions'!$F$9)+AZ132*'Assumptions'!$G$9-AZ132*'NSSC Model'!$I$65-(AZ132-AY132)*'Assumptions'!$H$9-0</x:f>
        <x:v>81.58080813857175</x:v>
      </x:c>
      <x:c r="AQ132" t="n">
        <x:f>AG132*(1-'Assumptions'!$F$9)+BA132*'Assumptions'!$G$9-BA132*'NSSC Model'!$J$65-(BA132-AZ132)*'Assumptions'!$H$9-0</x:f>
        <x:v>84.61627458493037</x:v>
      </x:c>
      <x:c r="AR132" t="n">
        <x:f>AH132*(1-'Assumptions'!$F$9)+BB132*'Assumptions'!$G$9-BB132*'NSSC Model'!$K$65-(BB132-BA132)*'Assumptions'!$H$9-0</x:f>
        <x:v>87.31518342850892</x:v>
      </x:c>
      <x:c r="AS132" t="n">
        <x:f>E132+O132</x:f>
        <x:v>212.214</x:v>
      </x:c>
      <x:c r="AT132" t="n">
        <x:f>F132+P132</x:f>
        <x:v>223.846932</x:v>
      </x:c>
      <x:c r="AU132" t="n">
        <x:f>G132+Q132</x:f>
        <x:v>236.25017292</x:v>
      </x:c>
      <x:c r="AV132" t="n">
        <x:f>H132+R132</x:f>
        <x:v>249.48053770440004</x:v>
      </x:c>
      <x:c r="AW132" t="n">
        <x:f>I132+S132</x:f>
        <x:v>263.59924220007605</x:v>
      </x:c>
      <x:c r="AX132" t="n">
        <x:f>J132+T132</x:f>
        <x:v>277.1150104433534</x:v>
      </x:c>
      <x:c r="AY132" t="n">
        <x:f>K132+U132</x:f>
        <x:v>289.8499540875762</x:v>
      </x:c>
      <x:c r="AZ132" t="n">
        <x:f>L132+V132</x:f>
        <x:v>301.6285760601223</x:v>
      </x:c>
      <x:c r="BA132" t="n">
        <x:f>M132+W132</x:f>
        <x:v>312.2816394022325</x:v>
      </x:c>
      <x:c r="BB132" t="n">
        <x:f>N132+X132</x:f>
        <x:v>321.65008858429945</x:v>
      </x:c>
      <x:c r="BC132" t="n">
        <x:f>AS132/'Inputs'!$D$14-1</x:f>
        <x:v>0.04892346626070099</x:v>
      </x:c>
      <x:c r="BD132" t="n">
        <x:f>AT132/AS132-1</x:f>
        <x:v>0.054816986626706976</x:v>
      </x:c>
      <x:c r="BE132" t="n">
        <x:f>AU132/AT132-1</x:f>
        <x:v>0.05540947472087754</x:v>
      </x:c>
      <x:c r="BF132" t="n">
        <x:f>AV132/AU132-1</x:f>
        <x:v>0.05600150307140783</x:v>
      </x:c>
      <x:c r="BG132" t="n">
        <x:f>AW132/AV132-1</x:f>
        <x:v>0.05659240847237834</x:v>
      </x:c>
      <x:c r="BH132" t="n">
        <x:f>AX132/AW132-1</x:f>
        <x:v>0.05127392677790277</x:v>
      </x:c>
      <x:c r="BI132" t="n">
        <x:f>AY132/AX132-1</x:f>
        <x:v>0.04595544508342675</x:v>
      </x:c>
      <x:c r="BJ132" t="n">
        <x:f>AZ132/AY132-1</x:f>
        <x:v>0.04063696338895162</x:v>
      </x:c>
      <x:c r="BK132" t="n">
        <x:f>BA132/AZ132-1</x:f>
        <x:v>0.0353184816944756</x:v>
      </x:c>
      <x:c r="BL132" t="n">
        <x:f>BB132/BA132-1</x:f>
        <x:v>0.030000000000000027</x:v>
      </x:c>
      <x:c r="BM132" t="n">
        <x:f>AH132*(1-'Assumptions'!$F$9)*(1+'Assumptions'!$D$9)*(1-'Assumptions'!$D$9/'Assumptions'!$E$9)</x:f>
        <x:v>83.00230880587597</x:v>
      </x:c>
      <x:c r="BN132" t="n">
        <x:f>SUMPRODUCT(AI132:AR132,'NSSC Model'!$B$83:$K$83)+BM132/('Assumptions'!$C$9-'Assumptions'!$D$9)*'NSSC Model'!$K$83</x:f>
        <x:v>874.3165415671463</x:v>
      </x:c>
      <x:c r="BO132" t="n">
        <x:f>'NSSC Model'!$B$94</x:f>
        <x:v>101.2</x:v>
      </x:c>
      <x:c r="BP132" t="n">
        <x:f>'Inputs'!$D$8</x:f>
        <x:v>35.891</x:v>
      </x:c>
    </x:row>
    <x:row r="133">
      <x:c r="A133" t="str">
        <x:v>NSSC</x:v>
      </x:c>
      <x:c r="B133" s="22" t="n">
        <x:v>0.09</x:v>
      </x:c>
      <x:c r="C133" s="42" t="n">
        <x:f>(BN133+BO133)/BP133</x:f>
        <x:v>28.863912251344</x:v>
      </x:c>
      <x:c r="D133" s="22" t="n">
        <x:f>C133/'Inputs'!$D$5-1</x:f>
        <x:v>-0.2201050458972169</x:v>
      </x:c>
      <x:c r="E133" t="n">
        <x:f>'Inputs'!$D$21*(1+$B133)^1</x:f>
        <x:v>106.30552000000002</x:v>
      </x:c>
      <x:c r="F133" t="n">
        <x:f>'Inputs'!$D$21*(1+$B133)^2</x:f>
        <x:v>115.87301680000002</x:v>
      </x:c>
      <x:c r="G133" t="n">
        <x:f>'Inputs'!$D$21*(1+$B133)^3</x:f>
        <x:v>126.30158831200002</x:v>
      </x:c>
      <x:c r="H133" t="n">
        <x:f>'Inputs'!$D$21*(1+$B133)^4</x:f>
        <x:v>137.66873126008002</x:v>
      </x:c>
      <x:c r="I133" t="n">
        <x:f>'Inputs'!$D$21*(1+$B133)^5</x:f>
        <x:v>150.05891707348727</x:v>
      </x:c>
      <x:c r="J133" t="n">
        <x:f>I133*(1+($BG133+('Assumptions'!$D$9-$BG133)*(6-5)/5))</x:f>
        <x:v>158.45752711285647</x:v>
      </x:c>
      <x:c r="K133" t="n">
        <x:f>J133*(1+($BG133+('Assumptions'!$D$9-$BG133)*(7-5)/5))</x:f>
        <x:v>166.29746087598525</x:v>
      </x:c>
      <x:c r="L133" t="n">
        <x:f>K133*(1+($BG133+('Assumptions'!$D$9-$BG133)*(8-5)/5))</x:f>
        <x:v>173.44565330935353</x:v>
      </x:c>
      <x:c r="M133" t="n">
        <x:f>L133*(1+($BG133+('Assumptions'!$D$9-$BG133)*(9-5)/5))</x:f>
        <x:v>179.77506461803273</x:v>
      </x:c>
      <x:c r="N133" t="n">
        <x:f>M133*(1+($BG133+('Assumptions'!$D$9-$BG133)*(10-5)/5))</x:f>
        <x:v>185.16831655657373</x:v>
      </x:c>
      <x:c r="O133" t="n">
        <x:f>'NSSC Model'!$B$68</x:f>
        <x:v>106.88376</x:v>
      </x:c>
      <x:c r="P133" t="n">
        <x:f>'NSSC Model'!$C$68</x:f>
        <x:v>110.0902728</x:v>
      </x:c>
      <x:c r="Q133" t="n">
        <x:f>'NSSC Model'!$D$68</x:f>
        <x:v>113.39298098399999</x:v>
      </x:c>
      <x:c r="R133" t="n">
        <x:f>'NSSC Model'!$E$68</x:f>
        <x:v>116.79477041352</x:v>
      </x:c>
      <x:c r="S133" t="n">
        <x:f>'NSSC Model'!$F$68</x:f>
        <x:v>120.2986135259256</x:v>
      </x:c>
      <x:c r="T133" t="n">
        <x:f>S133*(1+($BG133+('Assumptions'!$D$9-$BG133)*(6-5)/5))</x:f>
        <x:v>127.03157657127562</x:v>
      </x:c>
      <x:c r="U133" t="n">
        <x:f>T133*(1+($BG133+('Assumptions'!$D$9-$BG133)*(7-5)/5))</x:f>
        <x:v>133.31666232447756</x:v>
      </x:c>
      <x:c r="V133" t="n">
        <x:f>U133*(1+($BG133+('Assumptions'!$D$9-$BG133)*(8-5)/5))</x:f>
        <x:v>139.04719574242563</x:v>
      </x:c>
      <x:c r="W133" t="n">
        <x:f>V133*(1+($BG133+('Assumptions'!$D$9-$BG133)*(9-5)/5))</x:f>
        <x:v>144.12133208646267</x:v>
      </x:c>
      <x:c r="X133" t="n">
        <x:f>W133*(1+($BG133+('Assumptions'!$D$9-$BG133)*(10-5)/5))</x:f>
        <x:v>148.44497204905656</x:v>
      </x:c>
      <x:c r="Y133" t="n">
        <x:f>E133*'NSSC Model'!$B$62+O133*'NSSC Model'!$B$63+'NSSC Model'!$B$73+'NSSC Model'!$B$74</x:f>
        <x:v>65.85252748000002</x:v>
      </x:c>
      <x:c r="Z133" t="n">
        <x:f>F133*'NSSC Model'!$C$62+P133*'NSSC Model'!$C$63+'NSSC Model'!$C$73+'NSSC Model'!$C$74</x:f>
        <x:v>72.38422182140002</x:v>
      </x:c>
      <x:c r="AA133" t="n">
        <x:f>G133*'NSSC Model'!$D$62+Q133*'NSSC Model'!$D$63+'NSSC Model'!$D$73+'NSSC Model'!$D$74</x:f>
        <x:v>79.78256986056103</x:v>
      </x:c>
      <x:c r="AB133" t="n">
        <x:f>H133*'NSSC Model'!$E$62+R133*'NSSC Model'!$E$63+'NSSC Model'!$E$73+'NSSC Model'!$E$74</x:f>
        <x:v>87.31192554411264</x:v>
      </x:c>
      <x:c r="AC133" t="n">
        <x:f>I133*'NSSC Model'!$F$62+S133*'NSSC Model'!$F$63+'NSSC Model'!$F$73+'NSSC Model'!$F$74</x:f>
        <x:v>95.5891409224123</x:v>
      </x:c>
      <x:c r="AD133" t="n">
        <x:f>AX133*$AC133/$AW133</x:f>
        <x:v>100.93914566896456</x:v>
      </x:c>
      <x:c r="AE133" t="n">
        <x:f>AY133*$AC133/$AW133</x:f>
        <x:v>105.93326763066771</x:v>
      </x:c>
      <x:c r="AF133" t="n">
        <x:f>AZ133*$AC133/$AW133</x:f>
        <x:v>110.4867429400966</x:v>
      </x:c>
      <x:c r="AG133" t="n">
        <x:f>BA133*$AC133/$AW133</x:f>
        <x:v>114.51864588422455</x:v>
      </x:c>
      <x:c r="AH133" t="n">
        <x:f>BB133*$AC133/$AW133</x:f>
        <x:v>117.9542052607513</x:v>
      </x:c>
      <x:c r="AI133" t="n">
        <x:f>Y133*(1-'Assumptions'!$F$9)+AS133*'Assumptions'!$G$9-AS133*'NSSC Model'!$B$65-(AS133-'Inputs'!$D$14)*'Assumptions'!$H$9-'Assumptions'!$I$9</x:f>
        <x:v>52.05898741360002</x:v>
      </x:c>
      <x:c r="AJ133" t="n">
        <x:f>Z133*(1-'Assumptions'!$F$9)+AT133*'Assumptions'!$G$9-AT133*'NSSC Model'!$C$65-(AT133-AS133)*'Assumptions'!$H$9-0</x:f>
        <x:v>57.17380777514802</x:v>
      </x:c>
      <x:c r="AK133" t="n">
        <x:f>AA133*(1-'Assumptions'!$F$9)+AU133*'Assumptions'!$G$9-AU133*'NSSC Model'!$D$65-(AU133-AT133)*'Assumptions'!$H$9-0</x:f>
        <x:v>63.08980103887604</x:v>
      </x:c>
      <x:c r="AL133" t="n">
        <x:f>AB133*(1-'Assumptions'!$F$9)+AV133*'Assumptions'!$G$9-AV133*'NSSC Model'!$E$65-(AV133-AU133)*'Assumptions'!$H$9-0</x:f>
        <x:v>69.10103170171797</x:v>
      </x:c>
      <x:c r="AM133" t="n">
        <x:f>AC133*(1-'Assumptions'!$F$9)+AW133*'Assumptions'!$G$9-AW133*'NSSC Model'!$F$65-(AW133-AV133)*'Assumptions'!$H$9-0</x:f>
        <x:v>75.71226254139916</x:v>
      </x:c>
      <x:c r="AN133" t="n">
        <x:f>AD133*(1-'Assumptions'!$F$9)+AX133*'Assumptions'!$G$9-AX133*'NSSC Model'!$G$65-(AX133-AW133)*'Assumptions'!$H$9-0</x:f>
        <x:v>80.11498572534249</x:v>
      </x:c>
      <x:c r="AO133" t="n">
        <x:f>AE133*(1-'Assumptions'!$F$9)+AY133*'Assumptions'!$G$9-AY133*'NSSC Model'!$H$65-(AY133-AX133)*'Assumptions'!$H$9-0</x:f>
        <x:v>84.25432101271261</x:v>
      </x:c>
      <x:c r="AP133" t="n">
        <x:f>AF133*(1-'Assumptions'!$F$9)+AZ133*'Assumptions'!$G$9-AZ133*'NSSC Model'!$I$65-(AZ133-AY133)*'Assumptions'!$H$9-0</x:f>
        <x:v>88.06128522954047</x:v>
      </x:c>
      <x:c r="AQ133" t="n">
        <x:f>AG133*(1-'Assumptions'!$F$9)+BA133*'Assumptions'!$G$9-BA133*'NSSC Model'!$J$65-(BA133-AZ133)*'Assumptions'!$H$9-0</x:f>
        <x:v>91.46934927297454</x:v>
      </x:c>
      <x:c r="AR133" t="n">
        <x:f>AH133*(1-'Assumptions'!$F$9)+BB133*'Assumptions'!$G$9-BB133*'NSSC Model'!$K$65-(BB133-BA133)*'Assumptions'!$H$9-0</x:f>
        <x:v>94.41630596928006</x:v>
      </x:c>
      <x:c r="AS133" t="n">
        <x:f>E133+O133</x:f>
        <x:v>213.18928</x:v>
      </x:c>
      <x:c r="AT133" t="n">
        <x:f>F133+P133</x:f>
        <x:v>225.9632896</x:v>
      </x:c>
      <x:c r="AU133" t="n">
        <x:f>G133+Q133</x:f>
        <x:v>239.694569296</x:v>
      </x:c>
      <x:c r="AV133" t="n">
        <x:f>H133+R133</x:f>
        <x:v>254.46350167360004</x:v>
      </x:c>
      <x:c r="AW133" t="n">
        <x:f>I133+S133</x:f>
        <x:v>270.3575305994129</x:v>
      </x:c>
      <x:c r="AX133" t="n">
        <x:f>J133+T133</x:f>
        <x:v>285.4891036841321</x:v>
      </x:c>
      <x:c r="AY133" t="n">
        <x:f>K133+U133</x:f>
        <x:v>299.6141232004628</x:v>
      </x:c>
      <x:c r="AZ133" t="n">
        <x:f>L133+V133</x:f>
        <x:v>312.49284905177916</x:v>
      </x:c>
      <x:c r="BA133" t="n">
        <x:f>M133+W133</x:f>
        <x:v>323.8963967044954</x:v>
      </x:c>
      <x:c r="BB133" t="n">
        <x:f>N133+X133</x:f>
        <x:v>333.61328860563026</x:v>
      </x:c>
      <x:c r="BC133" t="n">
        <x:f>AS133/'Inputs'!$D$14-1</x:f>
        <x:v>0.05374404397081789</x:v>
      </x:c>
      <x:c r="BD133" t="n">
        <x:f>AT133/AS133-1</x:f>
        <x:v>0.05991863005494458</x:v>
      </x:c>
      <x:c r="BE133" t="n">
        <x:f>AU133/AT133-1</x:f>
        <x:v>0.060767745594016986</x:v>
      </x:c>
      <x:c r="BF133" t="n">
        <x:f>AV133/AU133-1</x:f>
        <x:v>0.061615632014431654</x:v>
      </x:c>
      <x:c r="BG133" t="n">
        <x:f>AW133/AV133-1</x:f>
        <x:v>0.062460937703357144</x:v>
      </x:c>
      <x:c r="BH133" t="n">
        <x:f>AX133/AW133-1</x:f>
        <x:v>0.055968750162685765</x:v>
      </x:c>
      <x:c r="BI133" t="n">
        <x:f>AY133/AX133-1</x:f>
        <x:v>0.049476562622014386</x:v>
      </x:c>
      <x:c r="BJ133" t="n">
        <x:f>AZ133/AY133-1</x:f>
        <x:v>0.042984375081342785</x:v>
      </x:c>
      <x:c r="BK133" t="n">
        <x:f>BA133/AZ133-1</x:f>
        <x:v>0.036492187540671406</x:v>
      </x:c>
      <x:c r="BL133" t="n">
        <x:f>BB133/BA133-1</x:f>
        <x:v>0.030000000000000027</x:v>
      </x:c>
      <x:c r="BM133" t="n">
        <x:f>AH133*(1-'Assumptions'!$F$9)*(1+'Assumptions'!$D$9)*(1-'Assumptions'!$D$9/'Assumptions'!$E$9)</x:f>
        <x:v>89.6617095869075</x:v>
      </x:c>
      <x:c r="BN133" t="n">
        <x:f>SUMPRODUCT(AI133:AR133,'NSSC Model'!$B$83:$K$83)+BM133/('Assumptions'!$C$9-'Assumptions'!$D$9)*'NSSC Model'!$K$83</x:f>
        <x:v>934.7546746129874</x:v>
      </x:c>
      <x:c r="BO133" t="n">
        <x:f>'NSSC Model'!$B$94</x:f>
        <x:v>101.2</x:v>
      </x:c>
      <x:c r="BP133" t="n">
        <x:f>'Inputs'!$D$8</x:f>
        <x:v>35.891</x:v>
      </x:c>
    </x:row>
    <x:row r="134">
      <x:c r="A134" t="str">
        <x:v>NSSC</x:v>
      </x:c>
      <x:c r="B134" s="22" t="n">
        <x:v>0.1</x:v>
      </x:c>
      <x:c r="C134" s="42" t="n">
        <x:f>(BN134+BO134)/BP134</x:f>
        <x:v>30.63481106921473</x:v>
      </x:c>
      <x:c r="D134" s="22" t="n">
        <x:f>C134/'Inputs'!$D$5-1</x:f>
        <x:v>-0.17225584790016935</x:v>
      </x:c>
      <x:c r="E134" t="n">
        <x:f>'Inputs'!$D$21*(1+$B134)^1</x:f>
        <x:v>107.28080000000001</x:v>
      </x:c>
      <x:c r="F134" t="n">
        <x:f>'Inputs'!$D$21*(1+$B134)^2</x:f>
        <x:v>118.00888000000002</x:v>
      </x:c>
      <x:c r="G134" t="n">
        <x:f>'Inputs'!$D$21*(1+$B134)^3</x:f>
        <x:v>129.80976800000005</x:v>
      </x:c>
      <x:c r="H134" t="n">
        <x:f>'Inputs'!$D$21*(1+$B134)^4</x:f>
        <x:v>142.79074480000006</x:v>
      </x:c>
      <x:c r="I134" t="n">
        <x:f>'Inputs'!$D$21*(1+$B134)^5</x:f>
        <x:v>157.06981928000008</x:v>
      </x:c>
      <x:c r="J134" t="n">
        <x:f>I134*(1+($BG134+('Assumptions'!$D$9-$BG134)*(6-5)/5))</x:f>
        <x:v>166.62029831864274</x:v>
      </x:c>
      <x:c r="K134" t="n">
        <x:f>J134*(1+($BG134+('Assumptions'!$D$9-$BG134)*(7-5)/5))</x:f>
        <x:v>175.46834059270086</x:v>
      </x:c>
      <x:c r="L134" t="n">
        <x:f>K134*(1+($BG134+('Assumptions'!$D$9-$BG134)*(8-5)/5))</x:f>
        <x:v>183.43495740245984</x:v>
      </x:c>
      <x:c r="M134" t="n">
        <x:f>L134*(1+($BG134+('Assumptions'!$D$9-$BG134)*(9-5)/5))</x:f>
        <x:v>190.3506404094487</x:v>
      </x:c>
      <x:c r="N134" t="n">
        <x:f>M134*(1+($BG134+('Assumptions'!$D$9-$BG134)*(10-5)/5))</x:f>
        <x:v>196.06115962173214</x:v>
      </x:c>
      <x:c r="O134" t="n">
        <x:f>'NSSC Model'!$B$68</x:f>
        <x:v>106.88376</x:v>
      </x:c>
      <x:c r="P134" t="n">
        <x:f>'NSSC Model'!$C$68</x:f>
        <x:v>110.0902728</x:v>
      </x:c>
      <x:c r="Q134" t="n">
        <x:f>'NSSC Model'!$D$68</x:f>
        <x:v>113.39298098399999</x:v>
      </x:c>
      <x:c r="R134" t="n">
        <x:f>'NSSC Model'!$E$68</x:f>
        <x:v>116.79477041352</x:v>
      </x:c>
      <x:c r="S134" t="n">
        <x:f>'NSSC Model'!$F$68</x:f>
        <x:v>120.2986135259256</x:v>
      </x:c>
      <x:c r="T134" t="n">
        <x:f>S134*(1+($BG134+('Assumptions'!$D$9-$BG134)*(6-5)/5))</x:f>
        <x:v>127.61325482444921</x:v>
      </x:c>
      <x:c r="U134" t="n">
        <x:f>T134*(1+($BG134+('Assumptions'!$D$9-$BG134)*(7-5)/5))</x:f>
        <x:v>134.38990499739242</x:v>
      </x:c>
      <x:c r="V134" t="n">
        <x:f>U134*(1+($BG134+('Assumptions'!$D$9-$BG134)*(8-5)/5))</x:f>
        <x:v>140.49147792272888</x:v>
      </x:c>
      <x:c r="W134" t="n">
        <x:f>V134*(1+($BG134+('Assumptions'!$D$9-$BG134)*(9-5)/5))</x:f>
        <x:v>145.78814841702984</x:v>
      </x:c>
      <x:c r="X134" t="n">
        <x:f>W134*(1+($BG134+('Assumptions'!$D$9-$BG134)*(10-5)/5))</x:f>
        <x:v>150.16179286954073</x:v>
      </x:c>
      <x:c r="Y134" t="n">
        <x:f>E134*'NSSC Model'!$B$62+O134*'NSSC Model'!$B$63+'NSSC Model'!$B$73+'NSSC Model'!$B$74</x:f>
        <x:v>66.73320532</x:v>
      </x:c>
      <x:c r="Z134" t="n">
        <x:f>F134*'NSSC Model'!$C$62+P134*'NSSC Model'!$C$63+'NSSC Model'!$C$73+'NSSC Model'!$C$74</x:f>
        <x:v>74.31290629100002</x:v>
      </x:c>
      <x:c r="AA134" t="n">
        <x:f>G134*'NSSC Model'!$D$62+Q134*'NSSC Model'!$D$63+'NSSC Model'!$D$73+'NSSC Model'!$D$74</x:f>
        <x:v>82.95045611882504</x:v>
      </x:c>
      <x:c r="AB134" t="n">
        <x:f>H134*'NSSC Model'!$E$62+R134*'NSSC Model'!$E$63+'NSSC Model'!$E$73+'NSSC Model'!$E$74</x:f>
        <x:v>91.93710377066044</x:v>
      </x:c>
      <x:c r="AC134" t="n">
        <x:f>I134*'NSSC Model'!$F$62+S134*'NSSC Model'!$F$63+'NSSC Model'!$F$73+'NSSC Model'!$F$74</x:f>
        <x:v>101.91998561489336</x:v>
      </x:c>
      <x:c r="AD134" t="n">
        <x:f>AX134*$AC134/$AW134</x:f>
        <x:v>108.11713214944562</x:v>
      </x:c>
      <x:c r="AE134" t="n">
        <x:f>AY134*$AC134/$AW134</x:f>
        <x:v>113.85847918495976</x:v>
      </x:c>
      <x:c r="AF134" t="n">
        <x:f>AZ134*$AC134/$AW134</x:f>
        <x:v>119.02788393994054</x:v>
      </x:c>
      <x:c r="AG134" t="n">
        <x:f>BA134*$AC134/$AW134</x:f>
        <x:v>123.51535528115964</x:v>
      </x:c>
      <x:c r="AH134" t="n">
        <x:f>BB134*$AC134/$AW134</x:f>
        <x:v>127.22081593959444</x:v>
      </x:c>
      <x:c r="AI134" t="n">
        <x:f>Y134*(1-'Assumptions'!$F$9)+AS134*'Assumptions'!$G$9-AS134*'NSSC Model'!$B$65-(AS134-'Inputs'!$D$14)*'Assumptions'!$H$9-'Assumptions'!$I$9</x:f>
        <x:v>52.6797141224</x:v>
      </x:c>
      <x:c r="AJ134" t="n">
        <x:f>Z134*(1-'Assumptions'!$F$9)+AT134*'Assumptions'!$G$9-AT134*'NSSC Model'!$C$65-(AT134-AS134)*'Assumptions'!$H$9-0</x:f>
        <x:v>58.63072726742001</x:v>
      </x:c>
      <x:c r="AK134" t="n">
        <x:f>AA134*(1-'Assumptions'!$F$9)+AU134*'Assumptions'!$G$9-AU134*'NSSC Model'!$D$65-(AU134-AT134)*'Assumptions'!$H$9-0</x:f>
        <x:v>65.53620340310054</x:v>
      </x:c>
      <x:c r="AL134" t="n">
        <x:f>AB134*(1-'Assumptions'!$F$9)+AV134*'Assumptions'!$G$9-AV134*'NSSC Model'!$E$65-(AV134-AU134)*'Assumptions'!$H$9-0</x:f>
        <x:v>72.71180640813547</x:v>
      </x:c>
      <x:c r="AM134" t="n">
        <x:f>AC134*(1-'Assumptions'!$F$9)+AW134*'Assumptions'!$G$9-AW134*'NSSC Model'!$F$65-(AW134-AV134)*'Assumptions'!$H$9-0</x:f>
        <x:v>80.68662271374829</x:v>
      </x:c>
      <x:c r="AN134" t="n">
        <x:f>AD134*(1-'Assumptions'!$F$9)+AX134*'Assumptions'!$G$9-AX134*'NSSC Model'!$G$65-(AX134-AW134)*'Assumptions'!$H$9-0</x:f>
        <x:v>85.79260211625643</x:v>
      </x:c>
      <x:c r="AO134" t="n">
        <x:f>AE134*(1-'Assumptions'!$F$9)+AY134*'Assumptions'!$G$9-AY134*'NSSC Model'!$H$65-(AY134-AX134)*'Assumptions'!$H$9-0</x:f>
        <x:v>90.56205070460652</x:v>
      </x:c>
      <x:c r="AP134" t="n">
        <x:f>AF134*(1-'Assumptions'!$F$9)+AZ134*'Assumptions'!$G$9-AZ134*'NSSC Model'!$I$65-(AZ134-AY134)*'Assumptions'!$H$9-0</x:f>
        <x:v>94.90034011594095</x:v>
      </x:c>
      <x:c r="AQ134" t="n">
        <x:f>AG134*(1-'Assumptions'!$F$9)+BA134*'Assumptions'!$G$9-BA134*'NSSC Model'!$J$65-(BA134-AZ134)*'Assumptions'!$H$9-0</x:f>
        <x:v>98.71680082511602</x:v>
      </x:c>
      <x:c r="AR134" t="n">
        <x:f>AH134*(1-'Assumptions'!$F$9)+BB134*'Assumptions'!$G$9-BB134*'NSSC Model'!$K$65-(BB134-BA134)*'Assumptions'!$H$9-0</x:f>
        <x:v>101.92776089402294</x:v>
      </x:c>
      <x:c r="AS134" t="n">
        <x:f>E134+O134</x:f>
        <x:v>214.16456</x:v>
      </x:c>
      <x:c r="AT134" t="n">
        <x:f>F134+P134</x:f>
        <x:v>228.0991528</x:v>
      </x:c>
      <x:c r="AU134" t="n">
        <x:f>G134+Q134</x:f>
        <x:v>243.20274898400004</x:v>
      </x:c>
      <x:c r="AV134" t="n">
        <x:f>H134+R134</x:f>
        <x:v>259.58551521352007</x:v>
      </x:c>
      <x:c r="AW134" t="n">
        <x:f>I134+S134</x:f>
        <x:v>277.3684328059257</x:v>
      </x:c>
      <x:c r="AX134" t="n">
        <x:f>J134+T134</x:f>
        <x:v>294.23355314309197</x:v>
      </x:c>
      <x:c r="AY134" t="n">
        <x:f>K134+U134</x:f>
        <x:v>309.85824559009325</x:v>
      </x:c>
      <x:c r="AZ134" t="n">
        <x:f>L134+V134</x:f>
        <x:v>323.9264353251887</x:v>
      </x:c>
      <x:c r="BA134" t="n">
        <x:f>M134+W134</x:f>
        <x:v>336.1387888264785</x:v>
      </x:c>
      <x:c r="BB134" t="n">
        <x:f>N134+X134</x:f>
        <x:v>346.22295249127285</x:v>
      </x:c>
      <x:c r="BC134" t="n">
        <x:f>AS134/'Inputs'!$D$14-1</x:f>
        <x:v>0.05856462168093479</x:v>
      </x:c>
      <x:c r="BD134" t="n">
        <x:f>AT134/AS134-1</x:f>
        <x:v>0.06506488655265841</x:v>
      </x:c>
      <x:c r="BE134" t="n">
        <x:f>AU134/AT134-1</x:f>
        <x:v>0.06621504726605898</x:v>
      </x:c>
      <x:c r="BF134" t="n">
        <x:f>AV134/AU134-1</x:f>
        <x:v>0.0673625865577605</x:v>
      </x:c>
      <x:c r="BG134" t="n">
        <x:f>AW134/AV134-1</x:f>
        <x:v>0.06850504573715677</x:v>
      </x:c>
      <x:c r="BH134" t="n">
        <x:f>AX134/AW134-1</x:f>
        <x:v>0.06080403658972533</x:v>
      </x:c>
      <x:c r="BI134" t="n">
        <x:f>AY134/AX134-1</x:f>
        <x:v>0.05310302744229389</x:v>
      </x:c>
      <x:c r="BJ134" t="n">
        <x:f>AZ134/AY134-1</x:f>
        <x:v>0.04540201829486268</x:v>
      </x:c>
      <x:c r="BK134" t="n">
        <x:f>BA134/AZ134-1</x:f>
        <x:v>0.037701009147431463</x:v>
      </x:c>
      <x:c r="BL134" t="n">
        <x:f>BB134/BA134-1</x:f>
        <x:v>0.030000000000000027</x:v>
      </x:c>
      <x:c r="BM134" t="n">
        <x:f>AH134*(1-'Assumptions'!$F$9)*(1+'Assumptions'!$D$9)*(1-'Assumptions'!$D$9/'Assumptions'!$E$9)</x:f>
        <x:v>96.70563102832334</x:v>
      </x:c>
      <x:c r="BN134" t="n">
        <x:f>SUMPRODUCT(AI134:AR134,'NSSC Model'!$B$83:$K$83)+BM134/('Assumptions'!$C$9-'Assumptions'!$D$9)*'NSSC Model'!$K$83</x:f>
        <x:v>998.314004085186</x:v>
      </x:c>
      <x:c r="BO134" t="n">
        <x:f>'NSSC Model'!$B$94</x:f>
        <x:v>101.2</x:v>
      </x:c>
      <x:c r="BP134" t="n">
        <x:f>'Inputs'!$D$8</x:f>
        <x:v>35.891</x:v>
      </x:c>
    </x:row>
    <x:row r="135">
      <x:c r="A135" t="str">
        <x:v>NSSC</x:v>
      </x:c>
      <x:c r="B135" s="22" t="n">
        <x:v>0.11</x:v>
      </x:c>
      <x:c r="C135" s="42" t="n">
        <x:f>(BN135+BO135)/BP135</x:f>
        <x:v>32.4971543839787</x:v>
      </x:c>
      <x:c r="D135" s="22" t="n">
        <x:f>C135/'Inputs'!$D$5-1</x:f>
        <x:v>-0.12193584479927844</x:v>
      </x:c>
      <x:c r="E135" t="n">
        <x:f>'Inputs'!$D$21*(1+$B135)^1</x:f>
        <x:v>108.25608000000001</x:v>
      </x:c>
      <x:c r="F135" t="n">
        <x:f>'Inputs'!$D$21*(1+$B135)^2</x:f>
        <x:v>120.16424880000002</x:v>
      </x:c>
      <x:c r="G135" t="n">
        <x:f>'Inputs'!$D$21*(1+$B135)^3</x:f>
        <x:v>133.38231616800005</x:v>
      </x:c>
      <x:c r="H135" t="n">
        <x:f>'Inputs'!$D$21*(1+$B135)^4</x:f>
        <x:v>148.05437094648005</x:v>
      </x:c>
      <x:c r="I135" t="n">
        <x:f>'Inputs'!$D$21*(1+$B135)^5</x:f>
        <x:v>164.34035175059287</x:v>
      </x:c>
      <x:c r="J135" t="n">
        <x:f>I135*(1+($BG135+('Assumptions'!$D$9-$BG135)*(6-5)/5))</x:f>
        <x:v>175.15014969982803</x:v>
      </x:c>
      <x:c r="K135" t="n">
        <x:f>J135*(1+($BG135+('Assumptions'!$D$9-$BG135)*(7-5)/5))</x:f>
        <x:v>185.10440048748015</x:v>
      </x:c>
      <x:c r="L135" t="n">
        <x:f>K135*(1+($BG135+('Assumptions'!$D$9-$BG135)*(8-5)/5))</x:f>
        <x:v>193.96876278909704</x:v>
      </x:c>
      <x:c r="M135" t="n">
        <x:f>L135*(1+($BG135+('Assumptions'!$D$9-$BG135)*(9-5)/5))</x:f>
        <x:v>201.5227256545809</x:v>
      </x:c>
      <x:c r="N135" t="n">
        <x:f>M135*(1+($BG135+('Assumptions'!$D$9-$BG135)*(10-5)/5))</x:f>
        <x:v>207.56840742421835</x:v>
      </x:c>
      <x:c r="O135" t="n">
        <x:f>'NSSC Model'!$B$68</x:f>
        <x:v>106.88376</x:v>
      </x:c>
      <x:c r="P135" t="n">
        <x:f>'NSSC Model'!$C$68</x:f>
        <x:v>110.0902728</x:v>
      </x:c>
      <x:c r="Q135" t="n">
        <x:f>'NSSC Model'!$D$68</x:f>
        <x:v>113.39298098399999</x:v>
      </x:c>
      <x:c r="R135" t="n">
        <x:f>'NSSC Model'!$E$68</x:f>
        <x:v>116.79477041352</x:v>
      </x:c>
      <x:c r="S135" t="n">
        <x:f>'NSSC Model'!$F$68</x:f>
        <x:v>120.2986135259256</x:v>
      </x:c>
      <x:c r="T135" t="n">
        <x:f>S135*(1+($BG135+('Assumptions'!$D$9-$BG135)*(6-5)/5))</x:f>
        <x:v>128.21148271438827</x:v>
      </x:c>
      <x:c r="U135" t="n">
        <x:f>T135*(1+($BG135+('Assumptions'!$D$9-$BG135)*(7-5)/5))</x:f>
        <x:v>135.49808369636276</x:v>
      </x:c>
      <x:c r="V135" t="n">
        <x:f>U135*(1+($BG135+('Assumptions'!$D$9-$BG135)*(8-5)/5))</x:f>
        <x:v>141.9868765175826</x:v>
      </x:c>
      <x:c r="W135" t="n">
        <x:f>V135*(1+($BG135+('Assumptions'!$D$9-$BG135)*(9-5)/5))</x:f>
        <x:v>147.51644518202815</x:v>
      </x:c>
      <x:c r="X135" t="n">
        <x:f>W135*(1+($BG135+('Assumptions'!$D$9-$BG135)*(10-5)/5))</x:f>
        <x:v>151.941938537489</x:v>
      </x:c>
      <x:c r="Y135" t="n">
        <x:f>E135*'NSSC Model'!$B$62+O135*'NSSC Model'!$B$63+'NSSC Model'!$B$73+'NSSC Model'!$B$74</x:f>
        <x:v>67.61388316</x:v>
      </x:c>
      <x:c r="Z135" t="n">
        <x:f>F135*'NSSC Model'!$C$62+P135*'NSSC Model'!$C$63+'NSSC Model'!$C$73+'NSSC Model'!$C$74</x:f>
        <x:v>76.25920431740002</x:v>
      </x:c>
      <x:c r="AA135" t="n">
        <x:f>G135*'NSSC Model'!$D$62+Q135*'NSSC Model'!$D$63+'NSSC Model'!$D$73+'NSSC Model'!$D$74</x:f>
        <x:v>86.17646711452905</x:v>
      </x:c>
      <x:c r="AB135" t="n">
        <x:f>H135*'NSSC Model'!$E$62+R135*'NSSC Model'!$E$63+'NSSC Model'!$E$73+'NSSC Model'!$E$74</x:f>
        <x:v>96.69015818093187</x:v>
      </x:c>
      <x:c r="AC135" t="n">
        <x:f>I135*'NSSC Model'!$F$62+S135*'NSSC Model'!$F$63+'NSSC Model'!$F$73+'NSSC Model'!$F$74</x:f>
        <x:v>108.48527643583867</x:v>
      </x:c>
      <x:c r="AD135" t="n">
        <x:f>AX135*$AC135/$AW135</x:f>
        <x:v>115.62110099898712</x:v>
      </x:c>
      <x:c r="AE135" t="n">
        <x:f>AY135*$AC135/$AW135</x:f>
        <x:v>122.19215696246083</x:v>
      </x:c>
      <x:c r="AF135" t="n">
        <x:f>AZ135*$AC135/$AW135</x:f>
        <x:v>128.0437496143846</x:v>
      </x:c>
      <x:c r="AG135" t="n">
        <x:f>BA135*$AC135/$AW135</x:f>
        <x:v>133.03031402731565</x:v>
      </x:c>
      <x:c r="AH135" t="n">
        <x:f>BB135*$AC135/$AW135</x:f>
        <x:v>137.02122344813515</x:v>
      </x:c>
      <x:c r="AI135" t="n">
        <x:f>Y135*(1-'Assumptions'!$F$9)+AS135*'Assumptions'!$G$9-AS135*'NSSC Model'!$B$65-(AS135-'Inputs'!$D$14)*'Assumptions'!$H$9-'Assumptions'!$I$9</x:f>
        <x:v>53.3004408312</x:v>
      </x:c>
      <x:c r="AJ135" t="n">
        <x:f>Z135*(1-'Assumptions'!$F$9)+AT135*'Assumptions'!$G$9-AT135*'NSSC Model'!$C$65-(AT135-AS135)*'Assumptions'!$H$9-0</x:f>
        <x:v>60.10006129386801</x:v>
      </x:c>
      <x:c r="AK135" t="n">
        <x:f>AA135*(1-'Assumptions'!$F$9)+AU135*'Assumptions'!$G$9-AU135*'NSSC Model'!$D$65-(AU135-AT135)*'Assumptions'!$H$9-0</x:f>
        <x:v>68.02552429010582</x:v>
      </x:c>
      <x:c r="AL135" t="n">
        <x:f>AB135*(1-'Assumptions'!$F$9)+AV135*'Assumptions'!$G$9-AV135*'NSSC Model'!$E$65-(AV135-AU135)*'Assumptions'!$H$9-0</x:f>
        <x:v>76.41914872212413</x:v>
      </x:c>
      <x:c r="AM135" t="n">
        <x:f>AC135*(1-'Assumptions'!$F$9)+AW135*'Assumptions'!$G$9-AW135*'NSSC Model'!$F$65-(AW135-AV135)*'Assumptions'!$H$9-0</x:f>
        <x:v>85.8403884246298</x:v>
      </x:c>
      <x:c r="AN135" t="n">
        <x:f>AD135*(1-'Assumptions'!$F$9)+AX135*'Assumptions'!$G$9-AX135*'NSSC Model'!$G$65-(AX135-AW135)*'Assumptions'!$H$9-0</x:f>
        <x:v>91.7235895757428</x:v>
      </x:c>
      <x:c r="AO135" t="n">
        <x:f>AE135*(1-'Assumptions'!$F$9)+AY135*'Assumptions'!$G$9-AY135*'NSSC Model'!$H$65-(AY135-AX135)*'Assumptions'!$H$9-0</x:f>
        <x:v>97.19107359551985</x:v>
      </x:c>
      <x:c r="AP135" t="n">
        <x:f>AF135*(1-'Assumptions'!$F$9)+AZ135*'Assumptions'!$G$9-AZ135*'NSSC Model'!$I$65-(AZ135-AY135)*'Assumptions'!$H$9-0</x:f>
        <x:v>102.11673661428499</x:v>
      </x:c>
      <x:c r="AQ135" t="n">
        <x:f>AG135*(1-'Assumptions'!$F$9)+BA135*'Assumptions'!$G$9-BA135*'NSSC Model'!$J$65-(BA135-AZ135)*'Assumptions'!$H$9-0</x:f>
        <x:v>106.38034766605946</x:v>
      </x:c>
      <x:c r="AR135" t="n">
        <x:f>AH135*(1-'Assumptions'!$F$9)+BB135*'Assumptions'!$G$9-BB135*'NSSC Model'!$K$65-(BB135-BA135)*'Assumptions'!$H$9-0</x:f>
        <x:v>109.87224433111417</x:v>
      </x:c>
      <x:c r="AS135" t="n">
        <x:f>E135+O135</x:f>
        <x:v>215.13984</x:v>
      </x:c>
      <x:c r="AT135" t="n">
        <x:f>F135+P135</x:f>
        <x:v>230.25452160000003</x:v>
      </x:c>
      <x:c r="AU135" t="n">
        <x:f>G135+Q135</x:f>
        <x:v>246.77529715200004</x:v>
      </x:c>
      <x:c r="AV135" t="n">
        <x:f>H135+R135</x:f>
        <x:v>264.84914136000003</x:v>
      </x:c>
      <x:c r="AW135" t="n">
        <x:f>I135+S135</x:f>
        <x:v>284.6389652765185</x:v>
      </x:c>
      <x:c r="AX135" t="n">
        <x:f>J135+T135</x:f>
        <x:v>303.3616324142163</x:v>
      </x:c>
      <x:c r="AY135" t="n">
        <x:f>K135+U135</x:f>
        <x:v>320.6024841838429</x:v>
      </x:c>
      <x:c r="AZ135" t="n">
        <x:f>L135+V135</x:f>
        <x:v>335.95563930667964</x:v>
      </x:c>
      <x:c r="BA135" t="n">
        <x:f>M135+W135</x:f>
        <x:v>349.03917083660906</x:v>
      </x:c>
      <x:c r="BB135" t="n">
        <x:f>N135+X135</x:f>
        <x:v>359.51034596170734</x:v>
      </x:c>
      <x:c r="BC135" t="n">
        <x:f>AS135/'Inputs'!$D$14-1</x:f>
        <x:v>0.06338519939105147</x:v>
      </x:c>
      <x:c r="BD135" t="n">
        <x:f>AT135/AS135-1</x:f>
        <x:v>0.07025514939492394</x:v>
      </x:c>
      <x:c r="BE135" t="n">
        <x:f>AU135/AT135-1</x:f>
        <x:v>0.07175005918320254</x:v>
      </x:c>
      <x:c r="BF135" t="n">
        <x:f>AV135/AU135-1</x:f>
        <x:v>0.0732400868992471</x:v>
      </x:c>
      <x:c r="BG135" t="n">
        <x:f>AW135/AV135-1</x:f>
        <x:v>0.07472111789714608</x:v>
      </x:c>
      <x:c r="BH135" t="n">
        <x:f>AX135/AW135-1</x:f>
        <x:v>0.0657768943177166</x:v>
      </x:c>
      <x:c r="BI135" t="n">
        <x:f>AY135/AX135-1</x:f>
        <x:v>0.05683267073828757</x:v>
      </x:c>
      <x:c r="BJ135" t="n">
        <x:f>AZ135/AY135-1</x:f>
        <x:v>0.04788844715885854</x:v>
      </x:c>
      <x:c r="BK135" t="n">
        <x:f>BA135/AZ135-1</x:f>
        <x:v>0.03894422357942928</x:v>
      </x:c>
      <x:c r="BL135" t="n">
        <x:f>BB135/BA135-1</x:f>
        <x:v>0.030000000000000027</x:v>
      </x:c>
      <x:c r="BM135" t="n">
        <x:f>AH135*(1-'Assumptions'!$F$9)*(1+'Assumptions'!$D$9)*(1-'Assumptions'!$D$9/'Assumptions'!$E$9)</x:f>
        <x:v>104.15531279186546</x:v>
      </x:c>
      <x:c r="BN135" t="n">
        <x:f>SUMPRODUCT(AI135:AR135,'NSSC Model'!$B$83:$K$83)+BM135/('Assumptions'!$C$9-'Assumptions'!$D$9)*'NSSC Model'!$K$83</x:f>
        <x:v>1065.1553679953795</x:v>
      </x:c>
      <x:c r="BO135" t="n">
        <x:f>'NSSC Model'!$B$94</x:f>
        <x:v>101.2</x:v>
      </x:c>
      <x:c r="BP135" t="n">
        <x:f>'Inputs'!$D$8</x:f>
        <x:v>35.891</x:v>
      </x:c>
    </x:row>
    <x:row r="136">
      <x:c r="A136" t="str">
        <x:v>NSSC</x:v>
      </x:c>
      <x:c r="B136" s="22" t="n">
        <x:v>0.12</x:v>
      </x:c>
      <x:c r="C136" s="42" t="n">
        <x:f>(BN136+BO136)/BP136</x:f>
        <x:v>34.45562064564966</x:v>
      </x:c>
      <x:c r="D136" s="22" t="n">
        <x:f>C136/'Inputs'!$D$5-1</x:f>
        <x:v>-0.06901862616455923</x:v>
      </x:c>
      <x:c r="E136" t="n">
        <x:f>'Inputs'!$D$21*(1+$B136)^1</x:f>
        <x:v>109.23136000000002</x:v>
      </x:c>
      <x:c r="F136" t="n">
        <x:f>'Inputs'!$D$21*(1+$B136)^2</x:f>
        <x:v>122.33912320000003</x:v>
      </x:c>
      <x:c r="G136" t="n">
        <x:f>'Inputs'!$D$21*(1+$B136)^3</x:f>
        <x:v>137.01981798400004</x:v>
      </x:c>
      <x:c r="H136" t="n">
        <x:f>'Inputs'!$D$21*(1+$B136)^4</x:f>
        <x:v>153.46219614208005</x:v>
      </x:c>
      <x:c r="I136" t="n">
        <x:f>'Inputs'!$D$21*(1+$B136)^5</x:f>
        <x:v>171.87765967912966</x:v>
      </x:c>
      <x:c r="J136" t="n">
        <x:f>I136*(1+($BG136+('Assumptions'!$D$9-$BG136)*(6-5)/5))</x:f>
        <x:v>184.061094409653</x:v>
      </x:c>
      <x:c r="K136" t="n">
        <x:f>J136*(1+($BG136+('Assumptions'!$D$9-$BG136)*(7-5)/5))</x:f>
        <x:v>195.22683972697703</x:v>
      </x:c>
      <x:c r="L136" t="n">
        <x:f>K136*(1+($BG136+('Assumptions'!$D$9-$BG136)*(8-5)/5))</x:f>
        <x:v>205.07450531465253</x:v>
      </x:c>
      <x:c r="M136" t="n">
        <x:f>L136*(1+($BG136+('Assumptions'!$D$9-$BG136)*(9-5)/5))</x:f>
        <x:v>213.3228245028216</x:v>
      </x:c>
      <x:c r="N136" t="n">
        <x:f>M136*(1+($BG136+('Assumptions'!$D$9-$BG136)*(10-5)/5))</x:f>
        <x:v>219.72250923790625</x:v>
      </x:c>
      <x:c r="O136" t="n">
        <x:f>'NSSC Model'!$B$68</x:f>
        <x:v>106.88376</x:v>
      </x:c>
      <x:c r="P136" t="n">
        <x:f>'NSSC Model'!$C$68</x:f>
        <x:v>110.0902728</x:v>
      </x:c>
      <x:c r="Q136" t="n">
        <x:f>'NSSC Model'!$D$68</x:f>
        <x:v>113.39298098399999</x:v>
      </x:c>
      <x:c r="R136" t="n">
        <x:f>'NSSC Model'!$E$68</x:f>
        <x:v>116.79477041352</x:v>
      </x:c>
      <x:c r="S136" t="n">
        <x:f>'NSSC Model'!$F$68</x:f>
        <x:v>120.2986135259256</x:v>
      </x:c>
      <x:c r="T136" t="n">
        <x:f>S136*(1+($BG136+('Assumptions'!$D$9-$BG136)*(6-5)/5))</x:f>
        <x:v>128.8259015329983</x:v>
      </x:c>
      <x:c r="U136" t="n">
        <x:f>T136*(1+($BG136+('Assumptions'!$D$9-$BG136)*(7-5)/5))</x:f>
        <x:v>136.6409001963806</x:v>
      </x:c>
      <x:c r="V136" t="n">
        <x:f>U136*(1+($BG136+('Assumptions'!$D$9-$BG136)*(8-5)/5))</x:f>
        <x:v>143.53336381774895</x:v>
      </x:c>
      <x:c r="W136" t="n">
        <x:f>V136*(1+($BG136+('Assumptions'!$D$9-$BG136)*(9-5)/5))</x:f>
        <x:v>149.3064314991942</x:v>
      </x:c>
      <x:c r="X136" t="n">
        <x:f>W136*(1+($BG136+('Assumptions'!$D$9-$BG136)*(10-5)/5))</x:f>
        <x:v>153.78562444417003</x:v>
      </x:c>
      <x:c r="Y136" t="n">
        <x:f>E136*'NSSC Model'!$B$62+O136*'NSSC Model'!$B$63+'NSSC Model'!$B$73+'NSSC Model'!$B$74</x:f>
        <x:v>68.494561</x:v>
      </x:c>
      <x:c r="Z136" t="n">
        <x:f>F136*'NSSC Model'!$C$62+P136*'NSSC Model'!$C$63+'NSSC Model'!$C$73+'NSSC Model'!$C$74</x:f>
        <x:v>78.22311590060002</x:v>
      </x:c>
      <x:c r="AA136" t="n">
        <x:f>G136*'NSSC Model'!$D$62+Q136*'NSSC Model'!$D$63+'NSSC Model'!$D$73+'NSSC Model'!$D$74</x:f>
        <x:v>89.46113125437704</x:v>
      </x:c>
      <x:c r="AB136" t="n">
        <x:f>H136*'NSSC Model'!$E$62+R136*'NSSC Model'!$E$63+'NSSC Model'!$E$73+'NSSC Model'!$E$74</x:f>
        <x:v>101.57342433255867</x:v>
      </x:c>
      <x:c r="AC136" t="n">
        <x:f>I136*'NSSC Model'!$F$62+S136*'NSSC Model'!$F$63+'NSSC Model'!$F$73+'NSSC Model'!$F$74</x:f>
        <x:v>115.29146549530739</x:v>
      </x:c>
      <x:c r="AD136" t="n">
        <x:f>AX136*$AC136/$AW136</x:f>
        <x:v>123.46382511127335</x:v>
      </x:c>
      <x:c r="AE136" t="n">
        <x:f>AY136*$AC136/$AW136</x:f>
        <x:v>130.95354275919155</x:v>
      </x:c>
      <x:c r="AF136" t="n">
        <x:f>AZ136*$AC136/$AW136</x:f>
        <x:v>137.55912372550412</x:v>
      </x:c>
      <x:c r="AG136" t="n">
        <x:f>BA136*$AC136/$AW136</x:f>
        <x:v>143.09190098609974</x:v>
      </x:c>
      <x:c r="AH136" t="n">
        <x:f>BB136*$AC136/$AW136</x:f>
        <x:v>147.38465801568273</x:v>
      </x:c>
      <x:c r="AI136" t="n">
        <x:f>Y136*(1-'Assumptions'!$F$9)+AS136*'Assumptions'!$G$9-AS136*'NSSC Model'!$B$65-(AS136-'Inputs'!$D$14)*'Assumptions'!$H$9-'Assumptions'!$I$9</x:f>
        <x:v>53.92116754</x:v>
      </x:c>
      <x:c r="AJ136" t="n">
        <x:f>Z136*(1-'Assumptions'!$F$9)+AT136*'Assumptions'!$G$9-AT136*'NSSC Model'!$C$65-(AT136-AS136)*'Assumptions'!$H$9-0</x:f>
        <x:v>61.58180985449202</x:v>
      </x:c>
      <x:c r="AK136" t="n">
        <x:f>AA136*(1-'Assumptions'!$F$9)+AU136*'Assumptions'!$G$9-AU136*'NSSC Model'!$D$65-(AU136-AT136)*'Assumptions'!$H$9-0</x:f>
        <x:v>70.55813613591717</x:v>
      </x:c>
      <x:c r="AL136" t="n">
        <x:f>AB136*(1-'Assumptions'!$F$9)+AV136*'Assumptions'!$G$9-AV136*'NSSC Model'!$E$65-(AV136-AU136)*'Assumptions'!$H$9-0</x:f>
        <x:v>80.22476332771572</x:v>
      </x:c>
      <x:c r="AM136" t="n">
        <x:f>AC136*(1-'Assumptions'!$F$9)+AW136*'Assumptions'!$G$9-AW136*'NSSC Model'!$F$65-(AW136-AV136)*'Assumptions'!$H$9-0</x:f>
        <x:v>91.17836594838633</x:v>
      </x:c>
      <x:c r="AN136" t="n">
        <x:f>AD136*(1-'Assumptions'!$F$9)+AX136*'Assumptions'!$G$9-AX136*'NSSC Model'!$G$65-(AX136-AW136)*'Assumptions'!$H$9-0</x:f>
        <x:v>97.91771633371395</x:v>
      </x:c>
      <x:c r="AO136" t="n">
        <x:f>AE136*(1-'Assumptions'!$F$9)+AY136*'Assumptions'!$G$9-AY136*'NSSC Model'!$H$65-(AY136-AX136)*'Assumptions'!$H$9-0</x:f>
        <x:v>104.15635970477301</x:v>
      </x:c>
      <x:c r="AP136" t="n">
        <x:f>AF136*(1-'Assumptions'!$F$9)+AZ136*'Assumptions'!$G$9-AZ136*'NSSC Model'!$I$65-(AZ136-AY136)*'Assumptions'!$H$9-0</x:f>
        <x:v>109.73003705747941</x:v>
      </x:c>
      <x:c r="AQ136" t="n">
        <x:f>AG136*(1-'Assumptions'!$F$9)+BA136*'Assumptions'!$G$9-BA136*'NSSC Model'!$J$65-(BA136-AZ136)*'Assumptions'!$H$9-0</x:f>
        <x:v>114.4827030976323</x:v>
      </x:c>
      <x:c r="AR136" t="n">
        <x:f>AH136*(1-'Assumptions'!$F$9)+BB136*'Assumptions'!$G$9-BB136*'NSSC Model'!$K$65-(BB136-BA136)*'Assumptions'!$H$9-0</x:f>
        <x:v>118.27349927012548</x:v>
      </x:c>
      <x:c r="AS136" t="n">
        <x:f>E136+O136</x:f>
        <x:v>216.11512000000002</x:v>
      </x:c>
      <x:c r="AT136" t="n">
        <x:f>F136+P136</x:f>
        <x:v>232.42939600000003</x:v>
      </x:c>
      <x:c r="AU136" t="n">
        <x:f>G136+Q136</x:f>
        <x:v>250.41279896800003</x:v>
      </x:c>
      <x:c r="AV136" t="n">
        <x:f>H136+R136</x:f>
        <x:v>270.25696655560006</x:v>
      </x:c>
      <x:c r="AW136" t="n">
        <x:f>I136+S136</x:f>
        <x:v>292.1762732050553</x:v>
      </x:c>
      <x:c r="AX136" t="n">
        <x:f>J136+T136</x:f>
        <x:v>312.8869959426513</x:v>
      </x:c>
      <x:c r="AY136" t="n">
        <x:f>K136+U136</x:f>
        <x:v>331.86773992335765</x:v>
      </x:c>
      <x:c r="AZ136" t="n">
        <x:f>L136+V136</x:f>
        <x:v>348.60786913240145</x:v>
      </x:c>
      <x:c r="BA136" t="n">
        <x:f>M136+W136</x:f>
        <x:v>362.6292560020158</x:v>
      </x:c>
      <x:c r="BB136" t="n">
        <x:f>N136+X136</x:f>
        <x:v>373.5081336820763</x:v>
      </x:c>
      <x:c r="BC136" t="n">
        <x:f>AS136/'Inputs'!$D$14-1</x:f>
        <x:v>0.0682057771011686</x:v>
      </x:c>
      <x:c r="BD136" t="n">
        <x:f>AT136/AS136-1</x:f>
        <x:v>0.0754888228088808</x:v>
      </x:c>
      <x:c r="BE136" t="n">
        <x:f>AU136/AT136-1</x:f>
        <x:v>0.0773714653889992</x:v>
      </x:c>
      <x:c r="BF136" t="n">
        <x:f>AV136/AU136-1</x:f>
        <x:v>0.07924581997957647</x:v>
      </x:c>
      <x:c r="BG136" t="n">
        <x:f>AW136/AV136-1</x:f>
        <x:v>0.08110542691577849</x:v>
      </x:c>
      <x:c r="BH136" t="n">
        <x:f>AX136/AW136-1</x:f>
        <x:v>0.0708843415326228</x:v>
      </x:c>
      <x:c r="BI136" t="n">
        <x:f>AY136/AX136-1</x:f>
        <x:v>0.060663256149467104</x:v>
      </x:c>
      <x:c r="BJ136" t="n">
        <x:f>AZ136/AY136-1</x:f>
        <x:v>0.05044217076631141</x:v>
      </x:c>
      <x:c r="BK136" t="n">
        <x:f>BA136/AZ136-1</x:f>
        <x:v>0.04022108538315572</x:v>
      </x:c>
      <x:c r="BL136" t="n">
        <x:f>BB136/BA136-1</x:f>
        <x:v>0.030000000000000027</x:v>
      </x:c>
      <x:c r="BM136" t="n">
        <x:f>AH136*(1-'Assumptions'!$F$9)*(1+'Assumptions'!$D$9)*(1-'Assumptions'!$D$9/'Assumptions'!$E$9)</x:f>
        <x:v>112.03297394404109</x:v>
      </x:c>
      <x:c r="BN136" t="n">
        <x:f>SUMPRODUCT(AI136:AR136,'NSSC Model'!$B$83:$K$83)+BM136/('Assumptions'!$C$9-'Assumptions'!$D$9)*'NSSC Model'!$K$83</x:f>
        <x:v>1135.446680593012</x:v>
      </x:c>
      <x:c r="BO136" t="n">
        <x:f>'NSSC Model'!$B$94</x:f>
        <x:v>101.2</x:v>
      </x:c>
      <x:c r="BP136" t="n">
        <x:f>'Inputs'!$D$8</x:f>
        <x:v>35.891</x:v>
      </x:c>
    </x:row>
    <x:row r="137">
      <x:c r="A137" t="str">
        <x:v>NSSC</x:v>
      </x:c>
      <x:c r="B137" s="22" t="n">
        <x:v>0.13</x:v>
      </x:c>
      <x:c r="C137" s="42" t="n">
        <x:f>(BN137+BO137)/BP137</x:f>
        <x:v>36.51509190037617</x:v>
      </x:c>
      <x:c r="D137" s="22" t="n">
        <x:f>C137/'Inputs'!$D$5-1</x:f>
        <x:v>-0.01337228045457517</x:v>
      </x:c>
      <x:c r="E137" t="n">
        <x:f>'Inputs'!$D$21*(1+$B137)^1</x:f>
        <x:v>110.20664</x:v>
      </x:c>
      <x:c r="F137" t="n">
        <x:f>'Inputs'!$D$21*(1+$B137)^2</x:f>
        <x:v>124.53350319999998</x:v>
      </x:c>
      <x:c r="G137" t="n">
        <x:f>'Inputs'!$D$21*(1+$B137)^3</x:f>
        <x:v>140.72285861599994</x:v>
      </x:c>
      <x:c r="H137" t="n">
        <x:f>'Inputs'!$D$21*(1+$B137)^4</x:f>
        <x:v>159.01683023607993</x:v>
      </x:c>
      <x:c r="I137" t="n">
        <x:f>'Inputs'!$D$21*(1+$B137)^5</x:f>
        <x:v>179.6890181667703</x:v>
      </x:c>
      <x:c r="J137" t="n">
        <x:f>I137*(1+($BG137+('Assumptions'!$D$9-$BG137)*(6-5)/5))</x:f>
        <x:v>193.36754260328945</x:v>
      </x:c>
      <x:c r="K137" t="n">
        <x:f>J137*(1+($BG137+('Assumptions'!$D$9-$BG137)*(7-5)/5))</x:f>
        <x:v>205.85763350874137</x:v>
      </x:c>
      <x:c r="L137" t="n">
        <x:f>K137*(1+($BG137+('Assumptions'!$D$9-$BG137)*(8-5)/5))</x:f>
        <x:v>216.7807811553316</x:v>
      </x:c>
      <x:c r="M137" t="n">
        <x:f>L137*(1+($BG137+('Assumptions'!$D$9-$BG137)*(9-5)/5))</x:f>
        <x:v>225.7838668662869</x:v>
      </x:c>
      <x:c r="N137" t="n">
        <x:f>M137*(1+($BG137+('Assumptions'!$D$9-$BG137)*(10-5)/5))</x:f>
        <x:v>232.55738287227553</x:v>
      </x:c>
      <x:c r="O137" t="n">
        <x:f>'NSSC Model'!$B$68</x:f>
        <x:v>106.88376</x:v>
      </x:c>
      <x:c r="P137" t="n">
        <x:f>'NSSC Model'!$C$68</x:f>
        <x:v>110.0902728</x:v>
      </x:c>
      <x:c r="Q137" t="n">
        <x:f>'NSSC Model'!$D$68</x:f>
        <x:v>113.39298098399999</x:v>
      </x:c>
      <x:c r="R137" t="n">
        <x:f>'NSSC Model'!$E$68</x:f>
        <x:v>116.79477041352</x:v>
      </x:c>
      <x:c r="S137" t="n">
        <x:f>'NSSC Model'!$F$68</x:f>
        <x:v>120.2986135259256</x:v>
      </x:c>
      <x:c r="T137" t="n">
        <x:f>S137*(1+($BG137+('Assumptions'!$D$9-$BG137)*(6-5)/5))</x:f>
        <x:v>129.4561432491196</x:v>
      </x:c>
      <x:c r="U137" t="n">
        <x:f>T137*(1+($BG137+('Assumptions'!$D$9-$BG137)*(7-5)/5))</x:f>
        <x:v>137.81803778261929</x:v>
      </x:c>
      <x:c r="V137" t="n">
        <x:f>U137*(1+($BG137+('Assumptions'!$D$9-$BG137)*(8-5)/5))</x:f>
        <x:v>145.13089157095828</x:v>
      </x:c>
      <x:c r="W137" t="n">
        <x:f>V137*(1+($BG137+('Assumptions'!$D$9-$BG137)*(9-5)/5))</x:f>
        <x:v>151.15829791739287</x:v>
      </x:c>
      <x:c r="X137" t="n">
        <x:f>W137*(1+($BG137+('Assumptions'!$D$9-$BG137)*(10-5)/5))</x:f>
        <x:v>155.69304685491466</x:v>
      </x:c>
      <x:c r="Y137" t="n">
        <x:f>E137*'NSSC Model'!$B$62+O137*'NSSC Model'!$B$63+'NSSC Model'!$B$73+'NSSC Model'!$B$74</x:f>
        <x:v>69.37523883999998</x:v>
      </x:c>
      <x:c r="Z137" t="n">
        <x:f>F137*'NSSC Model'!$C$62+P137*'NSSC Model'!$C$63+'NSSC Model'!$C$73+'NSSC Model'!$C$74</x:f>
        <x:v>80.2046410406</x:v>
      </x:c>
      <x:c r="AA137" t="n">
        <x:f>G137*'NSSC Model'!$D$62+Q137*'NSSC Model'!$D$63+'NSSC Model'!$D$73+'NSSC Model'!$D$74</x:f>
        <x:v>92.80497694507294</x:v>
      </x:c>
      <x:c r="AB137" t="n">
        <x:f>H137*'NSSC Model'!$E$62+R137*'NSSC Model'!$E$63+'NSSC Model'!$E$73+'NSSC Model'!$E$74</x:f>
        <x:v>106.58925891944055</x:v>
      </x:c>
      <x:c r="AC137" t="n">
        <x:f>I137*'NSSC Model'!$F$62+S137*'NSSC Model'!$F$63+'NSSC Model'!$F$73+'NSSC Model'!$F$74</x:f>
        <x:v>122.34512220964689</x:v>
      </x:c>
      <x:c r="AD137" t="n">
        <x:f>AX137*$AC137/$AW137</x:f>
        <x:v>131.6584389660465</x:v>
      </x:c>
      <x:c r="AE137" t="n">
        <x:f>AY137*$AC137/$AW137</x:f>
        <x:v>140.16258526183668</x:v>
      </x:c>
      <x:c r="AF137" t="n">
        <x:f>AZ137*$AC137/$AW137</x:f>
        <x:v>147.59984463010696</x:v>
      </x:c>
      <x:c r="AG137" t="n">
        <x:f>BA137*$AC137/$AW137</x:f>
        <x:v>153.72978864565306</x:v>
      </x:c>
      <x:c r="AH137" t="n">
        <x:f>BB137*$AC137/$AW137</x:f>
        <x:v>158.34168230502266</x:v>
      </x:c>
      <x:c r="AI137" t="n">
        <x:f>Y137*(1-'Assumptions'!$F$9)+AS137*'Assumptions'!$G$9-AS137*'NSSC Model'!$B$65-(AS137-'Inputs'!$D$14)*'Assumptions'!$H$9-'Assumptions'!$I$9</x:f>
        <x:v>54.541894248799984</x:v>
      </x:c>
      <x:c r="AJ137" t="n">
        <x:f>Z137*(1-'Assumptions'!$F$9)+AT137*'Assumptions'!$G$9-AT137*'NSSC Model'!$C$65-(AT137-AS137)*'Assumptions'!$H$9-0</x:f>
        <x:v>63.07597294929201</x:v>
      </x:c>
      <x:c r="AK137" t="n">
        <x:f>AA137*(1-'Assumptions'!$F$9)+AU137*'Assumptions'!$G$9-AU137*'NSSC Model'!$D$65-(AU137-AT137)*'Assumptions'!$H$9-0</x:f>
        <x:v>73.13441137655984</x:v>
      </x:c>
      <x:c r="AL137" t="n">
        <x:f>AB137*(1-'Assumptions'!$F$9)+AV137*'Assumptions'!$G$9-AV137*'NSSC Model'!$E$65-(AV137-AU137)*'Assumptions'!$H$9-0</x:f>
        <x:v>84.13036980638286</x:v>
      </x:c>
      <x:c r="AM137" t="n">
        <x:f>AC137*(1-'Assumptions'!$F$9)+AW137*'Assumptions'!$G$9-AW137*'NSSC Model'!$F$65-(AW137-AV137)*'Assumptions'!$H$9-0</x:f>
        <x:v>96.70544658083008</x:v>
      </x:c>
      <x:c r="AN137" t="n">
        <x:f>AD137*(1-'Assumptions'!$F$9)+AX137*'Assumptions'!$G$9-AX137*'NSSC Model'!$G$65-(AX137-AW137)*'Assumptions'!$H$9-0</x:f>
        <x:v>104.38501979277719</x:v>
      </x:c>
      <x:c r="AO137" t="n">
        <x:f>AE137*(1-'Assumptions'!$F$9)+AY137*'Assumptions'!$G$9-AY137*'NSSC Model'!$H$65-(AY137-AX137)*'Assumptions'!$H$9-0</x:f>
        <x:v>111.47341868564548</x:v>
      </x:c>
      <x:c r="AP137" t="n">
        <x:f>AF137*(1-'Assumptions'!$F$9)+AZ137*'Assumptions'!$G$9-AZ137*'NSSC Model'!$I$65-(AZ137-AY137)*'Assumptions'!$H$9-0</x:f>
        <x:v>117.76062576228964</x:v>
      </x:c>
      <x:c r="AQ137" t="n">
        <x:f>AG137*(1-'Assumptions'!$F$9)+BA137*'Assumptions'!$G$9-BA137*'NSSC Model'!$J$65-(BA137-AZ137)*'Assumptions'!$H$9-0</x:f>
        <x:v>123.04760882456182</x:v>
      </x:c>
      <x:c r="AR137" t="n">
        <x:f>AH137*(1-'Assumptions'!$F$9)+BB137*'Assumptions'!$G$9-BB137*'NSSC Model'!$K$65-(BB137-BA137)*'Assumptions'!$H$9-0</x:f>
        <x:v>127.15635127685879</x:v>
      </x:c>
      <x:c r="AS137" t="n">
        <x:f>E137+O137</x:f>
        <x:v>217.0904</x:v>
      </x:c>
      <x:c r="AT137" t="n">
        <x:f>F137+P137</x:f>
        <x:v>234.62377599999996</x:v>
      </x:c>
      <x:c r="AU137" t="n">
        <x:f>G137+Q137</x:f>
        <x:v>254.11583959999993</x:v>
      </x:c>
      <x:c r="AV137" t="n">
        <x:f>H137+R137</x:f>
        <x:v>275.81160064959994</x:v>
      </x:c>
      <x:c r="AW137" t="n">
        <x:f>I137+S137</x:f>
        <x:v>299.9876316926959</x:v>
      </x:c>
      <x:c r="AX137" t="n">
        <x:f>J137+T137</x:f>
        <x:v>322.8236858524091</x:v>
      </x:c>
      <x:c r="AY137" t="n">
        <x:f>K137+U137</x:f>
        <x:v>343.6756712913607</x:v>
      </x:c>
      <x:c r="AZ137" t="n">
        <x:f>L137+V137</x:f>
        <x:v>361.9116727262899</x:v>
      </x:c>
      <x:c r="BA137" t="n">
        <x:f>M137+W137</x:f>
        <x:v>376.9421647836798</x:v>
      </x:c>
      <x:c r="BB137" t="n">
        <x:f>N137+X137</x:f>
        <x:v>388.2504297271902</x:v>
      </x:c>
      <x:c r="BC137" t="n">
        <x:f>AS137/'Inputs'!$D$14-1</x:f>
        <x:v>0.07302635481128528</x:v>
      </x:c>
      <x:c r="BD137" t="n">
        <x:f>AT137/AS137-1</x:f>
        <x:v>0.08076532172772244</x:v>
      </x:c>
      <x:c r="BE137" t="n">
        <x:f>AU137/AT137-1</x:f>
        <x:v>0.08307795540721319</x:v>
      </x:c>
      <x:c r="BF137" t="n">
        <x:f>AV137/AU137-1</x:f>
        <x:v>0.08537744472659003</x:v>
      </x:c>
      <x:c r="BG137" t="n">
        <x:f>AW137/AV137-1</x:f>
        <x:v>0.08765414865131071</x:v>
      </x:c>
      <x:c r="BH137" t="n">
        <x:f>AX137/AW137-1</x:f>
        <x:v>0.07612331892104862</x:v>
      </x:c>
      <x:c r="BI137" t="n">
        <x:f>AY137/AX137-1</x:f>
        <x:v>0.06459248919078653</x:v>
      </x:c>
      <x:c r="BJ137" t="n">
        <x:f>AZ137/AY137-1</x:f>
        <x:v>0.05306165946052421</x:v>
      </x:c>
      <x:c r="BK137" t="n">
        <x:f>BA137/AZ137-1</x:f>
        <x:v>0.04153082973026212</x:v>
      </x:c>
      <x:c r="BL137" t="n">
        <x:f>BB137/BA137-1</x:f>
        <x:v>0.030000000000000027</x:v>
      </x:c>
      <x:c r="BM137" t="n">
        <x:f>AH137*(1-'Assumptions'!$F$9)*(1+'Assumptions'!$D$9)*(1-'Assumptions'!$D$9/'Assumptions'!$E$9)</x:f>
        <x:v>120.36184638733995</x:v>
      </x:c>
      <x:c r="BN137" t="n">
        <x:f>SUMPRODUCT(AI137:AR137,'NSSC Model'!$B$83:$K$83)+BM137/('Assumptions'!$C$9-'Assumptions'!$D$9)*'NSSC Model'!$K$83</x:f>
        <x:v>1209.363163396401</x:v>
      </x:c>
      <x:c r="BO137" t="n">
        <x:f>'NSSC Model'!$B$94</x:f>
        <x:v>101.2</x:v>
      </x:c>
      <x:c r="BP137" t="n">
        <x:f>'Inputs'!$D$8</x:f>
        <x:v>35.891</x:v>
      </x:c>
    </x:row>
    <x:row r="138">
      <x:c r="A138" t="str">
        <x:v>NSSC</x:v>
      </x:c>
      <x:c r="B138" s="22" t="n">
        <x:v>0.14</x:v>
      </x:c>
      <x:c r="C138" s="42" t="n">
        <x:f>(BN138+BO138)/BP138</x:f>
        <x:v>38.68066037764876</x:v>
      </x:c>
      <x:c r="D138" s="22" t="n">
        <x:f>C138/'Inputs'!$D$5-1</x:f>
        <x:v>0.04514078296808344</x:v>
      </x:c>
      <x:c r="E138" t="n">
        <x:f>'Inputs'!$D$21*(1+$B138)^1</x:f>
        <x:v>111.18192000000002</x:v>
      </x:c>
      <x:c r="F138" t="n">
        <x:f>'Inputs'!$D$21*(1+$B138)^2</x:f>
        <x:v>126.74738880000004</x:v>
      </x:c>
      <x:c r="G138" t="n">
        <x:f>'Inputs'!$D$21*(1+$B138)^3</x:f>
        <x:v>144.49202323200004</x:v>
      </x:c>
      <x:c r="H138" t="n">
        <x:f>'Inputs'!$D$21*(1+$B138)^4</x:f>
        <x:v>164.72090648448008</x:v>
      </x:c>
      <x:c r="I138" t="n">
        <x:f>'Inputs'!$D$21*(1+$B138)^5</x:f>
        <x:v>187.7818333923073</x:v>
      </x:c>
      <x:c r="J138" t="n">
        <x:f>I138*(1+($BG138+('Assumptions'!$D$9-$BG138)*(6-5)/5))</x:f>
        <x:v>203.084306780373</x:v>
      </x:c>
      <x:c r="K138" t="n">
        <x:f>J138*(1+($BG138+('Assumptions'!$D$9-$BG138)*(7-5)/5))</x:f>
        <x:v>217.0195510940048</x:v>
      </x:c>
      <x:c r="L138" t="n">
        <x:f>K138*(1+($BG138+('Assumptions'!$D$9-$BG138)*(8-5)/5))</x:f>
        <x:v>229.11738212169018</x:v>
      </x:c>
      <x:c r="M138" t="n">
        <x:f>L138*(1+($BG138+('Assumptions'!$D$9-$BG138)*(9-5)/5))</x:f>
        <x:v>238.94025728523596</x:v>
      </x:c>
      <x:c r="N138" t="n">
        <x:f>M138*(1+($BG138+('Assumptions'!$D$9-$BG138)*(10-5)/5))</x:f>
        <x:v>246.10846500379304</x:v>
      </x:c>
      <x:c r="O138" t="n">
        <x:f>'NSSC Model'!$B$68</x:f>
        <x:v>106.88376</x:v>
      </x:c>
      <x:c r="P138" t="n">
        <x:f>'NSSC Model'!$C$68</x:f>
        <x:v>110.0902728</x:v>
      </x:c>
      <x:c r="Q138" t="n">
        <x:f>'NSSC Model'!$D$68</x:f>
        <x:v>113.39298098399999</x:v>
      </x:c>
      <x:c r="R138" t="n">
        <x:f>'NSSC Model'!$E$68</x:f>
        <x:v>116.79477041352</x:v>
      </x:c>
      <x:c r="S138" t="n">
        <x:f>'NSSC Model'!$F$68</x:f>
        <x:v>120.2986135259256</x:v>
      </x:c>
      <x:c r="T138" t="n">
        <x:f>S138*(1+($BG138+('Assumptions'!$D$9-$BG138)*(6-5)/5))</x:f>
        <x:v>130.101831967487</x:v>
      </x:c>
      <x:c r="U138" t="n">
        <x:f>T138*(1+($BG138+('Assumptions'!$D$9-$BG138)*(7-5)/5))</x:f>
        <x:v>139.0291629014261</x:v>
      </x:c>
      <x:c r="V138" t="n">
        <x:f>U138*(1+($BG138+('Assumptions'!$D$9-$BG138)*(8-5)/5))</x:f>
        <x:v>146.77939237256456</x:v>
      </x:c>
      <x:c r="W138" t="n">
        <x:f>V138*(1+($BG138+('Assumptions'!$D$9-$BG138)*(9-5)/5))</x:f>
        <x:v>153.07221762443058</x:v>
      </x:c>
      <x:c r="X138" t="n">
        <x:f>W138*(1+($BG138+('Assumptions'!$D$9-$BG138)*(10-5)/5))</x:f>
        <x:v>157.6643841531635</x:v>
      </x:c>
      <x:c r="Y138" t="n">
        <x:f>E138*'NSSC Model'!$B$62+O138*'NSSC Model'!$B$63+'NSSC Model'!$B$73+'NSSC Model'!$B$74</x:f>
        <x:v>70.25591668000001</x:v>
      </x:c>
      <x:c r="Z138" t="n">
        <x:f>F138*'NSSC Model'!$C$62+P138*'NSSC Model'!$C$63+'NSSC Model'!$C$73+'NSSC Model'!$C$74</x:f>
        <x:v>82.20377973740005</x:v>
      </x:c>
      <x:c r="AA138" t="n">
        <x:f>G138*'NSSC Model'!$D$62+Q138*'NSSC Model'!$D$63+'NSSC Model'!$D$73+'NSSC Model'!$D$74</x:f>
        <x:v>96.20853259332104</x:v>
      </x:c>
      <x:c r="AB138" t="n">
        <x:f>H138*'NSSC Model'!$E$62+R138*'NSSC Model'!$E$63+'NSSC Model'!$E$73+'NSSC Model'!$E$74</x:f>
        <x:v>111.74003977174588</x:v>
      </x:c>
      <x:c r="AC138" t="n">
        <x:f>I138*'NSSC Model'!$F$62+S138*'NSSC Model'!$F$63+'NSSC Model'!$F$73+'NSSC Model'!$F$74</x:f>
        <x:v>129.6529343583068</x:v>
      </x:c>
      <x:c r="AD138" t="n">
        <x:f>AX138*$AC138/$AW138</x:f>
        <x:v>140.21844296934316</x:v>
      </x:c>
      <x:c r="AE138" t="n">
        <x:f>AY138*$AC138/$AW138</x:f>
        <x:v>149.83995578356564</x:v>
      </x:c>
      <x:c r="AF138" t="n">
        <x:f>AZ138*$AC138/$AW138</x:f>
        <x:v>158.1928366974157</x:v>
      </x:c>
      <x:c r="AG138" t="n">
        <x:f>BA138*$AC138/$AW138</x:f>
        <x:v>164.97498684358217</x:v>
      </x:c>
      <x:c r="AH138" t="n">
        <x:f>BB138*$AC138/$AW138</x:f>
        <x:v>169.92423644888964</x:v>
      </x:c>
      <x:c r="AI138" t="n">
        <x:f>Y138*(1-'Assumptions'!$F$9)+AS138*'Assumptions'!$G$9-AS138*'NSSC Model'!$B$65-(AS138-'Inputs'!$D$14)*'Assumptions'!$H$9-'Assumptions'!$I$9</x:f>
        <x:v>55.16262095760001</x:v>
      </x:c>
      <x:c r="AJ138" t="n">
        <x:f>Z138*(1-'Assumptions'!$F$9)+AT138*'Assumptions'!$G$9-AT138*'NSSC Model'!$C$65-(AT138-AS138)*'Assumptions'!$H$9-0</x:f>
        <x:v>64.58255057826804</x:v>
      </x:c>
      <x:c r="AK138" t="n">
        <x:f>AA138*(1-'Assumptions'!$F$9)+AU138*'Assumptions'!$G$9-AU138*'NSSC Model'!$D$65-(AU138-AT138)*'Assumptions'!$H$9-0</x:f>
        <x:v>75.75472244805925</x:v>
      </x:c>
      <x:c r="AL138" t="n">
        <x:f>AB138*(1-'Assumptions'!$F$9)+AV138*'Assumptions'!$G$9-AV138*'NSSC Model'!$E$65-(AV138-AU138)*'Assumptions'!$H$9-0</x:f>
        <x:v>88.13770263703962</x:v>
      </x:c>
      <x:c r="AM138" t="n">
        <x:f>AC138*(1-'Assumptions'!$F$9)+AW138*'Assumptions'!$G$9-AW138*'NSSC Model'!$F$65-(AW138-AV138)*'Assumptions'!$H$9-0</x:f>
        <x:v>102.42660738411537</x:v>
      </x:c>
      <x:c r="AN138" t="n">
        <x:f>AD138*(1-'Assumptions'!$F$9)+AX138*'Assumptions'!$G$9-AX138*'NSSC Model'!$G$65-(AX138-AW138)*'Assumptions'!$H$9-0</x:f>
        <x:v>111.13580949690726</x:v>
      </x:c>
      <x:c r="AO138" t="n">
        <x:f>AE138*(1-'Assumptions'!$F$9)+AY138*'Assumptions'!$G$9-AY138*'NSSC Model'!$H$65-(AY138-AX138)*'Assumptions'!$H$9-0</x:f>
        <x:v>119.15831136178502</x:v>
      </x:c>
      <x:c r="AP138" t="n">
        <x:f>AF138*(1-'Assumptions'!$F$9)+AZ138*'Assumptions'!$G$9-AZ138*'NSSC Model'!$I$65-(AZ138-AY138)*'Assumptions'!$H$9-0</x:f>
        <x:v>126.22973294402148</x:v>
      </x:c>
      <x:c r="AQ138" t="n">
        <x:f>AG138*(1-'Assumptions'!$F$9)+BA138*'Assumptions'!$G$9-BA138*'NSSC Model'!$J$65-(BA138-AZ138)*'Assumptions'!$H$9-0</x:f>
        <x:v>132.09986927055758</x:v>
      </x:c>
      <x:c r="AR138" t="n">
        <x:f>AH138*(1-'Assumptions'!$F$9)+BB138*'Assumptions'!$G$9-BB138*'NSSC Model'!$K$65-(BB138-BA138)*'Assumptions'!$H$9-0</x:f>
        <x:v>136.54674506673268</x:v>
      </x:c>
      <x:c r="AS138" t="n">
        <x:f>E138+O138</x:f>
        <x:v>218.06568000000001</x:v>
      </x:c>
      <x:c r="AT138" t="n">
        <x:f>F138+P138</x:f>
        <x:v>236.83766160000005</x:v>
      </x:c>
      <x:c r="AU138" t="n">
        <x:f>G138+Q138</x:f>
        <x:v>257.885004216</x:v>
      </x:c>
      <x:c r="AV138" t="n">
        <x:f>H138+R138</x:f>
        <x:v>281.5156768980001</x:v>
      </x:c>
      <x:c r="AW138" t="n">
        <x:f>I138+S138</x:f>
        <x:v>308.0804469182329</x:v>
      </x:c>
      <x:c r="AX138" t="n">
        <x:f>J138+T138</x:f>
        <x:v>333.18613874786</x:v>
      </x:c>
      <x:c r="AY138" t="n">
        <x:f>K138+U138</x:f>
        <x:v>356.04871399543094</x:v>
      </x:c>
      <x:c r="AZ138" t="n">
        <x:f>L138+V138</x:f>
        <x:v>375.8967744942547</x:v>
      </x:c>
      <x:c r="BA138" t="n">
        <x:f>M138+W138</x:f>
        <x:v>392.01247490966654</x:v>
      </x:c>
      <x:c r="BB138" t="n">
        <x:f>N138+X138</x:f>
        <x:v>403.77284915695657</x:v>
      </x:c>
      <x:c r="BC138" t="n">
        <x:f>AS138/'Inputs'!$D$14-1</x:f>
        <x:v>0.07784693252140218</x:v>
      </x:c>
      <x:c r="BD138" t="n">
        <x:f>AT138/AS138-1</x:f>
        <x:v>0.08608407155128694</x:v>
      </x:c>
      <x:c r="BE138" t="n">
        <x:f>AU138/AT138-1</x:f>
        <x:v>0.08886822506948766</x:v>
      </x:c>
      <x:c r="BF138" t="n">
        <x:f>AV138/AU138-1</x:f>
        <x:v>0.09163259707108606</x:v>
      </x:c>
      <x:c r="BG138" t="n">
        <x:f>AW138/AV138-1</x:f>
        <x:v>0.09436337724757626</x:v>
      </x:c>
      <x:c r="BH138" t="n">
        <x:f>AX138/AW138-1</x:f>
        <x:v>0.08149070179806106</x:v>
      </x:c>
      <x:c r="BI138" t="n">
        <x:f>AY138/AX138-1</x:f>
        <x:v>0.06861802634854586</x:v>
      </x:c>
      <x:c r="BJ138" t="n">
        <x:f>AZ138/AY138-1</x:f>
        <x:v>0.05574535089903021</x:v>
      </x:c>
      <x:c r="BK138" t="n">
        <x:f>BA138/AZ138-1</x:f>
        <x:v>0.04287267544951523</x:v>
      </x:c>
      <x:c r="BL138" t="n">
        <x:f>BB138/BA138-1</x:f>
        <x:v>0.030000000000000027</x:v>
      </x:c>
      <x:c r="BM138" t="n">
        <x:f>AH138*(1-'Assumptions'!$F$9)*(1+'Assumptions'!$D$9)*(1-'Assumptions'!$D$9/'Assumptions'!$E$9)</x:f>
        <x:v>129.166209094259</x:v>
      </x:c>
      <x:c r="BN138" t="n">
        <x:f>SUMPRODUCT(AI138:AR138,'NSSC Model'!$B$83:$K$83)+BM138/('Assumptions'!$C$9-'Assumptions'!$D$9)*'NSSC Model'!$K$83</x:f>
        <x:v>1287.0875816141915</x:v>
      </x:c>
      <x:c r="BO138" t="n">
        <x:f>'NSSC Model'!$B$94</x:f>
        <x:v>101.2</x:v>
      </x:c>
      <x:c r="BP138" t="n">
        <x:f>'Inputs'!$D$8</x:f>
        <x:v>35.891</x:v>
      </x:c>
    </x:row>
    <x:row r="139">
      <x:c r="A139" t="str">
        <x:v>NSSC</x:v>
      </x:c>
      <x:c r="B139" s="22" t="n">
        <x:v>0.15</x:v>
      </x:c>
      <x:c r="C139" s="42" t="n">
        <x:f>(BN139+BO139)/BP139</x:f>
        <x:v>40.95763523059436</x:v>
      </x:c>
      <x:c r="D139" s="22" t="n">
        <x:f>C139/'Inputs'!$D$5-1</x:f>
        <x:v>0.10666401595769703</x:v>
      </x:c>
      <x:c r="E139" t="n">
        <x:f>'Inputs'!$D$21*(1+$B139)^1</x:f>
        <x:v>112.1572</x:v>
      </x:c>
      <x:c r="F139" t="n">
        <x:f>'Inputs'!$D$21*(1+$B139)^2</x:f>
        <x:v>128.98077999999998</x:v>
      </x:c>
      <x:c r="G139" t="n">
        <x:f>'Inputs'!$D$21*(1+$B139)^3</x:f>
        <x:v>148.32789699999995</x:v>
      </x:c>
      <x:c r="H139" t="n">
        <x:f>'Inputs'!$D$21*(1+$B139)^4</x:f>
        <x:v>170.57708154999995</x:v>
      </x:c>
      <x:c r="I139" t="n">
        <x:f>'Inputs'!$D$21*(1+$B139)^5</x:f>
        <x:v>196.16364378249995</x:v>
      </x:c>
      <x:c r="J139" t="n">
        <x:f>I139*(1+($BG139+('Assumptions'!$D$9-$BG139)*(6-5)/5))</x:f>
        <x:v>213.22660716377737</x:v>
      </x:c>
      <x:c r="K139" t="n">
        <x:f>J139*(1+($BG139+('Assumptions'!$D$9-$BG139)*(7-5)/5))</x:f>
        <x:v>228.7361740508515</x:v>
      </x:c>
      <x:c r="L139" t="n">
        <x:f>K139*(1+($BG139+('Assumptions'!$D$9-$BG139)*(8-5)/5))</x:f>
        <x:v>242.11533162967282</x:v>
      </x:c>
      <x:c r="M139" t="n">
        <x:f>L139*(1+($BG139+('Assumptions'!$D$9-$BG139)*(9-5)/5))</x:f>
        <x:v>252.82792493402965</x:v>
      </x:c>
      <x:c r="N139" t="n">
        <x:f>M139*(1+($BG139+('Assumptions'!$D$9-$BG139)*(10-5)/5))</x:f>
        <x:v>260.4127626820505</x:v>
      </x:c>
      <x:c r="O139" t="n">
        <x:f>'NSSC Model'!$B$68</x:f>
        <x:v>106.88376</x:v>
      </x:c>
      <x:c r="P139" t="n">
        <x:f>'NSSC Model'!$C$68</x:f>
        <x:v>110.0902728</x:v>
      </x:c>
      <x:c r="Q139" t="n">
        <x:f>'NSSC Model'!$D$68</x:f>
        <x:v>113.39298098399999</x:v>
      </x:c>
      <x:c r="R139" t="n">
        <x:f>'NSSC Model'!$E$68</x:f>
        <x:v>116.79477041352</x:v>
      </x:c>
      <x:c r="S139" t="n">
        <x:f>'NSSC Model'!$F$68</x:f>
        <x:v>120.2986135259256</x:v>
      </x:c>
      <x:c r="T139" t="n">
        <x:f>S139*(1+($BG139+('Assumptions'!$D$9-$BG139)*(6-5)/5))</x:f>
        <x:v>130.76258532942262</x:v>
      </x:c>
      <x:c r="U139" t="n">
        <x:f>T139*(1+($BG139+('Assumptions'!$D$9-$BG139)*(7-5)/5))</x:f>
        <x:v>140.27392676316626</x:v>
      </x:c>
      <x:c r="V139" t="n">
        <x:f>U139*(1+($BG139+('Assumptions'!$D$9-$BG139)*(8-5)/5))</x:f>
        <x:v>148.4787810156782</x:v>
      </x:c>
      <x:c r="W139" t="n">
        <x:f>V139*(1+($BG139+('Assumptions'!$D$9-$BG139)*(9-5)/5))</x:f>
        <x:v>155.04834761289192</x:v>
      </x:c>
      <x:c r="X139" t="n">
        <x:f>W139*(1+($BG139+('Assumptions'!$D$9-$BG139)*(10-5)/5))</x:f>
        <x:v>159.69979804127868</x:v>
      </x:c>
      <x:c r="Y139" t="n">
        <x:f>E139*'NSSC Model'!$B$62+O139*'NSSC Model'!$B$63+'NSSC Model'!$B$73+'NSSC Model'!$B$74</x:f>
        <x:v>71.13659451999999</x:v>
      </x:c>
      <x:c r="Z139" t="n">
        <x:f>F139*'NSSC Model'!$C$62+P139*'NSSC Model'!$C$63+'NSSC Model'!$C$73+'NSSC Model'!$C$74</x:f>
        <x:v>84.22053199099997</x:v>
      </x:c>
      <x:c r="AA139" t="n">
        <x:f>G139*'NSSC Model'!$D$62+Q139*'NSSC Model'!$D$63+'NSSC Model'!$D$73+'NSSC Model'!$D$74</x:f>
        <x:v>99.67232660582495</x:v>
      </x:c>
      <x:c r="AB139" t="n">
        <x:f>H139*'NSSC Model'!$E$62+R139*'NSSC Model'!$E$63+'NSSC Model'!$E$73+'NSSC Model'!$E$74</x:f>
        <x:v>117.02816585591033</x:v>
      </x:c>
      <x:c r="AC139" t="n">
        <x:f>I139*'NSSC Model'!$F$62+S139*'NSSC Model'!$F$63+'NSSC Model'!$F$73+'NSSC Model'!$F$74</x:f>
        <x:v>137.22170914065074</x:v>
      </x:c>
      <x:c r="AD139" t="n">
        <x:f>AX139*$AC139/$AW139</x:f>
        <x:v>149.15770784578953</x:v>
      </x:c>
      <x:c r="AE139" t="n">
        <x:f>AY139*$AC139/$AW139</x:f>
        <x:v>160.0070642058054</x:v>
      </x:c>
      <x:c r="AF139" t="n">
        <x:f>AZ139*$AC139/$AW139</x:f>
        <x:v>169.36614234295274</x:v>
      </x:c>
      <x:c r="AG139" t="n">
        <x:f>BA139*$AC139/$AW139</x:f>
        <x:v>176.85988753552482</x:v>
      </x:c>
      <x:c r="AH139" t="n">
        <x:f>BB139*$AC139/$AW139</x:f>
        <x:v>182.16568416159058</x:v>
      </x:c>
      <x:c r="AI139" t="n">
        <x:f>Y139*(1-'Assumptions'!$F$9)+AS139*'Assumptions'!$G$9-AS139*'NSSC Model'!$B$65-(AS139-'Inputs'!$D$14)*'Assumptions'!$H$9-'Assumptions'!$I$9</x:f>
        <x:v>55.783347666400005</x:v>
      </x:c>
      <x:c r="AJ139" t="n">
        <x:f>Z139*(1-'Assumptions'!$F$9)+AT139*'Assumptions'!$G$9-AT139*'NSSC Model'!$C$65-(AT139-AS139)*'Assumptions'!$H$9-0</x:f>
        <x:v>66.10154274141998</x:v>
      </x:c>
      <x:c r="AK139" t="n">
        <x:f>AA139*(1-'Assumptions'!$F$9)+AU139*'Assumptions'!$G$9-AU139*'NSSC Model'!$D$65-(AU139-AT139)*'Assumptions'!$H$9-0</x:f>
        <x:v>78.41944178644047</x:v>
      </x:c>
      <x:c r="AL139" t="n">
        <x:f>AB139*(1-'Assumptions'!$F$9)+AV139*'Assumptions'!$G$9-AV139*'NSSC Model'!$E$65-(AV139-AU139)*'Assumptions'!$H$9-0</x:f>
        <x:v>92.2485111960404</x:v>
      </x:c>
      <x:c r="AM139" t="n">
        <x:f>AC139*(1-'Assumptions'!$F$9)+AW139*'Assumptions'!$G$9-AW139*'NSSC Model'!$F$65-(AW139-AV139)*'Assumptions'!$H$9-0</x:f>
        <x:v>108.34691193160936</x:v>
      </x:c>
      <x:c r="AN139" t="n">
        <x:f>AD139*(1-'Assumptions'!$F$9)+AX139*'Assumptions'!$G$9-AX139*'NSSC Model'!$G$65-(AX139-AW139)*'Assumptions'!$H$9-0</x:f>
        <x:v>118.18067014509718</x:v>
      </x:c>
      <x:c r="AO139" t="n">
        <x:f>AE139*(1-'Assumptions'!$F$9)+AY139*'Assumptions'!$G$9-AY139*'NSSC Model'!$H$65-(AY139-AX139)*'Assumptions'!$H$9-0</x:f>
        <x:v>127.22766141342258</x:v>
      </x:c>
      <x:c r="AP139" t="n">
        <x:f>AF139*(1-'Assumptions'!$F$9)+AZ139*'Assumptions'!$G$9-AZ139*'NSSC Model'!$I$65-(AZ139-AY139)*'Assumptions'!$H$9-0</x:f>
        <x:v>135.15945908750652</x:v>
      </x:c>
      <x:c r="AQ139" t="n">
        <x:f>AG139*(1-'Assumptions'!$F$9)+BA139*'Assumptions'!$G$9-BA139*'NSSC Model'!$J$65-(BA139-AZ139)*'Assumptions'!$H$9-0</x:f>
        <x:v>141.66538669878562</x:v>
      </x:c>
      <x:c r="AR139" t="n">
        <x:f>AH139*(1-'Assumptions'!$F$9)+BB139*'Assumptions'!$G$9-BB139*'NSSC Model'!$K$65-(BB139-BA139)*'Assumptions'!$H$9-0</x:f>
        <x:v>146.4717819519702</x:v>
      </x:c>
      <x:c r="AS139" t="n">
        <x:f>E139+O139</x:f>
        <x:v>219.04095999999998</x:v>
      </x:c>
      <x:c r="AT139" t="n">
        <x:f>F139+P139</x:f>
        <x:v>239.07105279999996</x:v>
      </x:c>
      <x:c r="AU139" t="n">
        <x:f>G139+Q139</x:f>
        <x:v>261.7208779839999</x:v>
      </x:c>
      <x:c r="AV139" t="n">
        <x:f>H139+R139</x:f>
        <x:v>287.37185196351993</x:v>
      </x:c>
      <x:c r="AW139" t="n">
        <x:f>I139+S139</x:f>
        <x:v>316.46225730842554</x:v>
      </x:c>
      <x:c r="AX139" t="n">
        <x:f>J139+T139</x:f>
        <x:v>343.9891924932</x:v>
      </x:c>
      <x:c r="AY139" t="n">
        <x:f>K139+U139</x:f>
        <x:v>369.01010081401773</x:v>
      </x:c>
      <x:c r="AZ139" t="n">
        <x:f>L139+V139</x:f>
        <x:v>390.59411264535106</x:v>
      </x:c>
      <x:c r="BA139" t="n">
        <x:f>M139+W139</x:f>
        <x:v>407.87627254692154</x:v>
      </x:c>
      <x:c r="BB139" t="n">
        <x:f>N139+X139</x:f>
        <x:v>420.11256072332924</x:v>
      </x:c>
      <x:c r="BC139" t="n">
        <x:f>AS139/'Inputs'!$D$14-1</x:f>
        <x:v>0.08266751023151886</x:v>
      </x:c>
      <x:c r="BD139" t="n">
        <x:f>AT139/AS139-1</x:f>
        <x:v>0.09144450791304037</x:v>
      </x:c>
      <x:c r="BE139" t="n">
        <x:f>AU139/AT139-1</x:f>
        <x:v>0.09474097728991127</x:v>
      </x:c>
      <x:c r="BF139" t="n">
        <x:f>AV139/AU139-1</x:f>
        <x:v>0.09800889473207475</x:v>
      </x:c>
      <x:c r="BG139" t="n">
        <x:f>AW139/AV139-1</x:f>
        <x:v>0.10122913968831737</x:v>
      </x:c>
      <x:c r="BH139" t="n">
        <x:f>AX139/AW139-1</x:f>
        <x:v>0.08698331175065399</x:v>
      </x:c>
      <x:c r="BI139" t="n">
        <x:f>AY139/AX139-1</x:f>
        <x:v>0.07273748381299039</x:v>
      </x:c>
      <x:c r="BJ139" t="n">
        <x:f>AZ139/AY139-1</x:f>
        <x:v>0.05849165587532723</x:v>
      </x:c>
      <x:c r="BK139" t="n">
        <x:f>BA139/AZ139-1</x:f>
        <x:v>0.04424582793766341</x:v>
      </x:c>
      <x:c r="BL139" t="n">
        <x:f>BB139/BA139-1</x:f>
        <x:v>0.030000000000000027</x:v>
      </x:c>
      <x:c r="BM139" t="n">
        <x:f>AH139*(1-'Assumptions'!$F$9)*(1+'Assumptions'!$D$9)*(1-'Assumptions'!$D$9/'Assumptions'!$E$9)</x:f>
        <x:v>138.47142315859148</x:v>
      </x:c>
      <x:c r="BN139" t="n">
        <x:f>SUMPRODUCT(AI139:AR139,'NSSC Model'!$B$83:$K$83)+BM139/('Assumptions'!$C$9-'Assumptions'!$D$9)*'NSSC Model'!$K$83</x:f>
        <x:v>1368.810486061262</x:v>
      </x:c>
      <x:c r="BO139" t="n">
        <x:f>'NSSC Model'!$B$94</x:f>
        <x:v>101.2</x:v>
      </x:c>
      <x:c r="BP139" t="n">
        <x:f>'Inputs'!$D$8</x:f>
        <x:v>35.891</x:v>
      </x:c>
    </x:row>
    <x:row r="140">
      <x:c r="A140" t="str">
        <x:v>NSSC</x:v>
      </x:c>
      <x:c r="B140" s="22" t="n">
        <x:v>0.16</x:v>
      </x:c>
      <x:c r="C140" s="42" t="n">
        <x:f>(BN140+BO140)/BP140</x:f>
        <x:v>43.35154943231252</x:v>
      </x:c>
      <x:c r="D140" s="22" t="n">
        <x:f>C140/'Inputs'!$D$5-1</x:f>
        <x:v>0.17134691792252155</x:v>
      </x:c>
      <x:c r="E140" t="n">
        <x:f>'Inputs'!$D$21*(1+$B140)^1</x:f>
        <x:v>113.13248</x:v>
      </x:c>
      <x:c r="F140" t="n">
        <x:f>'Inputs'!$D$21*(1+$B140)^2</x:f>
        <x:v>131.2336768</x:v>
      </x:c>
      <x:c r="G140" t="n">
        <x:f>'Inputs'!$D$21*(1+$B140)^3</x:f>
        <x:v>152.23106508799998</x:v>
      </x:c>
      <x:c r="H140" t="n">
        <x:f>'Inputs'!$D$21*(1+$B140)^4</x:f>
        <x:v>176.58803550207998</x:v>
      </x:c>
      <x:c r="I140" t="n">
        <x:f>'Inputs'!$D$21*(1+$B140)^5</x:f>
        <x:v>204.84212118241277</x:v>
      </x:c>
      <x:c r="J140" t="n">
        <x:f>I140*(1+($BG140+('Assumptions'!$D$9-$BG140)*(6-5)/5))</x:f>
        <x:v>223.81007712290415</x:v>
      </x:c>
      <x:c r="K140" t="n">
        <x:f>J140*(1+($BG140+('Assumptions'!$D$9-$BG140)*(7-5)/5))</x:f>
        <x:v>241.03191471721587</x:v>
      </x:c>
      <x:c r="L140" t="n">
        <x:f>K140*(1+($BG140+('Assumptions'!$D$9-$BG140)*(8-5)/5))</x:f>
        <x:v>255.80692135200394</x:v>
      </x:c>
      <x:c r="M140" t="n">
        <x:f>L140*(1+($BG140+('Assumptions'!$D$9-$BG140)*(9-5)/5))</x:f>
        <x:v>267.48437478871307</x:v>
      </x:c>
      <x:c r="N140" t="n">
        <x:f>M140*(1+($BG140+('Assumptions'!$D$9-$BG140)*(10-5)/5))</x:f>
        <x:v>275.50890603237445</x:v>
      </x:c>
      <x:c r="O140" t="n">
        <x:f>'NSSC Model'!$B$68</x:f>
        <x:v>106.88376</x:v>
      </x:c>
      <x:c r="P140" t="n">
        <x:f>'NSSC Model'!$C$68</x:f>
        <x:v>110.0902728</x:v>
      </x:c>
      <x:c r="Q140" t="n">
        <x:f>'NSSC Model'!$D$68</x:f>
        <x:v>113.39298098399999</x:v>
      </x:c>
      <x:c r="R140" t="n">
        <x:f>'NSSC Model'!$E$68</x:f>
        <x:v>116.79477041352</x:v>
      </x:c>
      <x:c r="S140" t="n">
        <x:f>'NSSC Model'!$F$68</x:f>
        <x:v>120.2986135259256</x:v>
      </x:c>
      <x:c r="T140" t="n">
        <x:f>S140*(1+($BG140+('Assumptions'!$D$9-$BG140)*(6-5)/5))</x:f>
        <x:v>131.43801585143652</x:v>
      </x:c>
      <x:c r="U140" t="n">
        <x:f>T140*(1+($BG140+('Assumptions'!$D$9-$BG140)*(7-5)/5))</x:f>
        <x:v>141.55196689336822</x:v>
      </x:c>
      <x:c r="V140" t="n">
        <x:f>U140*(1+($BG140+('Assumptions'!$D$9-$BG140)*(8-5)/5))</x:f>
        <x:v>150.22895579946612</x:v>
      </x:c>
      <x:c r="W140" t="n">
        <x:f>V140*(1+($BG140+('Assumptions'!$D$9-$BG140)*(9-5)/5))</x:f>
        <x:v>157.08682980428907</x:v>
      </x:c>
      <x:c r="X140" t="n">
        <x:f>W140*(1+($BG140+('Assumptions'!$D$9-$BG140)*(10-5)/5))</x:f>
        <x:v>161.79943469841774</x:v>
      </x:c>
      <x:c r="Y140" t="n">
        <x:f>E140*'NSSC Model'!$B$62+O140*'NSSC Model'!$B$63+'NSSC Model'!$B$73+'NSSC Model'!$B$74</x:f>
        <x:v>72.01727235999999</x:v>
      </x:c>
      <x:c r="Z140" t="n">
        <x:f>F140*'NSSC Model'!$C$62+P140*'NSSC Model'!$C$63+'NSSC Model'!$C$73+'NSSC Model'!$C$74</x:f>
        <x:v>86.25489780140003</x:v>
      </x:c>
      <x:c r="AA140" t="n">
        <x:f>G140*'NSSC Model'!$D$62+Q140*'NSSC Model'!$D$63+'NSSC Model'!$D$73+'NSSC Model'!$D$74</x:f>
        <x:v>103.19688738928899</x:v>
      </x:c>
      <x:c r="AB140" t="n">
        <x:f>H140*'NSSC Model'!$E$62+R140*'NSSC Model'!$E$63+'NSSC Model'!$E$73+'NSSC Model'!$E$74</x:f>
        <x:v>122.45605727463861</x:v>
      </x:c>
      <x:c r="AC140" t="n">
        <x:f>I140*'NSSC Model'!$F$62+S140*'NSSC Model'!$F$63+'NSSC Model'!$F$73+'NSSC Model'!$F$74</x:f>
        <x:v>145.05837423277202</x:v>
      </x:c>
      <x:c r="AD140" t="n">
        <x:f>AX140*$AC140/$AW140</x:f>
        <x:v>158.49047909169576</x:v>
      </x:c>
      <x:c r="AE140" t="n">
        <x:f>AY140*$AC140/$AW140</x:f>
        <x:v>170.6860751356708</x:v>
      </x:c>
      <x:c r="AF140" t="n">
        <x:f>AZ140*$AC140/$AW140</x:f>
        <x:v>181.1489546906634</x:v>
      </x:c>
      <x:c r="AG140" t="n">
        <x:f>BA140*$AC140/$AW140</x:f>
        <x:v>189.418310626494</x:v>
      </x:c>
      <x:c r="AH140" t="n">
        <x:f>BB140*$AC140/$AW140</x:f>
        <x:v>195.10085994528885</x:v>
      </x:c>
      <x:c r="AI140" t="n">
        <x:f>Y140*(1-'Assumptions'!$F$9)+AS140*'Assumptions'!$G$9-AS140*'NSSC Model'!$B$65-(AS140-'Inputs'!$D$14)*'Assumptions'!$H$9-'Assumptions'!$I$9</x:f>
        <x:v>56.404074375200004</x:v>
      </x:c>
      <x:c r="AJ140" t="n">
        <x:f>Z140*(1-'Assumptions'!$F$9)+AT140*'Assumptions'!$G$9-AT140*'NSSC Model'!$C$65-(AT140-AS140)*'Assumptions'!$H$9-0</x:f>
        <x:v>67.63294943874803</x:v>
      </x:c>
      <x:c r="AK140" t="n">
        <x:f>AA140*(1-'Assumptions'!$F$9)+AU140*'Assumptions'!$G$9-AU140*'NSSC Model'!$D$65-(AU140-AT140)*'Assumptions'!$H$9-0</x:f>
        <x:v>81.128941827729</x:v>
      </x:c>
      <x:c r="AL140" t="n">
        <x:f>AB140*(1-'Assumptions'!$F$9)+AV140*'Assumptions'!$G$9-AV140*'NSSC Model'!$E$65-(AV140-AU140)*'Assumptions'!$H$9-0</x:f>
        <x:v>96.46455975718126</x:v>
      </x:c>
      <x:c r="AM140" t="n">
        <x:f>AC140*(1-'Assumptions'!$F$9)+AW140*'Assumptions'!$G$9-AW140*'NSSC Model'!$F$65-(AW140-AV140)*'Assumptions'!$H$9-0</x:f>
        <x:v>114.47151105276588</x:v>
      </x:c>
      <x:c r="AN140" t="n">
        <x:f>AD140*(1-'Assumptions'!$F$9)+AX140*'Assumptions'!$G$9-AX140*'NSSC Model'!$G$65-(AX140-AW140)*'Assumptions'!$H$9-0</x:f>
        <x:v>125.53046465669291</x:v>
      </x:c>
      <x:c r="AO140" t="n">
        <x:f>AE140*(1-'Assumptions'!$F$9)+AY140*'Assumptions'!$G$9-AY140*'NSSC Model'!$H$65-(AY140-AX140)*'Assumptions'!$H$9-0</x:f>
        <x:v>135.6986672211834</x:v>
      </x:c>
      <x:c r="AP140" t="n">
        <x:f>AF140*(1-'Assumptions'!$F$9)+AZ140*'Assumptions'!$G$9-AZ140*'NSSC Model'!$I$65-(AZ140-AY140)*'Assumptions'!$H$9-0</x:f>
        <x:v>144.57279978364954</x:v>
      </x:c>
      <x:c r="AQ140" t="n">
        <x:f>AG140*(1-'Assumptions'!$F$9)+BA140*'Assumptions'!$G$9-BA140*'NSSC Model'!$J$65-(BA140-AZ140)*'Assumptions'!$H$9-0</x:f>
        <x:v>151.77119715119989</x:v>
      </x:c>
      <x:c r="AR140" t="n">
        <x:f>AH140*(1-'Assumptions'!$F$9)+BB140*'Assumptions'!$G$9-BB140*'NSSC Model'!$K$65-(BB140-BA140)*'Assumptions'!$H$9-0</x:f>
        <x:v>156.95975817843467</x:v>
      </x:c>
      <x:c r="AS140" t="n">
        <x:f>E140+O140</x:f>
        <x:v>220.01623999999998</x:v>
      </x:c>
      <x:c r="AT140" t="n">
        <x:f>F140+P140</x:f>
        <x:v>241.3239496</x:v>
      </x:c>
      <x:c r="AU140" t="n">
        <x:f>G140+Q140</x:f>
        <x:v>265.62404607199994</x:v>
      </x:c>
      <x:c r="AV140" t="n">
        <x:f>H140+R140</x:f>
        <x:v>293.3828059156</x:v>
      </x:c>
      <x:c r="AW140" t="n">
        <x:f>I140+S140</x:f>
        <x:v>325.14073470833836</x:v>
      </x:c>
      <x:c r="AX140" t="n">
        <x:f>J140+T140</x:f>
        <x:v>355.2480929743407</x:v>
      </x:c>
      <x:c r="AY140" t="n">
        <x:f>K140+U140</x:f>
        <x:v>382.58388161058406</x:v>
      </x:c>
      <x:c r="AZ140" t="n">
        <x:f>L140+V140</x:f>
        <x:v>406.03587715147006</x:v>
      </x:c>
      <x:c r="BA140" t="n">
        <x:f>M140+W140</x:f>
        <x:v>424.5712045930021</x:v>
      </x:c>
      <x:c r="BB140" t="n">
        <x:f>N140+X140</x:f>
        <x:v>437.3083407307922</x:v>
      </x:c>
      <x:c r="BC140" t="n">
        <x:f>AS140/'Inputs'!$D$14-1</x:f>
        <x:v>0.08748808794163576</x:v>
      </x:c>
      <x:c r="BD140" t="n">
        <x:f>AT140/AS140-1</x:f>
        <x:v>0.09684607645326548</x:v>
      </x:c>
      <x:c r="BE140" t="n">
        <x:f>AU140/AT140-1</x:f>
        <x:v>0.10069492278855008</x:v>
      </x:c>
      <x:c r="BF140" t="n">
        <x:f>AV140/AU140-1</x:f>
        <x:v>0.10450394177067746</x:v>
      </x:c>
      <x:c r="BG140" t="n">
        <x:f>AW140/AV140-1</x:f>
        <x:v>0.10824740970632907</x:v>
      </x:c>
      <x:c r="BH140" t="n">
        <x:f>AX140/AW140-1</x:f>
        <x:v>0.09259792776506326</x:v>
      </x:c>
      <x:c r="BI140" t="n">
        <x:f>AY140/AX140-1</x:f>
        <x:v>0.07694844582379723</x:v>
      </x:c>
      <x:c r="BJ140" t="n">
        <x:f>AZ140/AY140-1</x:f>
        <x:v>0.061298963882531865</x:v>
      </x:c>
      <x:c r="BK140" t="n">
        <x:f>BA140/AZ140-1</x:f>
        <x:v>0.045649481941265835</x:v>
      </x:c>
      <x:c r="BL140" t="n">
        <x:f>BB140/BA140-1</x:f>
        <x:v>0.030000000000000027</x:v>
      </x:c>
      <x:c r="BM140" t="n">
        <x:f>AH140*(1-'Assumptions'!$F$9)*(1+'Assumptions'!$D$9)*(1-'Assumptions'!$D$9/'Assumptions'!$E$9)</x:f>
        <x:v>148.3039676788119</x:v>
      </x:c>
      <x:c r="BN140" t="n">
        <x:f>SUMPRODUCT(AI140:AR140,'NSSC Model'!$B$83:$K$83)+BM140/('Assumptions'!$C$9-'Assumptions'!$D$9)*'NSSC Model'!$K$83</x:f>
        <x:v>1454.7304606751284</x:v>
      </x:c>
      <x:c r="BO140" t="n">
        <x:f>'NSSC Model'!$B$94</x:f>
        <x:v>101.2</x:v>
      </x:c>
      <x:c r="BP140" t="n">
        <x:f>'Inputs'!$D$8</x:f>
        <x:v>35.891</x:v>
      </x:c>
    </x:row>
    <x:row r="141">
      <x:c r="A141" t="str">
        <x:v>NSSC</x:v>
      </x:c>
      <x:c r="B141" s="22" t="n">
        <x:v>0.17</x:v>
      </x:c>
      <x:c r="C141" s="42" t="n">
        <x:f>(BN141+BO141)/BP141</x:f>
        <x:v>45.86816683126085</x:v>
      </x:c>
      <x:c r="D141" s="22" t="n">
        <x:f>C141/'Inputs'!$D$5-1</x:f>
        <x:v>0.2393452264593583</x:v>
      </x:c>
      <x:c r="E141" t="n">
        <x:f>'Inputs'!$D$21*(1+$B141)^1</x:f>
        <x:v>114.10776</x:v>
      </x:c>
      <x:c r="F141" t="n">
        <x:f>'Inputs'!$D$21*(1+$B141)^2</x:f>
        <x:v>133.5060792</x:v>
      </x:c>
      <x:c r="G141" t="n">
        <x:f>'Inputs'!$D$21*(1+$B141)^3</x:f>
        <x:v>156.20211266399997</x:v>
      </x:c>
      <x:c r="H141" t="n">
        <x:f>'Inputs'!$D$21*(1+$B141)^4</x:f>
        <x:v>182.75647181687995</x:v>
      </x:c>
      <x:c r="I141" t="n">
        <x:f>'Inputs'!$D$21*(1+$B141)^5</x:f>
        <x:v>213.82507202574953</x:v>
      </x:c>
      <x:c r="J141" t="n">
        <x:f>I141*(1+($BG141+('Assumptions'!$D$9-$BG141)*(6-5)/5))</x:f>
        <x:v>234.85076864913339</x:v>
      </x:c>
      <x:c r="K141" t="n">
        <x:f>J141*(1+($BG141+('Assumptions'!$D$9-$BG141)*(7-5)/5))</x:f>
        <x:v>253.93203489306728</x:v>
      </x:c>
      <x:c r="L141" t="n">
        <x:f>K141*(1+($BG141+('Assumptions'!$D$9-$BG141)*(8-5)/5))</x:f>
        <x:v>270.22574856313844</x:v>
      </x:c>
      <x:c r="M141" t="n">
        <x:f>L141*(1+($BG141+('Assumptions'!$D$9-$BG141)*(9-5)/5))</x:f>
        <x:v>282.9487399779153</x:v>
      </x:c>
      <x:c r="N141" t="n">
        <x:f>M141*(1+($BG141+('Assumptions'!$D$9-$BG141)*(10-5)/5))</x:f>
        <x:v>291.43720217725274</x:v>
      </x:c>
      <x:c r="O141" t="n">
        <x:f>'NSSC Model'!$B$68</x:f>
        <x:v>106.88376</x:v>
      </x:c>
      <x:c r="P141" t="n">
        <x:f>'NSSC Model'!$C$68</x:f>
        <x:v>110.0902728</x:v>
      </x:c>
      <x:c r="Q141" t="n">
        <x:f>'NSSC Model'!$D$68</x:f>
        <x:v>113.39298098399999</x:v>
      </x:c>
      <x:c r="R141" t="n">
        <x:f>'NSSC Model'!$E$68</x:f>
        <x:v>116.79477041352</x:v>
      </x:c>
      <x:c r="S141" t="n">
        <x:f>'NSSC Model'!$F$68</x:f>
        <x:v>120.2986135259256</x:v>
      </x:c>
      <x:c r="T141" t="n">
        <x:f>S141*(1+($BG141+('Assumptions'!$D$9-$BG141)*(6-5)/5))</x:f>
        <x:v>132.12773219871258</x:v>
      </x:c>
      <x:c r="U141" t="n">
        <x:f>T141*(1+($BG141+('Assumptions'!$D$9-$BG141)*(7-5)/5))</x:f>
        <x:v>142.86290862922897</x:v>
      </x:c>
      <x:c r="V141" t="n">
        <x:f>U141*(1+($BG141+('Assumptions'!$D$9-$BG141)*(8-5)/5))</x:f>
        <x:v>152.02979979464823</x:v>
      </x:c>
      <x:c r="W141" t="n">
        <x:f>V141*(1+($BG141+('Assumptions'!$D$9-$BG141)*(9-5)/5))</x:f>
        <x:v>159.1877921320276</x:v>
      </x:c>
      <x:c r="X141" t="n">
        <x:f>W141*(1+($BG141+('Assumptions'!$D$9-$BG141)*(10-5)/5))</x:f>
        <x:v>163.96342589598842</x:v>
      </x:c>
      <x:c r="Y141" t="n">
        <x:f>E141*'NSSC Model'!$B$62+O141*'NSSC Model'!$B$63+'NSSC Model'!$B$73+'NSSC Model'!$B$74</x:f>
        <x:v>72.8979502</x:v>
      </x:c>
      <x:c r="Z141" t="n">
        <x:f>F141*'NSSC Model'!$C$62+P141*'NSSC Model'!$C$63+'NSSC Model'!$C$73+'NSSC Model'!$C$74</x:f>
        <x:v>88.30687716860001</x:v>
      </x:c>
      <x:c r="AA141" t="n">
        <x:f>G141*'NSSC Model'!$D$62+Q141*'NSSC Model'!$D$63+'NSSC Model'!$D$73+'NSSC Model'!$D$74</x:f>
        <x:v>106.78274335041696</x:v>
      </x:c>
      <x:c r="AB141" t="n">
        <x:f>H141*'NSSC Model'!$E$62+R141*'NSSC Model'!$E$63+'NSSC Model'!$E$73+'NSSC Model'!$E$74</x:f>
        <x:v>128.026155266903</x:v>
      </x:c>
      <x:c r="AC141" t="n">
        <x:f>I141*'NSSC Model'!$F$62+S141*'NSSC Model'!$F$63+'NSSC Model'!$F$73+'NSSC Model'!$F$74</x:f>
        <x:v>153.16997884430515</x:v>
      </x:c>
      <x:c r="AD141" t="n">
        <x:f>AX141*$AC141/$AW141</x:f>
        <x:v>168.23138149685593</x:v>
      </x:c>
      <x:c r="AE141" t="n">
        <x:f>AY141*$AC141/$AW141</x:f>
        <x:v>181.8999242884793</x:v>
      </x:c>
      <x:c r="AF141" t="n">
        <x:f>AZ141*$AC141/$AW141</x:f>
        <x:v>193.5716508755253</x:v>
      </x:c>
      <x:c r="AG141" t="n">
        <x:f>BA141*$AC141/$AW141</x:f>
        <x:v>202.6855508844212</x:v>
      </x:c>
      <x:c r="AH141" t="n">
        <x:f>BB141*$AC141/$AW141</x:f>
        <x:v>208.76611741095383</x:v>
      </x:c>
      <x:c r="AI141" t="n">
        <x:f>Y141*(1-'Assumptions'!$F$9)+AS141*'Assumptions'!$G$9-AS141*'NSSC Model'!$B$65-(AS141-'Inputs'!$D$14)*'Assumptions'!$H$9-'Assumptions'!$I$9</x:f>
        <x:v>57.02480108400001</x:v>
      </x:c>
      <x:c r="AJ141" t="n">
        <x:f>Z141*(1-'Assumptions'!$F$9)+AT141*'Assumptions'!$G$9-AT141*'NSSC Model'!$C$65-(AT141-AS141)*'Assumptions'!$H$9-0</x:f>
        <x:v>69.17677067025201</x:v>
      </x:c>
      <x:c r="AK141" t="n">
        <x:f>AA141*(1-'Assumptions'!$F$9)+AU141*'Assumptions'!$G$9-AU141*'NSSC Model'!$D$65-(AU141-AT141)*'Assumptions'!$H$9-0</x:f>
        <x:v>83.88359500794992</x:v>
      </x:c>
      <x:c r="AL141" t="n">
        <x:f>AB141*(1-'Assumptions'!$F$9)+AV141*'Assumptions'!$G$9-AV141*'NSSC Model'!$E$65-(AV141-AU141)*'Assumptions'!$H$9-0</x:f>
        <x:v>100.78762749169887</x:v>
      </x:c>
      <x:c r="AM141" t="n">
        <x:f>AC141*(1-'Assumptions'!$F$9)+AW141*'Assumptions'!$G$9-AW141*'NSSC Model'!$F$65-(AW141-AV141)*'Assumptions'!$H$9-0</x:f>
        <x:v>120.80564357799601</x:v>
      </x:c>
      <x:c r="AN141" t="n">
        <x:f>AD141*(1-'Assumptions'!$F$9)+AX141*'Assumptions'!$G$9-AX141*'NSSC Model'!$G$65-(AX141-AW141)*'Assumptions'!$H$9-0</x:f>
        <x:v>133.19633729441344</x:v>
      </x:c>
      <x:c r="AO141" t="n">
        <x:f>AE141*(1-'Assumptions'!$F$9)+AY141*'Assumptions'!$G$9-AY141*'NSSC Model'!$H$65-(AY141-AX141)*'Assumptions'!$H$9-0</x:f>
        <x:v>144.58911387501882</x:v>
      </x:c>
      <x:c r="AP141" t="n">
        <x:f>AF141*(1-'Assumptions'!$F$9)+AZ141*'Assumptions'!$G$9-AZ141*'NSSC Model'!$I$65-(AZ141-AY141)*'Assumptions'!$H$9-0</x:f>
        <x:v>154.4936710409506</x:v>
      </x:c>
      <x:c r="AQ141" t="n">
        <x:f>AG141*(1-'Assumptions'!$F$9)+BA141*'Assumptions'!$G$9-BA141*'NSSC Model'!$J$65-(BA141-AZ141)*'Assumptions'!$H$9-0</x:f>
        <x:v>162.44550722156998</x:v>
      </x:c>
      <x:c r="AR141" t="n">
        <x:f>AH141*(1-'Assumptions'!$F$9)+BB141*'Assumptions'!$G$9-BB141*'NSSC Model'!$K$65-(BB141-BA141)*'Assumptions'!$H$9-0</x:f>
        <x:v>168.04020416835937</x:v>
      </x:c>
      <x:c r="AS141" t="n">
        <x:f>E141+O141</x:f>
        <x:v>220.99151999999998</x:v>
      </x:c>
      <x:c r="AT141" t="n">
        <x:f>F141+P141</x:f>
        <x:v>243.59635199999997</x:v>
      </x:c>
      <x:c r="AU141" t="n">
        <x:f>G141+Q141</x:f>
        <x:v>269.595093648</x:v>
      </x:c>
      <x:c r="AV141" t="n">
        <x:f>H141+R141</x:f>
        <x:v>299.55124223039996</x:v>
      </x:c>
      <x:c r="AW141" t="n">
        <x:f>I141+S141</x:f>
        <x:v>334.1236855516751</x:v>
      </x:c>
      <x:c r="AX141" t="n">
        <x:f>J141+T141</x:f>
        <x:v>366.97850084784596</x:v>
      </x:c>
      <x:c r="AY141" t="n">
        <x:f>K141+U141</x:f>
        <x:v>396.79494352229625</x:v>
      </x:c>
      <x:c r="AZ141" t="n">
        <x:f>L141+V141</x:f>
        <x:v>422.25554835778667</x:v>
      </x:c>
      <x:c r="BA141" t="n">
        <x:f>M141+W141</x:f>
        <x:v>442.1365321099429</x:v>
      </x:c>
      <x:c r="BB141" t="n">
        <x:f>N141+X141</x:f>
        <x:v>455.40062807324114</x:v>
      </x:c>
      <x:c r="BC141" t="n">
        <x:f>AS141/'Inputs'!$D$14-1</x:f>
        <x:v>0.09230866565175266</x:v>
      </x:c>
      <x:c r="BD141" t="n">
        <x:f>AT141/AS141-1</x:f>
        <x:v>0.10228823259824615</x:v>
      </x:c>
      <x:c r="BE141" t="n">
        <x:f>AU141/AT141-1</x:f>
        <x:v>0.10672878076597803</x:v>
      </x:c>
      <x:c r="BF141" t="n">
        <x:f>AV141/AU141-1</x:f>
        <x:v>0.11111533291296682</x:v>
      </x:c>
      <x:c r="BG141" t="n">
        <x:f>AW141/AV141-1</x:f>
        <x:v>0.1154141210160089</x:v>
      </x:c>
      <x:c r="BH141" t="n">
        <x:f>AX141/AW141-1</x:f>
        <x:v>0.09833129681280717</x:v>
      </x:c>
      <x:c r="BI141" t="n">
        <x:f>AY141/AX141-1</x:f>
        <x:v>0.08124847260960544</x:v>
      </x:c>
      <x:c r="BJ141" t="n">
        <x:f>AZ141/AY141-1</x:f>
        <x:v>0.06416564840640349</x:v>
      </x:c>
      <x:c r="BK141" t="n">
        <x:f>BA141/AZ141-1</x:f>
        <x:v>0.047082824203201756</x:v>
      </x:c>
      <x:c r="BL141" t="n">
        <x:f>BB141/BA141-1</x:f>
        <x:v>0.029999999999999805</x:v>
      </x:c>
      <x:c r="BM141" t="n">
        <x:f>AH141*(1-'Assumptions'!$F$9)*(1+'Assumptions'!$D$9)*(1-'Assumptions'!$D$9/'Assumptions'!$E$9)</x:f>
        <x:v>158.69147648876248</x:v>
      </x:c>
      <x:c r="BN141" t="n">
        <x:f>SUMPRODUCT(AI141:AR141,'NSSC Model'!$B$83:$K$83)+BM141/('Assumptions'!$C$9-'Assumptions'!$D$9)*'NSSC Model'!$K$83</x:f>
        <x:v>1545.0543757407831</x:v>
      </x:c>
      <x:c r="BO141" t="n">
        <x:f>'NSSC Model'!$B$94</x:f>
        <x:v>101.2</x:v>
      </x:c>
      <x:c r="BP141" t="n">
        <x:f>'Inputs'!$D$8</x:f>
        <x:v>35.891</x:v>
      </x:c>
    </x:row>
    <x:row r="142">
      <x:c r="A142" t="str">
        <x:v>NSSC</x:v>
      </x:c>
      <x:c r="B142" s="22" t="n">
        <x:v>0.18</x:v>
      </x:c>
      <x:c r="C142" s="42" t="n">
        <x:f>(BN142+BO142)/BP142</x:f>
        <x:v>48.51348936875854</x:v>
      </x:c>
      <x:c r="D142" s="22" t="n">
        <x:f>C142/'Inputs'!$D$5-1</x:f>
        <x:v>0.3108211123685096</x:v>
      </x:c>
      <x:c r="E142" t="n">
        <x:f>'Inputs'!$D$21*(1+$B142)^1</x:f>
        <x:v>115.08304</x:v>
      </x:c>
      <x:c r="F142" t="n">
        <x:f>'Inputs'!$D$21*(1+$B142)^2</x:f>
        <x:v>135.7979872</x:v>
      </x:c>
      <x:c r="G142" t="n">
        <x:f>'Inputs'!$D$21*(1+$B142)^3</x:f>
        <x:v>160.241624896</x:v>
      </x:c>
      <x:c r="H142" t="n">
        <x:f>'Inputs'!$D$21*(1+$B142)^4</x:f>
        <x:v>189.08511737727997</x:v>
      </x:c>
      <x:c r="I142" t="n">
        <x:f>'Inputs'!$D$21*(1+$B142)^5</x:f>
        <x:v>223.12043850519032</x:v>
      </x:c>
      <x:c r="J142" t="n">
        <x:f>I142*(1+($BG142+('Assumptions'!$D$9-$BG142)*(6-5)/5))</x:f>
        <x:v>246.3651578904666</x:v>
      </x:c>
      <x:c r="K142" t="n">
        <x:f>J142*(1+($BG142+('Assumptions'!$D$9-$BG142)*(7-5)/5))</x:f>
        <x:v>267.4626647710489</x:v>
      </x:c>
      <x:c r="L142" t="n">
        <x:f>K142*(1+($BG142+('Assumptions'!$D$9-$BG142)*(8-5)/5))</x:f>
        <x:v>285.40675419134527</x:v>
      </x:c>
      <x:c r="M142" t="n">
        <x:f>L142*(1+($BG142+('Assumptions'!$D$9-$BG142)*(9-5)/5))</x:f>
        <x:v>299.261835339401</x:v>
      </x:c>
      <x:c r="N142" t="n">
        <x:f>M142*(1+($BG142+('Assumptions'!$D$9-$BG142)*(10-5)/5))</x:f>
        <x:v>308.239690399583</x:v>
      </x:c>
      <x:c r="O142" t="n">
        <x:f>'NSSC Model'!$B$68</x:f>
        <x:v>106.88376</x:v>
      </x:c>
      <x:c r="P142" t="n">
        <x:f>'NSSC Model'!$C$68</x:f>
        <x:v>110.0902728</x:v>
      </x:c>
      <x:c r="Q142" t="n">
        <x:f>'NSSC Model'!$D$68</x:f>
        <x:v>113.39298098399999</x:v>
      </x:c>
      <x:c r="R142" t="n">
        <x:f>'NSSC Model'!$E$68</x:f>
        <x:v>116.79477041352</x:v>
      </x:c>
      <x:c r="S142" t="n">
        <x:f>'NSSC Model'!$F$68</x:f>
        <x:v>120.2986135259256</x:v>
      </x:c>
      <x:c r="T142" t="n">
        <x:f>S142*(1+($BG142+('Assumptions'!$D$9-$BG142)*(6-5)/5))</x:f>
        <x:v>132.83134039120958</x:v>
      </x:c>
      <x:c r="U142" t="n">
        <x:f>T142*(1+($BG142+('Assumptions'!$D$9-$BG142)*(7-5)/5))</x:f>
        <x:v>144.2063665591</x:v>
      </x:c>
      <x:c r="V142" t="n">
        <x:f>U142*(1+($BG142+('Assumptions'!$D$9-$BG142)*(8-5)/5))</x:f>
        <x:v>153.8811820655094</x:v>
      </x:c>
      <x:c r="W142" t="n">
        <x:f>V142*(1+($BG142+('Assumptions'!$D$9-$BG142)*(9-5)/5))</x:f>
        <x:v>161.35134958385407</x:v>
      </x:c>
      <x:c r="X142" t="n">
        <x:f>W142*(1+($BG142+('Assumptions'!$D$9-$BG142)*(10-5)/5))</x:f>
        <x:v>166.1918900713697</x:v>
      </x:c>
      <x:c r="Y142" t="n">
        <x:f>E142*'NSSC Model'!$B$62+O142*'NSSC Model'!$B$63+'NSSC Model'!$B$73+'NSSC Model'!$B$74</x:f>
        <x:v>73.77862804</x:v>
      </x:c>
      <x:c r="Z142" t="n">
        <x:f>F142*'NSSC Model'!$C$62+P142*'NSSC Model'!$C$63+'NSSC Model'!$C$73+'NSSC Model'!$C$74</x:f>
        <x:v>90.37647009260002</x:v>
      </x:c>
      <x:c r="AA142" t="n">
        <x:f>G142*'NSSC Model'!$D$62+Q142*'NSSC Model'!$D$63+'NSSC Model'!$D$73+'NSSC Model'!$D$74</x:f>
        <x:v>110.430422895913</x:v>
      </x:c>
      <x:c r="AB142" t="n">
        <x:f>H142*'NSSC Model'!$E$62+R142*'NSSC Model'!$E$63+'NSSC Model'!$E$73+'NSSC Model'!$E$74</x:f>
        <x:v>133.7409222079442</x:v>
      </x:c>
      <x:c r="AC142" t="n">
        <x:f>I142*'NSSC Model'!$F$62+S142*'NSSC Model'!$F$63+'NSSC Model'!$F$73+'NSSC Model'!$F$74</x:f>
        <x:v>161.56369477524018</x:v>
      </x:c>
      <x:c r="AD142" t="n">
        <x:f>AX142*$AC142/$AW142</x:f>
        <x:v>178.3954237421565</x:v>
      </x:c>
      <x:c r="AE142" t="n">
        <x:f>AY142*$AC142/$AW142</x:f>
        <x:v>193.6723351045086</x:v>
      </x:c>
      <x:c r="AF142" t="n">
        <x:f>AZ142*$AC142/$AW142</x:f>
        <x:v>206.66582599912667</x:v>
      </x:c>
      <x:c r="AG142" t="n">
        <x:f>BA142*$AC142/$AW142</x:f>
        <x:v>216.69842595584726</x:v>
      </x:c>
      <x:c r="AH142" t="n">
        <x:f>BB142*$AC142/$AW142</x:f>
        <x:v>223.19937873452272</x:v>
      </x:c>
      <x:c r="AI142" t="n">
        <x:f>Y142*(1-'Assumptions'!$F$9)+AS142*'Assumptions'!$G$9-AS142*'NSSC Model'!$B$65-(AS142-'Inputs'!$D$14)*'Assumptions'!$H$9-'Assumptions'!$I$9</x:f>
        <x:v>57.64552779280001</x:v>
      </x:c>
      <x:c r="AJ142" t="n">
        <x:f>Z142*(1-'Assumptions'!$F$9)+AT142*'Assumptions'!$G$9-AT142*'NSSC Model'!$C$65-(AT142-AS142)*'Assumptions'!$H$9-0</x:f>
        <x:v>70.73300643593201</x:v>
      </x:c>
      <x:c r="AK142" t="n">
        <x:f>AA142*(1-'Assumptions'!$F$9)+AU142*'Assumptions'!$G$9-AU142*'NSSC Model'!$D$65-(AU142-AT142)*'Assumptions'!$H$9-0</x:f>
        <x:v>86.68377376312867</x:v>
      </x:c>
      <x:c r="AL142" t="n">
        <x:f>AB142*(1-'Assumptions'!$F$9)+AV142*'Assumptions'!$G$9-AV142*'NSSC Model'!$E$65-(AV142-AU142)*'Assumptions'!$H$9-0</x:f>
        <x:v>105.21950846827106</x:v>
      </x:c>
      <x:c r="AM142" t="n">
        <x:f>AC142*(1-'Assumptions'!$F$9)+AW142*'Assumptions'!$G$9-AW142*'NSSC Model'!$F$65-(AW142-AV142)*'Assumptions'!$H$9-0</x:f>
        <x:v>127.35463708354088</x:v>
      </x:c>
      <x:c r="AN142" t="n">
        <x:f>AD142*(1-'Assumptions'!$F$9)+AX142*'Assumptions'!$G$9-AX142*'NSSC Model'!$G$65-(AX142-AW142)*'Assumptions'!$H$9-0</x:f>
        <x:v>141.1897168503856</x:v>
      </x:c>
      <x:c r="AO142" t="n">
        <x:f>AE142*(1-'Assumptions'!$F$9)+AY142*'Assumptions'!$G$9-AY142*'NSSC Model'!$H$65-(AY142-AX142)*'Assumptions'!$H$9-0</x:f>
        <x:v>153.91738535552918</x:v>
      </x:c>
      <x:c r="AP142" t="n">
        <x:f>AF142*(1-'Assumptions'!$F$9)+AZ142*'Assumptions'!$G$9-AZ142*'NSSC Model'!$I$65-(AZ142-AY142)*'Assumptions'!$H$9-0</x:f>
        <x:v>164.9469350815859</x:v>
      </x:c>
      <x:c r="AQ142" t="n">
        <x:f>AG142*(1-'Assumptions'!$F$9)+BA142*'Assumptions'!$G$9-BA142*'NSSC Model'!$J$65-(BA142-AZ142)*'Assumptions'!$H$9-0</x:f>
        <x:v>173.7177316774617</x:v>
      </x:c>
      <x:c r="AR142" t="n">
        <x:f>AH142*(1-'Assumptions'!$F$9)+BB142*'Assumptions'!$G$9-BB142*'NSSC Model'!$K$65-(BB142-BA142)*'Assumptions'!$H$9-0</x:f>
        <x:v>179.74392468565506</x:v>
      </x:c>
      <x:c r="AS142" t="n">
        <x:f>E142+O142</x:f>
        <x:v>221.96679999999998</x:v>
      </x:c>
      <x:c r="AT142" t="n">
        <x:f>F142+P142</x:f>
        <x:v>245.88826</x:v>
      </x:c>
      <x:c r="AU142" t="n">
        <x:f>G142+Q142</x:f>
        <x:v>273.63460588</x:v>
      </x:c>
      <x:c r="AV142" t="n">
        <x:f>H142+R142</x:f>
        <x:v>305.87988779079996</x:v>
      </x:c>
      <x:c r="AW142" t="n">
        <x:f>I142+S142</x:f>
        <x:v>343.41905203111594</x:v>
      </x:c>
      <x:c r="AX142" t="n">
        <x:f>J142+T142</x:f>
        <x:v>379.1964982816762</x:v>
      </x:c>
      <x:c r="AY142" t="n">
        <x:f>K142+U142</x:f>
        <x:v>411.66903133014887</x:v>
      </x:c>
      <x:c r="AZ142" t="n">
        <x:f>L142+V142</x:f>
        <x:v>439.28793625685466</x:v>
      </x:c>
      <x:c r="BA142" t="n">
        <x:f>M142+W142</x:f>
        <x:v>460.61318492325506</x:v>
      </x:c>
      <x:c r="BB142" t="n">
        <x:f>N142+X142</x:f>
        <x:v>474.4315804709527</x:v>
      </x:c>
      <x:c r="BC142" t="n">
        <x:f>AS142/'Inputs'!$D$14-1</x:f>
        <x:v>0.09712924336186934</x:v>
      </x:c>
      <x:c r="BD142" t="n">
        <x:f>AT142/AS142-1</x:f>
        <x:v>0.10777044134528246</x:v>
      </x:c>
      <x:c r="BE142" t="n">
        <x:f>AU142/AT142-1</x:f>
        <x:v>0.1128412795307916</x:v>
      </x:c>
      <x:c r="BF142" t="n">
        <x:f>AV142/AU142-1</x:f>
        <x:v>0.11784065764306462</x:v>
      </x:c>
      <x:c r="BG142" t="n">
        <x:f>AW142/AV142-1</x:f>
        <x:v>0.12272517984572451</x:v>
      </x:c>
      <x:c r="BH142" t="n">
        <x:f>AX142/AW142-1</x:f>
        <x:v>0.1041801438765797</x:v>
      </x:c>
      <x:c r="BI142" t="n">
        <x:f>AY142/AX142-1</x:f>
        <x:v>0.08563510790743445</x:v>
      </x:c>
      <x:c r="BJ142" t="n">
        <x:f>AZ142/AY142-1</x:f>
        <x:v>0.06709007193828986</x:v>
      </x:c>
      <x:c r="BK142" t="n">
        <x:f>BA142/AZ142-1</x:f>
        <x:v>0.048545035969144834</x:v>
      </x:c>
      <x:c r="BL142" t="n">
        <x:f>BB142/BA142-1</x:f>
        <x:v>0.030000000000000027</x:v>
      </x:c>
      <x:c r="BM142" t="n">
        <x:f>AH142*(1-'Assumptions'!$F$9)*(1+'Assumptions'!$D$9)*(1-'Assumptions'!$D$9/'Assumptions'!$E$9)</x:f>
        <x:v>169.6627757512601</x:v>
      </x:c>
      <x:c r="BN142" t="n">
        <x:f>SUMPRODUCT(AI142:AR142,'NSSC Model'!$B$83:$K$83)+BM142/('Assumptions'!$C$9-'Assumptions'!$D$9)*'NSSC Model'!$K$83</x:f>
        <x:v>1639.9976469341127</x:v>
      </x:c>
      <x:c r="BO142" t="n">
        <x:f>'NSSC Model'!$B$94</x:f>
        <x:v>101.2</x:v>
      </x:c>
      <x:c r="BP142" t="n">
        <x:f>'Inputs'!$D$8</x:f>
        <x:v>35.891</x:v>
      </x:c>
    </x:row>
    <x:row r="143">
      <x:c r="A143" t="str">
        <x:v>NSSC</x:v>
      </x:c>
      <x:c r="B143" s="22" t="n">
        <x:v>0.19</x:v>
      </x:c>
      <x:c r="C143" s="42" t="n">
        <x:f>(BN143+BO143)/BP143</x:f>
        <x:v>51.29376446173447</x:v>
      </x:c>
      <x:c r="D143" s="22" t="n">
        <x:f>C143/'Inputs'!$D$5-1</x:f>
        <x:v>0.3859433791335982</x:v>
      </x:c>
      <x:c r="E143" t="n">
        <x:f>'Inputs'!$D$21*(1+$B143)^1</x:f>
        <x:v>116.05832</x:v>
      </x:c>
      <x:c r="F143" t="n">
        <x:f>'Inputs'!$D$21*(1+$B143)^2</x:f>
        <x:v>138.1094008</x:v>
      </x:c>
      <x:c r="G143" t="n">
        <x:f>'Inputs'!$D$21*(1+$B143)^3</x:f>
        <x:v>164.350186952</x:v>
      </x:c>
      <x:c r="H143" t="n">
        <x:f>'Inputs'!$D$21*(1+$B143)^4</x:f>
        <x:v>195.57672247288</x:v>
      </x:c>
      <x:c r="I143" t="n">
        <x:f>'Inputs'!$D$21*(1+$B143)^5</x:f>
        <x:v>232.7362997427272</x:v>
      </x:c>
      <x:c r="J143" t="n">
        <x:f>I143*(1+($BG143+('Assumptions'!$D$9-$BG143)*(6-5)/5))</x:f>
        <x:v>258.37015075174924</x:v>
      </x:c>
      <x:c r="K143" t="n">
        <x:f>J143*(1+($BG143+('Assumptions'!$D$9-$BG143)*(7-5)/5))</x:f>
        <x:v>281.6508221146851</x:v>
      </x:c>
      <x:c r="L143" t="n">
        <x:f>K143*(1+($BG143+('Assumptions'!$D$9-$BG143)*(8-5)/5))</x:f>
        <x:v>301.3862615918214</x:v>
      </x:c>
      <x:c r="M143" t="n">
        <x:f>L143*(1+($BG143+('Assumptions'!$D$9-$BG143)*(9-5)/5))</x:f>
        <x:v>316.4662122052251</x:v>
      </x:c>
      <x:c r="N143" t="n">
        <x:f>M143*(1+($BG143+('Assumptions'!$D$9-$BG143)*(10-5)/5))</x:f>
        <x:v>325.96019857138185</x:v>
      </x:c>
      <x:c r="O143" t="n">
        <x:f>'NSSC Model'!$B$68</x:f>
        <x:v>106.88376</x:v>
      </x:c>
      <x:c r="P143" t="n">
        <x:f>'NSSC Model'!$C$68</x:f>
        <x:v>110.0902728</x:v>
      </x:c>
      <x:c r="Q143" t="n">
        <x:f>'NSSC Model'!$D$68</x:f>
        <x:v>113.39298098399999</x:v>
      </x:c>
      <x:c r="R143" t="n">
        <x:f>'NSSC Model'!$E$68</x:f>
        <x:v>116.79477041352</x:v>
      </x:c>
      <x:c r="S143" t="n">
        <x:f>'NSSC Model'!$F$68</x:f>
        <x:v>120.2986135259256</x:v>
      </x:c>
      <x:c r="T143" t="n">
        <x:f>S143*(1+($BG143+('Assumptions'!$D$9-$BG143)*(6-5)/5))</x:f>
        <x:v>133.54844494081155</x:v>
      </x:c>
      <x:c r="U143" t="n">
        <x:f>T143*(1+($BG143+('Assumptions'!$D$9-$BG143)*(7-5)/5))</x:f>
        <x:v>145.58194590310148</x:v>
      </x:c>
      <x:c r="V143" t="n">
        <x:f>U143*(1+($BG143+('Assumptions'!$D$9-$BG143)*(8-5)/5))</x:f>
        <x:v>155.78295884800417</x:v>
      </x:c>
      <x:c r="W143" t="n">
        <x:f>V143*(1+($BG143+('Assumptions'!$D$9-$BG143)*(9-5)/5))</x:f>
        <x:v>163.57760520457703</x:v>
      </x:c>
      <x:c r="X143" t="n">
        <x:f>W143*(1+($BG143+('Assumptions'!$D$9-$BG143)*(10-5)/5))</x:f>
        <x:v>168.48493336071434</x:v>
      </x:c>
      <x:c r="Y143" t="n">
        <x:f>E143*'NSSC Model'!$B$62+O143*'NSSC Model'!$B$63+'NSSC Model'!$B$73+'NSSC Model'!$B$74</x:f>
        <x:v>74.65930588</x:v>
      </x:c>
      <x:c r="Z143" t="n">
        <x:f>F143*'NSSC Model'!$C$62+P143*'NSSC Model'!$C$63+'NSSC Model'!$C$73+'NSSC Model'!$C$74</x:f>
        <x:v>92.4636765734</x:v>
      </x:c>
      <x:c r="AA143" t="n">
        <x:f>G143*'NSSC Model'!$D$62+Q143*'NSSC Model'!$D$63+'NSSC Model'!$D$73+'NSSC Model'!$D$74</x:f>
        <x:v>114.14045443248101</x:v>
      </x:c>
      <x:c r="AB143" t="n">
        <x:f>H143*'NSSC Model'!$E$62+R143*'NSSC Model'!$E$63+'NSSC Model'!$E$73+'NSSC Model'!$E$74</x:f>
        <x:v>139.60284160927102</x:v>
      </x:c>
      <x:c r="AC143" t="n">
        <x:f>I143*'NSSC Model'!$F$62+S143*'NSSC Model'!$F$63+'NSSC Model'!$F$73+'NSSC Model'!$F$74</x:f>
        <x:v>170.24681747273596</x:v>
      </x:c>
      <x:c r="AD143" t="n">
        <x:f>AX143*$AC143/$AW143</x:f>
        <x:v>188.99800307928055</x:v>
      </x:c>
      <x:c r="AE143" t="n">
        <x:f>AY143*$AC143/$AW143</x:f>
        <x:v>206.02783560884217</x:v>
      </x:c>
      <x:c r="AF143" t="n">
        <x:f>AZ143*$AC143/$AW143</x:f>
        <x:v>220.46432775090324</x:v>
      </x:c>
      <x:c r="AG143" t="n">
        <x:f>BA143*$AC143/$AW143</x:f>
        <x:v>231.49532550422313</x:v>
      </x:c>
      <x:c r="AH143" t="n">
        <x:f>BB143*$AC143/$AW143</x:f>
        <x:v>238.44018526934983</x:v>
      </x:c>
      <x:c r="AI143" t="n">
        <x:f>Y143*(1-'Assumptions'!$F$9)+AS143*'Assumptions'!$G$9-AS143*'NSSC Model'!$B$65-(AS143-'Inputs'!$D$14)*'Assumptions'!$H$9-'Assumptions'!$I$9</x:f>
        <x:v>58.26625450160002</x:v>
      </x:c>
      <x:c r="AJ143" t="n">
        <x:f>Z143*(1-'Assumptions'!$F$9)+AT143*'Assumptions'!$G$9-AT143*'NSSC Model'!$C$65-(AT143-AS143)*'Assumptions'!$H$9-0</x:f>
        <x:v>72.301656735788</x:v>
      </x:c>
      <x:c r="AK143" t="n">
        <x:f>AA143*(1-'Assumptions'!$F$9)+AU143*'Assumptions'!$G$9-AU143*'NSSC Model'!$D$65-(AU143-AT143)*'Assumptions'!$H$9-0</x:f>
        <x:v>89.52985052929044</x:v>
      </x:c>
      <x:c r="AL143" t="n">
        <x:f>AB143*(1-'Assumptions'!$F$9)+AV143*'Assumptions'!$G$9-AV143*'NSSC Model'!$E$65-(AV143-AU143)*'Assumptions'!$H$9-0</x:f>
        <x:v>109.76201165301664</x:v>
      </x:c>
      <x:c r="AM143" t="n">
        <x:f>AC143*(1-'Assumptions'!$F$9)+AW143*'Assumptions'!$G$9-AW143*'NSSC Model'!$F$65-(AW143-AV143)*'Assumptions'!$H$9-0</x:f>
        <x:v>134.1239086363436</x:v>
      </x:c>
      <x:c r="AN143" t="n">
        <x:f>AD143*(1-'Assumptions'!$F$9)+AX143*'Assumptions'!$G$9-AX143*'NSSC Model'!$G$65-(AX143-AW143)*'Assumptions'!$H$9-0</x:f>
        <x:v>149.522319899849</x:v>
      </x:c>
      <x:c r="AO143" t="n">
        <x:f>AE143*(1-'Assumptions'!$F$9)+AY143*'Assumptions'!$G$9-AY143*'NSSC Model'!$H$65-(AY143-AX143)*'Assumptions'!$H$9-0</x:f>
        <x:v>163.70247689465685</x:v>
      </x:c>
      <x:c r="AP143" t="n">
        <x:f>AF143*(1-'Assumptions'!$F$9)+AZ143*'Assumptions'!$G$9-AZ143*'NSSC Model'!$I$65-(AZ143-AY143)*'Assumptions'!$H$9-0</x:f>
        <x:v>175.95842663177748</x:v>
      </x:c>
      <x:c r="AQ143" t="n">
        <x:f>AG143*(1-'Assumptions'!$F$9)+BA143*'Assumptions'!$G$9-BA143*'NSSC Model'!$J$65-(BA143-AZ143)*'Assumptions'!$H$9-0</x:f>
        <x:v>185.61853194682612</x:v>
      </x:c>
      <x:c r="AR143" t="n">
        <x:f>AH143*(1-'Assumptions'!$F$9)+BB143*'Assumptions'!$G$9-BB143*'NSSC Model'!$K$65-(BB143-BA143)*'Assumptions'!$H$9-0</x:f>
        <x:v>192.1030399409091</x:v>
      </x:c>
      <x:c r="AS143" t="n">
        <x:f>E143+O143</x:f>
        <x:v>222.94207999999998</x:v>
      </x:c>
      <x:c r="AT143" t="n">
        <x:f>F143+P143</x:f>
        <x:v>248.19967359999998</x:v>
      </x:c>
      <x:c r="AU143" t="n">
        <x:f>G143+Q143</x:f>
        <x:v>277.74316793599996</x:v>
      </x:c>
      <x:c r="AV143" t="n">
        <x:f>H143+R143</x:f>
        <x:v>312.3714928864</x:v>
      </x:c>
      <x:c r="AW143" t="n">
        <x:f>I143+S143</x:f>
        <x:v>353.0349132686528</x:v>
      </x:c>
      <x:c r="AX143" t="n">
        <x:f>J143+T143</x:f>
        <x:v>391.91859569256076</x:v>
      </x:c>
      <x:c r="AY143" t="n">
        <x:f>K143+U143</x:f>
        <x:v>427.2327680177866</x:v>
      </x:c>
      <x:c r="AZ143" t="n">
        <x:f>L143+V143</x:f>
        <x:v>457.16922043982555</x:v>
      </x:c>
      <x:c r="BA143" t="n">
        <x:f>M143+W143</x:f>
        <x:v>480.0438174098021</x:v>
      </x:c>
      <x:c r="BB143" t="n">
        <x:f>N143+X143</x:f>
        <x:v>494.44513193209616</x:v>
      </x:c>
      <x:c r="BC143" t="n">
        <x:f>AS143/'Inputs'!$D$14-1</x:f>
        <x:v>0.10194982107198625</x:v>
      </x:c>
      <x:c r="BD143" t="n">
        <x:f>AT143/AS143-1</x:f>
        <x:v>0.1132921770533406</x:v>
      </x:c>
      <x:c r="BE143" t="n">
        <x:f>AU143/AT143-1</x:f>
        <x:v>0.11903115708206946</x:v>
      </x:c>
      <x:c r="BF143" t="n">
        <x:f>AV143/AU143-1</x:f>
        <x:v>0.12467750406872091</x:v>
      </x:c>
      <x:c r="BG143" t="n">
        <x:f>AW143/AV143-1</x:f>
        <x:v>0.130176476753725</x:v>
      </x:c>
      <x:c r="BH143" t="n">
        <x:f>AX143/AW143-1</x:f>
        <x:v>0.1101411814029798</x:v>
      </x:c>
      <x:c r="BI143" t="n">
        <x:f>AY143/AX143-1</x:f>
        <x:v>0.09010588605223502</x:v>
      </x:c>
      <x:c r="BJ143" t="n">
        <x:f>AZ143/AY143-1</x:f>
        <x:v>0.07007059070149002</x:v>
      </x:c>
      <x:c r="BK143" t="n">
        <x:f>BA143/AZ143-1</x:f>
        <x:v>0.050035295350745024</x:v>
      </x:c>
      <x:c r="BL143" t="n">
        <x:f>BB143/BA143-1</x:f>
        <x:v>0.030000000000000027</x:v>
      </x:c>
      <x:c r="BM143" t="n">
        <x:f>AH143*(1-'Assumptions'!$F$9)*(1+'Assumptions'!$D$9)*(1-'Assumptions'!$D$9/'Assumptions'!$E$9)</x:f>
        <x:v>181.24792243064363</x:v>
      </x:c>
      <x:c r="BN143" t="n">
        <x:f>SUMPRODUCT(AI143:AR143,'NSSC Model'!$B$83:$K$83)+BM143/('Assumptions'!$C$9-'Assumptions'!$D$9)*'NSSC Model'!$K$83</x:f>
        <x:v>1739.7845002961117</x:v>
      </x:c>
      <x:c r="BO143" t="n">
        <x:f>'NSSC Model'!$B$94</x:f>
        <x:v>101.2</x:v>
      </x:c>
      <x:c r="BP143" t="n">
        <x:f>'Inputs'!$D$8</x:f>
        <x:v>35.891</x:v>
      </x:c>
    </x:row>
    <x:row r="144">
      <x:c r="A144" t="str">
        <x:v>NSSC</x:v>
      </x:c>
      <x:c r="B144" s="22" t="n">
        <x:v>0.2</x:v>
      </x:c>
      <x:c r="C144" s="42" t="n">
        <x:f>(BN144+BO144)/BP144</x:f>
        <x:v>54.2154925539071</x:v>
      </x:c>
      <x:c r="D144" s="22" t="n">
        <x:f>C144/'Inputs'!$D$5-1</x:f>
        <x:v>0.46488766695236694</x:v>
      </x:c>
      <x:c r="E144" t="n">
        <x:f>'Inputs'!$D$21*(1+$B144)^1</x:f>
        <x:v>117.0336</x:v>
      </x:c>
      <x:c r="F144" t="n">
        <x:f>'Inputs'!$D$21*(1+$B144)^2</x:f>
        <x:v>140.44032</x:v>
      </x:c>
      <x:c r="G144" t="n">
        <x:f>'Inputs'!$D$21*(1+$B144)^3</x:f>
        <x:v>168.52838400000002</x:v>
      </x:c>
      <x:c r="H144" t="n">
        <x:f>'Inputs'!$D$21*(1+$B144)^4</x:f>
        <x:v>202.2340608</x:v>
      </x:c>
      <x:c r="I144" t="n">
        <x:f>'Inputs'!$D$21*(1+$B144)^5</x:f>
        <x:v>242.68087296</x:v>
      </x:c>
      <x:c r="J144" t="n">
        <x:f>I144*(1+($BG144+('Assumptions'!$D$9-$BG144)*(6-5)/5))</x:f>
        <x:v>270.8830885662291</x:v>
      </x:c>
      <x:c r="K144" t="n">
        <x:f>J144*(1+($BG144+('Assumptions'!$D$9-$BG144)*(7-5)/5))</x:f>
        <x:v>296.52443169309487</x:v>
      </x:c>
      <x:c r="L144" t="n">
        <x:f>K144*(1+($BG144+('Assumptions'!$D$9-$BG144)*(8-5)/5))</x:f>
        <x:v>318.2020160550377</x:v>
      </x:c>
      <x:c r="M144" t="n">
        <x:f>L144*(1+($BG144+('Assumptions'!$D$9-$BG144)*(9-5)/5))</x:f>
        <x:v>334.6062144390547</x:v>
      </x:c>
      <x:c r="N144" t="n">
        <x:f>M144*(1+($BG144+('Assumptions'!$D$9-$BG144)*(10-5)/5))</x:f>
        <x:v>344.64440087222636</x:v>
      </x:c>
      <x:c r="O144" t="n">
        <x:f>'NSSC Model'!$B$68</x:f>
        <x:v>106.88376</x:v>
      </x:c>
      <x:c r="P144" t="n">
        <x:f>'NSSC Model'!$C$68</x:f>
        <x:v>110.0902728</x:v>
      </x:c>
      <x:c r="Q144" t="n">
        <x:f>'NSSC Model'!$D$68</x:f>
        <x:v>113.39298098399999</x:v>
      </x:c>
      <x:c r="R144" t="n">
        <x:f>'NSSC Model'!$E$68</x:f>
        <x:v>116.79477041352</x:v>
      </x:c>
      <x:c r="S144" t="n">
        <x:f>'NSSC Model'!$F$68</x:f>
        <x:v>120.2986135259256</x:v>
      </x:c>
      <x:c r="T144" t="n">
        <x:f>S144*(1+($BG144+('Assumptions'!$D$9-$BG144)*(6-5)/5))</x:f>
        <x:v>134.27864991860739</x:v>
      </x:c>
      <x:c r="U144" t="n">
        <x:f>T144*(1+($BG144+('Assumptions'!$D$9-$BG144)*(7-5)/5))</x:f>
        <x:v>146.98924383349288</x:v>
      </x:c>
      <x:c r="V144" t="n">
        <x:f>U144*(1+($BG144+('Assumptions'!$D$9-$BG144)*(8-5)/5))</x:f>
        <x:v>157.73497468374757</x:v>
      </x:c>
      <x:c r="W144" t="n">
        <x:f>V144*(1+($BG144+('Assumptions'!$D$9-$BG144)*(9-5)/5))</x:f>
        <x:v>165.8666510599354</x:v>
      </x:c>
      <x:c r="X144" t="n">
        <x:f>W144*(1+($BG144+('Assumptions'!$D$9-$BG144)*(10-5)/5))</x:f>
        <x:v>170.84265059173347</x:v>
      </x:c>
      <x:c r="Y144" t="n">
        <x:f>E144*'NSSC Model'!$B$62+O144*'NSSC Model'!$B$63+'NSSC Model'!$B$73+'NSSC Model'!$B$74</x:f>
        <x:v>75.53998372000001</x:v>
      </x:c>
      <x:c r="Z144" t="n">
        <x:f>F144*'NSSC Model'!$C$62+P144*'NSSC Model'!$C$63+'NSSC Model'!$C$73+'NSSC Model'!$C$74</x:f>
        <x:v>94.568496611</x:v>
      </x:c>
      <x:c r="AA144" t="n">
        <x:f>G144*'NSSC Model'!$D$62+Q144*'NSSC Model'!$D$63+'NSSC Model'!$D$73+'NSSC Model'!$D$74</x:f>
        <x:v>117.91336636682503</x:v>
      </x:c>
      <x:c r="AB144" t="n">
        <x:f>H144*'NSSC Model'!$E$62+R144*'NSSC Model'!$E$63+'NSSC Model'!$E$73+'NSSC Model'!$E$74</x:f>
        <x:v>145.6144181186604</x:v>
      </x:c>
      <x:c r="AC144" t="n">
        <x:f>I144*'NSSC Model'!$F$62+S144*'NSSC Model'!$F$63+'NSSC Model'!$F$73+'NSSC Model'!$F$74</x:f>
        <x:v>179.2267670879333</x:v>
      </x:c>
      <x:c r="AD144" t="n">
        <x:f>AX144*$AC144/$AW144</x:f>
        <x:v>200.0549100980107</x:v>
      </x:c>
      <x:c r="AE144" t="n">
        <x:f>AY144*$AC144/$AW144</x:f>
        <x:v>218.99177552282737</x:v>
      </x:c>
      <x:c r="AF144" t="n">
        <x:f>AZ144*$AC144/$AW144</x:f>
        <x:v>235.00129170792587</x:v>
      </x:c>
      <x:c r="AG144" t="n">
        <x:f>BA144*$AC144/$AW144</x:f>
        <x:v>247.1162614918077</x:v>
      </x:c>
      <x:c r="AH144" t="n">
        <x:f>BB144*$AC144/$AW144</x:f>
        <x:v>254.52974933656193</x:v>
      </x:c>
      <x:c r="AI144" t="n">
        <x:f>Y144*(1-'Assumptions'!$F$9)+AS144*'Assumptions'!$G$9-AS144*'NSSC Model'!$B$65-(AS144-'Inputs'!$D$14)*'Assumptions'!$H$9-'Assumptions'!$I$9</x:f>
        <x:v>58.88698121040001</x:v>
      </x:c>
      <x:c r="AJ144" t="n">
        <x:f>Z144*(1-'Assumptions'!$F$9)+AT144*'Assumptions'!$G$9-AT144*'NSSC Model'!$C$65-(AT144-AS144)*'Assumptions'!$H$9-0</x:f>
        <x:v>73.88272156981999</x:v>
      </x:c>
      <x:c r="AK144" t="n">
        <x:f>AA144*(1-'Assumptions'!$F$9)+AU144*'Assumptions'!$G$9-AU144*'NSSC Model'!$D$65-(AU144-AT144)*'Assumptions'!$H$9-0</x:f>
        <x:v>92.42219774246054</x:v>
      </x:c>
      <x:c r="AL144" t="n">
        <x:f>AB144*(1-'Assumptions'!$F$9)+AV144*'Assumptions'!$G$9-AV144*'NSSC Model'!$E$65-(AV144-AU144)*'Assumptions'!$H$9-0</x:f>
        <x:v>114.41696090949547</x:v>
      </x:c>
      <x:c r="AM144" t="n">
        <x:f>AC144*(1-'Assumptions'!$F$9)+AW144*'Assumptions'!$G$9-AW144*'NSSC Model'!$F$65-(AW144-AV144)*'Assumptions'!$H$9-0</x:f>
        <x:v>141.11896553892106</x:v>
      </x:c>
      <x:c r="AN144" t="n">
        <x:f>AD144*(1-'Assumptions'!$F$9)+AX144*'Assumptions'!$G$9-AX144*'NSSC Model'!$G$65-(AX144-AW144)*'Assumptions'!$H$9-0</x:f>
        <x:v>158.20615412653837</x:v>
      </x:c>
      <x:c r="AO144" t="n">
        <x:f>AE144*(1-'Assumptions'!$F$9)+AY144*'Assumptions'!$G$9-AY144*'NSSC Model'!$H$65-(AY144-AX144)*'Assumptions'!$H$9-0</x:f>
        <x:v>173.96400752243702</x:v>
      </x:c>
      <x:c r="AP144" t="n">
        <x:f>AF144*(1-'Assumptions'!$F$9)+AZ144*'Assumptions'!$G$9-AZ144*'NSSC Model'!$I$65-(AZ144-AY144)*'Assumptions'!$H$9-0</x:f>
        <x:v>187.55497971632434</x:v>
      </x:c>
      <x:c r="AQ144" t="n">
        <x:f>AG144*(1-'Assumptions'!$F$9)+BA144*'Assumptions'!$G$9-BA144*'NSSC Model'!$J$65-(BA144-AZ144)*'Assumptions'!$H$9-0</x:f>
        <x:v>198.17985548526588</x:v>
      </x:c>
      <x:c r="AR144" t="n">
        <x:f>AH144*(1-'Assumptions'!$F$9)+BB144*'Assumptions'!$G$9-BB144*'NSSC Model'!$K$65-(BB144-BA144)*'Assumptions'!$H$9-0</x:f>
        <x:v>205.15102765362798</x:v>
      </x:c>
      <x:c r="AS144" t="n">
        <x:f>E144+O144</x:f>
        <x:v>223.91736</x:v>
      </x:c>
      <x:c r="AT144" t="n">
        <x:f>F144+P144</x:f>
        <x:v>250.53059280000002</x:v>
      </x:c>
      <x:c r="AU144" t="n">
        <x:f>G144+Q144</x:f>
        <x:v>281.921364984</x:v>
      </x:c>
      <x:c r="AV144" t="n">
        <x:f>H144+R144</x:f>
        <x:v>319.02883121352</x:v>
      </x:c>
      <x:c r="AW144" t="n">
        <x:f>I144+S144</x:f>
        <x:v>362.9794864859256</x:v>
      </x:c>
      <x:c r="AX144" t="n">
        <x:f>J144+T144</x:f>
        <x:v>405.1617384848365</x:v>
      </x:c>
      <x:c r="AY144" t="n">
        <x:f>K144+U144</x:f>
        <x:v>443.51367552658775</x:v>
      </x:c>
      <x:c r="AZ144" t="n">
        <x:f>L144+V144</x:f>
        <x:v>475.93699073878525</x:v>
      </x:c>
      <x:c r="BA144" t="n">
        <x:f>M144+W144</x:f>
        <x:v>500.47286549899013</x:v>
      </x:c>
      <x:c r="BB144" t="n">
        <x:f>N144+X144</x:f>
        <x:v>515.4870514639598</x:v>
      </x:c>
      <x:c r="BC144" t="n">
        <x:f>AS144/'Inputs'!$D$14-1</x:f>
        <x:v>0.10677039878210315</x:v>
      </x:c>
      <x:c r="BD144" t="n">
        <x:f>AT144/AS144-1</x:f>
        <x:v>0.11885292323918084</x:v>
      </x:c>
      <x:c r="BE144" t="n">
        <x:f>AU144/AT144-1</x:f>
        <x:v>0.12529716164867488</x:v>
      </x:c>
      <x:c r="BF144" t="n">
        <x:f>AV144/AU144-1</x:f>
        <x:v>0.13162346256242752</x:v>
      </x:c>
      <x:c r="BG144" t="n">
        <x:f>AW144/AV144-1</x:f>
        <x:v>0.1377638977180411</x:v>
      </x:c>
      <x:c r="BH144" t="n">
        <x:f>AX144/AW144-1</x:f>
        <x:v>0.11621111817443319</x:v>
      </x:c>
      <x:c r="BI144" t="n">
        <x:f>AY144/AX144-1</x:f>
        <x:v>0.09465833863082462</x:v>
      </x:c>
      <x:c r="BJ144" t="n">
        <x:f>AZ144/AY144-1</x:f>
        <x:v>0.0731055590872165</x:v>
      </x:c>
      <x:c r="BK144" t="n">
        <x:f>BA144/AZ144-1</x:f>
        <x:v>0.05155277954360815</x:v>
      </x:c>
      <x:c r="BL144" t="n">
        <x:f>BB144/BA144-1</x:f>
        <x:v>0.030000000000000027</x:v>
      </x:c>
      <x:c r="BM144" t="n">
        <x:f>AH144*(1-'Assumptions'!$F$9)*(1+'Assumptions'!$D$9)*(1-'Assumptions'!$D$9/'Assumptions'!$E$9)</x:f>
        <x:v>193.4782436606942</x:v>
      </x:c>
      <x:c r="BN144" t="n">
        <x:f>SUMPRODUCT(AI144:AR144,'NSSC Model'!$B$83:$K$83)+BM144/('Assumptions'!$C$9-'Assumptions'!$D$9)*'NSSC Model'!$K$83</x:f>
        <x:v>1844.6482432522794</x:v>
      </x:c>
      <x:c r="BO144" t="n">
        <x:f>'NSSC Model'!$B$94</x:f>
        <x:v>101.2</x:v>
      </x:c>
      <x:c r="BP144" t="n">
        <x:f>'Inputs'!$D$8</x:f>
        <x:v>35.891</x:v>
      </x:c>
    </x:row>
    <x:row r="145">
      <x:c r="A145" t="str">
        <x:v>NSSC</x:v>
      </x:c>
      <x:c r="B145" s="22" t="n">
        <x:v>0.21</x:v>
      </x:c>
      <x:c r="C145" s="42" t="n">
        <x:f>(BN145+BO145)/BP145</x:f>
        <x:v>57.285434838644775</x:v>
      </x:c>
      <x:c r="D145" s="22" t="n">
        <x:f>C145/'Inputs'!$D$5-1</x:f>
        <x:v>0.5478366614062355</x:v>
      </x:c>
      <x:c r="E145" t="n">
        <x:f>'Inputs'!$D$21*(1+$B145)^1</x:f>
        <x:v>118.00888</x:v>
      </x:c>
      <x:c r="F145" t="n">
        <x:f>'Inputs'!$D$21*(1+$B145)^2</x:f>
        <x:v>142.7907448</x:v>
      </x:c>
      <x:c r="G145" t="n">
        <x:f>'Inputs'!$D$21*(1+$B145)^3</x:f>
        <x:v>172.776801208</x:v>
      </x:c>
      <x:c r="H145" t="n">
        <x:f>'Inputs'!$D$21*(1+$B145)^4</x:f>
        <x:v>209.05992946167999</x:v>
      </x:c>
      <x:c r="I145" t="n">
        <x:f>'Inputs'!$D$21*(1+$B145)^5</x:f>
        <x:v>252.96251464863278</x:v>
      </x:c>
      <x:c r="J145" t="n">
        <x:f>I145*(1+($BG145+('Assumptions'!$D$9-$BG145)*(6-5)/5))</x:f>
        <x:v>283.921753843585</x:v>
      </x:c>
      <x:c r="K145" t="n">
        <x:f>J145*(1+($BG145+('Assumptions'!$D$9-$BG145)*(7-5)/5))</x:f>
        <x:v>312.1123449809462</x:v>
      </x:c>
      <x:c r="L145" t="n">
        <x:f>K145*(1+($BG145+('Assumptions'!$D$9-$BG145)*(8-5)/5))</x:f>
        <x:v>335.8932250648038</x:v>
      </x:c>
      <x:c r="M145" t="n">
        <x:f>L145*(1+($BG145+('Assumptions'!$D$9-$BG145)*(9-5)/5))</x:f>
        <x:v>353.7280357498339</x:v>
      </x:c>
      <x:c r="N145" t="n">
        <x:f>M145*(1+($BG145+('Assumptions'!$D$9-$BG145)*(10-5)/5))</x:f>
        <x:v>364.33987682232896</x:v>
      </x:c>
      <x:c r="O145" t="n">
        <x:f>'NSSC Model'!$B$68</x:f>
        <x:v>106.88376</x:v>
      </x:c>
      <x:c r="P145" t="n">
        <x:f>'NSSC Model'!$C$68</x:f>
        <x:v>110.0902728</x:v>
      </x:c>
      <x:c r="Q145" t="n">
        <x:f>'NSSC Model'!$D$68</x:f>
        <x:v>113.39298098399999</x:v>
      </x:c>
      <x:c r="R145" t="n">
        <x:f>'NSSC Model'!$E$68</x:f>
        <x:v>116.79477041352</x:v>
      </x:c>
      <x:c r="S145" t="n">
        <x:f>'NSSC Model'!$F$68</x:f>
        <x:v>120.2986135259256</x:v>
      </x:c>
      <x:c r="T145" t="n">
        <x:f>S145*(1+($BG145+('Assumptions'!$D$9-$BG145)*(6-5)/5))</x:f>
        <x:v>135.02155995197379</x:v>
      </x:c>
      <x:c r="U145" t="n">
        <x:f>T145*(1+($BG145+('Assumptions'!$D$9-$BG145)*(7-5)/5))</x:f>
        <x:v>148.4278507338761</x:v>
      </x:c>
      <x:c r="V145" t="n">
        <x:f>U145*(1+($BG145+('Assumptions'!$D$9-$BG145)*(8-5)/5))</x:f>
        <x:v>159.73706350987993</x:v>
      </x:c>
      <x:c r="W145" t="n">
        <x:f>V145*(1+($BG145+('Assumptions'!$D$9-$BG145)*(9-5)/5))</x:f>
        <x:v>168.21856916255186</x:v>
      </x:c>
      <x:c r="X145" t="n">
        <x:f>W145*(1+($BG145+('Assumptions'!$D$9-$BG145)*(10-5)/5))</x:f>
        <x:v>173.26512623742843</x:v>
      </x:c>
      <x:c r="Y145" t="n">
        <x:f>E145*'NSSC Model'!$B$62+O145*'NSSC Model'!$B$63+'NSSC Model'!$B$73+'NSSC Model'!$B$74</x:f>
        <x:v>76.42066156000001</x:v>
      </x:c>
      <x:c r="Z145" t="n">
        <x:f>F145*'NSSC Model'!$C$62+P145*'NSSC Model'!$C$63+'NSSC Model'!$C$73+'NSSC Model'!$C$74</x:f>
        <x:v>96.69093020540001</x:v>
      </x:c>
      <x:c r="AA145" t="n">
        <x:f>G145*'NSSC Model'!$D$62+Q145*'NSSC Model'!$D$63+'NSSC Model'!$D$73+'NSSC Model'!$D$74</x:f>
        <x:v>121.74968710564899</x:v>
      </x:c>
      <x:c r="AB145" t="n">
        <x:f>H145*'NSSC Model'!$E$62+R145*'NSSC Model'!$E$63+'NSSC Model'!$E$73+'NSSC Model'!$E$74</x:f>
        <x:v>151.77817752015739</x:v>
      </x:c>
      <x:c r="AC145" t="n">
        <x:f>I145*'NSSC Model'!$F$62+S145*'NSSC Model'!$F$63+'NSSC Model'!$F$73+'NSSC Model'!$F$74</x:f>
        <x:v>188.51108953276872</x:v>
      </x:c>
      <x:c r="AD145" t="n">
        <x:f>AX145*$AC145/$AW145</x:f>
        <x:v>211.58233358587484</x:v>
      </x:c>
      <x:c r="AE145" t="n">
        <x:f>AY145*$AC145/$AW145</x:f>
        <x:v>232.59034363534127</x:v>
      </x:c>
      <x:c r="AF145" t="n">
        <x:f>AZ145*$AC145/$AW145</x:f>
        <x:v>250.31217732632507</x:v>
      </x:c>
      <x:c r="AG145" t="n">
        <x:f>BA145*$AC145/$AW145</x:f>
        <x:v>263.60291962668373</x:v>
      </x:c>
      <x:c r="AH145" t="n">
        <x:f>BB145*$AC145/$AW145</x:f>
        <x:v>271.51100721548426</x:v>
      </x:c>
      <x:c r="AI145" t="n">
        <x:f>Y145*(1-'Assumptions'!$F$9)+AS145*'Assumptions'!$G$9-AS145*'NSSC Model'!$B$65-(AS145-'Inputs'!$D$14)*'Assumptions'!$H$9-'Assumptions'!$I$9</x:f>
        <x:v>59.507707919200016</x:v>
      </x:c>
      <x:c r="AJ145" t="n">
        <x:f>Z145*(1-'Assumptions'!$F$9)+AT145*'Assumptions'!$G$9-AT145*'NSSC Model'!$C$65-(AT145-AS145)*'Assumptions'!$H$9-0</x:f>
        <x:v>75.47620093802801</x:v>
      </x:c>
      <x:c r="AK145" t="n">
        <x:f>AA145*(1-'Assumptions'!$F$9)+AU145*'Assumptions'!$G$9-AU145*'NSSC Model'!$D$65-(AU145-AT145)*'Assumptions'!$H$9-0</x:f>
        <x:v>95.36118783866418</x:v>
      </x:c>
      <x:c r="AL145" t="n">
        <x:f>AB145*(1-'Assumptions'!$F$9)+AV145*'Assumptions'!$G$9-AV145*'NSSC Model'!$E$65-(AV145-AU145)*'Assumptions'!$H$9-0</x:f>
        <x:v>119.18619499870827</x:v>
      </x:c>
      <x:c r="AM145" t="n">
        <x:f>AC145*(1-'Assumptions'!$F$9)+AW145*'Assumptions'!$G$9-AW145*'NSSC Model'!$F$65-(AW145-AV145)*'Assumptions'!$H$9-0</x:f>
        <x:v>148.3454060742363</x:v>
      </x:c>
      <x:c r="AN145" t="n">
        <x:f>AD145*(1-'Assumptions'!$F$9)+AX145*'Assumptions'!$G$9-AX145*'NSSC Model'!$G$65-(AX145-AW145)*'Assumptions'!$H$9-0</x:f>
        <x:v>167.2535217231351</x:v>
      </x:c>
      <x:c r="AO145" t="n">
        <x:f>AE145*(1-'Assumptions'!$F$9)+AY145*'Assumptions'!$G$9-AY145*'NSSC Model'!$H$65-(AY145-AX145)*'Assumptions'!$H$9-0</x:f>
        <x:v>184.7222328061942</x:v>
      </x:c>
      <x:c r="AP145" t="n">
        <x:f>AF145*(1-'Assumptions'!$F$9)+AZ145*'Assumptions'!$G$9-AZ145*'NSSC Model'!$I$65-(AZ145-AY145)*'Assumptions'!$H$9-0</x:f>
        <x:v>199.76445496730167</x:v>
      </x:c>
      <x:c r="AQ145" t="n">
        <x:f>AG145*(1-'Assumptions'!$F$9)+BA145*'Assumptions'!$G$9-BA145*'NSSC Model'!$J$65-(BA145-AZ145)*'Assumptions'!$H$9-0</x:f>
        <x:v>211.43497604046092</x:v>
      </x:c>
      <x:c r="AR145" t="n">
        <x:f>AH145*(1-'Assumptions'!$F$9)+BB145*'Assumptions'!$G$9-BB145*'NSSC Model'!$K$65-(BB145-BA145)*'Assumptions'!$H$9-0</x:f>
        <x:v>218.92276608972094</x:v>
      </x:c>
      <x:c r="AS145" t="n">
        <x:f>E145+O145</x:f>
        <x:v>224.89264</x:v>
      </x:c>
      <x:c r="AT145" t="n">
        <x:f>F145+P145</x:f>
        <x:v>252.8810176</x:v>
      </x:c>
      <x:c r="AU145" t="n">
        <x:f>G145+Q145</x:f>
        <x:v>286.16978219199996</x:v>
      </x:c>
      <x:c r="AV145" t="n">
        <x:f>H145+R145</x:f>
        <x:v>325.85469987519997</x:v>
      </x:c>
      <x:c r="AW145" t="n">
        <x:f>I145+S145</x:f>
        <x:v>373.2611281745584</x:v>
      </x:c>
      <x:c r="AX145" t="n">
        <x:f>J145+T145</x:f>
        <x:v>418.94331379555877</x:v>
      </x:c>
      <x:c r="AY145" t="n">
        <x:f>K145+U145</x:f>
        <x:v>460.5401957148223</x:v>
      </x:c>
      <x:c r="AZ145" t="n">
        <x:f>L145+V145</x:f>
        <x:v>495.63028857468373</x:v>
      </x:c>
      <x:c r="BA145" t="n">
        <x:f>M145+W145</x:f>
        <x:v>521.9466049123857</x:v>
      </x:c>
      <x:c r="BB145" t="n">
        <x:f>N145+X145</x:f>
        <x:v>537.6050030597573</x:v>
      </x:c>
      <x:c r="BC145" t="n">
        <x:f>AS145/'Inputs'!$D$14-1</x:f>
        <x:v>0.11159097649222005</x:v>
      </x:c>
      <x:c r="BD145" t="n">
        <x:f>AT145/AS145-1</x:f>
        <x:v>0.12445217237878481</x:v>
      </x:c>
      <x:c r="BE145" t="n">
        <x:f>AU145/AT145-1</x:f>
        <x:v>0.13163805218727487</x:v>
      </x:c>
      <x:c r="BF145" t="n">
        <x:f>AV145/AU145-1</x:f>
        <x:v>0.13867612918185124</x:v>
      </x:c>
      <x:c r="BG145" t="n">
        <x:f>AW145/AV145-1</x:f>
        <x:v>0.14548333449698525</x:v>
      </x:c>
      <x:c r="BH145" t="n">
        <x:f>AX145/AW145-1</x:f>
        <x:v>0.12238666759758798</x:v>
      </x:c>
      <x:c r="BI145" t="n">
        <x:f>AY145/AX145-1</x:f>
        <x:v>0.09929000069819116</x:v>
      </x:c>
      <x:c r="BJ145" t="n">
        <x:f>AZ145/AY145-1</x:f>
        <x:v>0.07619333379879412</x:v>
      </x:c>
      <x:c r="BK145" t="n">
        <x:f>BA145/AZ145-1</x:f>
        <x:v>0.05309666689939707</x:v>
      </x:c>
      <x:c r="BL145" t="n">
        <x:f>BB145/BA145-1</x:f>
        <x:v>0.030000000000000027</x:v>
      </x:c>
      <x:c r="BM145" t="n">
        <x:f>AH145*(1-'Assumptions'!$F$9)*(1+'Assumptions'!$D$9)*(1-'Assumptions'!$D$9/'Assumptions'!$E$9)</x:f>
        <x:v>206.38637702477823</x:v>
      </x:c>
      <x:c r="BN145" t="n">
        <x:f>SUMPRODUCT(AI145:AR145,'NSSC Model'!$B$83:$K$83)+BM145/('Assumptions'!$C$9-'Assumptions'!$D$9)*'NSSC Model'!$K$83</x:f>
        <x:v>1954.8315417937995</x:v>
      </x:c>
      <x:c r="BO145" t="n">
        <x:f>'NSSC Model'!$B$94</x:f>
        <x:v>101.2</x:v>
      </x:c>
      <x:c r="BP145" t="n">
        <x:f>'Inputs'!$D$8</x:f>
        <x:v>35.891</x:v>
      </x:c>
    </x:row>
    <x:row r="146">
      <x:c r="A146" t="str">
        <x:v>NSSC</x:v>
      </x:c>
      <x:c r="B146" s="22" t="n">
        <x:v>0.22</x:v>
      </x:c>
      <x:c r="C146" s="42" t="n">
        <x:f>(BN146+BO146)/BP146</x:f>
        <x:v>60.510621156812306</x:v>
      </x:c>
      <x:c r="D146" s="22" t="n">
        <x:f>C146/'Inputs'!$D$5-1</x:f>
        <x:v>0.6349803068579387</x:v>
      </x:c>
      <x:c r="E146" t="n">
        <x:f>'Inputs'!$D$21*(1+$B146)^1</x:f>
        <x:v>118.98416</x:v>
      </x:c>
      <x:c r="F146" t="n">
        <x:f>'Inputs'!$D$21*(1+$B146)^2</x:f>
        <x:v>145.16067520000001</x:v>
      </x:c>
      <x:c r="G146" t="n">
        <x:f>'Inputs'!$D$21*(1+$B146)^3</x:f>
        <x:v>177.096023744</x:v>
      </x:c>
      <x:c r="H146" t="n">
        <x:f>'Inputs'!$D$21*(1+$B146)^4</x:f>
        <x:v>216.05714896767998</x:v>
      </x:c>
      <x:c r="I146" t="n">
        <x:f>'Inputs'!$D$21*(1+$B146)^5</x:f>
        <x:v>263.5897217405696</x:v>
      </x:c>
      <x:c r="J146" t="n">
        <x:f>I146*(1+($BG146+('Assumptions'!$D$9-$BG146)*(6-5)/5))</x:f>
        <x:v>297.50437609894664</x:v>
      </x:c>
      <x:c r="K146" t="n">
        <x:f>J146*(1+($BG146+('Assumptions'!$D$9-$BG146)*(7-5)/5))</x:f>
        <x:v>328.444360132148</x:v>
      </x:c>
      <x:c r="L146" t="n">
        <x:f>K146*(1+($BG146+('Assumptions'!$D$9-$BG146)*(8-5)/5))</x:f>
        <x:v>354.5005993207808</x:v>
      </x:c>
      <x:c r="M146" t="n">
        <x:f>L146*(1+($BG146+('Assumptions'!$D$9-$BG146)*(9-5)/5))</x:f>
        <x:v>373.8797783065387</x:v>
      </x:c>
      <x:c r="N146" t="n">
        <x:f>M146*(1+($BG146+('Assumptions'!$D$9-$BG146)*(10-5)/5))</x:f>
        <x:v>385.09617165573485</x:v>
      </x:c>
      <x:c r="O146" t="n">
        <x:f>'NSSC Model'!$B$68</x:f>
        <x:v>106.88376</x:v>
      </x:c>
      <x:c r="P146" t="n">
        <x:f>'NSSC Model'!$C$68</x:f>
        <x:v>110.0902728</x:v>
      </x:c>
      <x:c r="Q146" t="n">
        <x:f>'NSSC Model'!$D$68</x:f>
        <x:v>113.39298098399999</x:v>
      </x:c>
      <x:c r="R146" t="n">
        <x:f>'NSSC Model'!$E$68</x:f>
        <x:v>116.79477041352</x:v>
      </x:c>
      <x:c r="S146" t="n">
        <x:f>'NSSC Model'!$F$68</x:f>
        <x:v>120.2986135259256</x:v>
      </x:c>
      <x:c r="T146" t="n">
        <x:f>S146*(1+($BG146+('Assumptions'!$D$9-$BG146)*(6-5)/5))</x:f>
        <x:v>135.77678115166958</x:v>
      </x:c>
      <x:c r="U146" t="n">
        <x:f>T146*(1+($BG146+('Assumptions'!$D$9-$BG146)*(7-5)/5))</x:f>
        <x:v>149.89735139671012</x:v>
      </x:c>
      <x:c r="V146" t="n">
        <x:f>U146*(1+($BG146+('Assumptions'!$D$9-$BG146)*(8-5)/5))</x:f>
        <x:v>161.7890497049525</x:v>
      </x:c>
      <x:c r="W146" t="n">
        <x:f>V146*(1+($BG146+('Assumptions'!$D$9-$BG146)*(9-5)/5))</x:f>
        <x:v>170.63343236093456</x:v>
      </x:c>
      <x:c r="X146" t="n">
        <x:f>W146*(1+($BG146+('Assumptions'!$D$9-$BG146)*(10-5)/5))</x:f>
        <x:v>175.7524353317626</x:v>
      </x:c>
      <x:c r="Y146" t="n">
        <x:f>E146*'NSSC Model'!$B$62+O146*'NSSC Model'!$B$63+'NSSC Model'!$B$73+'NSSC Model'!$B$74</x:f>
        <x:v>77.30133939999999</x:v>
      </x:c>
      <x:c r="Z146" t="n">
        <x:f>F146*'NSSC Model'!$C$62+P146*'NSSC Model'!$C$63+'NSSC Model'!$C$73+'NSSC Model'!$C$74</x:f>
        <x:v>98.83097735660002</x:v>
      </x:c>
      <x:c r="AA146" t="n">
        <x:f>G146*'NSSC Model'!$D$62+Q146*'NSSC Model'!$D$63+'NSSC Model'!$D$73+'NSSC Model'!$D$74</x:f>
        <x:v>125.649945055657</x:v>
      </x:c>
      <x:c r="AB146" t="n">
        <x:f>H146*'NSSC Model'!$E$62+R146*'NSSC Model'!$E$63+'NSSC Model'!$E$73+'NSSC Model'!$E$74</x:f>
        <x:v>158.09666673407543</x:v>
      </x:c>
      <x:c r="AC146" t="n">
        <x:f>I146*'NSSC Model'!$F$62+S146*'NSSC Model'!$F$63+'NSSC Model'!$F$73+'NSSC Model'!$F$74</x:f>
        <x:v>198.10745753678765</x:v>
      </x:c>
      <x:c r="AD146" t="n">
        <x:f>AX146*$AC146/$AW146</x:f>
        <x:v>223.59686548414965</x:v>
      </x:c>
      <x:c r="AE146" t="n">
        <x:f>AY146*$AC146/$AW146</x:f>
        <x:v>246.8505854417095</x:v>
      </x:c>
      <x:c r="AF146" t="n">
        <x:f>AZ146*$AC146/$AW146</x:f>
        <x:v>266.43380463760417</x:v>
      </x:c>
      <x:c r="AG146" t="n">
        <x:f>BA146*$AC146/$AW146</x:f>
        <x:v>280.9987119969185</x:v>
      </x:c>
      <x:c r="AH146" t="n">
        <x:f>BB146*$AC146/$AW146</x:f>
        <x:v>289.42867335682604</x:v>
      </x:c>
      <x:c r="AI146" t="n">
        <x:f>Y146*(1-'Assumptions'!$F$9)+AS146*'Assumptions'!$G$9-AS146*'NSSC Model'!$B$65-(AS146-'Inputs'!$D$14)*'Assumptions'!$H$9-'Assumptions'!$I$9</x:f>
        <x:v>60.128434627999994</x:v>
      </x:c>
      <x:c r="AJ146" t="n">
        <x:f>Z146*(1-'Assumptions'!$F$9)+AT146*'Assumptions'!$G$9-AT146*'NSSC Model'!$C$65-(AT146-AS146)*'Assumptions'!$H$9-0</x:f>
        <x:v>77.08209484041201</x:v>
      </x:c>
      <x:c r="AK146" t="n">
        <x:f>AA146*(1-'Assumptions'!$F$9)+AU146*'Assumptions'!$G$9-AU146*'NSSC Model'!$D$65-(AU146-AT146)*'Assumptions'!$H$9-0</x:f>
        <x:v>98.34719325392675</x:v>
      </x:c>
      <x:c r="AL146" t="n">
        <x:f>AB146*(1-'Assumptions'!$F$9)+AV146*'Assumptions'!$G$9-AV146*'NSSC Model'!$E$65-(AV146-AU146)*'Assumptions'!$H$9-0</x:f>
        <x:v>124.07156757909706</x:v>
      </x:c>
      <x:c r="AM146" t="n">
        <x:f>AC146*(1-'Assumptions'!$F$9)+AW146*'Assumptions'!$G$9-AW146*'NSSC Model'!$F$65-(AW146-AV146)*'Assumptions'!$H$9-0</x:f>
        <x:v>155.80892025057037</x:v>
      </x:c>
      <x:c r="AN146" t="n">
        <x:f>AD146*(1-'Assumptions'!$F$9)+AX146*'Assumptions'!$G$9-AX146*'NSSC Model'!$G$65-(AX146-AW146)*'Assumptions'!$H$9-0</x:f>
        <x:v>176.67702286958817</x:v>
      </x:c>
      <x:c r="AO146" t="n">
        <x:f>AE146*(1-'Assumptions'!$F$9)+AY146*'Assumptions'!$G$9-AY146*'NSSC Model'!$H$65-(AY146-AX146)*'Assumptions'!$H$9-0</x:f>
        <x:v>195.9980577882622</x:v>
      </x:c>
      <x:c r="AP146" t="n">
        <x:f>AF146*(1-'Assumptions'!$F$9)+AZ146*'Assumptions'!$G$9-AZ146*'NSSC Model'!$I$65-(AZ146-AY146)*'Assumptions'!$H$9-0</x:f>
        <x:v>212.615767457045</x:v>
      </x:c>
      <x:c r="AQ146" t="n">
        <x:f>AG146*(1-'Assumptions'!$F$9)+BA146*'Assumptions'!$G$9-BA146*'NSSC Model'!$J$65-(BA146-AZ146)*'Assumptions'!$H$9-0</x:f>
        <x:v>225.41853483062928</x:v>
      </x:c>
      <x:c r="AR146" t="n">
        <x:f>AH146*(1-'Assumptions'!$F$9)+BB146*'Assumptions'!$G$9-BB146*'NSSC Model'!$K$65-(BB146-BA146)*'Assumptions'!$H$9-0</x:f>
        <x:v>233.45457809264497</x:v>
      </x:c>
      <x:c r="AS146" t="n">
        <x:f>E146+O146</x:f>
        <x:v>225.86792</x:v>
      </x:c>
      <x:c r="AT146" t="n">
        <x:f>F146+P146</x:f>
        <x:v>255.250948</x:v>
      </x:c>
      <x:c r="AU146" t="n">
        <x:f>G146+Q146</x:f>
        <x:v>290.489004728</x:v>
      </x:c>
      <x:c r="AV146" t="n">
        <x:f>H146+R146</x:f>
        <x:v>332.8519193812</x:v>
      </x:c>
      <x:c r="AW146" t="n">
        <x:f>I146+S146</x:f>
        <x:v>383.8883352664952</x:v>
      </x:c>
      <x:c r="AX146" t="n">
        <x:f>J146+T146</x:f>
        <x:v>433.2811572506162</x:v>
      </x:c>
      <x:c r="AY146" t="n">
        <x:f>K146+U146</x:f>
        <x:v>478.3417115288581</x:v>
      </x:c>
      <x:c r="AZ146" t="n">
        <x:f>L146+V146</x:f>
        <x:v>516.2896490257333</x:v>
      </x:c>
      <x:c r="BA146" t="n">
        <x:f>M146+W146</x:f>
        <x:v>544.5132106674732</x:v>
      </x:c>
      <x:c r="BB146" t="n">
        <x:f>N146+X146</x:f>
        <x:v>560.8486069874974</x:v>
      </x:c>
      <x:c r="BC146" t="n">
        <x:f>AS146/'Inputs'!$D$14-1</x:f>
        <x:v>0.11641155420233695</x:v>
      </x:c>
      <x:c r="BD146" t="n">
        <x:f>AT146/AS146-1</x:f>
        <x:v>0.13008942571393045</x:v>
      </x:c>
      <x:c r="BE146" t="n">
        <x:f>AU146/AT146-1</x:f>
        <x:v>0.1380525988408865</x:v>
      </x:c>
      <x:c r="BF146" t="n">
        <x:f>AV146/AU146-1</x:f>
        <x:v>0.1458331088740057</x:v>
      </x:c>
      <x:c r="BG146" t="n">
        <x:f>AW146/AV146-1</x:f>
        <x:v>0.1533306942624102</x:v>
      </x:c>
      <x:c r="BH146" t="n">
        <x:f>AX146/AW146-1</x:f>
        <x:v>0.12866455540992816</x:v>
      </x:c>
      <x:c r="BI146" t="n">
        <x:f>AY146/AX146-1</x:f>
        <x:v>0.10399841655744613</x:v>
      </x:c>
      <x:c r="BJ146" t="n">
        <x:f>AZ146/AY146-1</x:f>
        <x:v>0.0793322777049641</x:v>
      </x:c>
      <x:c r="BK146" t="n">
        <x:f>BA146/AZ146-1</x:f>
        <x:v>0.05466613885248206</x:v>
      </x:c>
      <x:c r="BL146" t="n">
        <x:f>BB146/BA146-1</x:f>
        <x:v>0.030000000000000027</x:v>
      </x:c>
      <x:c r="BM146" t="n">
        <x:f>AH146*(1-'Assumptions'!$F$9)*(1+'Assumptions'!$D$9)*(1-'Assumptions'!$D$9/'Assumptions'!$E$9)</x:f>
        <x:v>220.00631176545778</x:v>
      </x:c>
      <x:c r="BN146" t="n">
        <x:f>SUMPRODUCT(AI146:AR146,'NSSC Model'!$B$83:$K$83)+BM146/('Assumptions'!$C$9-'Assumptions'!$D$9)*'NSSC Model'!$K$83</x:f>
        <x:v>2070.5867039391505</x:v>
      </x:c>
      <x:c r="BO146" t="n">
        <x:f>'NSSC Model'!$B$94</x:f>
        <x:v>101.2</x:v>
      </x:c>
      <x:c r="BP146" t="n">
        <x:f>'Inputs'!$D$8</x:f>
        <x:v>35.891</x:v>
      </x:c>
    </x:row>
    <x:row r="147">
      <x:c r="A147" t="str">
        <x:v>NSSC</x:v>
      </x:c>
      <x:c r="B147" s="22" t="n">
        <x:v>0.23</x:v>
      </x:c>
      <x:c r="C147" s="42" t="n">
        <x:f>(BN147+BO147)/BP147</x:f>
        <x:v>63.89835807297071</x:v>
      </x:c>
      <x:c r="D147" s="22" t="n">
        <x:f>C147/'Inputs'!$D$5-1</x:f>
        <x:v>0.726516024668217</x:v>
      </x:c>
      <x:c r="E147" t="n">
        <x:f>'Inputs'!$D$21*(1+$B147)^1</x:f>
        <x:v>119.95944</x:v>
      </x:c>
      <x:c r="F147" t="n">
        <x:f>'Inputs'!$D$21*(1+$B147)^2</x:f>
        <x:v>147.5501112</x:v>
      </x:c>
      <x:c r="G147" t="n">
        <x:f>'Inputs'!$D$21*(1+$B147)^3</x:f>
        <x:v>181.48663677599998</x:v>
      </x:c>
      <x:c r="H147" t="n">
        <x:f>'Inputs'!$D$21*(1+$B147)^4</x:f>
        <x:v>223.22856323448</x:v>
      </x:c>
      <x:c r="I147" t="n">
        <x:f>'Inputs'!$D$21*(1+$B147)^5</x:f>
        <x:v>274.5711327784104</x:v>
      </x:c>
      <x:c r="J147" t="n">
        <x:f>I147*(1+($BG147+('Assumptions'!$D$9-$BG147)*(6-5)/5))</x:f>
        <x:v>311.64963776684283</x:v>
      </x:c>
      <x:c r="K147" t="n">
        <x:f>J147*(1+($BG147+('Assumptions'!$D$9-$BG147)*(7-5)/5))</x:f>
        <x:v>345.5512422355296</x:v>
      </x:c>
      <x:c r="L147" t="n">
        <x:f>K147*(1+($BG147+('Assumptions'!$D$9-$BG147)*(8-5)/5))</x:f>
        <x:v>374.0663945404049</x:v>
      </x:c>
      <x:c r="M147" t="n">
        <x:f>L147*(1+($BG147+('Assumptions'!$D$9-$BG147)*(9-5)/5))</x:f>
        <x:v>395.11151267935486</x:v>
      </x:c>
      <x:c r="N147" t="n">
        <x:f>M147*(1+($BG147+('Assumptions'!$D$9-$BG147)*(10-5)/5))</x:f>
        <x:v>406.9648580597355</x:v>
      </x:c>
      <x:c r="O147" t="n">
        <x:f>'NSSC Model'!$B$68</x:f>
        <x:v>106.88376</x:v>
      </x:c>
      <x:c r="P147" t="n">
        <x:f>'NSSC Model'!$C$68</x:f>
        <x:v>110.0902728</x:v>
      </x:c>
      <x:c r="Q147" t="n">
        <x:f>'NSSC Model'!$D$68</x:f>
        <x:v>113.39298098399999</x:v>
      </x:c>
      <x:c r="R147" t="n">
        <x:f>'NSSC Model'!$E$68</x:f>
        <x:v>116.79477041352</x:v>
      </x:c>
      <x:c r="S147" t="n">
        <x:f>'NSSC Model'!$F$68</x:f>
        <x:v>120.2986135259256</x:v>
      </x:c>
      <x:c r="T147" t="n">
        <x:f>S147*(1+($BG147+('Assumptions'!$D$9-$BG147)*(6-5)/5))</x:f>
        <x:v>136.5439219696298</x:v>
      </x:c>
      <x:c r="U147" t="n">
        <x:f>T147*(1+($BG147+('Assumptions'!$D$9-$BG147)*(7-5)/5))</x:f>
        <x:v>151.39732615898683</x:v>
      </x:c>
      <x:c r="V147" t="n">
        <x:f>U147*(1+($BG147+('Assumptions'!$D$9-$BG147)*(8-5)/5))</x:f>
        <x:v>163.89074909112554</x:v>
      </x:c>
      <x:c r="W147" t="n">
        <x:f>V147*(1+($BG147+('Assumptions'!$D$9-$BG147)*(9-5)/5))</x:f>
        <x:v>173.11130519251356</x:v>
      </x:c>
      <x:c r="X147" t="n">
        <x:f>W147*(1+($BG147+('Assumptions'!$D$9-$BG147)*(10-5)/5))</x:f>
        <x:v>178.30464434828897</x:v>
      </x:c>
      <x:c r="Y147" t="n">
        <x:f>E147*'NSSC Model'!$B$62+O147*'NSSC Model'!$B$63+'NSSC Model'!$B$73+'NSSC Model'!$B$74</x:f>
        <x:v>78.18201724</x:v>
      </x:c>
      <x:c r="Z147" t="n">
        <x:f>F147*'NSSC Model'!$C$62+P147*'NSSC Model'!$C$63+'NSSC Model'!$C$73+'NSSC Model'!$C$74</x:f>
        <x:v>100.9886380646</x:v>
      </x:c>
      <x:c r="AA147" t="n">
        <x:f>G147*'NSSC Model'!$D$62+Q147*'NSSC Model'!$D$63+'NSSC Model'!$D$73+'NSSC Model'!$D$74</x:f>
        <x:v>129.61466862355297</x:v>
      </x:c>
      <x:c r="AB147" t="n">
        <x:f>H147*'NSSC Model'!$E$62+R147*'NSSC Model'!$E$63+'NSSC Model'!$E$73+'NSSC Model'!$E$74</x:f>
        <x:v>164.5724538169958</x:v>
      </x:c>
      <x:c r="AC147" t="n">
        <x:f>I147*'NSSC Model'!$F$62+S147*'NSSC Model'!$F$63+'NSSC Model'!$F$73+'NSSC Model'!$F$74</x:f>
        <x:v>208.02367170395792</x:v>
      </x:c>
      <x:c r="AD147" t="n">
        <x:f>AX147*$AC147/$AW147</x:f>
        <x:v>236.1155059435467</x:v>
      </x:c>
      <x:c r="AE147" t="n">
        <x:f>AY147*$AC147/$AW147</x:f>
        <x:v>261.80042105777704</x:v>
      </x:c>
      <x:c r="AF147" t="n">
        <x:f>AZ147*$AC147/$AW147</x:f>
        <x:v>283.40439166325564</x:v>
      </x:c>
      <x:c r="AG147" t="n">
        <x:f>BA147*$AC147/$AW147</x:f>
        <x:v>299.348830914417</x:v>
      </x:c>
      <x:c r="AH147" t="n">
        <x:f>BB147*$AC147/$AW147</x:f>
        <x:v>308.32929584184956</x:v>
      </x:c>
      <x:c r="AI147" t="n">
        <x:f>Y147*(1-'Assumptions'!$F$9)+AS147*'Assumptions'!$G$9-AS147*'NSSC Model'!$B$65-(AS147-'Inputs'!$D$14)*'Assumptions'!$H$9-'Assumptions'!$I$9</x:f>
        <x:v>60.7491613368</x:v>
      </x:c>
      <x:c r="AJ147" t="n">
        <x:f>Z147*(1-'Assumptions'!$F$9)+AT147*'Assumptions'!$G$9-AT147*'NSSC Model'!$C$65-(AT147-AS147)*'Assumptions'!$H$9-0</x:f>
        <x:v>78.700403276972</x:v>
      </x:c>
      <x:c r="AK147" t="n">
        <x:f>AA147*(1-'Assumptions'!$F$9)+AU147*'Assumptions'!$G$9-AU147*'NSSC Model'!$D$65-(AU147-AT147)*'Assumptions'!$H$9-0</x:f>
        <x:v>101.38058642427345</x:v>
      </x:c>
      <x:c r="AL147" t="n">
        <x:f>AB147*(1-'Assumptions'!$F$9)+AV147*'Assumptions'!$G$9-AV147*'NSSC Model'!$E$65-(AV147-AU147)*'Assumptions'!$H$9-0</x:f>
        <x:v>129.07494720654452</x:v>
      </x:c>
      <x:c r="AM147" t="n">
        <x:f>AC147*(1-'Assumptions'!$F$9)+AW147*'Assumptions'!$G$9-AW147*'NSSC Model'!$F$65-(AW147-AV147)*'Assumptions'!$H$9-0</x:f>
        <x:v>163.51529054639457</x:v>
      </x:c>
      <x:c r="AN147" t="n">
        <x:f>AD147*(1-'Assumptions'!$F$9)+AX147*'Assumptions'!$G$9-AX147*'NSSC Model'!$G$65-(AX147-AW147)*'Assumptions'!$H$9-0</x:f>
        <x:v>186.48955929154877</x:v>
      </x:c>
      <x:c r="AO147" t="n">
        <x:f>AE147*(1-'Assumptions'!$F$9)+AY147*'Assumptions'!$G$9-AY147*'NSSC Model'!$H$65-(AY147-AX147)*'Assumptions'!$H$9-0</x:f>
        <x:v>207.81305012799473</x:v>
      </x:c>
      <x:c r="AP147" t="n">
        <x:f>AF147*(1-'Assumptions'!$F$9)+AZ147*'Assumptions'!$G$9-AZ147*'NSSC Model'!$I$65-(AZ147-AY147)*'Assumptions'!$H$9-0</x:f>
        <x:v>226.13891506564212</x:v>
      </x:c>
      <x:c r="AQ147" t="n">
        <x:f>AG147*(1-'Assumptions'!$F$9)+BA147*'Assumptions'!$G$9-BA147*'NSSC Model'!$J$65-(BA147-AZ147)*'Assumptions'!$H$9-0</x:f>
        <x:v>240.1665826543007</x:v>
      </x:c>
      <x:c r="AR147" t="n">
        <x:f>AH147*(1-'Assumptions'!$F$9)+BB147*'Assumptions'!$G$9-BB147*'NSSC Model'!$K$65-(BB147-BA147)*'Assumptions'!$H$9-0</x:f>
        <x:v>248.78427612706898</x:v>
      </x:c>
      <x:c r="AS147" t="n">
        <x:f>E147+O147</x:f>
        <x:v>226.8432</x:v>
      </x:c>
      <x:c r="AT147" t="n">
        <x:f>F147+P147</x:f>
        <x:v>257.640384</x:v>
      </x:c>
      <x:c r="AU147" t="n">
        <x:f>G147+Q147</x:f>
        <x:v>294.87961776</x:v>
      </x:c>
      <x:c r="AV147" t="n">
        <x:f>H147+R147</x:f>
        <x:v>340.023333648</x:v>
      </x:c>
      <x:c r="AW147" t="n">
        <x:f>I147+S147</x:f>
        <x:v>394.869746304336</x:v>
      </x:c>
      <x:c r="AX147" t="n">
        <x:f>J147+T147</x:f>
        <x:v>448.1935597364726</x:v>
      </x:c>
      <x:c r="AY147" t="n">
        <x:f>K147+U147</x:f>
        <x:v>496.9485683945164</x:v>
      </x:c>
      <x:c r="AZ147" t="n">
        <x:f>L147+V147</x:f>
        <x:v>537.9571436315305</x:v>
      </x:c>
      <x:c r="BA147" t="n">
        <x:f>M147+W147</x:f>
        <x:v>568.2228178718684</x:v>
      </x:c>
      <x:c r="BB147" t="n">
        <x:f>N147+X147</x:f>
        <x:v>585.2695024080244</x:v>
      </x:c>
      <x:c r="BC147" t="n">
        <x:f>AS147/'Inputs'!$D$14-1</x:f>
        <x:v>0.12123213191245386</x:v>
      </x:c>
      <x:c r="BD147" t="n">
        <x:f>AT147/AS147-1</x:f>
        <x:v>0.13576419306375498</x:v>
      </x:c>
      <x:c r="BE147" t="n">
        <x:f>AU147/AT147-1</x:f>
        <x:v>0.14453958335972672</x:v>
      </x:c>
      <x:c r="BF147" t="n">
        <x:f>AV147/AU147-1</x:f>
        <x:v>0.15309201846816722</x:v>
      </x:c>
      <x:c r="BG147" t="n">
        <x:f>AW147/AV147-1</x:f>
        <x:v>0.16130190851288528</x:v>
      </x:c>
      <x:c r="BH147" t="n">
        <x:f>AX147/AW147-1</x:f>
        <x:v>0.13504152681030823</x:v>
      </x:c>
      <x:c r="BI147" t="n">
        <x:f>AY147/AX147-1</x:f>
        <x:v>0.10878114510773118</x:v>
      </x:c>
      <x:c r="BJ147" t="n">
        <x:f>AZ147/AY147-1</x:f>
        <x:v>0.08252076340515435</x:v>
      </x:c>
      <x:c r="BK147" t="n">
        <x:f>BA147/AZ147-1</x:f>
        <x:v>0.05626038170257708</x:v>
      </x:c>
      <x:c r="BL147" t="n">
        <x:f>BB147/BA147-1</x:f>
        <x:v>0.030000000000000027</x:v>
      </x:c>
      <x:c r="BM147" t="n">
        <x:f>AH147*(1-'Assumptions'!$F$9)*(1+'Assumptions'!$D$9)*(1-'Assumptions'!$D$9/'Assumptions'!$E$9)</x:f>
        <x:v>234.37343094122355</x:v>
      </x:c>
      <x:c r="BN147" t="n">
        <x:f>SUMPRODUCT(AI147:AR147,'NSSC Model'!$B$83:$K$83)+BM147/('Assumptions'!$C$9-'Assumptions'!$D$9)*'NSSC Model'!$K$83</x:f>
        <x:v>2192.1759695969918</x:v>
      </x:c>
      <x:c r="BO147" t="n">
        <x:f>'NSSC Model'!$B$94</x:f>
        <x:v>101.2</x:v>
      </x:c>
      <x:c r="BP147" t="n">
        <x:f>'Inputs'!$D$8</x:f>
        <x:v>35.891</x:v>
      </x:c>
    </x:row>
    <x:row r="148">
      <x:c r="A148" t="str">
        <x:v>NSSC</x:v>
      </x:c>
      <x:c r="B148" s="22" t="n">
        <x:v>0.24</x:v>
      </x:c>
      <x:c r="C148" s="42" t="n">
        <x:f>(BN148+BO148)/BP148</x:f>
        <x:v>67.45623713335105</x:v>
      </x:c>
      <x:c r="D148" s="22" t="n">
        <x:f>C148/'Inputs'!$D$5-1</x:f>
        <x:v>0.822648936323995</x:v>
      </x:c>
      <x:c r="E148" t="n">
        <x:f>'Inputs'!$D$21*(1+$B148)^1</x:f>
        <x:v>120.93472000000001</x:v>
      </x:c>
      <x:c r="F148" t="n">
        <x:f>'Inputs'!$D$21*(1+$B148)^2</x:f>
        <x:v>149.95905280000002</x:v>
      </x:c>
      <x:c r="G148" t="n">
        <x:f>'Inputs'!$D$21*(1+$B148)^3</x:f>
        <x:v>185.94922547200002</x:v>
      </x:c>
      <x:c r="H148" t="n">
        <x:f>'Inputs'!$D$21*(1+$B148)^4</x:f>
        <x:v>230.57703958528003</x:v>
      </x:c>
      <x:c r="I148" t="n">
        <x:f>'Inputs'!$D$21*(1+$B148)^5</x:f>
        <x:v>285.9155290857472</x:v>
      </x:c>
      <x:c r="J148" t="n">
        <x:f>I148*(1+($BG148+('Assumptions'!$D$9-$BG148)*(6-5)/5))</x:f>
        <x:v>326.3766802034486</x:v>
      </x:c>
      <x:c r="K148" t="n">
        <x:f>J148*(1+($BG148+('Assumptions'!$D$9-$BG148)*(7-5)/5))</x:f>
        <x:v>363.4647438604807</x:v>
      </x:c>
      <x:c r="L148" t="n">
        <x:f>K148*(1+($BG148+('Assumptions'!$D$9-$BG148)*(8-5)/5))</x:f>
        <x:v>394.63445405536953</x:v>
      </x:c>
      <x:c r="M148" t="n">
        <x:f>L148*(1+($BG148+('Assumptions'!$D$9-$BG148)*(9-5)/5))</x:f>
        <x:v>417.4753391331396</x:v>
      </x:c>
      <x:c r="N148" t="n">
        <x:f>M148*(1+($BG148+('Assumptions'!$D$9-$BG148)*(10-5)/5))</x:f>
        <x:v>429.9995993071338</x:v>
      </x:c>
      <x:c r="O148" t="n">
        <x:f>'NSSC Model'!$B$68</x:f>
        <x:v>106.88376</x:v>
      </x:c>
      <x:c r="P148" t="n">
        <x:f>'NSSC Model'!$C$68</x:f>
        <x:v>110.0902728</x:v>
      </x:c>
      <x:c r="Q148" t="n">
        <x:f>'NSSC Model'!$D$68</x:f>
        <x:v>113.39298098399999</x:v>
      </x:c>
      <x:c r="R148" t="n">
        <x:f>'NSSC Model'!$E$68</x:f>
        <x:v>116.79477041352</x:v>
      </x:c>
      <x:c r="S148" t="n">
        <x:f>'NSSC Model'!$F$68</x:f>
        <x:v>120.2986135259256</x:v>
      </x:c>
      <x:c r="T148" t="n">
        <x:f>S148*(1+($BG148+('Assumptions'!$D$9-$BG148)*(6-5)/5))</x:f>
        <x:v>137.32259398857013</x:v>
      </x:c>
      <x:c r="U148" t="n">
        <x:f>T148*(1+($BG148+('Assumptions'!$D$9-$BG148)*(7-5)/5))</x:f>
        <x:v>152.92735197624899</x:v>
      </x:c>
      <x:c r="V148" t="n">
        <x:f>U148*(1+($BG148+('Assumptions'!$D$9-$BG148)*(8-5)/5))</x:f>
        <x:v>166.04196989308653</x:v>
      </x:c>
      <x:c r="W148" t="n">
        <x:f>V148*(1+($BG148+('Assumptions'!$D$9-$BG148)*(9-5)/5))</x:f>
        <x:v>175.65224470168806</x:v>
      </x:c>
      <x:c r="X148" t="n">
        <x:f>W148*(1+($BG148+('Assumptions'!$D$9-$BG148)*(10-5)/5))</x:f>
        <x:v>180.9218120427387</x:v>
      </x:c>
      <x:c r="Y148" t="n">
        <x:f>E148*'NSSC Model'!$B$62+O148*'NSSC Model'!$B$63+'NSSC Model'!$B$73+'NSSC Model'!$B$74</x:f>
        <x:v>79.06269508</x:v>
      </x:c>
      <x:c r="Z148" t="n">
        <x:f>F148*'NSSC Model'!$C$62+P148*'NSSC Model'!$C$63+'NSSC Model'!$C$73+'NSSC Model'!$C$74</x:f>
        <x:v>103.16391232940003</x:v>
      </x:c>
      <x:c r="AA148" t="n">
        <x:f>G148*'NSSC Model'!$D$62+Q148*'NSSC Model'!$D$63+'NSSC Model'!$D$73+'NSSC Model'!$D$74</x:f>
        <x:v>133.64438621604103</x:v>
      </x:c>
      <x:c r="AB148" t="n">
        <x:f>H148*'NSSC Model'!$E$62+R148*'NSSC Model'!$E$63+'NSSC Model'!$E$73+'NSSC Model'!$E$74</x:f>
        <x:v>171.20812796176824</x:v>
      </x:c>
      <x:c r="AC148" t="n">
        <x:f>I148*'NSSC Model'!$F$62+S148*'NSSC Model'!$F$63+'NSSC Model'!$F$73+'NSSC Model'!$F$74</x:f>
        <x:v>218.2676615694831</x:v>
      </x:c>
      <x:c r="AD148" t="n">
        <x:f>AX148*$AC148/$AW148</x:f>
        <x:v>249.15566848225768</x:v>
      </x:c>
      <x:c r="AE148" t="n">
        <x:f>AY148*$AC148/$AW148</x:f>
        <x:v>277.4686634162711</x:v>
      </x:c>
      <x:c r="AF148" t="n">
        <x:f>AZ148*$AC148/$AW148</x:f>
        <x:v>301.2635925612233</x:v>
      </x:c>
      <x:c r="AG148" t="n">
        <x:f>BA148*$AC148/$AW148</x:f>
        <x:v>318.7003039914968</x:v>
      </x:c>
      <x:c r="AH148" t="n">
        <x:f>BB148*$AC148/$AW148</x:f>
        <x:v>328.26131311124175</x:v>
      </x:c>
      <x:c r="AI148" t="n">
        <x:f>Y148*(1-'Assumptions'!$F$9)+AS148*'Assumptions'!$G$9-AS148*'NSSC Model'!$B$65-(AS148-'Inputs'!$D$14)*'Assumptions'!$H$9-'Assumptions'!$I$9</x:f>
        <x:v>61.3698880456</x:v>
      </x:c>
      <x:c r="AJ148" t="n">
        <x:f>Z148*(1-'Assumptions'!$F$9)+AT148*'Assumptions'!$G$9-AT148*'NSSC Model'!$C$65-(AT148-AS148)*'Assumptions'!$H$9-0</x:f>
        <x:v>80.33112624770803</x:v>
      </x:c>
      <x:c r="AK148" t="n">
        <x:f>AA148*(1-'Assumptions'!$F$9)+AU148*'Assumptions'!$G$9-AU148*'NSSC Model'!$D$65-(AU148-AT148)*'Assumptions'!$H$9-0</x:f>
        <x:v>104.46173978572966</x:v>
      </x:c>
      <x:c r="AL148" t="n">
        <x:f>AB148*(1-'Assumptions'!$F$9)+AV148*'Assumptions'!$G$9-AV148*'NSSC Model'!$E$65-(AV148-AU148)*'Assumptions'!$H$9-0</x:f>
        <x:v>134.19821733437476</x:v>
      </x:c>
      <x:c r="AM148" t="n">
        <x:f>AC148*(1-'Assumptions'!$F$9)+AW148*'Assumptions'!$G$9-AW148*'NSSC Model'!$F$65-(AW148-AV148)*'Assumptions'!$H$9-0</x:f>
        <x:v>171.4703926552422</x:v>
      </x:c>
      <x:c r="AN148" t="n">
        <x:f>AD148*(1-'Assumptions'!$F$9)+AX148*'Assumptions'!$G$9-AX148*'NSSC Model'!$G$65-(AX148-AW148)*'Assumptions'!$H$9-0</x:f>
        <x:v>196.70433790064862</x:v>
      </x:c>
      <x:c r="AO148" t="n">
        <x:f>AE148*(1-'Assumptions'!$F$9)+AY148*'Assumptions'!$G$9-AY148*'NSSC Model'!$H$65-(AY148-AX148)*'Assumptions'!$H$9-0</x:f>
        <x:v>220.18945345352432</x:v>
      </x:c>
      <x:c r="AP148" t="n">
        <x:f>AF148*(1-'Assumptions'!$F$9)+AZ148*'Assumptions'!$G$9-AZ148*'NSSC Model'!$I$65-(AZ148-AY148)*'Assumptions'!$H$9-0</x:f>
        <x:v>240.36500739323665</x:v>
      </x:c>
      <x:c r="AQ148" t="n">
        <x:f>AG148*(1-'Assumptions'!$F$9)+BA148*'Assumptions'!$G$9-BA148*'NSSC Model'!$J$65-(BA148-AZ148)*'Assumptions'!$H$9-0</x:f>
        <x:v>255.71662294905093</x:v>
      </x:c>
      <x:c r="AR148" t="n">
        <x:f>AH148*(1-'Assumptions'!$F$9)+BB148*'Assumptions'!$G$9-BB148*'NSSC Model'!$K$65-(BB148-BA148)*'Assumptions'!$H$9-0</x:f>
        <x:v>264.9512083543143</x:v>
      </x:c>
      <x:c r="AS148" t="n">
        <x:f>E148+O148</x:f>
        <x:v>227.81848000000002</x:v>
      </x:c>
      <x:c r="AT148" t="n">
        <x:f>F148+P148</x:f>
        <x:v>260.04932560000003</x:v>
      </x:c>
      <x:c r="AU148" t="n">
        <x:f>G148+Q148</x:f>
        <x:v>299.342206456</x:v>
      </x:c>
      <x:c r="AV148" t="n">
        <x:f>H148+R148</x:f>
        <x:v>347.3718099988</x:v>
      </x:c>
      <x:c r="AW148" t="n">
        <x:f>I148+S148</x:f>
        <x:v>406.2141426116728</x:v>
      </x:c>
      <x:c r="AX148" t="n">
        <x:f>J148+T148</x:f>
        <x:v>463.6992741920187</x:v>
      </x:c>
      <x:c r="AY148" t="n">
        <x:f>K148+U148</x:f>
        <x:v>516.3920958367297</x:v>
      </x:c>
      <x:c r="AZ148" t="n">
        <x:f>L148+V148</x:f>
        <x:v>560.6764239484561</x:v>
      </x:c>
      <x:c r="BA148" t="n">
        <x:f>M148+W148</x:f>
        <x:v>593.1275838348276</x:v>
      </x:c>
      <x:c r="BB148" t="n">
        <x:f>N148+X148</x:f>
        <x:v>610.9214113498725</x:v>
      </x:c>
      <x:c r="BC148" t="n">
        <x:f>AS148/'Inputs'!$D$14-1</x:f>
        <x:v>0.12605270962257076</x:v>
      </x:c>
      <x:c r="BD148" t="n">
        <x:f>AT148/AS148-1</x:f>
        <x:v>0.14147599264115884</x:v>
      </x:c>
      <x:c r="BE148" t="n">
        <x:f>AU148/AT148-1</x:f>
        <x:v>0.15109779948608315</x:v>
      </x:c>
      <x:c r="BF148" t="n">
        <x:f>AV148/AU148-1</x:f>
        <x:v>0.16045048946300144</x:v>
      </x:c>
      <x:c r="BG148" t="n">
        <x:f>AW148/AV148-1</x:f>
        <x:v>0.1693929412783266</x:v>
      </x:c>
      <x:c r="BH148" t="n">
        <x:f>AX148/AW148-1</x:f>
        <x:v>0.14151435302266124</x:v>
      </x:c>
      <x:c r="BI148" t="n">
        <x:f>AY148/AX148-1</x:f>
        <x:v>0.11363576476699588</x:v>
      </x:c>
      <x:c r="BJ148" t="n">
        <x:f>AZ148/AY148-1</x:f>
        <x:v>0.08575717651133052</x:v>
      </x:c>
      <x:c r="BK148" t="n">
        <x:f>BA148/AZ148-1</x:f>
        <x:v>0.057878588255665386</x:v>
      </x:c>
      <x:c r="BL148" t="n">
        <x:f>BB148/BA148-1</x:f>
        <x:v>0.030000000000000027</x:v>
      </x:c>
      <x:c r="BM148" t="n">
        <x:f>AH148*(1-'Assumptions'!$F$9)*(1+'Assumptions'!$D$9)*(1-'Assumptions'!$D$9/'Assumptions'!$E$9)</x:f>
        <x:v>249.52455454837934</x:v>
      </x:c>
      <x:c r="BN148" t="n">
        <x:f>SUMPRODUCT(AI148:AR148,'NSSC Model'!$B$83:$K$83)+BM148/('Assumptions'!$C$9-'Assumptions'!$D$9)*'NSSC Model'!$K$83</x:f>
        <x:v>2319.871806953103</x:v>
      </x:c>
      <x:c r="BO148" t="n">
        <x:f>'NSSC Model'!$B$94</x:f>
        <x:v>101.2</x:v>
      </x:c>
      <x:c r="BP148" t="n">
        <x:f>'Inputs'!$D$8</x:f>
        <x:v>35.891</x:v>
      </x:c>
    </x:row>
    <x:row r="149">
      <x:c r="A149" t="str">
        <x:v>NSSC</x:v>
      </x:c>
      <x:c r="B149" s="22" t="n">
        <x:v>0.25</x:v>
      </x:c>
      <x:c r="C149" s="42" t="n">
        <x:f>(BN149+BO149)/BP149</x:f>
        <x:v>71.19214330908062</x:v>
      </x:c>
      <x:c r="D149" s="22" t="n">
        <x:f>C149/'Inputs'!$D$5-1</x:f>
        <x:v>0.9235920915720244</x:v>
      </x:c>
      <x:c r="E149" t="n">
        <x:f>'Inputs'!$D$21*(1+$B149)^1</x:f>
        <x:v>121.91000000000001</x:v>
      </x:c>
      <x:c r="F149" t="n">
        <x:f>'Inputs'!$D$21*(1+$B149)^2</x:f>
        <x:v>152.38750000000002</x:v>
      </x:c>
      <x:c r="G149" t="n">
        <x:f>'Inputs'!$D$21*(1+$B149)^3</x:f>
        <x:v>190.484375</x:v>
      </x:c>
      <x:c r="H149" t="n">
        <x:f>'Inputs'!$D$21*(1+$B149)^4</x:f>
        <x:v>238.10546875</x:v>
      </x:c>
      <x:c r="I149" t="n">
        <x:f>'Inputs'!$D$21*(1+$B149)^5</x:f>
        <x:v>297.6318359375</x:v>
      </x:c>
      <x:c r="J149" t="n">
        <x:f>I149*(1+($BG149+('Assumptions'!$D$9-$BG149)*(6-5)/5))</x:f>
        <x:v>341.7051097799688</x:v>
      </x:c>
      <x:c r="K149" t="n">
        <x:f>J149*(1+($BG149+('Assumptions'!$D$9-$BG149)*(7-5)/5))</x:f>
        <x:v>382.2176259002449</x:v>
      </x:c>
      <x:c r="L149" t="n">
        <x:f>K149*(1+($BG149+('Assumptions'!$D$9-$BG149)*(8-5)/5))</x:f>
        <x:v>416.25025221798995</x:v>
      </x:c>
      <x:c r="M149" t="n">
        <x:f>L149*(1+($BG149+('Assumptions'!$D$9-$BG149)*(9-5)/5))</x:f>
        <x:v>441.02545029956536</x:v>
      </x:c>
      <x:c r="N149" t="n">
        <x:f>M149*(1+($BG149+('Assumptions'!$D$9-$BG149)*(10-5)/5))</x:f>
        <x:v>454.25621380855233</x:v>
      </x:c>
      <x:c r="O149" t="n">
        <x:f>'NSSC Model'!$B$68</x:f>
        <x:v>106.88376</x:v>
      </x:c>
      <x:c r="P149" t="n">
        <x:f>'NSSC Model'!$C$68</x:f>
        <x:v>110.0902728</x:v>
      </x:c>
      <x:c r="Q149" t="n">
        <x:f>'NSSC Model'!$D$68</x:f>
        <x:v>113.39298098399999</x:v>
      </x:c>
      <x:c r="R149" t="n">
        <x:f>'NSSC Model'!$E$68</x:f>
        <x:v>116.79477041352</x:v>
      </x:c>
      <x:c r="S149" t="n">
        <x:f>'NSSC Model'!$F$68</x:f>
        <x:v>120.2986135259256</x:v>
      </x:c>
      <x:c r="T149" t="n">
        <x:f>S149*(1+($BG149+('Assumptions'!$D$9-$BG149)*(6-5)/5))</x:f>
        <x:v>138.1124126448841</x:v>
      </x:c>
      <x:c r="U149" t="n">
        <x:f>T149*(1+($BG149+('Assumptions'!$D$9-$BG149)*(7-5)/5))</x:f>
        <x:v>154.4870034354316</x:v>
      </x:c>
      <x:c r="V149" t="n">
        <x:f>U149*(1+($BG149+('Assumptions'!$D$9-$BG149)*(8-5)/5))</x:f>
        <x:v>168.24251365420528</x:v>
      </x:c>
      <x:c r="W149" t="n">
        <x:f>V149*(1+($BG149+('Assumptions'!$D$9-$BG149)*(9-5)/5))</x:f>
        <x:v>178.25630122385746</x:v>
      </x:c>
      <x:c r="X149" t="n">
        <x:f>W149*(1+($BG149+('Assumptions'!$D$9-$BG149)*(10-5)/5))</x:f>
        <x:v>183.6039902605732</x:v>
      </x:c>
      <x:c r="Y149" t="n">
        <x:f>E149*'NSSC Model'!$B$62+O149*'NSSC Model'!$B$63+'NSSC Model'!$B$73+'NSSC Model'!$B$74</x:f>
        <x:v>79.94337292</x:v>
      </x:c>
      <x:c r="Z149" t="n">
        <x:f>F149*'NSSC Model'!$C$62+P149*'NSSC Model'!$C$63+'NSSC Model'!$C$73+'NSSC Model'!$C$74</x:f>
        <x:v>105.35680015100002</x:v>
      </x:c>
      <x:c r="AA149" t="n">
        <x:f>G149*'NSSC Model'!$D$62+Q149*'NSSC Model'!$D$63+'NSSC Model'!$D$73+'NSSC Model'!$D$74</x:f>
        <x:v>137.739626239825</x:v>
      </x:c>
      <x:c r="AB149" t="n">
        <x:f>H149*'NSSC Model'!$E$62+R149*'NSSC Model'!$E$63+'NSSC Model'!$E$73+'NSSC Model'!$E$74</x:f>
        <x:v>178.00629949751038</x:v>
      </x:c>
      <x:c r="AC149" t="n">
        <x:f>I149*'NSSC Model'!$F$62+S149*'NSSC Model'!$F$63+'NSSC Model'!$F$73+'NSSC Model'!$F$74</x:f>
        <x:v>228.84748665661584</x:v>
      </x:c>
      <x:c r="AD149" t="n">
        <x:f>AX149*$AC149/$AW149</x:f>
        <x:v>262.73518524842825</x:v>
      </x:c>
      <x:c r="AE149" t="n">
        <x:f>AY149*$AC149/$AW149</x:f>
        <x:v>293.8850367522428</x:v>
      </x:c>
      <x:c r="AF149" t="n">
        <x:f>AZ149*$AC149/$AW149</x:f>
        <x:v>320.05253651787683</x:v>
      </x:c>
      <x:c r="AG149" t="n">
        <x:f>BA149*$AC149/$AW149</x:f>
        <x:v>339.10205047369885</x:v>
      </x:c>
      <x:c r="AH149" t="n">
        <x:f>BB149*$AC149/$AW149</x:f>
        <x:v>349.27511198790984</x:v>
      </x:c>
      <x:c r="AI149" t="n">
        <x:f>Y149*(1-'Assumptions'!$F$9)+AS149*'Assumptions'!$G$9-AS149*'NSSC Model'!$B$65-(AS149-'Inputs'!$D$14)*'Assumptions'!$H$9-'Assumptions'!$I$9</x:f>
        <x:v>61.99061475439999</x:v>
      </x:c>
      <x:c r="AJ149" t="n">
        <x:f>Z149*(1-'Assumptions'!$F$9)+AT149*'Assumptions'!$G$9-AT149*'NSSC Model'!$C$65-(AT149-AS149)*'Assumptions'!$H$9-0</x:f>
        <x:v>81.97426375262002</x:v>
      </x:c>
      <x:c r="AK149" t="n">
        <x:f>AA149*(1-'Assumptions'!$F$9)+AU149*'Assumptions'!$G$9-AU149*'NSSC Model'!$D$65-(AU149-AT149)*'Assumptions'!$H$9-0</x:f>
        <x:v>107.5910257743205</x:v>
      </x:c>
      <x:c r="AL149" t="n">
        <x:f>AB149*(1-'Assumptions'!$F$9)+AV149*'Assumptions'!$G$9-AV149*'NSSC Model'!$E$65-(AV149-AU149)*'Assumptions'!$H$9-0</x:f>
        <x:v>139.44327631335244</x:v>
      </x:c>
      <x:c r="AM149" t="n">
        <x:f>AC149*(1-'Assumptions'!$F$9)+AW149*'Assumptions'!$G$9-AW149*'NSSC Model'!$F$65-(AW149-AV149)*'Assumptions'!$H$9-0</x:f>
        <x:v>179.68019623058078</x:v>
      </x:c>
      <x:c r="AN149" t="n">
        <x:f>AD149*(1-'Assumptions'!$F$9)+AX149*'Assumptions'!$G$9-AX149*'NSSC Model'!$G$65-(AX149-AW149)*'Assumptions'!$H$9-0</x:f>
        <x:v>207.33487451786905</x:v>
      </x:c>
      <x:c r="AO149" t="n">
        <x:f>AE149*(1-'Assumptions'!$F$9)+AY149*'Assumptions'!$G$9-AY149*'NSSC Model'!$H$65-(AY149-AX149)*'Assumptions'!$H$9-0</x:f>
        <x:v>233.15020092841405</x:v>
      </x:c>
      <x:c r="AP149" t="n">
        <x:f>AF149*(1-'Assumptions'!$F$9)+AZ149*'Assumptions'!$G$9-AZ149*'NSSC Model'!$I$65-(AZ149-AY149)*'Assumptions'!$H$9-0</x:f>
        <x:v>255.32629522751836</x:v>
      </x:c>
      <x:c r="AQ149" t="n">
        <x:f>AG149*(1-'Assumptions'!$F$9)+BA149*'Assumptions'!$G$9-BA149*'NSSC Model'!$J$65-(BA149-AZ149)*'Assumptions'!$H$9-0</x:f>
        <x:v>272.1076558172166</x:v>
      </x:c>
      <x:c r="AR149" t="n">
        <x:f>AH149*(1-'Assumptions'!$F$9)+BB149*'Assumptions'!$G$9-BB149*'NSSC Model'!$K$65-(BB149-BA149)*'Assumptions'!$H$9-0</x:f>
        <x:v>281.9963057592393</x:v>
      </x:c>
      <x:c r="AS149" t="n">
        <x:f>E149+O149</x:f>
        <x:v>228.79376000000002</x:v>
      </x:c>
      <x:c r="AT149" t="n">
        <x:f>F149+P149</x:f>
        <x:v>262.4777728</x:v>
      </x:c>
      <x:c r="AU149" t="n">
        <x:f>G149+Q149</x:f>
        <x:v>303.877355984</x:v>
      </x:c>
      <x:c r="AV149" t="n">
        <x:f>H149+R149</x:f>
        <x:v>354.90023916352</x:v>
      </x:c>
      <x:c r="AW149" t="n">
        <x:f>I149+S149</x:f>
        <x:v>417.9304494634256</x:v>
      </x:c>
      <x:c r="AX149" t="n">
        <x:f>J149+T149</x:f>
        <x:v>479.8175224248529</x:v>
      </x:c>
      <x:c r="AY149" t="n">
        <x:f>K149+U149</x:f>
        <x:v>536.7046293356765</x:v>
      </x:c>
      <x:c r="AZ149" t="n">
        <x:f>L149+V149</x:f>
        <x:v>584.4927658721953</x:v>
      </x:c>
      <x:c r="BA149" t="n">
        <x:f>M149+W149</x:f>
        <x:v>619.2817515234228</x:v>
      </x:c>
      <x:c r="BB149" t="n">
        <x:f>N149+X149</x:f>
        <x:v>637.8602040691255</x:v>
      </x:c>
      <x:c r="BC149" t="n">
        <x:f>AS149/'Inputs'!$D$14-1</x:f>
        <x:v>0.13087328733268766</x:v>
      </x:c>
      <x:c r="BD149" t="n">
        <x:f>AT149/AS149-1</x:f>
        <x:v>0.14722435087390506</x:v>
      </x:c>
      <x:c r="BE149" t="n">
        <x:f>AU149/AT149-1</x:f>
        <x:v>0.15772605330488387</x:v>
      </x:c>
      <x:c r="BF149" t="n">
        <x:f>AV149/AU149-1</x:f>
        <x:v>0.1679061706138001</x:v>
      </x:c>
      <x:c r="BG149" t="n">
        <x:f>AW149/AV149-1</x:f>
        <x:v>0.1775997966314824</x:v>
      </x:c>
      <x:c r="BH149" t="n">
        <x:f>AX149/AW149-1</x:f>
        <x:v>0.14807983730518592</x:v>
      </x:c>
      <x:c r="BI149" t="n">
        <x:f>AY149/AX149-1</x:f>
        <x:v>0.11855987797888945</x:v>
      </x:c>
      <x:c r="BJ149" t="n">
        <x:f>AZ149/AY149-1</x:f>
        <x:v>0.0890399186525932</x:v>
      </x:c>
      <x:c r="BK149" t="n">
        <x:f>BA149/AZ149-1</x:f>
        <x:v>0.0595199593262965</x:v>
      </x:c>
      <x:c r="BL149" t="n">
        <x:f>BB149/BA149-1</x:f>
        <x:v>0.030000000000000027</x:v>
      </x:c>
      <x:c r="BM149" t="n">
        <x:f>AH149*(1-'Assumptions'!$F$9)*(1+'Assumptions'!$D$9)*(1-'Assumptions'!$D$9/'Assumptions'!$E$9)</x:f>
        <x:v>265.4979836264899</x:v>
      </x:c>
      <x:c r="BN149" t="n">
        <x:f>SUMPRODUCT(AI149:AR149,'NSSC Model'!$B$83:$K$83)+BM149/('Assumptions'!$C$9-'Assumptions'!$D$9)*'NSSC Model'!$K$83</x:f>
        <x:v>2453.9572155062124</x:v>
      </x:c>
      <x:c r="BO149" t="n">
        <x:f>'NSSC Model'!$B$94</x:f>
        <x:v>101.2</x:v>
      </x:c>
      <x:c r="BP149" t="n">
        <x:f>'Inputs'!$D$8</x:f>
        <x:v>35.891</x:v>
      </x:c>
    </x:row>
    <x:row r="150">
      <x:c r="A150" t="str">
        <x:v>NSSC</x:v>
      </x:c>
      <x:c r="B150" s="22" t="n">
        <x:v>0.26</x:v>
      </x:c>
      <x:c r="C150" s="42" t="n">
        <x:f>(BN150+BO150)/BP150</x:f>
        <x:v>75.11426362818911</x:v>
      </x:c>
      <x:c r="D150" s="22" t="n">
        <x:f>C150/'Inputs'!$D$5-1</x:f>
        <x:v>1.0295667016533128</x:v>
      </x:c>
      <x:c r="E150" t="n">
        <x:f>'Inputs'!$D$21*(1+$B150)^1</x:f>
        <x:v>122.88528000000001</x:v>
      </x:c>
      <x:c r="F150" t="n">
        <x:f>'Inputs'!$D$21*(1+$B150)^2</x:f>
        <x:v>154.8354528</x:v>
      </x:c>
      <x:c r="G150" t="n">
        <x:f>'Inputs'!$D$21*(1+$B150)^3</x:f>
        <x:v>195.092670528</x:v>
      </x:c>
      <x:c r="H150" t="n">
        <x:f>'Inputs'!$D$21*(1+$B150)^4</x:f>
        <x:v>245.81676486528005</x:v>
      </x:c>
      <x:c r="I150" t="n">
        <x:f>'Inputs'!$D$21*(1+$B150)^5</x:f>
        <x:v>309.72912373025287</x:v>
      </x:c>
      <x:c r="J150" t="n">
        <x:f>I150*(1+($BG150+('Assumptions'!$D$9-$BG150)*(6-5)/5))</x:f>
        <x:v>357.65500406948894</x:v>
      </x:c>
      <x:c r="K150" t="n">
        <x:f>J150*(1+($BG150+('Assumptions'!$D$9-$BG150)*(7-5)/5))</x:f>
        <x:v>401.84367872025774</x:v>
      </x:c>
      <x:c r="L150" t="n">
        <x:f>K150*(1+($BG150+('Assumptions'!$D$9-$BG150)*(8-5)/5))</x:f>
        <x:v>438.9609386329016</x:v>
      </x:c>
      <x:c r="M150" t="n">
        <x:f>L150*(1+($BG150+('Assumptions'!$D$9-$BG150)*(9-5)/5))</x:f>
        <x:v>465.818195254828</x:v>
      </x:c>
      <x:c r="N150" t="n">
        <x:f>M150*(1+($BG150+('Assumptions'!$D$9-$BG150)*(10-5)/5))</x:f>
        <x:v>479.79274111247287</x:v>
      </x:c>
      <x:c r="O150" t="n">
        <x:f>'NSSC Model'!$B$68</x:f>
        <x:v>106.88376</x:v>
      </x:c>
      <x:c r="P150" t="n">
        <x:f>'NSSC Model'!$C$68</x:f>
        <x:v>110.0902728</x:v>
      </x:c>
      <x:c r="Q150" t="n">
        <x:f>'NSSC Model'!$D$68</x:f>
        <x:v>113.39298098399999</x:v>
      </x:c>
      <x:c r="R150" t="n">
        <x:f>'NSSC Model'!$E$68</x:f>
        <x:v>116.79477041352</x:v>
      </x:c>
      <x:c r="S150" t="n">
        <x:f>'NSSC Model'!$F$68</x:f>
        <x:v>120.2986135259256</x:v>
      </x:c>
      <x:c r="T150" t="n">
        <x:f>S150*(1+($BG150+('Assumptions'!$D$9-$BG150)*(6-5)/5))</x:f>
        <x:v>138.91299788663136</x:v>
      </x:c>
      <x:c r="U150" t="n">
        <x:f>T150*(1+($BG150+('Assumptions'!$D$9-$BG150)*(7-5)/5))</x:f>
        <x:v>156.07585370727202</x:v>
      </x:c>
      <x:c r="V150" t="n">
        <x:f>U150*(1+($BG150+('Assumptions'!$D$9-$BG150)*(8-5)/5))</x:f>
        <x:v>170.49217611052538</x:v>
      </x:c>
      <x:c r="W150" t="n">
        <x:f>V150*(1+($BG150+('Assumptions'!$D$9-$BG150)*(9-5)/5))</x:f>
        <x:v>180.9235191363803</x:v>
      </x:c>
      <x:c r="X150" t="n">
        <x:f>W150*(1+($BG150+('Assumptions'!$D$9-$BG150)*(10-5)/5))</x:f>
        <x:v>186.3512247104717</x:v>
      </x:c>
      <x:c r="Y150" t="n">
        <x:f>E150*'NSSC Model'!$B$62+O150*'NSSC Model'!$B$63+'NSSC Model'!$B$73+'NSSC Model'!$B$74</x:f>
        <x:v>80.82405076</x:v>
      </x:c>
      <x:c r="Z150" t="n">
        <x:f>F150*'NSSC Model'!$C$62+P150*'NSSC Model'!$C$63+'NSSC Model'!$C$73+'NSSC Model'!$C$74</x:f>
        <x:v>107.56730152940003</x:v>
      </x:c>
      <x:c r="AA150" t="n">
        <x:f>G150*'NSSC Model'!$D$62+Q150*'NSSC Model'!$D$63+'NSSC Model'!$D$73+'NSSC Model'!$D$74</x:f>
        <x:v>141.90091710160902</x:v>
      </x:c>
      <x:c r="AB150" t="n">
        <x:f>H150*'NSSC Model'!$E$62+R150*'NSSC Model'!$E$63+'NSSC Model'!$E$73+'NSSC Model'!$E$74</x:f>
        <x:v>184.96959988960828</x:v>
      </x:c>
      <x:c r="AC150" t="n">
        <x:f>I150*'NSSC Model'!$F$62+S150*'NSSC Model'!$F$63+'NSSC Model'!$F$73+'NSSC Model'!$F$74</x:f>
        <x:v>239.7713375334717</x:v>
      </x:c>
      <x:c r="AD150" t="n">
        <x:f>AX150*$AC150/$AW150</x:f>
        <x:v>276.87231238857004</x:v>
      </x:c>
      <x:c r="AE150" t="n">
        <x:f>AY150*$AC150/$AW150</x:f>
        <x:v>311.08019538401516</x:v>
      </x:c>
      <x:c r="AF150" t="n">
        <x:f>AZ150*$AC150/$AW150</x:f>
        <x:v>339.8138673992531</x:v>
      </x:c>
      <x:c r="AG150" t="n">
        <x:f>BA150*$AC150/$AW150</x:f>
        <x:v>360.6049388527963</x:v>
      </x:c>
      <x:c r="AH150" t="n">
        <x:f>BB150*$AC150/$AW150</x:f>
        <x:v>371.4230870183801</x:v>
      </x:c>
      <x:c r="AI150" t="n">
        <x:f>Y150*(1-'Assumptions'!$F$9)+AS150*'Assumptions'!$G$9-AS150*'NSSC Model'!$B$65-(AS150-'Inputs'!$D$14)*'Assumptions'!$H$9-'Assumptions'!$I$9</x:f>
        <x:v>62.611341463200006</x:v>
      </x:c>
      <x:c r="AJ150" t="n">
        <x:f>Z150*(1-'Assumptions'!$F$9)+AT150*'Assumptions'!$G$9-AT150*'NSSC Model'!$C$65-(AT150-AS150)*'Assumptions'!$H$9-0</x:f>
        <x:v>83.62981579170804</x:v>
      </x:c>
      <x:c r="AK150" t="n">
        <x:f>AA150*(1-'Assumptions'!$F$9)+AU150*'Assumptions'!$G$9-AU150*'NSSC Model'!$D$65-(AU150-AT150)*'Assumptions'!$H$9-0</x:f>
        <x:v>110.76881682607141</x:v>
      </x:c>
      <x:c r="AL150" t="n">
        <x:f>AB150*(1-'Assumptions'!$F$9)+AV150*'Assumptions'!$G$9-AV150*'NSSC Model'!$E$65-(AV150-AU150)*'Assumptions'!$H$9-0</x:f>
        <x:v>144.8120373916836</x:v>
      </x:c>
      <x:c r="AM150" t="n">
        <x:f>AC150*(1-'Assumptions'!$F$9)+AW150*'Assumptions'!$G$9-AW150*'NSSC Model'!$F$65-(AW150-AV150)*'Assumptions'!$H$9-0</x:f>
        <x:v>188.15076563068428</x:v>
      </x:c>
      <x:c r="AN150" t="n">
        <x:f>AD150*(1-'Assumptions'!$F$9)+AX150*'Assumptions'!$G$9-AX150*'NSSC Model'!$G$65-(AX150-AW150)*'Assumptions'!$H$9-0</x:f>
        <x:v>218.39499768080879</x:v>
      </x:c>
      <x:c r="AO150" t="n">
        <x:f>AE150*(1-'Assumptions'!$F$9)+AY150*'Assumptions'!$G$9-AY150*'NSSC Model'!$H$65-(AY150-AX150)*'Assumptions'!$H$9-0</x:f>
        <x:v>246.7189290380414</x:v>
      </x:c>
      <x:c r="AP150" t="n">
        <x:f>AF150*(1-'Assumptions'!$F$9)+AZ150*'Assumptions'!$G$9-AZ150*'NSSC Model'!$I$65-(AZ150-AY150)*'Assumptions'!$H$9-0</x:f>
        <x:v>271.05620057682415</x:v>
      </x:c>
      <x:c r="AQ150" t="n">
        <x:f>AG150*(1-'Assumptions'!$F$9)+BA150*'Assumptions'!$G$9-BA150*'NSSC Model'!$J$65-(BA150-AZ150)*'Assumptions'!$H$9-0</x:f>
        <x:v>289.3802230369501</x:v>
      </x:c>
      <x:c r="AR150" t="n">
        <x:f>AH150*(1-'Assumptions'!$F$9)+BB150*'Assumptions'!$G$9-BB150*'NSSC Model'!$K$65-(BB150-BA150)*'Assumptions'!$H$9-0</x:f>
        <x:v>299.9621303486063</x:v>
      </x:c>
      <x:c r="AS150" t="n">
        <x:f>E150+O150</x:f>
        <x:v>229.76904000000002</x:v>
      </x:c>
      <x:c r="AT150" t="n">
        <x:f>F150+P150</x:f>
        <x:v>264.9257256</x:v>
      </x:c>
      <x:c r="AU150" t="n">
        <x:f>G150+Q150</x:f>
        <x:v>308.485651512</x:v>
      </x:c>
      <x:c r="AV150" t="n">
        <x:f>H150+R150</x:f>
        <x:v>362.61153527880003</x:v>
      </x:c>
      <x:c r="AW150" t="n">
        <x:f>I150+S150</x:f>
        <x:v>430.02773725617845</x:v>
      </x:c>
      <x:c r="AX150" t="n">
        <x:f>J150+T150</x:f>
        <x:v>496.56800195612027</x:v>
      </x:c>
      <x:c r="AY150" t="n">
        <x:f>K150+U150</x:f>
        <x:v>557.9195324275297</x:v>
      </x:c>
      <x:c r="AZ150" t="n">
        <x:f>L150+V150</x:f>
        <x:v>609.453114743427</x:v>
      </x:c>
      <x:c r="BA150" t="n">
        <x:f>M150+W150</x:f>
        <x:v>646.7417143912083</x:v>
      </x:c>
      <x:c r="BB150" t="n">
        <x:f>N150+X150</x:f>
        <x:v>666.1439658229446</x:v>
      </x:c>
      <x:c r="BC150" t="n">
        <x:f>AS150/'Inputs'!$D$14-1</x:f>
        <x:v>0.13569386504280434</x:v>
      </x:c>
      <x:c r="BD150" t="n">
        <x:f>AT150/AS150-1</x:f>
        <x:v>0.15300880223027447</x:v>
      </x:c>
      <x:c r="BE150" t="n">
        <x:f>AU150/AT150-1</x:f>
        <x:v>0.16442316356158337</x:v>
      </x:c>
      <x:c r="BF150" t="n">
        <x:f>AV150/AU150-1</x:f>
        <x:v>0.17545673032606035</x:v>
      </x:c>
      <x:c r="BG150" t="n">
        <x:f>AW150/AV150-1</x:f>
        <x:v>0.18591852552496535</x:v>
      </x:c>
      <x:c r="BH150" t="n">
        <x:f>AX150/AW150-1</x:f>
        <x:v>0.15473482041997233</x:v>
      </x:c>
      <x:c r="BI150" t="n">
        <x:f>AY150/AX150-1</x:f>
        <x:v>0.12355111531497931</x:v>
      </x:c>
      <x:c r="BJ150" t="n">
        <x:f>AZ150/AY150-1</x:f>
        <x:v>0.09236741020998607</x:v>
      </x:c>
      <x:c r="BK150" t="n">
        <x:f>BA150/AZ150-1</x:f>
        <x:v>0.06118370510499305</x:v>
      </x:c>
      <x:c r="BL150" t="n">
        <x:f>BB150/BA150-1</x:f>
        <x:v>0.030000000000000027</x:v>
      </x:c>
      <x:c r="BM150" t="n">
        <x:f>AH150*(1-'Assumptions'!$F$9)*(1+'Assumptions'!$D$9)*(1-'Assumptions'!$D$9/'Assumptions'!$E$9)</x:f>
        <x:v>282.33354536615144</x:v>
      </x:c>
      <x:c r="BN150" t="n">
        <x:f>SUMPRODUCT(AI150:AR150,'NSSC Model'!$B$83:$K$83)+BM150/('Assumptions'!$C$9-'Assumptions'!$D$9)*'NSSC Model'!$K$83</x:f>
        <x:v>2594.7260358793355</x:v>
      </x:c>
      <x:c r="BO150" t="n">
        <x:f>'NSSC Model'!$B$94</x:f>
        <x:v>101.2</x:v>
      </x:c>
      <x:c r="BP150" t="n">
        <x:f>'Inputs'!$D$8</x:f>
        <x:v>35.891</x:v>
      </x:c>
    </x:row>
    <x:row r="151">
      <x:c r="A151" t="str">
        <x:v>NSSC</x:v>
      </x:c>
      <x:c r="B151" s="22" t="n">
        <x:v>0.27</x:v>
      </x:c>
      <x:c r="C151" s="42" t="n">
        <x:f>(BN151+BO151)/BP151</x:f>
        <x:v>79.23109599997494</x:v>
      </x:c>
      <x:c r="D151" s="22" t="n">
        <x:f>C151/'Inputs'!$D$5-1</x:f>
        <x:v>1.1408023777350702</x:v>
      </x:c>
      <x:c r="E151" t="n">
        <x:f>'Inputs'!$D$21*(1+$B151)^1</x:f>
        <x:v>123.86056</x:v>
      </x:c>
      <x:c r="F151" t="n">
        <x:f>'Inputs'!$D$21*(1+$B151)^2</x:f>
        <x:v>157.3029112</x:v>
      </x:c>
      <x:c r="G151" t="n">
        <x:f>'Inputs'!$D$21*(1+$B151)^3</x:f>
        <x:v>199.774697224</x:v>
      </x:c>
      <x:c r="H151" t="n">
        <x:f>'Inputs'!$D$21*(1+$B151)^4</x:f>
        <x:v>253.71386547448</x:v>
      </x:c>
      <x:c r="I151" t="n">
        <x:f>'Inputs'!$D$21*(1+$B151)^5</x:f>
        <x:v>322.21660915258957</x:v>
      </x:c>
      <x:c r="J151" t="n">
        <x:f>I151*(1+($BG151+('Assumptions'!$D$9-$BG151)*(6-5)/5))</x:f>
        <x:v>374.2469181291556</x:v>
      </x:c>
      <x:c r="K151" t="n">
        <x:f>J151*(1+($BG151+('Assumptions'!$D$9-$BG151)*(7-5)/5))</x:f>
        <x:v>422.3777436186225</x:v>
      </x:c>
      <x:c r="L151" t="n">
        <x:f>K151*(1+($BG151+('Assumptions'!$D$9-$BG151)*(8-5)/5))</x:f>
        <x:v>462.81538322966816</x:v>
      </x:c>
      <x:c r="M151" t="n">
        <x:f>L151*(1+($BG151+('Assumptions'!$D$9-$BG151)*(9-5)/5))</x:f>
        <x:v>491.912145030284</x:v>
      </x:c>
      <x:c r="N151" t="n">
        <x:f>M151*(1+($BG151+('Assumptions'!$D$9-$BG151)*(10-5)/5))</x:f>
        <x:v>506.66950938119254</x:v>
      </x:c>
      <x:c r="O151" t="n">
        <x:f>'NSSC Model'!$B$68</x:f>
        <x:v>106.88376</x:v>
      </x:c>
      <x:c r="P151" t="n">
        <x:f>'NSSC Model'!$C$68</x:f>
        <x:v>110.0902728</x:v>
      </x:c>
      <x:c r="Q151" t="n">
        <x:f>'NSSC Model'!$D$68</x:f>
        <x:v>113.39298098399999</x:v>
      </x:c>
      <x:c r="R151" t="n">
        <x:f>'NSSC Model'!$E$68</x:f>
        <x:v>116.79477041352</x:v>
      </x:c>
      <x:c r="S151" t="n">
        <x:f>'NSSC Model'!$F$68</x:f>
        <x:v>120.2986135259256</x:v>
      </x:c>
      <x:c r="T151" t="n">
        <x:f>S151*(1+($BG151+('Assumptions'!$D$9-$BG151)*(6-5)/5))</x:f>
        <x:v>139.72397476868608</x:v>
      </x:c>
      <x:c r="U151" t="n">
        <x:f>T151*(1+($BG151+('Assumptions'!$D$9-$BG151)*(7-5)/5))</x:f>
        <x:v>157.69347543927128</x:v>
      </x:c>
      <x:c r="V151" t="n">
        <x:f>U151*(1+($BG151+('Assumptions'!$D$9-$BG151)*(8-5)/5))</x:f>
        <x:v>172.7907480232744</x:v>
      </x:c>
      <x:c r="W151" t="n">
        <x:f>V151*(1+($BG151+('Assumptions'!$D$9-$BG151)*(9-5)/5))</x:f>
        <x:v>183.65393757738767</x:v>
      </x:c>
      <x:c r="X151" t="n">
        <x:f>W151*(1+($BG151+('Assumptions'!$D$9-$BG151)*(10-5)/5))</x:f>
        <x:v>189.1635557047093</x:v>
      </x:c>
      <x:c r="Y151" t="n">
        <x:f>E151*'NSSC Model'!$B$62+O151*'NSSC Model'!$B$63+'NSSC Model'!$B$73+'NSSC Model'!$B$74</x:f>
        <x:v>81.70472860000001</x:v>
      </x:c>
      <x:c r="Z151" t="n">
        <x:f>F151*'NSSC Model'!$C$62+P151*'NSSC Model'!$C$63+'NSSC Model'!$C$73+'NSSC Model'!$C$74</x:f>
        <x:v>109.79541646460001</x:v>
      </x:c>
      <x:c r="AA151" t="n">
        <x:f>G151*'NSSC Model'!$D$62+Q151*'NSSC Model'!$D$63+'NSSC Model'!$D$73+'NSSC Model'!$D$74</x:f>
        <x:v>146.12878720809698</x:v>
      </x:c>
      <x:c r="AB151" t="n">
        <x:f>H151*'NSSC Model'!$E$62+R151*'NSSC Model'!$E$63+'NSSC Model'!$E$73+'NSSC Model'!$E$74</x:f>
        <x:v>192.1006817397158</x:v>
      </x:c>
      <x:c r="AC151" t="n">
        <x:f>I151*'NSSC Model'!$F$62+S151*'NSSC Model'!$F$63+'NSSC Model'!$F$73+'NSSC Model'!$F$74</x:f>
        <x:v>251.04753686984174</x:v>
      </x:c>
      <x:c r="AD151" t="n">
        <x:f>AX151*$AC151/$AW151</x:f>
        <x:v>291.58573552290375</x:v>
      </x:c>
      <x:c r="AE151" t="n">
        <x:f>AY151*$AC151/$AW151</x:f>
        <x:v>329.0857427957156</x:v>
      </x:c>
      <x:c r="AF151" t="n">
        <x:f>AZ151*$AC151/$AW151</x:f>
        <x:v>360.5917841754008</x:v>
      </x:c>
      <x:c r="AG151" t="n">
        <x:f>BA151*$AC151/$AW151</x:f>
        <x:v>383.2618457844034</x:v>
      </x:c>
      <x:c r="AH151" t="n">
        <x:f>BB151*$AC151/$AW151</x:f>
        <x:v>394.75970115793547</x:v>
      </x:c>
      <x:c r="AI151" t="n">
        <x:f>Y151*(1-'Assumptions'!$F$9)+AS151*'Assumptions'!$G$9-AS151*'NSSC Model'!$B$65-(AS151-'Inputs'!$D$14)*'Assumptions'!$H$9-'Assumptions'!$I$9</x:f>
        <x:v>63.232068172</x:v>
      </x:c>
      <x:c r="AJ151" t="n">
        <x:f>Z151*(1-'Assumptions'!$F$9)+AT151*'Assumptions'!$G$9-AT151*'NSSC Model'!$C$65-(AT151-AS151)*'Assumptions'!$H$9-0</x:f>
        <x:v>85.29778236497201</x:v>
      </x:c>
      <x:c r="AK151" t="n">
        <x:f>AA151*(1-'Assumptions'!$F$9)+AU151*'Assumptions'!$G$9-AU151*'NSSC Model'!$D$65-(AU151-AT151)*'Assumptions'!$H$9-0</x:f>
        <x:v>113.99548537700754</x:v>
      </x:c>
      <x:c r="AL151" t="n">
        <x:f>AB151*(1-'Assumptions'!$F$9)+AV151*'Assumptions'!$G$9-AV151*'NSSC Model'!$E$65-(AV151-AU151)*'Assumptions'!$H$9-0</x:f>
        <x:v>150.306428715015</x:v>
      </x:c>
      <x:c r="AM151" t="n">
        <x:f>AC151*(1-'Assumptions'!$F$9)+AW151*'Assumptions'!$G$9-AW151*'NSSC Model'!$F$65-(AW151-AV151)*'Assumptions'!$H$9-0</x:f>
        <x:v>196.88826066350467</x:v>
      </x:c>
      <x:c r="AN151" t="n">
        <x:f>AD151*(1-'Assumptions'!$F$9)+AX151*'Assumptions'!$G$9-AX151*'NSSC Model'!$G$65-(AX151-AW151)*'Assumptions'!$H$9-0</x:f>
        <x:v>229.8988525352571</x:v>
      </x:c>
      <x:c r="AO151" t="n">
        <x:f>AE151*(1-'Assumptions'!$F$9)+AY151*'Assumptions'!$G$9-AY151*'NSSC Model'!$H$65-(AY151-AX151)*'Assumptions'!$H$9-0</x:f>
        <x:v>260.91999160024994</x:v>
      </x:c>
      <x:c r="AP151" t="n">
        <x:f>AF151*(1-'Assumptions'!$F$9)+AZ151*'Assumptions'!$G$9-AZ151*'NSSC Model'!$I$65-(AZ151-AY151)*'Assumptions'!$H$9-0</x:f>
        <x:v>287.58934727931205</x:v>
      </x:c>
      <x:c r="AQ151" t="n">
        <x:f>AG151*(1-'Assumptions'!$F$9)+BA151*'Assumptions'!$G$9-BA151*'NSSC Model'!$J$65-(BA151-AZ151)*'Assumptions'!$H$9-0</x:f>
        <x:v>307.57645407730723</x:v>
      </x:c>
      <x:c r="AR151" t="n">
        <x:f>AH151*(1-'Assumptions'!$F$9)+BB151*'Assumptions'!$G$9-BB151*'NSSC Model'!$K$65-(BB151-BA151)*'Assumptions'!$H$9-0</x:f>
        <x:v>318.89292444134054</x:v>
      </x:c>
      <x:c r="AS151" t="n">
        <x:f>E151+O151</x:f>
        <x:v>230.74432000000002</x:v>
      </x:c>
      <x:c r="AT151" t="n">
        <x:f>F151+P151</x:f>
        <x:v>267.393184</x:v>
      </x:c>
      <x:c r="AU151" t="n">
        <x:f>G151+Q151</x:f>
        <x:v>313.167678208</x:v>
      </x:c>
      <x:c r="AV151" t="n">
        <x:f>H151+R151</x:f>
        <x:v>370.508635888</x:v>
      </x:c>
      <x:c r="AW151" t="n">
        <x:f>I151+S151</x:f>
        <x:v>442.51522267851516</x:v>
      </x:c>
      <x:c r="AX151" t="n">
        <x:f>J151+T151</x:f>
        <x:v>513.9708928978416</x:v>
      </x:c>
      <x:c r="AY151" t="n">
        <x:f>K151+U151</x:f>
        <x:v>580.0712190578938</x:v>
      </x:c>
      <x:c r="AZ151" t="n">
        <x:f>L151+V151</x:f>
        <x:v>635.6061312529425</x:v>
      </x:c>
      <x:c r="BA151" t="n">
        <x:f>M151+W151</x:f>
        <x:v>675.5660826076717</x:v>
      </x:c>
      <x:c r="BB151" t="n">
        <x:f>N151+X151</x:f>
        <x:v>695.8330650859018</x:v>
      </x:c>
      <x:c r="BC151" t="n">
        <x:f>AS151/'Inputs'!$D$14-1</x:f>
        <x:v>0.14051444275292124</x:v>
      </x:c>
      <x:c r="BD151" t="n">
        <x:f>AT151/AS151-1</x:f>
        <x:v>0.15882888904914316</x:v>
      </x:c>
      <x:c r="BE151" t="n">
        <x:f>AU151/AT151-1</x:f>
        <x:v>0.1711879619489476</x:v>
      </x:c>
      <x:c r="BF151" t="n">
        <x:f>AV151/AU151-1</x:f>
        <x:v>0.18309985886192015</x:v>
      </x:c>
      <x:c r="BG151" t="n">
        <x:f>AW151/AV151-1</x:f>
        <x:v>0.1943452319753265</x:v>
      </x:c>
      <x:c r="BH151" t="n">
        <x:f>AX151/AW151-1</x:f>
        <x:v>0.1614761855802611</x:v>
      </x:c>
      <x:c r="BI151" t="n">
        <x:f>AY151/AX151-1</x:f>
        <x:v>0.12860713918519595</x:v>
      </x:c>
      <x:c r="BJ151" t="n">
        <x:f>AZ151/AY151-1</x:f>
        <x:v>0.09573809279013035</x:v>
      </x:c>
      <x:c r="BK151" t="n">
        <x:f>BA151/AZ151-1</x:f>
        <x:v>0.06286904639506519</x:v>
      </x:c>
      <x:c r="BL151" t="n">
        <x:f>BB151/BA151-1</x:f>
        <x:v>0.030000000000000027</x:v>
      </x:c>
      <x:c r="BM151" t="n">
        <x:f>AH151*(1-'Assumptions'!$F$9)*(1+'Assumptions'!$D$9)*(1-'Assumptions'!$D$9/'Assumptions'!$E$9)</x:f>
        <x:v>300.07263923819306</x:v>
      </x:c>
      <x:c r="BN151" t="n">
        <x:f>SUMPRODUCT(AI151:AR151,'NSSC Model'!$B$83:$K$83)+BM151/('Assumptions'!$C$9-'Assumptions'!$D$9)*'NSSC Model'!$K$83</x:f>
        <x:v>2742.4832665351005</x:v>
      </x:c>
      <x:c r="BO151" t="n">
        <x:f>'NSSC Model'!$B$94</x:f>
        <x:v>101.2</x:v>
      </x:c>
      <x:c r="BP151" t="n">
        <x:f>'Inputs'!$D$8</x:f>
        <x:v>35.891</x:v>
      </x:c>
    </x:row>
    <x:row r="152">
      <x:c r="A152" t="str">
        <x:v>NSSC</x:v>
      </x:c>
      <x:c r="B152" s="22" t="n">
        <x:v>0.28</x:v>
      </x:c>
      <x:c r="C152" s="42" t="n">
        <x:f>(BN152+BO152)/BP152</x:f>
        <x:v>83.5514582353572</x:v>
      </x:c>
      <x:c r="D152" s="22" t="n">
        <x:f>C152/'Inputs'!$D$5-1</x:f>
        <x:v>1.2575373746381304</x:v>
      </x:c>
      <x:c r="E152" t="n">
        <x:f>'Inputs'!$D$21*(1+$B152)^1</x:f>
        <x:v>124.83584</x:v>
      </x:c>
      <x:c r="F152" t="n">
        <x:f>'Inputs'!$D$21*(1+$B152)^2</x:f>
        <x:v>159.7898752</x:v>
      </x:c>
      <x:c r="G152" t="n">
        <x:f>'Inputs'!$D$21*(1+$B152)^3</x:f>
        <x:v>204.53104025600004</x:v>
      </x:c>
      <x:c r="H152" t="n">
        <x:f>'Inputs'!$D$21*(1+$B152)^4</x:f>
        <x:v>261.79973152768</x:v>
      </x:c>
      <x:c r="I152" t="n">
        <x:f>'Inputs'!$D$21*(1+$B152)^5</x:f>
        <x:v>335.1036563554304</x:v>
      </x:c>
      <x:c r="J152" t="n">
        <x:f>I152*(1+($BG152+('Assumptions'!$D$9-$BG152)*(6-5)/5))</x:f>
        <x:v>391.50189087911116</x:v>
      </x:c>
      <x:c r="K152" t="n">
        <x:f>J152*(1+($BG152+('Assumptions'!$D$9-$BG152)*(7-5)/5))</x:f>
        <x:v>443.85573460550637</x:v>
      </x:c>
      <x:c r="L152" t="n">
        <x:f>K152*(1+($BG152+('Assumptions'!$D$9-$BG152)*(8-5)/5))</x:f>
        <x:v>487.8642221919518</x:v>
      </x:c>
      <x:c r="M152" t="n">
        <x:f>L152*(1+($BG152+('Assumptions'!$D$9-$BG152)*(9-5)/5))</x:f>
        <x:v>519.368159583821</x:v>
      </x:c>
      <x:c r="N152" t="n">
        <x:f>M152*(1+($BG152+('Assumptions'!$D$9-$BG152)*(10-5)/5))</x:f>
        <x:v>534.9492043713357</x:v>
      </x:c>
      <x:c r="O152" t="n">
        <x:f>'NSSC Model'!$B$68</x:f>
        <x:v>106.88376</x:v>
      </x:c>
      <x:c r="P152" t="n">
        <x:f>'NSSC Model'!$C$68</x:f>
        <x:v>110.0902728</x:v>
      </x:c>
      <x:c r="Q152" t="n">
        <x:f>'NSSC Model'!$D$68</x:f>
        <x:v>113.39298098399999</x:v>
      </x:c>
      <x:c r="R152" t="n">
        <x:f>'NSSC Model'!$E$68</x:f>
        <x:v>116.79477041352</x:v>
      </x:c>
      <x:c r="S152" t="n">
        <x:f>'NSSC Model'!$F$68</x:f>
        <x:v>120.2986135259256</x:v>
      </x:c>
      <x:c r="T152" t="n">
        <x:f>S152*(1+($BG152+('Assumptions'!$D$9-$BG152)*(6-5)/5))</x:f>
        <x:v>140.54497398733642</x:v>
      </x:c>
      <x:c r="U152" t="n">
        <x:f>T152*(1+($BG152+('Assumptions'!$D$9-$BG152)*(7-5)/5))</x:f>
        <x:v>159.33944159039413</x:v>
      </x:c>
      <x:c r="V152" t="n">
        <x:f>U152*(1+($BG152+('Assumptions'!$D$9-$BG152)*(8-5)/5))</x:f>
        <x:v>175.13801597063605</x:v>
      </x:c>
      <x:c r="W152" t="n">
        <x:f>V152*(1+($BG152+('Assumptions'!$D$9-$BG152)*(9-5)/5))</x:f>
        <x:v>186.4475911333423</x:v>
      </x:c>
      <x:c r="X152" t="n">
        <x:f>W152*(1+($BG152+('Assumptions'!$D$9-$BG152)*(10-5)/5))</x:f>
        <x:v>192.0410188673426</x:v>
      </x:c>
      <x:c r="Y152" t="n">
        <x:f>E152*'NSSC Model'!$B$62+O152*'NSSC Model'!$B$63+'NSSC Model'!$B$73+'NSSC Model'!$B$74</x:f>
        <x:v>82.58540644000001</x:v>
      </x:c>
      <x:c r="Z152" t="n">
        <x:f>F152*'NSSC Model'!$C$62+P152*'NSSC Model'!$C$63+'NSSC Model'!$C$73+'NSSC Model'!$C$74</x:f>
        <x:v>112.04114495660002</x:v>
      </x:c>
      <x:c r="AA152" t="n">
        <x:f>G152*'NSSC Model'!$D$62+Q152*'NSSC Model'!$D$63+'NSSC Model'!$D$73+'NSSC Model'!$D$74</x:f>
        <x:v>150.42376496599303</x:v>
      </x:c>
      <x:c r="AB152" t="n">
        <x:f>H152*'NSSC Model'!$E$62+R152*'NSSC Model'!$E$63+'NSSC Model'!$E$73+'NSSC Model'!$E$74</x:f>
        <x:v>199.40221878575545</x:v>
      </x:c>
      <x:c r="AC152" t="n">
        <x:f>I152*'NSSC Model'!$F$62+S152*'NSSC Model'!$F$63+'NSSC Model'!$F$73+'NSSC Model'!$F$74</x:f>
        <x:v>262.684540494007</x:v>
      </x:c>
      <x:c r="AD152" t="n">
        <x:f>AX152*$AC152/$AW152</x:f>
        <x:v>306.89457532816215</x:v>
      </x:c>
      <x:c r="AE152" t="n">
        <x:f>AY152*$AC152/$AW152</x:f>
        <x:v>347.93425102712393</x:v>
      </x:c>
      <x:c r="AF152" t="n">
        <x:f>AZ152*$AC152/$AW152</x:f>
        <x:v>382.4320821317182</x:v>
      </x:c>
      <x:c r="AG152" t="n">
        <x:f>BA152*$AC152/$AW152</x:f>
        <x:v>407.1277163349975</x:v>
      </x:c>
      <x:c r="AH152" t="n">
        <x:f>BB152*$AC152/$AW152</x:f>
        <x:v>419.34154782504737</x:v>
      </x:c>
      <x:c r="AI152" t="n">
        <x:f>Y152*(1-'Assumptions'!$F$9)+AS152*'Assumptions'!$G$9-AS152*'NSSC Model'!$B$65-(AS152-'Inputs'!$D$14)*'Assumptions'!$H$9-'Assumptions'!$I$9</x:f>
        <x:v>63.85279488080002</x:v>
      </x:c>
      <x:c r="AJ152" t="n">
        <x:f>Z152*(1-'Assumptions'!$F$9)+AT152*'Assumptions'!$G$9-AT152*'NSSC Model'!$C$65-(AT152-AS152)*'Assumptions'!$H$9-0</x:f>
        <x:v>86.97816347241202</x:v>
      </x:c>
      <x:c r="AK152" t="n">
        <x:f>AA152*(1-'Assumptions'!$F$9)+AU152*'Assumptions'!$G$9-AU152*'NSSC Model'!$D$65-(AU152-AT152)*'Assumptions'!$H$9-0</x:f>
        <x:v>117.27140386315429</x:v>
      </x:c>
      <x:c r="AL152" t="n">
        <x:f>AB152*(1-'Assumptions'!$F$9)+AV152*'Assumptions'!$G$9-AV152*'NSSC Model'!$E$65-(AV152-AU152)*'Assumptions'!$H$9-0</x:f>
        <x:v>155.92839332643467</x:v>
      </x:c>
      <x:c r="AM152" t="n">
        <x:f>AC152*(1-'Assumptions'!$F$9)+AW152*'Assumptions'!$G$9-AW152*'NSSC Model'!$F$65-(AW152-AV152)*'Assumptions'!$H$9-0</x:f>
        <x:v>205.89893733154474</x:v>
      </x:c>
      <x:c r="AN152" t="n">
        <x:f>AD152*(1-'Assumptions'!$F$9)+AX152*'Assumptions'!$G$9-AX152*'NSSC Model'!$G$65-(AX152-AW152)*'Assumptions'!$H$9-0</x:f>
        <x:v>241.86090481111805</x:v>
      </x:c>
      <x:c r="AO152" t="n">
        <x:f>AE152*(1-'Assumptions'!$F$9)+AY152*'Assumptions'!$G$9-AY152*'NSSC Model'!$H$65-(AY152-AX152)*'Assumptions'!$H$9-0</x:f>
        <x:v>275.7784740045127</x:v>
      </x:c>
      <x:c r="AP152" t="n">
        <x:f>AF152*(1-'Assumptions'!$F$9)+AZ152*'Assumptions'!$G$9-AZ152*'NSSC Model'!$I$65-(AZ152-AY152)*'Assumptions'!$H$9-0</x:f>
        <x:v>304.96159219868986</x:v>
      </x:c>
      <x:c r="AQ152" t="n">
        <x:f>AG152*(1-'Assumptions'!$F$9)+BA152*'Assumptions'!$G$9-BA152*'NSSC Model'!$J$65-(BA152-AZ152)*'Assumptions'!$H$9-0</x:f>
        <x:v>326.7401131363718</x:v>
      </x:c>
      <x:c r="AR152" t="n">
        <x:f>AH152*(1-'Assumptions'!$F$9)+BB152*'Assumptions'!$G$9-BB152*'NSSC Model'!$K$65-(BB152-BA152)*'Assumptions'!$H$9-0</x:f>
        <x:v>338.8346610714327</x:v>
      </x:c>
      <x:c r="AS152" t="n">
        <x:f>E152+O152</x:f>
        <x:v>231.7196</x:v>
      </x:c>
      <x:c r="AT152" t="n">
        <x:f>F152+P152</x:f>
        <x:v>269.880148</x:v>
      </x:c>
      <x:c r="AU152" t="n">
        <x:f>G152+Q152</x:f>
        <x:v>317.92402124</x:v>
      </x:c>
      <x:c r="AV152" t="n">
        <x:f>H152+R152</x:f>
        <x:v>378.5945019412</x:v>
      </x:c>
      <x:c r="AW152" t="n">
        <x:f>I152+S152</x:f>
        <x:v>455.402269881356</x:v>
      </x:c>
      <x:c r="AX152" t="n">
        <x:f>J152+T152</x:f>
        <x:v>532.0468648664475</x:v>
      </x:c>
      <x:c r="AY152" t="n">
        <x:f>K152+U152</x:f>
        <x:v>603.1951761959006</x:v>
      </x:c>
      <x:c r="AZ152" t="n">
        <x:f>L152+V152</x:f>
        <x:v>663.0022381625879</x:v>
      </x:c>
      <x:c r="BA152" t="n">
        <x:f>M152+W152</x:f>
        <x:v>705.8157507171634</x:v>
      </x:c>
      <x:c r="BB152" t="n">
        <x:f>N152+X152</x:f>
        <x:v>726.9902232386783</x:v>
      </x:c>
      <x:c r="BC152" t="n">
        <x:f>AS152/'Inputs'!$D$14-1</x:f>
        <x:v>0.14533502046303814</x:v>
      </x:c>
      <x:c r="BD152" t="n">
        <x:f>AT152/AS152-1</x:f>
        <x:v>0.16468416137435082</x:v>
      </x:c>
      <x:c r="BE152" t="n">
        <x:f>AU152/AT152-1</x:f>
        <x:v>0.17801929336425282</x:v>
      </x:c>
      <x:c r="BF152" t="n">
        <x:f>AV152/AU152-1</x:f>
        <x:v>0.19083327036619235</x:v>
      </x:c>
      <x:c r="BG152" t="n">
        <x:f>AW152/AV152-1</x:f>
        <x:v>0.20287607861797508</x:v>
      </x:c>
      <x:c r="BH152" t="n">
        <x:f>AX152/AW152-1</x:f>
        <x:v>0.16830086289438007</x:v>
      </x:c>
      <x:c r="BI152" t="n">
        <x:f>AY152/AX152-1</x:f>
        <x:v>0.13372564717078528</x:v>
      </x:c>
      <x:c r="BJ152" t="n">
        <x:f>AZ152/AY152-1</x:f>
        <x:v>0.09915043144719005</x:v>
      </x:c>
      <x:c r="BK152" t="n">
        <x:f>BA152/AZ152-1</x:f>
        <x:v>0.06457521572359504</x:v>
      </x:c>
      <x:c r="BL152" t="n">
        <x:f>BB152/BA152-1</x:f>
        <x:v>0.030000000000000027</x:v>
      </x:c>
      <x:c r="BM152" t="n">
        <x:f>AH152*(1-'Assumptions'!$F$9)*(1+'Assumptions'!$D$9)*(1-'Assumptions'!$D$9/'Assumptions'!$E$9)</x:f>
        <x:v>318.75828416373156</x:v>
      </x:c>
      <x:c r="BN152" t="n">
        <x:f>SUMPRODUCT(AI152:AR152,'NSSC Model'!$B$83:$K$83)+BM152/('Assumptions'!$C$9-'Assumptions'!$D$9)*'NSSC Model'!$K$83</x:f>
        <x:v>2897.5453875252056</x:v>
      </x:c>
      <x:c r="BO152" t="n">
        <x:f>'NSSC Model'!$B$94</x:f>
        <x:v>101.2</x:v>
      </x:c>
      <x:c r="BP152" t="n">
        <x:f>'Inputs'!$D$8</x:f>
        <x:v>35.891</x:v>
      </x:c>
    </x:row>
    <x:row r="153">
      <x:c r="A153" t="str">
        <x:v>NSSC</x:v>
      </x:c>
      <x:c r="B153" s="22" t="n">
        <x:v>0.29</x:v>
      </x:c>
      <x:c r="C153" s="42" t="n">
        <x:f>(BN153+BO153)/BP153</x:f>
        <x:v>88.0844972668827</x:v>
      </x:c>
      <x:c r="D153" s="22" t="n">
        <x:f>C153/'Inputs'!$D$5-1</x:f>
        <x:v>1.3800188399590034</x:v>
      </x:c>
      <x:c r="E153" t="n">
        <x:f>'Inputs'!$D$21*(1+$B153)^1</x:f>
        <x:v>125.81112000000002</x:v>
      </x:c>
      <x:c r="F153" t="n">
        <x:f>'Inputs'!$D$21*(1+$B153)^2</x:f>
        <x:v>162.2963448</x:v>
      </x:c>
      <x:c r="G153" t="n">
        <x:f>'Inputs'!$D$21*(1+$B153)^3</x:f>
        <x:v>209.36228479200005</x:v>
      </x:c>
      <x:c r="H153" t="n">
        <x:f>'Inputs'!$D$21*(1+$B153)^4</x:f>
        <x:v>270.07734738168006</x:v>
      </x:c>
      <x:c r="I153" t="n">
        <x:f>'Inputs'!$D$21*(1+$B153)^5</x:f>
        <x:v>348.3997781223673</x:v>
      </x:c>
      <x:c r="J153" t="n">
        <x:f>I153*(1+($BG153+('Assumptions'!$D$9-$BG153)*(6-5)/5))</x:f>
        <x:v>409.4414515791991</x:v>
      </x:c>
      <x:c r="K153" t="n">
        <x:f>J153*(1+($BG153+('Assumptions'!$D$9-$BG153)*(7-5)/5))</x:f>
        <x:v>466.3146605079208</x:v>
      </x:c>
      <x:c r="L153" t="n">
        <x:f>K153*(1+($BG153+('Assumptions'!$D$9-$BG153)*(8-5)/5))</x:f>
        <x:v>514.1599047589568</x:v>
      </x:c>
      <x:c r="M153" t="n">
        <x:f>L153*(1+($BG153+('Assumptions'!$D$9-$BG153)*(9-5)/5))</x:f>
        <x:v>548.2494562601747</x:v>
      </x:c>
      <x:c r="N153" t="n">
        <x:f>M153*(1+($BG153+('Assumptions'!$D$9-$BG153)*(10-5)/5))</x:f>
        <x:v>564.69693994798</x:v>
      </x:c>
      <x:c r="O153" t="n">
        <x:f>'NSSC Model'!$B$68</x:f>
        <x:v>106.88376</x:v>
      </x:c>
      <x:c r="P153" t="n">
        <x:f>'NSSC Model'!$C$68</x:f>
        <x:v>110.0902728</x:v>
      </x:c>
      <x:c r="Q153" t="n">
        <x:f>'NSSC Model'!$D$68</x:f>
        <x:v>113.39298098399999</x:v>
      </x:c>
      <x:c r="R153" t="n">
        <x:f>'NSSC Model'!$E$68</x:f>
        <x:v>116.79477041352</x:v>
      </x:c>
      <x:c r="S153" t="n">
        <x:f>'NSSC Model'!$F$68</x:f>
        <x:v>120.2986135259256</x:v>
      </x:c>
      <x:c r="T153" t="n">
        <x:f>S153*(1+($BG153+('Assumptions'!$D$9-$BG153)*(6-5)/5))</x:f>
        <x:v>141.3756323568045</x:v>
      </x:c>
      <x:c r="U153" t="n">
        <x:f>T153*(1+($BG153+('Assumptions'!$D$9-$BG153)*(7-5)/5))</x:f>
        <x:v>161.01332620887263</x:v>
      </x:c>
      <x:c r="V153" t="n">
        <x:f>U153*(1+($BG153+('Assumptions'!$D$9-$BG153)*(8-5)/5))</x:f>
        <x:v>177.53376309958537</x:v>
      </x:c>
      <x:c r="W153" t="n">
        <x:f>V153*(1+($BG153+('Assumptions'!$D$9-$BG153)*(9-5)/5))</x:f>
        <x:v>189.30451049620626</x:v>
      </x:c>
      <x:c r="X153" t="n">
        <x:f>W153*(1+($BG153+('Assumptions'!$D$9-$BG153)*(10-5)/5))</x:f>
        <x:v>194.98364581109246</x:v>
      </x:c>
      <x:c r="Y153" t="n">
        <x:f>E153*'NSSC Model'!$B$62+O153*'NSSC Model'!$B$63+'NSSC Model'!$B$73+'NSSC Model'!$B$74</x:f>
        <x:v>83.46608428000002</x:v>
      </x:c>
      <x:c r="Z153" t="n">
        <x:f>F153*'NSSC Model'!$C$62+P153*'NSSC Model'!$C$63+'NSSC Model'!$C$73+'NSSC Model'!$C$74</x:f>
        <x:v>114.3044870054</x:v>
      </x:c>
      <x:c r="AA153" t="n">
        <x:f>G153*'NSSC Model'!$D$62+Q153*'NSSC Model'!$D$63+'NSSC Model'!$D$73+'NSSC Model'!$D$74</x:f>
        <x:v>154.78637878200107</x:v>
      </x:c>
      <x:c r="AB153" t="n">
        <x:f>H153*'NSSC Model'!$E$62+R153*'NSSC Model'!$E$63+'NSSC Model'!$E$73+'NSSC Model'!$E$74</x:f>
        <x:v>206.8769059019175</x:v>
      </x:c>
      <x:c r="AC153" t="n">
        <x:f>I153*'NSSC Model'!$F$62+S153*'NSSC Model'!$F$63+'NSSC Model'!$F$73+'NSSC Model'!$F$74</x:f>
        <x:v>274.690938449551</x:v>
      </x:c>
      <x:c r="AD153" t="n">
        <x:f>AX153*$AC153/$AW153</x:f>
        <x:v>322.8183932279492</x:v>
      </x:c>
      <x:c r="AE153" t="n">
        <x:f>AY153*$AC153/$AW153</x:f>
        <x:v>367.65928037622086</x:v>
      </x:c>
      <x:c r="AF153" t="n">
        <x:f>AZ153*$AC153/$AW153</x:f>
        <x:v>405.3821948812037</x:v>
      </x:c>
      <x:c r="AG153" t="n">
        <x:f>BA153*$AC153/$AW153</x:f>
        <x:v>432.25962558354166</x:v>
      </x:c>
      <x:c r="AH153" t="n">
        <x:f>BB153*$AC153/$AW153</x:f>
        <x:v>445.22741435104797</x:v>
      </x:c>
      <x:c r="AI153" t="n">
        <x:f>Y153*(1-'Assumptions'!$F$9)+AS153*'Assumptions'!$G$9-AS153*'NSSC Model'!$B$65-(AS153-'Inputs'!$D$14)*'Assumptions'!$H$9-'Assumptions'!$I$9</x:f>
        <x:v>64.47352158960003</x:v>
      </x:c>
      <x:c r="AJ153" t="n">
        <x:f>Z153*(1-'Assumptions'!$F$9)+AT153*'Assumptions'!$G$9-AT153*'NSSC Model'!$C$65-(AT153-AS153)*'Assumptions'!$H$9-0</x:f>
        <x:v>88.67095911402801</x:v>
      </x:c>
      <x:c r="AK153" t="n">
        <x:f>AA153*(1-'Assumptions'!$F$9)+AU153*'Assumptions'!$G$9-AU153*'NSSC Model'!$D$65-(AU153-AT153)*'Assumptions'!$H$9-0</x:f>
        <x:v>120.59694472053688</x:v>
      </x:c>
      <x:c r="AL153" t="n">
        <x:f>AB153*(1-'Assumptions'!$F$9)+AV153*'Assumptions'!$G$9-AV153*'NSSC Model'!$E$65-(AV153-AU153)*'Assumptions'!$H$9-0</x:f>
        <x:v>161.67988916647155</x:v>
      </x:c>
      <x:c r="AM153" t="n">
        <x:f>AC153*(1-'Assumptions'!$F$9)+AW153*'Assumptions'!$G$9-AW153*'NSSC Model'!$F$65-(AW153-AV153)*'Assumptions'!$H$9-0</x:f>
        <x:v>215.1891485767294</x:v>
      </x:c>
      <x:c r="AN153" t="n">
        <x:f>AD153*(1-'Assumptions'!$F$9)+AX153*'Assumptions'!$G$9-AX153*'NSSC Model'!$G$65-(AX153-AW153)*'Assumptions'!$H$9-0</x:f>
        <x:v>254.2959448824033</x:v>
      </x:c>
      <x:c r="AO153" t="n">
        <x:f>AE153*(1-'Assumptions'!$F$9)+AY153*'Assumptions'!$G$9-AY153*'NSSC Model'!$H$65-(AY153-AX153)*'Assumptions'!$H$9-0</x:f>
        <x:v>291.320207683555</x:v>
      </x:c>
      <x:c r="AP153" t="n">
        <x:f>AF153*(1-'Assumptions'!$F$9)+AZ153*'Assumptions'!$G$9-AZ153*'NSSC Model'!$I$65-(AZ153-AY153)*'Assumptions'!$H$9-0</x:f>
        <x:v>323.21005701697806</x:v>
      </x:c>
      <x:c r="AQ153" t="n">
        <x:f>AG153*(1-'Assumptions'!$F$9)+BA153*'Assumptions'!$G$9-BA153*'NSSC Model'!$J$65-(BA153-AZ153)*'Assumptions'!$H$9-0</x:f>
        <x:v>346.91664722169475</x:v>
      </x:c>
      <x:c r="AR153" t="n">
        <x:f>AH153*(1-'Assumptions'!$F$9)+BB153*'Assumptions'!$G$9-BB153*'NSSC Model'!$K$65-(BB153-BA153)*'Assumptions'!$H$9-0</x:f>
        <x:v>359.83509552455394</x:v>
      </x:c>
      <x:c r="AS153" t="n">
        <x:f>E153+O153</x:f>
        <x:v>232.69488</x:v>
      </x:c>
      <x:c r="AT153" t="n">
        <x:f>F153+P153</x:f>
        <x:v>272.3866176</x:v>
      </x:c>
      <x:c r="AU153" t="n">
        <x:f>G153+Q153</x:f>
        <x:v>322.75526577600004</x:v>
      </x:c>
      <x:c r="AV153" t="n">
        <x:f>H153+R153</x:f>
        <x:v>386.87211779520004</x:v>
      </x:c>
      <x:c r="AW153" t="n">
        <x:f>I153+S153</x:f>
        <x:v>468.6983916482929</x:v>
      </x:c>
      <x:c r="AX153" t="n">
        <x:f>J153+T153</x:f>
        <x:v>550.8170839360037</x:v>
      </x:c>
      <x:c r="AY153" t="n">
        <x:f>K153+U153</x:f>
        <x:v>627.3279867167935</x:v>
      </x:c>
      <x:c r="AZ153" t="n">
        <x:f>L153+V153</x:f>
        <x:v>691.6936678585422</x:v>
      </x:c>
      <x:c r="BA153" t="n">
        <x:f>M153+W153</x:f>
        <x:v>737.553966756381</x:v>
      </x:c>
      <x:c r="BB153" t="n">
        <x:f>N153+X153</x:f>
        <x:v>759.6805857590725</x:v>
      </x:c>
      <x:c r="BC153" t="n">
        <x:f>AS153/'Inputs'!$D$14-1</x:f>
        <x:v>0.15015559817315483</x:v>
      </x:c>
      <x:c r="BD153" t="n">
        <x:f>AT153/AS153-1</x:f>
        <x:v>0.1705741767932325</x:v>
      </x:c>
      <x:c r="BE153" t="n">
        <x:f>AU153/AT153-1</x:f>
        <x:v>0.1849160161383787</x:v>
      </x:c>
      <x:c r="BF153" t="n">
        <x:f>AV153/AU153-1</x:f>
        <x:v>0.1986547047188958</x:v>
      </x:c>
      <x:c r="BG153" t="n">
        <x:f>AW153/AV153-1</x:f>
        <x:v>0.21150729165860827</x:v>
      </x:c>
      <x:c r="BH153" t="n">
        <x:f>AX153/AW153-1</x:f>
        <x:v>0.17520583332688688</x:v>
      </x:c>
      <x:c r="BI153" t="n">
        <x:f>AY153/AX153-1</x:f>
        <x:v>0.13890437499516484</x:v>
      </x:c>
      <x:c r="BJ153" t="n">
        <x:f>AZ153/AY153-1</x:f>
        <x:v>0.10260291666344323</x:v>
      </x:c>
      <x:c r="BK153" t="n">
        <x:f>BA153/AZ153-1</x:f>
        <x:v>0.06630145833172163</x:v>
      </x:c>
      <x:c r="BL153" t="n">
        <x:f>BB153/BA153-1</x:f>
        <x:v>0.03000000000000025</x:v>
      </x:c>
      <x:c r="BM153" t="n">
        <x:f>AH153*(1-'Assumptions'!$F$9)*(1+'Assumptions'!$D$9)*(1-'Assumptions'!$D$9/'Assumptions'!$E$9)</x:f>
        <x:v>338.43516674480566</x:v>
      </x:c>
      <x:c r="BN153" t="n">
        <x:f>SUMPRODUCT(AI153:AR153,'NSSC Model'!$B$83:$K$83)+BM153/('Assumptions'!$C$9-'Assumptions'!$D$9)*'NSSC Model'!$K$83</x:f>
        <x:v>3060.2406914056874</x:v>
      </x:c>
      <x:c r="BO153" t="n">
        <x:f>'NSSC Model'!$B$94</x:f>
        <x:v>101.2</x:v>
      </x:c>
      <x:c r="BP153" t="n">
        <x:f>'Inputs'!$D$8</x:f>
        <x:v>35.891</x:v>
      </x:c>
    </x:row>
    <x:row r="154">
      <x:c r="A154" t="str">
        <x:v>NSSC</x:v>
      </x:c>
      <x:c r="B154" s="22" t="n">
        <x:v>0.3</x:v>
      </x:c>
      <x:c r="C154" s="42" t="n">
        <x:f>(BN154+BO154)/BP154</x:f>
        <x:v>92.83969857210198</x:v>
      </x:c>
      <x:c r="D154" s="22" t="n">
        <x:f>C154/'Inputs'!$D$5-1</x:f>
        <x:v>1.508503068686895</x:v>
      </x:c>
      <x:c r="E154" t="n">
        <x:f>'Inputs'!$D$21*(1+$B154)^1</x:f>
        <x:v>126.78640000000001</x:v>
      </x:c>
      <x:c r="F154" t="n">
        <x:f>'Inputs'!$D$21*(1+$B154)^2</x:f>
        <x:v>164.82232000000002</x:v>
      </x:c>
      <x:c r="G154" t="n">
        <x:f>'Inputs'!$D$21*(1+$B154)^3</x:f>
        <x:v>214.26901600000005</x:v>
      </x:c>
      <x:c r="H154" t="n">
        <x:f>'Inputs'!$D$21*(1+$B154)^4</x:f>
        <x:v>278.54972080000005</x:v>
      </x:c>
      <x:c r="I154" t="n">
        <x:f>'Inputs'!$D$21*(1+$B154)^5</x:f>
        <x:v>362.1146370400001</x:v>
      </x:c>
      <x:c r="J154" t="n">
        <x:f>I154*(1+($BG154+('Assumptions'!$D$9-$BG154)*(6-5)/5))</x:f>
        <x:v>428.08762640409964</x:v>
      </x:c>
      <x:c r="K154" t="n">
        <x:f>J154*(1+($BG154+('Assumptions'!$D$9-$BG154)*(7-5)/5))</x:f>
        <x:v>489.79264740605856</x:v>
      </x:c>
      <x:c r="L154" t="n">
        <x:f>K154*(1+($BG154+('Assumptions'!$D$9-$BG154)*(8-5)/5))</x:f>
        <x:v>541.7567409149134</x:v>
      </x:c>
      <x:c r="M154" t="n">
        <x:f>L154*(1+($BG154+('Assumptions'!$D$9-$BG154)*(9-5)/5))</x:f>
        <x:v>578.6216797688242</x:v>
      </x:c>
      <x:c r="N154" t="n">
        <x:f>M154*(1+($BG154+('Assumptions'!$D$9-$BG154)*(10-5)/5))</x:f>
        <x:v>595.9803301618889</x:v>
      </x:c>
      <x:c r="O154" t="n">
        <x:f>'NSSC Model'!$B$68</x:f>
        <x:v>106.88376</x:v>
      </x:c>
      <x:c r="P154" t="n">
        <x:f>'NSSC Model'!$C$68</x:f>
        <x:v>110.0902728</x:v>
      </x:c>
      <x:c r="Q154" t="n">
        <x:f>'NSSC Model'!$D$68</x:f>
        <x:v>113.39298098399999</x:v>
      </x:c>
      <x:c r="R154" t="n">
        <x:f>'NSSC Model'!$E$68</x:f>
        <x:v>116.79477041352</x:v>
      </x:c>
      <x:c r="S154" t="n">
        <x:f>'NSSC Model'!$F$68</x:f>
        <x:v>120.2986135259256</x:v>
      </x:c>
      <x:c r="T154" t="n">
        <x:f>S154*(1+($BG154+('Assumptions'!$D$9-$BG154)*(6-5)/5))</x:f>
        <x:v>142.21559323029786</x:v>
      </x:c>
      <x:c r="U154" t="n">
        <x:f>T154*(1+($BG154+('Assumptions'!$D$9-$BG154)*(7-5)/5))</x:f>
        <x:v>162.71470515463525</x:v>
      </x:c>
      <x:c r="V154" t="n">
        <x:f>U154*(1+($BG154+('Assumptions'!$D$9-$BG154)*(8-5)/5))</x:f>
        <x:v>179.977769838641</x:v>
      </x:c>
      <x:c r="W154" t="n">
        <x:f>V154*(1+($BG154+('Assumptions'!$D$9-$BG154)*(9-5)/5))</x:f>
        <x:v>192.22472309105427</x:v>
      </x:c>
      <x:c r="X154" t="n">
        <x:f>W154*(1+($BG154+('Assumptions'!$D$9-$BG154)*(10-5)/5))</x:f>
        <x:v>197.99146478378591</x:v>
      </x:c>
      <x:c r="Y154" t="n">
        <x:f>E154*'NSSC Model'!$B$62+O154*'NSSC Model'!$B$63+'NSSC Model'!$B$73+'NSSC Model'!$B$74</x:f>
        <x:v>84.34676212000002</x:v>
      </x:c>
      <x:c r="Z154" t="n">
        <x:f>F154*'NSSC Model'!$C$62+P154*'NSSC Model'!$C$63+'NSSC Model'!$C$73+'NSSC Model'!$C$74</x:f>
        <x:v>116.58544261100002</x:v>
      </x:c>
      <x:c r="AA154" t="n">
        <x:f>G154*'NSSC Model'!$D$62+Q154*'NSSC Model'!$D$63+'NSSC Model'!$D$73+'NSSC Model'!$D$74</x:f>
        <x:v>159.21715706282504</x:v>
      </x:c>
      <x:c r="AB154" t="n">
        <x:f>H154*'NSSC Model'!$E$62+R154*'NSSC Model'!$E$63+'NSSC Model'!$E$73+'NSSC Model'!$E$74</x:f>
        <x:v>214.52745909866042</x:v>
      </x:c>
      <x:c r="AC154" t="n">
        <x:f>I154*'NSSC Model'!$F$62+S154*'NSSC Model'!$F$63+'NSSC Model'!$F$73+'NSSC Model'!$F$74</x:f>
        <x:v>287.0754560521734</x:v>
      </x:c>
      <x:c r="AD154" t="n">
        <x:f>AX154*$AC154/$AW154</x:f>
        <x:v>339.3771971903865</x:v>
      </x:c>
      <x:c r="AE154" t="n">
        <x:f>AY154*$AC154/$AW154</x:f>
        <x:v>388.2953994195042</x:v>
      </x:c>
      <x:c r="AF154" t="n">
        <x:f>AZ154*$AC154/$AW154</x:f>
        <x:v>429.49123719157535</x:v>
      </x:c>
      <x:c r="AG154" t="n">
        <x:f>BA154*$AC154/$AW154</x:f>
        <x:v>458.716841603288</x:v>
      </x:c>
      <x:c r="AH154" t="n">
        <x:f>BB154*$AC154/$AW154</x:f>
        <x:v>472.4783468513866</x:v>
      </x:c>
      <x:c r="AI154" t="n">
        <x:f>Y154*(1-'Assumptions'!$F$9)+AS154*'Assumptions'!$G$9-AS154*'NSSC Model'!$B$65-(AS154-'Inputs'!$D$14)*'Assumptions'!$H$9-'Assumptions'!$I$9</x:f>
        <x:v>65.09424829840002</x:v>
      </x:c>
      <x:c r="AJ154" t="n">
        <x:f>Z154*(1-'Assumptions'!$F$9)+AT154*'Assumptions'!$G$9-AT154*'NSSC Model'!$C$65-(AT154-AS154)*'Assumptions'!$H$9-0</x:f>
        <x:v>90.37616928982003</x:v>
      </x:c>
      <x:c r="AK154" t="n">
        <x:f>AA154*(1-'Assumptions'!$F$9)+AU154*'Assumptions'!$G$9-AU154*'NSSC Model'!$D$65-(AU154-AT154)*'Assumptions'!$H$9-0</x:f>
        <x:v>123.97248038518055</x:v>
      </x:c>
      <x:c r="AL154" t="n">
        <x:f>AB154*(1-'Assumptions'!$F$9)+AV154*'Assumptions'!$G$9-AV154*'NSSC Model'!$E$65-(AV154-AU154)*'Assumptions'!$H$9-0</x:f>
        <x:v>167.56288907309545</x:v>
      </x:c>
      <x:c r="AM154" t="n">
        <x:f>AC154*(1-'Assumptions'!$F$9)+AW154*'Assumptions'!$G$9-AW154*'NSSC Model'!$F$65-(AW154-AV154)*'Assumptions'!$H$9-0</x:f>
        <x:v>224.76534502527795</x:v>
      </x:c>
      <x:c r="AN154" t="n">
        <x:f>AD154*(1-'Assumptions'!$F$9)+AX154*'Assumptions'!$G$9-AX154*'NSSC Model'!$G$65-(AX154-AW154)*'Assumptions'!$H$9-0</x:f>
        <x:v>267.2190919107322</x:v>
      </x:c>
      <x:c r="AO154" t="n">
        <x:f>AE154*(1-'Assumptions'!$F$9)+AY154*'Assumptions'!$G$9-AY154*'NSSC Model'!$H$65-(AY154-AX154)*'Assumptions'!$H$9-0</x:f>
        <x:v>307.57178482112107</x:v>
      </x:c>
      <x:c r="AP154" t="n">
        <x:f>AF154*(1-'Assumptions'!$F$9)+AZ154*'Assumptions'!$G$9-AZ154*'NSSC Model'!$I$65-(AZ154-AY154)*'Assumptions'!$H$9-0</x:f>
        <x:v>342.3731606347916</x:v>
      </x:c>
      <x:c r="AQ154" t="n">
        <x:f>AG154*(1-'Assumptions'!$F$9)+BA154*'Assumptions'!$G$9-BA154*'NSSC Model'!$J$65-(BA154-AZ154)*'Assumptions'!$H$9-0</x:f>
        <x:v>368.1532352926243</x:v>
      </x:c>
      <x:c r="AR154" t="n">
        <x:f>AH154*(1-'Assumptions'!$F$9)+BB154*'Assumptions'!$G$9-BB154*'NSSC Model'!$K$65-(BB154-BA154)*'Assumptions'!$H$9-0</x:f>
        <x:v>381.9438180297747</x:v>
      </x:c>
      <x:c r="AS154" t="n">
        <x:f>E154+O154</x:f>
        <x:v>233.67016</x:v>
      </x:c>
      <x:c r="AT154" t="n">
        <x:f>F154+P154</x:f>
        <x:v>274.9125928</x:v>
      </x:c>
      <x:c r="AU154" t="n">
        <x:f>G154+Q154</x:f>
        <x:v>327.66199698400004</x:v>
      </x:c>
      <x:c r="AV154" t="n">
        <x:f>H154+R154</x:f>
        <x:v>395.34449121352003</x:v>
      </x:c>
      <x:c r="AW154" t="n">
        <x:f>I154+S154</x:f>
        <x:v>482.4132505659257</x:v>
      </x:c>
      <x:c r="AX154" t="n">
        <x:f>J154+T154</x:f>
        <x:v>570.3032196343975</x:v>
      </x:c>
      <x:c r="AY154" t="n">
        <x:f>K154+U154</x:f>
        <x:v>652.5073525606938</x:v>
      </x:c>
      <x:c r="AZ154" t="n">
        <x:f>L154+V154</x:f>
        <x:v>721.7345107535543</x:v>
      </x:c>
      <x:c r="BA154" t="n">
        <x:f>M154+W154</x:f>
        <x:v>770.8464028598785</x:v>
      </x:c>
      <x:c r="BB154" t="n">
        <x:f>N154+X154</x:f>
        <x:v>793.9717949456748</x:v>
      </x:c>
      <x:c r="BC154" t="n">
        <x:f>AS154/'Inputs'!$D$14-1</x:f>
        <x:v>0.15497617588327173</x:v>
      </x:c>
      <x:c r="BD154" t="n">
        <x:f>AT154/AS154-1</x:f>
        <x:v>0.176498500279197</x:v>
      </x:c>
      <x:c r="BE154" t="n">
        <x:f>AU154/AT154-1</x:f>
        <x:v>0.19187700223821835</x:v>
      </x:c>
      <x:c r="BF154" t="n">
        <x:f>AV154/AU154-1</x:f>
        <x:v>0.20656192922130345</x:v>
      </x:c>
      <x:c r="BG154" t="n">
        <x:f>AW154/AV154-1</x:f>
        <x:v>0.22023516524827724</x:v>
      </x:c>
      <x:c r="BH154" t="n">
        <x:f>AX154/AW154-1</x:f>
        <x:v>0.18218813219862184</x:v>
      </x:c>
      <x:c r="BI154" t="n">
        <x:f>AY154/AX154-1</x:f>
        <x:v>0.14414109914896622</x:v>
      </x:c>
      <x:c r="BJ154" t="n">
        <x:f>AZ154/AY154-1</x:f>
        <x:v>0.10609406609931082</x:v>
      </x:c>
      <x:c r="BK154" t="n">
        <x:f>BA154/AZ154-1</x:f>
        <x:v>0.06804703304965565</x:v>
      </x:c>
      <x:c r="BL154" t="n">
        <x:f>BB154/BA154-1</x:f>
        <x:v>0.030000000000000027</x:v>
      </x:c>
      <x:c r="BM154" t="n">
        <x:f>AH154*(1-'Assumptions'!$F$9)*(1+'Assumptions'!$D$9)*(1-'Assumptions'!$D$9/'Assumptions'!$E$9)</x:f>
        <x:v>359.1496905756131</x:v>
      </x:c>
      <x:c r="BN154" t="n">
        <x:f>SUMPRODUCT(AI154:AR154,'NSSC Model'!$B$83:$K$83)+BM154/('Assumptions'!$C$9-'Assumptions'!$D$9)*'NSSC Model'!$K$83</x:f>
        <x:v>3230.909621451312</x:v>
      </x:c>
      <x:c r="BO154" t="n">
        <x:f>'NSSC Model'!$B$94</x:f>
        <x:v>101.2</x:v>
      </x:c>
      <x:c r="BP154" t="n">
        <x:f>'Inputs'!$D$8</x:f>
        <x:v>35.891</x:v>
      </x:c>
    </x:row>
    <x:row r="155">
      <x:c r="A155" t="str">
        <x:v>NSSC</x:v>
      </x:c>
      <x:c r="B155" s="22" t="n">
        <x:v>0.31</x:v>
      </x:c>
      <x:c r="C155" s="42" t="n">
        <x:f>(BN155+BO155)/BP155</x:f>
        <x:v>97.82689580406317</x:v>
      </x:c>
      <x:c r="D155" s="22" t="n">
        <x:f>C155/'Inputs'!$D$5-1</x:f>
        <x:v>1.6432557634170002</x:v>
      </x:c>
      <x:c r="E155" t="n">
        <x:f>'Inputs'!$D$21*(1+$B155)^1</x:f>
        <x:v>127.76168000000001</x:v>
      </x:c>
      <x:c r="F155" t="n">
        <x:f>'Inputs'!$D$21*(1+$B155)^2</x:f>
        <x:v>167.36780080000003</x:v>
      </x:c>
      <x:c r="G155" t="n">
        <x:f>'Inputs'!$D$21*(1+$B155)^3</x:f>
        <x:v>219.25181904800007</x:v>
      </x:c>
      <x:c r="H155" t="n">
        <x:f>'Inputs'!$D$21*(1+$B155)^4</x:f>
        <x:v>287.2198829528801</x:v>
      </x:c>
      <x:c r="I155" t="n">
        <x:f>'Inputs'!$D$21*(1+$B155)^5</x:f>
        <x:v>376.2580466682729</x:v>
      </x:c>
      <x:c r="J155" t="n">
        <x:f>I155*(1+($BG155+('Assumptions'!$D$9-$BG155)*(6-5)/5))</x:f>
        <x:v>447.46294511721123</x:v>
      </x:c>
      <x:c r="K155" t="n">
        <x:f>J155*(1+($BG155+('Assumptions'!$D$9-$BG155)*(7-5)/5))</x:f>
        <x:v>514.3289614070328</x:v>
      </x:c>
      <x:c r="L155" t="n">
        <x:f>K155*(1+($BG155+('Assumptions'!$D$9-$BG155)*(8-5)/5))</x:f>
        <x:v>570.7109499823634</x:v>
      </x:c>
      <x:c r="M155" t="n">
        <x:f>L155*(1+($BG155+('Assumptions'!$D$9-$BG155)*(9-5)/5))</x:f>
        <x:v>610.552973708429</x:v>
      </x:c>
      <x:c r="N155" t="n">
        <x:f>M155*(1+($BG155+('Assumptions'!$D$9-$BG155)*(10-5)/5))</x:f>
        <x:v>628.8695629196819</x:v>
      </x:c>
      <x:c r="O155" t="n">
        <x:f>'NSSC Model'!$B$68</x:f>
        <x:v>106.88376</x:v>
      </x:c>
      <x:c r="P155" t="n">
        <x:f>'NSSC Model'!$C$68</x:f>
        <x:v>110.0902728</x:v>
      </x:c>
      <x:c r="Q155" t="n">
        <x:f>'NSSC Model'!$D$68</x:f>
        <x:v>113.39298098399999</x:v>
      </x:c>
      <x:c r="R155" t="n">
        <x:f>'NSSC Model'!$E$68</x:f>
        <x:v>116.79477041352</x:v>
      </x:c>
      <x:c r="S155" t="n">
        <x:f>'NSSC Model'!$F$68</x:f>
        <x:v>120.2986135259256</x:v>
      </x:c>
      <x:c r="T155" t="n">
        <x:f>S155*(1+($BG155+('Assumptions'!$D$9-$BG155)*(6-5)/5))</x:f>
        <x:v>143.0645068683042</x:v>
      </x:c>
      <x:c r="U155" t="n">
        <x:f>T155*(1+($BG155+('Assumptions'!$D$9-$BG155)*(7-5)/5))</x:f>
        <x:v>164.44315676800815</x:v>
      </x:c>
      <x:c r="V155" t="n">
        <x:f>U155*(1+($BG155+('Assumptions'!$D$9-$BG155)*(8-5)/5))</x:f>
        <x:v>182.46981457242393</x:v>
      </x:c>
      <x:c r="W155" t="n">
        <x:f>V155*(1+($BG155+('Assumptions'!$D$9-$BG155)*(9-5)/5))</x:f>
        <x:v>195.20825367493276</x:v>
      </x:c>
      <x:c r="X155" t="n">
        <x:f>W155*(1+($BG155+('Assumptions'!$D$9-$BG155)*(10-5)/5))</x:f>
        <x:v>201.06450128518074</x:v>
      </x:c>
      <x:c r="Y155" t="n">
        <x:f>E155*'NSSC Model'!$B$62+O155*'NSSC Model'!$B$63+'NSSC Model'!$B$73+'NSSC Model'!$B$74</x:f>
        <x:v>85.22743996</x:v>
      </x:c>
      <x:c r="Z155" t="n">
        <x:f>F155*'NSSC Model'!$C$62+P155*'NSSC Model'!$C$63+'NSSC Model'!$C$73+'NSSC Model'!$C$74</x:f>
        <x:v>118.88401177340003</x:v>
      </x:c>
      <x:c r="AA155" t="n">
        <x:f>G155*'NSSC Model'!$D$62+Q155*'NSSC Model'!$D$63+'NSSC Model'!$D$73+'NSSC Model'!$D$74</x:f>
        <x:v>163.71662821516907</x:v>
      </x:c>
      <x:c r="AB155" t="n">
        <x:f>H155*'NSSC Model'!$E$62+R155*'NSSC Model'!$E$63+'NSSC Model'!$E$73+'NSSC Model'!$E$74</x:f>
        <x:v>222.35661552271108</x:v>
      </x:c>
      <x:c r="AC155" t="n">
        <x:f>I155*'NSSC Model'!$F$62+S155*'NSSC Model'!$F$63+'NSSC Model'!$F$73+'NSSC Model'!$F$74</x:f>
        <x:v>299.8469549465038</x:v>
      </x:c>
      <x:c r="AD155" t="n">
        <x:f>AX155*$AC155/$AW155</x:f>
        <x:v>356.59144763243125</x:v>
      </x:c>
      <x:c r="AE155" t="n">
        <x:f>AY155*$AC155/$AW155</x:f>
        <x:v>409.87820535480625</x:v>
      </x:c>
      <x:c r="AF155" t="n">
        <x:f>AZ155*$AC155/$AW155</x:f>
        <x:v>454.81004864119467</x:v>
      </x:c>
      <x:c r="AG155" t="n">
        <x:f>BA155*$AC155/$AW155</x:f>
        <x:v>486.56088984964794</x:v>
      </x:c>
      <x:c r="AH155" t="n">
        <x:f>BB155*$AC155/$AW155</x:f>
        <x:v>501.15771654513736</x:v>
      </x:c>
      <x:c r="AI155" t="n">
        <x:f>Y155*(1-'Assumptions'!$F$9)+AS155*'Assumptions'!$G$9-AS155*'NSSC Model'!$B$65-(AS155-'Inputs'!$D$14)*'Assumptions'!$H$9-'Assumptions'!$I$9</x:f>
        <x:v>65.7149750072</x:v>
      </x:c>
      <x:c r="AJ155" t="n">
        <x:f>Z155*(1-'Assumptions'!$F$9)+AT155*'Assumptions'!$G$9-AT155*'NSSC Model'!$C$65-(AT155-AS155)*'Assumptions'!$H$9-0</x:f>
        <x:v>92.09379399978805</x:v>
      </x:c>
      <x:c r="AK155" t="n">
        <x:f>AA155*(1-'Assumptions'!$F$9)+AU155*'Assumptions'!$G$9-AU155*'NSSC Model'!$D$65-(AU155-AT155)*'Assumptions'!$H$9-0</x:f>
        <x:v>127.39838329311064</x:v>
      </x:c>
      <x:c r="AL155" t="n">
        <x:f>AB155*(1-'Assumptions'!$F$9)+AV155*'Assumptions'!$G$9-AV155*'NSSC Model'!$E$65-(AV155-AU155)*'Assumptions'!$H$9-0</x:f>
        <x:v>173.57938078171748</x:v>
      </x:c>
      <x:c r="AM155" t="n">
        <x:f>AC155*(1-'Assumptions'!$F$9)+AW155*'Assumptions'!$G$9-AW155*'NSSC Model'!$F$65-(AW155-AV155)*'Assumptions'!$H$9-0</x:f>
        <x:v>234.6340757325765</x:v>
      </x:c>
      <x:c r="AN155" t="n">
        <x:f>AD155*(1-'Assumptions'!$F$9)+AX155*'Assumptions'!$G$9-AX155*'NSSC Model'!$G$65-(AX155-AW155)*'Assumptions'!$H$9-0</x:f>
        <x:v>280.64579807151983</x:v>
      </x:c>
      <x:c r="AO155" t="n">
        <x:f>AE155*(1-'Assumptions'!$F$9)+AY155*'Assumptions'!$G$9-AY155*'NSSC Model'!$H$65-(AY155-AX155)*'Assumptions'!$H$9-0</x:f>
        <x:v>324.5605732992884</x:v>
      </x:c>
      <x:c r="AP155" t="n">
        <x:f>AF155*(1-'Assumptions'!$F$9)+AZ155*'Assumptions'!$G$9-AZ155*'NSSC Model'!$I$65-(AZ155-AY155)*'Assumptions'!$H$9-0</x:f>
        <x:v>362.49065218958583</x:v>
      </x:c>
      <x:c r="AQ155" t="n">
        <x:f>AG155*(1-'Assumptions'!$F$9)+BA155*'Assumptions'!$G$9-BA155*'NSSC Model'!$J$65-(BA155-AZ155)*'Assumptions'!$H$9-0</x:f>
        <x:v>390.49883848432046</x:v>
      </x:c>
      <x:c r="AR155" t="n">
        <x:f>AH155*(1-'Assumptions'!$F$9)+BB155*'Assumptions'!$G$9-BB155*'NSSC Model'!$K$65-(BB155-BA155)*'Assumptions'!$H$9-0</x:f>
        <x:v>405.21230762804316</x:v>
      </x:c>
      <x:c r="AS155" t="n">
        <x:f>E155+O155</x:f>
        <x:v>234.64544</x:v>
      </x:c>
      <x:c r="AT155" t="n">
        <x:f>F155+P155</x:f>
        <x:v>277.45807360000003</x:v>
      </x:c>
      <x:c r="AU155" t="n">
        <x:f>G155+Q155</x:f>
        <x:v>332.64480003200003</x:v>
      </x:c>
      <x:c r="AV155" t="n">
        <x:f>H155+R155</x:f>
        <x:v>404.01465336640007</x:v>
      </x:c>
      <x:c r="AW155" t="n">
        <x:f>I155+S155</x:f>
        <x:v>496.5566601941985</x:v>
      </x:c>
      <x:c r="AX155" t="n">
        <x:f>J155+T155</x:f>
        <x:v>590.5274519855154</x:v>
      </x:c>
      <x:c r="AY155" t="n">
        <x:f>K155+U155</x:f>
        <x:v>678.772118175041</x:v>
      </x:c>
      <x:c r="AZ155" t="n">
        <x:f>L155+V155</x:f>
        <x:v>753.1807645547874</x:v>
      </x:c>
      <x:c r="BA155" t="n">
        <x:f>M155+W155</x:f>
        <x:v>805.7612273833618</x:v>
      </x:c>
      <x:c r="BB155" t="n">
        <x:f>N155+X155</x:f>
        <x:v>829.9340642048627</x:v>
      </x:c>
      <x:c r="BC155" t="n">
        <x:f>AS155/'Inputs'!$D$14-1</x:f>
        <x:v>0.15979675359338863</x:v>
      </x:c>
      <x:c r="BD155" t="n">
        <x:f>AT155/AS155-1</x:f>
        <x:v>0.182456704038229</x:v>
      </x:c>
      <x:c r="BE155" t="n">
        <x:f>AU155/AT155-1</x:f>
        <x:v>0.1989011374437799</x:v>
      </x:c>
      <x:c r="BF155" t="n">
        <x:f>AV155/AU155-1</x:f>
        <x:v>0.21455274012260017</x:v>
      </x:c>
      <x:c r="BG155" t="n">
        <x:f>AW155/AV155-1</x:f>
        <x:v>0.22905606531026557</x:v>
      </x:c>
      <x:c r="BH155" t="n">
        <x:f>AX155/AW155-1</x:f>
        <x:v>0.18924485224821241</x:v>
      </x:c>
      <x:c r="BI155" t="n">
        <x:f>AY155/AX155-1</x:f>
        <x:v>0.14943363918615926</x:v>
      </x:c>
      <x:c r="BJ155" t="n">
        <x:f>AZ155/AY155-1</x:f>
        <x:v>0.10962242612410611</x:v>
      </x:c>
      <x:c r="BK155" t="n">
        <x:f>BA155/AZ155-1</x:f>
        <x:v>0.06981121306205318</x:v>
      </x:c>
      <x:c r="BL155" t="n">
        <x:f>BB155/BA155-1</x:f>
        <x:v>0.030000000000000027</x:v>
      </x:c>
      <x:c r="BM155" t="n">
        <x:f>AH155*(1-'Assumptions'!$F$9)*(1+'Assumptions'!$D$9)*(1-'Assumptions'!$D$9/'Assumptions'!$E$9)</x:f>
        <x:v>380.9500266546208</x:v>
      </x:c>
      <x:c r="BN155" t="n">
        <x:f>SUMPRODUCT(AI155:AR155,'NSSC Model'!$B$83:$K$83)+BM155/('Assumptions'!$C$9-'Assumptions'!$D$9)*'NSSC Model'!$K$83</x:f>
        <x:v>3409.9051173036314</x:v>
      </x:c>
      <x:c r="BO155" t="n">
        <x:f>'NSSC Model'!$B$94</x:f>
        <x:v>101.2</x:v>
      </x:c>
      <x:c r="BP155" t="n">
        <x:f>'Inputs'!$D$8</x:f>
        <x:v>35.891</x:v>
      </x:c>
    </x:row>
    <x:row r="156">
      <x:c r="A156" t="str">
        <x:v>NSSC</x:v>
      </x:c>
      <x:c r="B156" s="22" t="n">
        <x:v>0.32</x:v>
      </x:c>
      <x:c r="C156" s="42" t="n">
        <x:f>(BN156+BO156)/BP156</x:f>
        <x:v>103.05628063271217</x:v>
      </x:c>
      <x:c r="D156" s="22" t="n">
        <x:f>C156/'Inputs'!$D$5-1</x:f>
        <x:v>1.7845523002624204</x:v>
      </x:c>
      <x:c r="E156" t="n">
        <x:f>'Inputs'!$D$21*(1+$B156)^1</x:f>
        <x:v>128.73696</x:v>
      </x:c>
      <x:c r="F156" t="n">
        <x:f>'Inputs'!$D$21*(1+$B156)^2</x:f>
        <x:v>169.93278720000004</x:v>
      </x:c>
      <x:c r="G156" t="n">
        <x:f>'Inputs'!$D$21*(1+$B156)^3</x:f>
        <x:v>224.31127910400005</x:v>
      </x:c>
      <x:c r="H156" t="n">
        <x:f>'Inputs'!$D$21*(1+$B156)^4</x:f>
        <x:v>296.09088841728004</x:v>
      </x:c>
      <x:c r="I156" t="n">
        <x:f>'Inputs'!$D$21*(1+$B156)^5</x:f>
        <x:v>390.8399727108097</x:v>
      </x:c>
      <x:c r="J156" t="n">
        <x:f>I156*(1+($BG156+('Assumptions'!$D$9-$BG156)*(6-5)/5))</x:f>
        <x:v>467.5904478432996</x:v>
      </x:c>
      <x:c r="K156" t="n">
        <x:f>J156*(1+($BG156+('Assumptions'!$D$9-$BG156)*(7-5)/5))</x:f>
        <x:v>539.9640317615745</x:v>
      </x:c>
      <x:c r="L156" t="n">
        <x:f>K156*(1+($BG156+('Assumptions'!$D$9-$BG156)*(8-5)/5))</x:f>
        <x:v>601.080710135027</x:v>
      </x:c>
      <x:c r="M156" t="n">
        <x:f>L156*(1+($BG156+('Assumptions'!$D$9-$BG156)*(9-5)/5))</x:f>
        <x:v>644.1140536671458</x:v>
      </x:c>
      <x:c r="N156" t="n">
        <x:f>M156*(1+($BG156+('Assumptions'!$D$9-$BG156)*(10-5)/5))</x:f>
        <x:v>663.4374752771602</x:v>
      </x:c>
      <x:c r="O156" t="n">
        <x:f>'NSSC Model'!$B$68</x:f>
        <x:v>106.88376</x:v>
      </x:c>
      <x:c r="P156" t="n">
        <x:f>'NSSC Model'!$C$68</x:f>
        <x:v>110.0902728</x:v>
      </x:c>
      <x:c r="Q156" t="n">
        <x:f>'NSSC Model'!$D$68</x:f>
        <x:v>113.39298098399999</x:v>
      </x:c>
      <x:c r="R156" t="n">
        <x:f>'NSSC Model'!$E$68</x:f>
        <x:v>116.79477041352</x:v>
      </x:c>
      <x:c r="S156" t="n">
        <x:f>'NSSC Model'!$F$68</x:f>
        <x:v>120.2986135259256</x:v>
      </x:c>
      <x:c r="T156" t="n">
        <x:f>S156*(1+($BG156+('Assumptions'!$D$9-$BG156)*(6-5)/5))</x:f>
        <x:v>143.9220307569114</x:v>
      </x:c>
      <x:c r="U156" t="n">
        <x:f>T156*(1+($BG156+('Assumptions'!$D$9-$BG156)*(7-5)/5))</x:f>
        <x:v>166.19826248644526</x:v>
      </x:c>
      <x:c r="V156" t="n">
        <x:f>U156*(1+($BG156+('Assumptions'!$D$9-$BG156)*(8-5)/5))</x:f>
        <x:v>185.00967427895486</x:v>
      </x:c>
      <x:c r="W156" t="n">
        <x:f>V156*(1+($BG156+('Assumptions'!$D$9-$BG156)*(9-5)/5))</x:f>
        <x:v>198.2551249077451</x:v>
      </x:c>
      <x:c r="X156" t="n">
        <x:f>W156*(1+($BG156+('Assumptions'!$D$9-$BG156)*(10-5)/5))</x:f>
        <x:v>204.20277865497746</x:v>
      </x:c>
      <x:c r="Y156" t="n">
        <x:f>E156*'NSSC Model'!$B$62+O156*'NSSC Model'!$B$63+'NSSC Model'!$B$73+'NSSC Model'!$B$74</x:f>
        <x:v>86.1081178</x:v>
      </x:c>
      <x:c r="Z156" t="n">
        <x:f>F156*'NSSC Model'!$C$62+P156*'NSSC Model'!$C$63+'NSSC Model'!$C$73+'NSSC Model'!$C$74</x:f>
        <x:v>121.20019449260005</x:v>
      </x:c>
      <x:c r="AA156" t="n">
        <x:f>G156*'NSSC Model'!$D$62+Q156*'NSSC Model'!$D$63+'NSSC Model'!$D$73+'NSSC Model'!$D$74</x:f>
        <x:v>168.28532064573704</x:v>
      </x:c>
      <x:c r="AB156" t="n">
        <x:f>H156*'NSSC Model'!$E$62+R156*'NSSC Model'!$E$63+'NSSC Model'!$E$73+'NSSC Model'!$E$74</x:f>
        <x:v>230.36713345706426</x:v>
      </x:c>
      <x:c r="AC156" t="n">
        <x:f>I156*'NSSC Model'!$F$62+S156*'NSSC Model'!$F$63+'NSSC Model'!$F$73+'NSSC Model'!$F$74</x:f>
        <x:v>313.01443416291454</x:v>
      </x:c>
      <x:c r="AD156" t="n">
        <x:f>AX156*$AC156/$AW156</x:f>
        <x:v>374.48206342996247</x:v>
      </x:c>
      <x:c r="AE156" t="n">
        <x:f>AY156*$AC156/$AW156</x:f>
        <x:v>432.4443446710451</x:v>
      </x:c>
      <x:c r="AF156" t="n">
        <x:f>AZ156*$AC156/$AW156</x:f>
        <x:v>481.39123811773464</x:v>
      </x:c>
      <x:c r="AG156" t="n">
        <x:f>BA156*$AC156/$AW156</x:f>
        <x:v>515.8556189803627</x:v>
      </x:c>
      <x:c r="AH156" t="n">
        <x:f>BB156*$AC156/$AW156</x:f>
        <x:v>531.3312875497736</x:v>
      </x:c>
      <x:c r="AI156" t="n">
        <x:f>Y156*(1-'Assumptions'!$F$9)+AS156*'Assumptions'!$G$9-AS156*'NSSC Model'!$B$65-(AS156-'Inputs'!$D$14)*'Assumptions'!$H$9-'Assumptions'!$I$9</x:f>
        <x:v>66.335701716</x:v>
      </x:c>
      <x:c r="AJ156" t="n">
        <x:f>Z156*(1-'Assumptions'!$F$9)+AT156*'Assumptions'!$G$9-AT156*'NSSC Model'!$C$65-(AT156-AS156)*'Assumptions'!$H$9-0</x:f>
        <x:v>93.82383324393204</x:v>
      </x:c>
      <x:c r="AK156" t="n">
        <x:f>AA156*(1-'Assumptions'!$F$9)+AU156*'Assumptions'!$G$9-AU156*'NSSC Model'!$D$65-(AU156-AT156)*'Assumptions'!$H$9-0</x:f>
        <x:v>130.8750258803524</x:v>
      </x:c>
      <x:c r="AL156" t="n">
        <x:f>AB156*(1-'Assumptions'!$F$9)+AV156*'Assumptions'!$G$9-AV156*'NSSC Model'!$E$65-(AV156-AU156)*'Assumptions'!$H$9-0</x:f>
        <x:v>179.73136692518952</x:v>
      </x:c>
      <x:c r="AM156" t="n">
        <x:f>AC156*(1-'Assumptions'!$F$9)+AW156*'Assumptions'!$G$9-AW156*'NSSC Model'!$F$65-(AW156-AV156)*'Assumptions'!$H$9-0</x:f>
        <x:v>244.80198892804947</x:v>
      </x:c>
      <x:c r="AN156" t="n">
        <x:f>AD156*(1-'Assumptions'!$F$9)+AX156*'Assumptions'!$G$9-AX156*'NSSC Model'!$G$65-(AX156-AW156)*'Assumptions'!$H$9-0</x:f>
        <x:v>294.5918528618209</x:v>
      </x:c>
      <x:c r="AO156" t="n">
        <x:f>AE156*(1-'Assumptions'!$F$9)+AY156*'Assumptions'!$G$9-AY156*'NSSC Model'!$H$65-(AY156-AX156)*'Assumptions'!$H$9-0</x:f>
        <x:v>342.31473188848406</x:v>
      </x:c>
      <x:c r="AP156" t="n">
        <x:f>AF156*(1-'Assumptions'!$F$9)+AZ156*'Assumptions'!$G$9-AZ156*'NSSC Model'!$I$65-(AZ156-AY156)*'Assumptions'!$H$9-0</x:f>
        <x:v>383.6036447022903</x:v>
      </x:c>
      <x:c r="AQ156" t="n">
        <x:f>AG156*(1-'Assumptions'!$F$9)+BA156*'Assumptions'!$G$9-BA156*'NSSC Model'!$J$65-(BA156-AZ156)*'Assumptions'!$H$9-0</x:f>
        <x:v>414.004251433507</x:v>
      </x:c>
      <x:c r="AR156" t="n">
        <x:f>AH156*(1-'Assumptions'!$F$9)+BB156*'Assumptions'!$G$9-BB156*'NSSC Model'!$K$65-(BB156-BA156)*'Assumptions'!$H$9-0</x:f>
        <x:v>429.69398723936115</x:v>
      </x:c>
      <x:c r="AS156" t="n">
        <x:f>E156+O156</x:f>
        <x:v>235.62072</x:v>
      </x:c>
      <x:c r="AT156" t="n">
        <x:f>F156+P156</x:f>
        <x:v>280.02306000000004</x:v>
      </x:c>
      <x:c r="AU156" t="n">
        <x:f>G156+Q156</x:f>
        <x:v>337.70426008800007</x:v>
      </x:c>
      <x:c r="AV156" t="n">
        <x:f>H156+R156</x:f>
        <x:v>412.8856588308</x:v>
      </x:c>
      <x:c r="AW156" t="n">
        <x:f>I156+S156</x:f>
        <x:v>511.1385862367353</x:v>
      </x:c>
      <x:c r="AX156" t="n">
        <x:f>J156+T156</x:f>
        <x:v>611.512478600211</x:v>
      </x:c>
      <x:c r="AY156" t="n">
        <x:f>K156+U156</x:f>
        <x:v>706.1622942480197</x:v>
      </x:c>
      <x:c r="AZ156" t="n">
        <x:f>L156+V156</x:f>
        <x:v>786.0903844139818</x:v>
      </x:c>
      <x:c r="BA156" t="n">
        <x:f>M156+W156</x:f>
        <x:v>842.3691785748908</x:v>
      </x:c>
      <x:c r="BB156" t="n">
        <x:f>N156+X156</x:f>
        <x:v>867.6402539321376</x:v>
      </x:c>
      <x:c r="BC156" t="n">
        <x:f>AS156/'Inputs'!$D$14-1</x:f>
        <x:v>0.16461733130350553</x:v>
      </x:c>
      <x:c r="BD156" t="n">
        <x:f>AT156/AS156-1</x:f>
        <x:v>0.18844836735920345</x:v>
      </x:c>
      <x:c r="BE156" t="n">
        <x:f>AU156/AT156-1</x:f>
        <x:v>0.20598732150130794</x:v>
      </x:c>
      <x:c r="BF156" t="n">
        <x:f>AV156/AU156-1</x:f>
        <x:v>0.22262496399426213</x:v>
      </x:c>
      <x:c r="BG156" t="n">
        <x:f>AW156/AV156-1</x:f>
        <x:v>0.2379664328476936</x:v>
      </x:c>
      <x:c r="BH156" t="n">
        <x:f>AX156/AW156-1</x:f>
        <x:v>0.19637314627815483</x:v>
      </x:c>
      <x:c r="BI156" t="n">
        <x:f>AY156/AX156-1</x:f>
        <x:v>0.15477985970861607</x:v>
      </x:c>
      <x:c r="BJ156" t="n">
        <x:f>AZ156/AY156-1</x:f>
        <x:v>0.11318657313907732</x:v>
      </x:c>
      <x:c r="BK156" t="n">
        <x:f>BA156/AZ156-1</x:f>
        <x:v>0.07159328656953856</x:v>
      </x:c>
      <x:c r="BL156" t="n">
        <x:f>BB156/BA156-1</x:f>
        <x:v>0.030000000000000027</x:v>
      </x:c>
      <x:c r="BM156" t="n">
        <x:f>AH156*(1-'Assumptions'!$F$9)*(1+'Assumptions'!$D$9)*(1-'Assumptions'!$D$9/'Assumptions'!$E$9)</x:f>
        <x:v>403.88616491808494</x:v>
      </x:c>
      <x:c r="BN156" t="n">
        <x:f>SUMPRODUCT(AI156:AR156,'NSSC Model'!$B$83:$K$83)+BM156/('Assumptions'!$C$9-'Assumptions'!$D$9)*'NSSC Model'!$K$83</x:f>
        <x:v>3597.592968188673</x:v>
      </x:c>
      <x:c r="BO156" t="n">
        <x:f>'NSSC Model'!$B$94</x:f>
        <x:v>101.2</x:v>
      </x:c>
      <x:c r="BP156" t="n">
        <x:f>'Inputs'!$D$8</x:f>
        <x:v>35.891</x:v>
      </x:c>
    </x:row>
    <x:row r="157">
      <x:c r="A157" t="str">
        <x:v>NSSC</x:v>
      </x:c>
      <x:c r="B157" s="22" t="n">
        <x:v>0.33</x:v>
      </x:c>
      <x:c r="C157" s="42" t="n">
        <x:f>(BN157+BO157)/BP157</x:f>
        <x:v>108.53841280101919</x:v>
      </x:c>
      <x:c r="D157" s="22" t="n">
        <x:f>C157/'Inputs'!$D$5-1</x:f>
        <x:v>1.932678000567933</x:v>
      </x:c>
      <x:c r="E157" t="n">
        <x:f>'Inputs'!$D$21*(1+$B157)^1</x:f>
        <x:v>129.71224</x:v>
      </x:c>
      <x:c r="F157" t="n">
        <x:f>'Inputs'!$D$21*(1+$B157)^2</x:f>
        <x:v>172.51727920000002</x:v>
      </x:c>
      <x:c r="G157" t="n">
        <x:f>'Inputs'!$D$21*(1+$B157)^3</x:f>
        <x:v>229.44798133600003</x:v>
      </x:c>
      <x:c r="H157" t="n">
        <x:f>'Inputs'!$D$21*(1+$B157)^4</x:f>
        <x:v>305.1658151768801</x:v>
      </x:c>
      <x:c r="I157" t="n">
        <x:f>'Inputs'!$D$21*(1+$B157)^5</x:f>
        <x:v>405.87053418525056</x:v>
      </x:c>
      <x:c r="J157" t="n">
        <x:f>I157*(1+($BG157+('Assumptions'!$D$9-$BG157)*(6-5)/5))</x:f>
        <x:v>488.4936919396661</x:v>
      </x:c>
      <x:c r="K157" t="n">
        <x:f>J157*(1+($BG157+('Assumptions'!$D$9-$BG157)*(7-5)/5))</x:f>
        <x:v>566.7394743289426</x:v>
      </x:c>
      <x:c r="L157" t="n">
        <x:f>K157*(1+($BG157+('Assumptions'!$D$9-$BG157)*(8-5)/5))</x:f>
        <x:v>632.9262088459957</x:v>
      </x:c>
      <x:c r="M157" t="n">
        <x:f>L157*(1+($BG157+('Assumptions'!$D$9-$BG157)*(9-5)/5))</x:f>
        <x:v>679.3782819284562</x:v>
      </x:c>
      <x:c r="N157" t="n">
        <x:f>M157*(1+($BG157+('Assumptions'!$D$9-$BG157)*(10-5)/5))</x:f>
        <x:v>699.7596303863099</x:v>
      </x:c>
      <x:c r="O157" t="n">
        <x:f>'NSSC Model'!$B$68</x:f>
        <x:v>106.88376</x:v>
      </x:c>
      <x:c r="P157" t="n">
        <x:f>'NSSC Model'!$C$68</x:f>
        <x:v>110.0902728</x:v>
      </x:c>
      <x:c r="Q157" t="n">
        <x:f>'NSSC Model'!$D$68</x:f>
        <x:v>113.39298098399999</x:v>
      </x:c>
      <x:c r="R157" t="n">
        <x:f>'NSSC Model'!$E$68</x:f>
        <x:v>116.79477041352</x:v>
      </x:c>
      <x:c r="S157" t="n">
        <x:f>'NSSC Model'!$F$68</x:f>
        <x:v>120.2986135259256</x:v>
      </x:c>
      <x:c r="T157" t="n">
        <x:f>S157*(1+($BG157+('Assumptions'!$D$9-$BG157)*(6-5)/5))</x:f>
        <x:v>144.78782987897424</x:v>
      </x:c>
      <x:c r="U157" t="n">
        <x:f>T157*(1+($BG157+('Assumptions'!$D$9-$BG157)*(7-5)/5))</x:f>
        <x:v>167.97960741112925</x:v>
      </x:c>
      <x:c r="V157" t="n">
        <x:f>U157*(1+($BG157+('Assumptions'!$D$9-$BG157)*(8-5)/5))</x:f>
        <x:v>187.59712513064878</x:v>
      </x:c>
      <x:c r="W157" t="n">
        <x:f>V157*(1+($BG157+('Assumptions'!$D$9-$BG157)*(9-5)/5))</x:f>
        <x:v>201.36535789591377</x:v>
      </x:c>
      <x:c r="X157" t="n">
        <x:f>W157*(1+($BG157+('Assumptions'!$D$9-$BG157)*(10-5)/5))</x:f>
        <x:v>207.4063186327912</x:v>
      </x:c>
      <x:c r="Y157" t="n">
        <x:f>E157*'NSSC Model'!$B$62+O157*'NSSC Model'!$B$63+'NSSC Model'!$B$73+'NSSC Model'!$B$74</x:f>
        <x:v>86.98879564</x:v>
      </x:c>
      <x:c r="Z157" t="n">
        <x:f>F157*'NSSC Model'!$C$62+P157*'NSSC Model'!$C$63+'NSSC Model'!$C$73+'NSSC Model'!$C$74</x:f>
        <x:v>123.53399076860003</x:v>
      </x:c>
      <x:c r="AA157" t="n">
        <x:f>G157*'NSSC Model'!$D$62+Q157*'NSSC Model'!$D$63+'NSSC Model'!$D$73+'NSSC Model'!$D$74</x:f>
        <x:v>172.92376276123304</x:v>
      </x:c>
      <x:c r="AB157" t="n">
        <x:f>H157*'NSSC Model'!$E$62+R157*'NSSC Model'!$E$63+'NSSC Model'!$E$73+'NSSC Model'!$E$74</x:f>
        <x:v>238.5617923209831</x:v>
      </x:c>
      <x:c r="AC157" t="n">
        <x:f>I157*'NSSC Model'!$F$62+S157*'NSSC Model'!$F$63+'NSSC Model'!$F$73+'NSSC Model'!$F$74</x:f>
        <x:v>326.5870311743346</x:v>
      </x:c>
      <x:c r="AD157" t="n">
        <x:f>AX157*$AC157/$AW157</x:f>
        <x:v>393.0704280324746</x:v>
      </x:c>
      <x:c r="AE157" t="n">
        <x:f>AY157*$AC157/$AW157</x:f>
        <x:v>456.0315341490454</x:v>
      </x:c>
      <x:c r="AF157" t="n">
        <x:f>AZ157*$AC157/$AW157</x:f>
        <x:v>509.2892291734943</x:v>
      </x:c>
      <x:c r="AG157" t="n">
        <x:f>BA157*$AC157/$AW157</x:f>
        <x:v>546.667268134484</x:v>
      </x:c>
      <x:c r="AH157" t="n">
        <x:f>BB157*$AC157/$AW157</x:f>
        <x:v>563.0672861785185</x:v>
      </x:c>
      <x:c r="AI157" t="n">
        <x:f>Y157*(1-'Assumptions'!$F$9)+AS157*'Assumptions'!$G$9-AS157*'NSSC Model'!$B$65-(AS157-'Inputs'!$D$14)*'Assumptions'!$H$9-'Assumptions'!$I$9</x:f>
        <x:v>66.95642842480002</x:v>
      </x:c>
      <x:c r="AJ157" t="n">
        <x:f>Z157*(1-'Assumptions'!$F$9)+AT157*'Assumptions'!$G$9-AT157*'NSSC Model'!$C$65-(AT157-AS157)*'Assumptions'!$H$9-0</x:f>
        <x:v>95.56628702225206</x:v>
      </x:c>
      <x:c r="AK157" t="n">
        <x:f>AA157*(1-'Assumptions'!$F$9)+AU157*'Assumptions'!$G$9-AU157*'NSSC Model'!$D$65-(AU157-AT157)*'Assumptions'!$H$9-0</x:f>
        <x:v>134.4027805829311</x:v>
      </x:c>
      <x:c r="AL157" t="n">
        <x:f>AB157*(1-'Assumptions'!$F$9)+AV157*'Assumptions'!$G$9-AV157*'NSSC Model'!$E$65-(AV157-AU157)*'Assumptions'!$H$9-0</x:f>
        <x:v>186.02086503380454</x:v>
      </x:c>
      <x:c r="AM157" t="n">
        <x:f>AC157*(1-'Assumptions'!$F$9)+AW157*'Assumptions'!$G$9-AW157*'NSSC Model'!$F$65-(AW157-AV157)*'Assumptions'!$H$9-0</x:f>
        <x:v>255.2758327600321</x:v>
      </x:c>
      <x:c r="AN157" t="n">
        <x:f>AD157*(1-'Assumptions'!$F$9)+AX157*'Assumptions'!$G$9-AX157*'NSSC Model'!$G$65-(AX157-AW157)*'Assumptions'!$H$9-0</x:f>
        <x:v>309.0733874886082</x:v>
      </x:c>
      <x:c r="AO157" t="n">
        <x:f>AE157*(1-'Assumptions'!$F$9)+AY157*'Assumptions'!$G$9-AY157*'NSSC Model'!$H$65-(AY157-AX157)*'Assumptions'!$H$9-0</x:f>
        <x:v>360.86322568311385</x:v>
      </x:c>
      <x:c r="AP157" t="n">
        <x:f>AF157*(1-'Assumptions'!$F$9)+AZ157*'Assumptions'!$G$9-AZ157*'NSSC Model'!$I$65-(AZ157-AY157)*'Assumptions'!$H$9-0</x:f>
        <x:v>405.75464936270157</x:v>
      </x:c>
      <x:c r="AQ157" t="n">
        <x:f>AG157*(1-'Assumptions'!$F$9)+BA157*'Assumptions'!$G$9-BA157*'NSSC Model'!$J$65-(BA157-AZ157)*'Assumptions'!$H$9-0</x:f>
        <x:v>438.7221547262069</x:v>
      </x:c>
      <x:c r="AR157" t="n">
        <x:f>AH157*(1-'Assumptions'!$F$9)+BB157*'Assumptions'!$G$9-BB157*'NSSC Model'!$K$65-(BB157-BA157)*'Assumptions'!$H$9-0</x:f>
        <x:v>455.4442799508358</x:v>
      </x:c>
      <x:c r="AS157" t="n">
        <x:f>E157+O157</x:f>
        <x:v>236.596</x:v>
      </x:c>
      <x:c r="AT157" t="n">
        <x:f>F157+P157</x:f>
        <x:v>282.607552</x:v>
      </x:c>
      <x:c r="AU157" t="n">
        <x:f>G157+Q157</x:f>
        <x:v>342.84096232</x:v>
      </x:c>
      <x:c r="AV157" t="n">
        <x:f>H157+R157</x:f>
        <x:v>421.96058559040006</x:v>
      </x:c>
      <x:c r="AW157" t="n">
        <x:f>I157+S157</x:f>
        <x:v>526.1691477111762</x:v>
      </x:c>
      <x:c r="AX157" t="n">
        <x:f>J157+T157</x:f>
        <x:v>633.2815218186404</x:v>
      </x:c>
      <x:c r="AY157" t="n">
        <x:f>K157+U157</x:f>
        <x:v>734.7190817400718</x:v>
      </x:c>
      <x:c r="AZ157" t="n">
        <x:f>L157+V157</x:f>
        <x:v>820.5233339766445</x:v>
      </x:c>
      <x:c r="BA157" t="n">
        <x:f>M157+W157</x:f>
        <x:v>880.74363982437</x:v>
      </x:c>
      <x:c r="BB157" t="n">
        <x:f>N157+X157</x:f>
        <x:v>907.1659490191012</x:v>
      </x:c>
      <x:c r="BC157" t="n">
        <x:f>AS157/'Inputs'!$D$14-1</x:f>
        <x:v>0.1694379090136222</x:v>
      </x:c>
      <x:c r="BD157" t="n">
        <x:f>AT157/AS157-1</x:f>
        <x:v>0.19447307646790302</x:v>
      </x:c>
      <x:c r="BE157" t="n">
        <x:f>AU157/AT157-1</x:f>
        <x:v>0.21313446825370042</x:v>
      </x:c>
      <x:c r="BF157" t="n">
        <x:f>AV157/AU157-1</x:f>
        <x:v>0.23077645895927557</x:v>
      </x:c>
      <x:c r="BG157" t="n">
        <x:f>AW157/AV157-1</x:f>
        <x:v>0.2469627867611599</x:v>
      </x:c>
      <x:c r="BH157" t="n">
        <x:f>AX157/AW157-1</x:f>
        <x:v>0.20357022940892788</x:v>
      </x:c>
      <x:c r="BI157" t="n">
        <x:f>AY157/AX157-1</x:f>
        <x:v>0.16017767205669586</x:v>
      </x:c>
      <x:c r="BJ157" t="n">
        <x:f>AZ157/AY157-1</x:f>
        <x:v>0.11678511470446384</x:v>
      </x:c>
      <x:c r="BK157" t="n">
        <x:f>BA157/AZ157-1</x:f>
        <x:v>0.07339255735223205</x:v>
      </x:c>
      <x:c r="BL157" t="n">
        <x:f>BB157/BA157-1</x:f>
        <x:v>0.030000000000000027</x:v>
      </x:c>
      <x:c r="BM157" t="n">
        <x:f>AH157*(1-'Assumptions'!$F$9)*(1+'Assumptions'!$D$9)*(1-'Assumptions'!$D$9/'Assumptions'!$E$9)</x:f>
        <x:v>428.00996691573914</x:v>
      </x:c>
      <x:c r="BN157" t="n">
        <x:f>SUMPRODUCT(AI157:AR157,'NSSC Model'!$B$83:$K$83)+BM157/('Assumptions'!$C$9-'Assumptions'!$D$9)*'NSSC Model'!$K$83</x:f>
        <x:v>3794.3521738413797</x:v>
      </x:c>
      <x:c r="BO157" t="n">
        <x:f>'NSSC Model'!$B$94</x:f>
        <x:v>101.2</x:v>
      </x:c>
      <x:c r="BP157" t="n">
        <x:f>'Inputs'!$D$8</x:f>
        <x:v>35.891</x:v>
      </x:c>
    </x:row>
    <x:row r="158">
      <x:c r="A158" t="str">
        <x:v>NSSC</x:v>
      </x:c>
      <x:c r="B158" s="22" t="n">
        <x:v>0.34</x:v>
      </x:c>
      <x:c r="C158" s="42" t="n">
        <x:f>(BN158+BO158)/BP158</x:f>
        <x:v>114.28423039968484</x:v>
      </x:c>
      <x:c r="D158" s="22" t="n">
        <x:f>C158/'Inputs'!$D$5-1</x:f>
        <x:v>2.087928408529718</x:v>
      </x:c>
      <x:c r="E158" t="n">
        <x:f>'Inputs'!$D$21*(1+$B158)^1</x:f>
        <x:v>130.68752</x:v>
      </x:c>
      <x:c r="F158" t="n">
        <x:f>'Inputs'!$D$21*(1+$B158)^2</x:f>
        <x:v>175.12127680000003</x:v>
      </x:c>
      <x:c r="G158" t="n">
        <x:f>'Inputs'!$D$21*(1+$B158)^3</x:f>
        <x:v>234.66251091200007</x:v>
      </x:c>
      <x:c r="H158" t="n">
        <x:f>'Inputs'!$D$21*(1+$B158)^4</x:f>
        <x:v>314.4477646220801</x:v>
      </x:c>
      <x:c r="I158" t="n">
        <x:f>'Inputs'!$D$21*(1+$B158)^5</x:f>
        <x:v>421.3600045935874</x:v>
      </x:c>
      <x:c r="J158" t="n">
        <x:f>I158*(1+($BG158+('Assumptions'!$D$9-$BG158)*(6-5)/5))</x:f>
        <x:v>510.1967589653553</x:v>
      </x:c>
      <x:c r="K158" t="n">
        <x:f>J158*(1+($BG158+('Assumptions'!$D$9-$BG158)*(7-5)/5))</x:f>
        <x:v>594.6981153950192</x:v>
      </x:c>
      <x:c r="L158" t="n">
        <x:f>K158*(1+($BG158+('Assumptions'!$D$9-$BG158)*(8-5)/5))</x:f>
        <x:v>666.3096942869782</x:v>
      </x:c>
      <x:c r="M158" t="n">
        <x:f>L158*(1+($BG158+('Assumptions'!$D$9-$BG158)*(9-5)/5))</x:f>
        <x:v>716.4217438124551</x:v>
      </x:c>
      <x:c r="N158" t="n">
        <x:f>M158*(1+($BG158+('Assumptions'!$D$9-$BG158)*(10-5)/5))</x:f>
        <x:v>737.9143961268288</x:v>
      </x:c>
      <x:c r="O158" t="n">
        <x:f>'NSSC Model'!$B$68</x:f>
        <x:v>106.88376</x:v>
      </x:c>
      <x:c r="P158" t="n">
        <x:f>'NSSC Model'!$C$68</x:f>
        <x:v>110.0902728</x:v>
      </x:c>
      <x:c r="Q158" t="n">
        <x:f>'NSSC Model'!$D$68</x:f>
        <x:v>113.39298098399999</x:v>
      </x:c>
      <x:c r="R158" t="n">
        <x:f>'NSSC Model'!$E$68</x:f>
        <x:v>116.79477041352</x:v>
      </x:c>
      <x:c r="S158" t="n">
        <x:f>'NSSC Model'!$F$68</x:f>
        <x:v>120.2986135259256</x:v>
      </x:c>
      <x:c r="T158" t="n">
        <x:f>S158*(1+($BG158+('Assumptions'!$D$9-$BG158)*(6-5)/5))</x:f>
        <x:v>145.66157694096236</x:v>
      </x:c>
      <x:c r="U158" t="n">
        <x:f>T158*(1+($BG158+('Assumptions'!$D$9-$BG158)*(7-5)/5))</x:f>
        <x:v>169.7867808253543</x:v>
      </x:c>
      <x:c r="V158" t="n">
        <x:f>U158*(1+($BG158+('Assumptions'!$D$9-$BG158)*(8-5)/5))</x:f>
        <x:v>190.23194305999564</x:v>
      </x:c>
      <x:c r="W158" t="n">
        <x:f>V158*(1+($BG158+('Assumptions'!$D$9-$BG158)*(9-5)/5))</x:f>
        <x:v>204.53897270955136</x:v>
      </x:c>
      <x:c r="X158" t="n">
        <x:f>W158*(1+($BG158+('Assumptions'!$D$9-$BG158)*(10-5)/5))</x:f>
        <x:v>210.6751418908379</x:v>
      </x:c>
      <x:c r="Y158" t="n">
        <x:f>E158*'NSSC Model'!$B$62+O158*'NSSC Model'!$B$63+'NSSC Model'!$B$73+'NSSC Model'!$B$74</x:f>
        <x:v>87.86947347999998</x:v>
      </x:c>
      <x:c r="Z158" t="n">
        <x:f>F158*'NSSC Model'!$C$62+P158*'NSSC Model'!$C$63+'NSSC Model'!$C$73+'NSSC Model'!$C$74</x:f>
        <x:v>125.88540060140002</x:v>
      </x:c>
      <x:c r="AA158" t="n">
        <x:f>G158*'NSSC Model'!$D$62+Q158*'NSSC Model'!$D$63+'NSSC Model'!$D$73+'NSSC Model'!$D$74</x:f>
        <x:v>177.63248296836105</x:v>
      </x:c>
      <x:c r="AB158" t="n">
        <x:f>H158*'NSSC Model'!$E$62+R158*'NSSC Model'!$E$63+'NSSC Model'!$E$73+'NSSC Model'!$E$74</x:f>
        <x:v>246.94339266999873</x:v>
      </x:c>
      <x:c r="AC158" t="n">
        <x:f>I158*'NSSC Model'!$F$62+S158*'NSSC Model'!$F$63+'NSSC Model'!$F$73+'NSSC Model'!$F$74</x:f>
        <x:v>340.57402295306275</x:v>
      </x:c>
      <x:c r="AD158" t="n">
        <x:f>AX158*$AC158/$AW158</x:f>
        <x:v>412.37839568100657</x:v>
      </x:c>
      <x:c r="AE158" t="n">
        <x:f>AY158*$AC158/$AW158</x:f>
        <x:v>480.6785821972834</x:v>
      </x:c>
      <x:c r="AF158" t="n">
        <x:f>AZ158*$AC158/$AW158</x:f>
        <x:v>538.5603062512287</x:v>
      </x:c>
      <x:c r="AG158" t="n">
        <x:f>BA158*$AC158/$AW158</x:f>
        <x:v>579.0645356969641</x:v>
      </x:c>
      <x:c r="AH158" t="n">
        <x:f>BB158*$AC158/$AW158</x:f>
        <x:v>596.436471767873</x:v>
      </x:c>
      <x:c r="AI158" t="n">
        <x:f>Y158*(1-'Assumptions'!$F$9)+AS158*'Assumptions'!$G$9-AS158*'NSSC Model'!$B$65-(AS158-'Inputs'!$D$14)*'Assumptions'!$H$9-'Assumptions'!$I$9</x:f>
        <x:v>67.57715513359999</x:v>
      </x:c>
      <x:c r="AJ158" t="n">
        <x:f>Z158*(1-'Assumptions'!$F$9)+AT158*'Assumptions'!$G$9-AT158*'NSSC Model'!$C$65-(AT158-AS158)*'Assumptions'!$H$9-0</x:f>
        <x:v>97.32115533474803</x:v>
      </x:c>
      <x:c r="AK158" t="n">
        <x:f>AA158*(1-'Assumptions'!$F$9)+AU158*'Assumptions'!$G$9-AU158*'NSSC Model'!$D$65-(AU158-AT158)*'Assumptions'!$H$9-0</x:f>
        <x:v>137.98201983687204</x:v>
      </x:c>
      <x:c r="AL158" t="n">
        <x:f>AB158*(1-'Assumptions'!$F$9)+AV158*'Assumptions'!$G$9-AV158*'NSSC Model'!$E$65-(AV158-AU158)*'Assumptions'!$H$9-0</x:f>
        <x:v>192.44990753529655</x:v>
      </x:c>
      <x:c r="AM158" t="n">
        <x:f>AC158*(1-'Assumptions'!$F$9)+AW158*'Assumptions'!$G$9-AW158*'NSSC Model'!$F$65-(AW158-AV158)*'Assumptions'!$H$9-0</x:f>
        <x:v>266.06245604064213</x:v>
      </x:c>
      <x:c r="AN158" t="n">
        <x:f>AD158*(1-'Assumptions'!$F$9)+AX158*'Assumptions'!$G$9-AX158*'NSSC Model'!$G$65-(AX158-AW158)*'Assumptions'!$H$9-0</x:f>
        <x:v>324.1068793361197</x:v>
      </x:c>
      <x:c r="AO158" t="n">
        <x:f>AE158*(1-'Assumptions'!$F$9)+AY158*'Assumptions'!$G$9-AY158*'NSSC Model'!$H$65-(AY158-AX158)*'Assumptions'!$H$9-0</x:f>
        <x:v>380.2358417854853</x:v>
      </x:c>
      <x:c r="AP158" t="n">
        <x:f>AF158*(1-'Assumptions'!$F$9)+AZ158*'Assumptions'!$G$9-AZ158*'NSSC Model'!$I$65-(AZ158-AY158)*'Assumptions'!$H$9-0</x:f>
        <x:v>428.9876104639596</x:v>
      </x:c>
      <x:c r="AQ158" t="n">
        <x:f>AG158*(1-'Assumptions'!$F$9)+BA158*'Assumptions'!$G$9-BA158*'NSSC Model'!$J$65-(BA158-AZ158)*'Assumptions'!$H$9-0</x:f>
        <x:v>464.70716848791926</x:v>
      </x:c>
      <x:c r="AR158" t="n">
        <x:f>AH158*(1-'Assumptions'!$F$9)+BB158*'Assumptions'!$G$9-BB158*'NSSC Model'!$K$65-(BB158-BA158)*'Assumptions'!$H$9-0</x:f>
        <x:v>482.5206665480192</x:v>
      </x:c>
      <x:c r="AS158" t="n">
        <x:f>E158+O158</x:f>
        <x:v>237.57128</x:v>
      </x:c>
      <x:c r="AT158" t="n">
        <x:f>F158+P158</x:f>
        <x:v>285.2115496</x:v>
      </x:c>
      <x:c r="AU158" t="n">
        <x:f>G158+Q158</x:f>
        <x:v>348.05549189600004</x:v>
      </x:c>
      <x:c r="AV158" t="n">
        <x:f>H158+R158</x:f>
        <x:v>431.2425350356001</x:v>
      </x:c>
      <x:c r="AW158" t="n">
        <x:f>I158+S158</x:f>
        <x:v>541.658618119513</x:v>
      </x:c>
      <x:c r="AX158" t="n">
        <x:f>J158+T158</x:f>
        <x:v>655.8583359063176</x:v>
      </x:c>
      <x:c r="AY158" t="n">
        <x:f>K158+U158</x:f>
        <x:v>764.4848962203735</x:v>
      </x:c>
      <x:c r="AZ158" t="n">
        <x:f>L158+V158</x:f>
        <x:v>856.5416373469739</x:v>
      </x:c>
      <x:c r="BA158" t="n">
        <x:f>M158+W158</x:f>
        <x:v>920.9607165220065</x:v>
      </x:c>
      <x:c r="BB158" t="n">
        <x:f>N158+X158</x:f>
        <x:v>948.5895380176667</x:v>
      </x:c>
      <x:c r="BC158" t="n">
        <x:f>AS158/'Inputs'!$D$14-1</x:f>
        <x:v>0.17425848672373911</x:v>
      </x:c>
      <x:c r="BD158" t="n">
        <x:f>AT158/AS158-1</x:f>
        <x:v>0.2005304243846311</x:v>
      </x:c>
      <x:c r="BE158" t="n">
        <x:f>AU158/AT158-1</x:f>
        <x:v>0.22034150574945732</x:v>
      </x:c>
      <x:c r="BF158" t="n">
        <x:f>AV158/AU158-1</x:f>
        <x:v>0.23900511578325156</x:v>
      </x:c>
      <x:c r="BG158" t="n">
        <x:f>AW158/AV158-1</x:f>
        <x:v>0.25604172620587584</x:v>
      </x:c>
      <x:c r="BH158" t="n">
        <x:f>AX158/AW158-1</x:f>
        <x:v>0.21083338096470072</x:v>
      </x:c>
      <x:c r="BI158" t="n">
        <x:f>AY158/AX158-1</x:f>
        <x:v>0.16562503572352538</x:v>
      </x:c>
      <x:c r="BJ158" t="n">
        <x:f>AZ158/AY158-1</x:f>
        <x:v>0.12041669048235026</x:v>
      </x:c>
      <x:c r="BK158" t="n">
        <x:f>BA158/AZ158-1</x:f>
        <x:v>0.07520834524117515</x:v>
      </x:c>
      <x:c r="BL158" t="n">
        <x:f>BB158/BA158-1</x:f>
        <x:v>0.030000000000000027</x:v>
      </x:c>
      <x:c r="BM158" t="n">
        <x:f>AH158*(1-'Assumptions'!$F$9)*(1+'Assumptions'!$D$9)*(1-'Assumptions'!$D$9/'Assumptions'!$E$9)</x:f>
        <x:v>453.375219649631</x:v>
      </x:c>
      <x:c r="BN158" t="n">
        <x:f>SUMPRODUCT(AI158:AR158,'NSSC Model'!$B$83:$K$83)+BM158/('Assumptions'!$C$9-'Assumptions'!$D$9)*'NSSC Model'!$K$83</x:f>
        <x:v>4000.575313275089</x:v>
      </x:c>
      <x:c r="BO158" t="n">
        <x:f>'NSSC Model'!$B$94</x:f>
        <x:v>101.2</x:v>
      </x:c>
      <x:c r="BP158" t="n">
        <x:f>'Inputs'!$D$8</x:f>
        <x:v>35.891</x:v>
      </x:c>
    </x:row>
    <x:row r="159">
      <x:c r="A159" t="str">
        <x:v>NSSC</x:v>
      </x:c>
      <x:c r="B159" s="22" t="n">
        <x:v>0.35</x:v>
      </x:c>
      <x:c r="C159" s="42" t="n">
        <x:f>(BN159+BO159)/BP159</x:f>
        <x:v>120.30506036430761</x:v>
      </x:c>
      <x:c r="D159" s="22" t="n">
        <x:f>C159/'Inputs'!$D$5-1</x:f>
        <x:v>2.2506095748259285</x:v>
      </x:c>
      <x:c r="E159" t="n">
        <x:f>'Inputs'!$D$21*(1+$B159)^1</x:f>
        <x:v>131.6628</x:v>
      </x:c>
      <x:c r="F159" t="n">
        <x:f>'Inputs'!$D$21*(1+$B159)^2</x:f>
        <x:v>177.74478000000002</x:v>
      </x:c>
      <x:c r="G159" t="n">
        <x:f>'Inputs'!$D$21*(1+$B159)^3</x:f>
        <x:v>239.95545300000006</x:v>
      </x:c>
      <x:c r="H159" t="n">
        <x:f>'Inputs'!$D$21*(1+$B159)^4</x:f>
        <x:v>323.9398615500001</x:v>
      </x:c>
      <x:c r="I159" t="n">
        <x:f>'Inputs'!$D$21*(1+$B159)^5</x:f>
        <x:v>437.3188130925002</x:v>
      </x:c>
      <x:c r="J159" t="n">
        <x:f>I159*(1+($BG159+('Assumptions'!$D$9-$BG159)*(6-5)/5))</x:f>
        <x:v>532.7242617477103</x:v>
      </x:c>
      <x:c r="K159" t="n">
        <x:f>J159*(1+($BG159+('Assumptions'!$D$9-$BG159)*(7-5)/5))</x:f>
        <x:v>623.8840158482794</x:v>
      </x:c>
      <x:c r="L159" t="n">
        <x:f>K159*(1+($BG159+('Assumptions'!$D$9-$BG159)*(8-5)/5))</x:f>
        <x:v>701.2955276942638</x:v>
      </x:c>
      <x:c r="M159" t="n">
        <x:f>L159*(1+($BG159+('Assumptions'!$D$9-$BG159)*(9-5)/5))</x:f>
        <x:v>755.3233256828123</x:v>
      </x:c>
      <x:c r="N159" t="n">
        <x:f>M159*(1+($BG159+('Assumptions'!$D$9-$BG159)*(10-5)/5))</x:f>
        <x:v>777.9830254532967</x:v>
      </x:c>
      <x:c r="O159" t="n">
        <x:f>'NSSC Model'!$B$68</x:f>
        <x:v>106.88376</x:v>
      </x:c>
      <x:c r="P159" t="n">
        <x:f>'NSSC Model'!$C$68</x:f>
        <x:v>110.0902728</x:v>
      </x:c>
      <x:c r="Q159" t="n">
        <x:f>'NSSC Model'!$D$68</x:f>
        <x:v>113.39298098399999</x:v>
      </x:c>
      <x:c r="R159" t="n">
        <x:f>'NSSC Model'!$E$68</x:f>
        <x:v>116.79477041352</x:v>
      </x:c>
      <x:c r="S159" t="n">
        <x:f>'NSSC Model'!$F$68</x:f>
        <x:v>120.2986135259256</x:v>
      </x:c>
      <x:c r="T159" t="n">
        <x:f>S159*(1+($BG159+('Assumptions'!$D$9-$BG159)*(6-5)/5))</x:f>
        <x:v>146.5429525583126</x:v>
      </x:c>
      <x:c r="U159" t="n">
        <x:f>T159*(1+($BG159+('Assumptions'!$D$9-$BG159)*(7-5)/5))</x:f>
        <x:v>171.61937666665116</x:v>
      </x:c>
      <x:c r="V159" t="n">
        <x:f>U159*(1+($BG159+('Assumptions'!$D$9-$BG159)*(8-5)/5))</x:f>
        <x:v>192.91390429093596</x:v>
      </x:c>
      <x:c r="W159" t="n">
        <x:f>V159*(1+($BG159+('Assumptions'!$D$9-$BG159)*(9-5)/5))</x:f>
        <x:v>207.77598887385196</x:v>
      </x:c>
      <x:c r="X159" t="n">
        <x:f>W159*(1+($BG159+('Assumptions'!$D$9-$BG159)*(10-5)/5))</x:f>
        <x:v>214.00926854006752</x:v>
      </x:c>
      <x:c r="Y159" t="n">
        <x:f>E159*'NSSC Model'!$B$62+O159*'NSSC Model'!$B$63+'NSSC Model'!$B$73+'NSSC Model'!$B$74</x:f>
        <x:v>88.75015132000001</x:v>
      </x:c>
      <x:c r="Z159" t="n">
        <x:f>F159*'NSSC Model'!$C$62+P159*'NSSC Model'!$C$63+'NSSC Model'!$C$73+'NSSC Model'!$C$74</x:f>
        <x:v>128.254423991</x:v>
      </x:c>
      <x:c r="AA159" t="n">
        <x:f>G159*'NSSC Model'!$D$62+Q159*'NSSC Model'!$D$63+'NSSC Model'!$D$73+'NSSC Model'!$D$74</x:f>
        <x:v>182.41200967382508</x:v>
      </x:c>
      <x:c r="AB159" t="n">
        <x:f>H159*'NSSC Model'!$E$62+R159*'NSSC Model'!$E$63+'NSSC Model'!$E$73+'NSSC Model'!$E$74</x:f>
        <x:v>255.51475619591048</x:v>
      </x:c>
      <x:c r="AC159" t="n">
        <x:f>I159*'NSSC Model'!$F$62+S159*'NSSC Model'!$F$63+'NSSC Model'!$F$73+'NSSC Model'!$F$74</x:f>
        <x:v>354.984827027581</x:v>
      </x:c>
      <x:c r="AD159" t="n">
        <x:f>AX159*$AC159/$AW159</x:f>
        <x:v>432.42829772774263</x:v>
      </x:c>
      <x:c r="AE159" t="n">
        <x:f>AY159*$AC159/$AW159</x:f>
        <x:v>506.4254105261408</x:v>
      </x:c>
      <x:c r="AF159" t="n">
        <x:f>AZ159*$AC159/$AW159</x:f>
        <x:v>569.2626617943085</x:v>
      </x:c>
      <x:c r="AG159" t="n">
        <x:f>BA159*$AC159/$AW159</x:f>
        <x:v>613.1186495759026</x:v>
      </x:c>
      <x:c r="AH159" t="n">
        <x:f>BB159*$AC159/$AW159</x:f>
        <x:v>631.5122090631799</x:v>
      </x:c>
      <x:c r="AI159" t="n">
        <x:f>Y159*(1-'Assumptions'!$F$9)+AS159*'Assumptions'!$G$9-AS159*'NSSC Model'!$B$65-(AS159-'Inputs'!$D$14)*'Assumptions'!$H$9-'Assumptions'!$I$9</x:f>
        <x:v>68.19788184240001</x:v>
      </x:c>
      <x:c r="AJ159" t="n">
        <x:f>Z159*(1-'Assumptions'!$F$9)+AT159*'Assumptions'!$G$9-AT159*'NSSC Model'!$C$65-(AT159-AS159)*'Assumptions'!$H$9-0</x:f>
        <x:v>99.08843818142002</x:v>
      </x:c>
      <x:c r="AK159" t="n">
        <x:f>AA159*(1-'Assumptions'!$F$9)+AU159*'Assumptions'!$G$9-AU159*'NSSC Model'!$D$65-(AU159-AT159)*'Assumptions'!$H$9-0</x:f>
        <x:v>141.6131160782006</x:v>
      </x:c>
      <x:c r="AL159" t="n">
        <x:f>AB159*(1-'Assumptions'!$F$9)+AV159*'Assumptions'!$G$9-AV159*'NSSC Model'!$E$65-(AV159-AU159)*'Assumptions'!$H$9-0</x:f>
        <x:v>199.0205417548405</x:v>
      </x:c>
      <x:c r="AM159" t="n">
        <x:f>AC159*(1-'Assumptions'!$F$9)+AW159*'Assumptions'!$G$9-AW159*'NSSC Model'!$F$65-(AW159-AV159)*'Assumptions'!$H$9-0</x:f>
        <x:v>277.16880899065217</x:v>
      </x:c>
      <x:c r="AN159" t="n">
        <x:f>AD159*(1-'Assumptions'!$F$9)+AX159*'Assumptions'!$G$9-AX159*'NSSC Model'!$G$65-(AX159-AW159)*'Assumptions'!$H$9-0</x:f>
        <x:v>339.7091565107652</x:v>
      </x:c>
      <x:c r="AO159" t="n">
        <x:f>AE159*(1-'Assumptions'!$F$9)+AY159*'Assumptions'!$G$9-AY159*'NSSC Model'!$H$65-(AY159-AX159)*'Assumptions'!$H$9-0</x:f>
        <x:v>400.46320524048497</x:v>
      </x:c>
      <x:c r="AP159" t="n">
        <x:f>AF159*(1-'Assumptions'!$F$9)+AZ159*'Assumptions'!$G$9-AZ159*'NSSC Model'!$I$65-(AZ159-AY159)*'Assumptions'!$H$9-0</x:f>
        <x:v>453.3479409963653</x:v>
      </x:c>
      <x:c r="AQ159" t="n">
        <x:f>AG159*(1-'Assumptions'!$F$9)+BA159*'Assumptions'!$G$9-BA159*'NSSC Model'!$J$65-(BA159-AZ159)*'Assumptions'!$H$9-0</x:f>
        <x:v>492.0159071368671</x:v>
      </x:c>
      <x:c r="AR159" t="n">
        <x:f>AH159*(1-'Assumptions'!$F$9)+BB159*'Assumptions'!$G$9-BB159*'NSSC Model'!$K$65-(BB159-BA159)*'Assumptions'!$H$9-0</x:f>
        <x:v>510.98274431216413</x:v>
      </x:c>
      <x:c r="AS159" t="n">
        <x:f>E159+O159</x:f>
        <x:v>238.54656</x:v>
      </x:c>
      <x:c r="AT159" t="n">
        <x:f>F159+P159</x:f>
        <x:v>287.8350528</x:v>
      </x:c>
      <x:c r="AU159" t="n">
        <x:f>G159+Q159</x:f>
        <x:v>353.34843398400005</x:v>
      </x:c>
      <x:c r="AV159" t="n">
        <x:f>H159+R159</x:f>
        <x:v>440.7346319635201</x:v>
      </x:c>
      <x:c r="AW159" t="n">
        <x:f>I159+S159</x:f>
        <x:v>557.6174266184258</x:v>
      </x:c>
      <x:c r="AX159" t="n">
        <x:f>J159+T159</x:f>
        <x:v>679.2672143060229</x:v>
      </x:c>
      <x:c r="AY159" t="n">
        <x:f>K159+U159</x:f>
        <x:v>795.5033925149306</x:v>
      </x:c>
      <x:c r="AZ159" t="n">
        <x:f>L159+V159</x:f>
        <x:v>894.2094319851998</x:v>
      </x:c>
      <x:c r="BA159" t="n">
        <x:f>M159+W159</x:f>
        <x:v>963.0993145566642</x:v>
      </x:c>
      <x:c r="BB159" t="n">
        <x:f>N159+X159</x:f>
        <x:v>991.9922939933642</x:v>
      </x:c>
      <x:c r="BC159" t="n">
        <x:f>AS159/'Inputs'!$D$14-1</x:f>
        <x:v>0.17907906443385602</x:v>
      </x:c>
      <x:c r="BD159" t="n">
        <x:f>AT159/AS159-1</x:f>
        <x:v>0.206620010785316</x:v>
      </x:c>
      <x:c r="BE159" t="n">
        <x:f>AU159/AT159-1</x:f>
        <x:v>0.22760737633133754</x:v>
      </x:c>
      <x:c r="BF159" t="n">
        <x:f>AV159/AU159-1</x:f>
        <x:v>0.24730885883444143</x:v>
      </x:c>
      <x:c r="BG159" t="n">
        <x:f>AW159/AV159-1</x:f>
        <x:v>0.26519993251762486</x:v>
      </x:c>
      <x:c r="BH159" t="n">
        <x:f>AX159/AW159-1</x:f>
        <x:v>0.21815994601409971</x:v>
      </x:c>
      <x:c r="BI159" t="n">
        <x:f>AY159/AX159-1</x:f>
        <x:v>0.17111995951057501</x:v>
      </x:c>
      <x:c r="BJ159" t="n">
        <x:f>AZ159/AY159-1</x:f>
        <x:v>0.12407997300704987</x:v>
      </x:c>
      <x:c r="BK159" t="n">
        <x:f>BA159/AZ159-1</x:f>
        <x:v>0.07703998650352495</x:v>
      </x:c>
      <x:c r="BL159" t="n">
        <x:f>BB159/BA159-1</x:f>
        <x:v>0.030000000000000027</x:v>
      </x:c>
      <x:c r="BM159" t="n">
        <x:f>AH159*(1-'Assumptions'!$F$9)*(1+'Assumptions'!$D$9)*(1-'Assumptions'!$D$9/'Assumptions'!$E$9)</x:f>
        <x:v>480.0376905972856</x:v>
      </x:c>
      <x:c r="BN159" t="n">
        <x:f>SUMPRODUCT(AI159:AR159,'NSSC Model'!$B$83:$K$83)+BM159/('Assumptions'!$C$9-'Assumptions'!$D$9)*'NSSC Model'!$K$83</x:f>
        <x:v>4216.6689215353645</x:v>
      </x:c>
      <x:c r="BO159" t="n">
        <x:f>'NSSC Model'!$B$94</x:f>
        <x:v>101.2</x:v>
      </x:c>
      <x:c r="BP159" t="n">
        <x:f>'Inputs'!$D$8</x:f>
        <x:v>35.891</x:v>
      </x:c>
    </x:row>
    <x:row r="160">
      <x:c r="A160" t="str">
        <x:v>NSSC</x:v>
      </x:c>
      <x:c r="B160" s="22" t="n">
        <x:v>0.36</x:v>
      </x:c>
      <x:c r="C160" s="42" t="n">
        <x:f>(BN160+BO160)/BP160</x:f>
        <x:v>126.61262919892152</x:v>
      </x:c>
      <x:c r="D160" s="22" t="n">
        <x:f>C160/'Inputs'!$D$5-1</x:f>
        <x:v>2.421038346363727</x:v>
      </x:c>
      <x:c r="E160" t="n">
        <x:f>'Inputs'!$D$21*(1+$B160)^1</x:f>
        <x:v>132.63808</x:v>
      </x:c>
      <x:c r="F160" t="n">
        <x:f>'Inputs'!$D$21*(1+$B160)^2</x:f>
        <x:v>180.38778879999998</x:v>
      </x:c>
      <x:c r="G160" t="n">
        <x:f>'Inputs'!$D$21*(1+$B160)^3</x:f>
        <x:v>245.32739276799995</x:v>
      </x:c>
      <x:c r="H160" t="n">
        <x:f>'Inputs'!$D$21*(1+$B160)^4</x:f>
        <x:v>333.6452541644799</x:v>
      </x:c>
      <x:c r="I160" t="n">
        <x:f>'Inputs'!$D$21*(1+$B160)^5</x:f>
        <x:v>453.75754566369267</x:v>
      </x:c>
      <x:c r="J160" t="n">
        <x:f>I160*(1+($BG160+('Assumptions'!$D$9-$BG160)*(6-5)/5))</x:f>
        <x:v>556.1013515454121</x:v>
      </x:c>
      <x:c r="K160" t="n">
        <x:f>J160*(1+($BG160+('Assumptions'!$D$9-$BG160)*(7-5)/5))</x:f>
        <x:v>654.3424957180637</x:v>
      </x:c>
      <x:c r="L160" t="n">
        <x:f>K160*(1+($BG160+('Assumptions'!$D$9-$BG160)*(8-5)/5))</x:f>
        <x:v>737.9502367170195</x:v>
      </x:c>
      <x:c r="M160" t="n">
        <x:f>L160*(1+($BG160+('Assumptions'!$D$9-$BG160)*(9-5)/5))</x:f>
        <x:v>796.1647946498844</x:v>
      </x:c>
      <x:c r="N160" t="n">
        <x:f>M160*(1+($BG160+('Assumptions'!$D$9-$BG160)*(10-5)/5))</x:f>
        <x:v>820.049738489381</x:v>
      </x:c>
      <x:c r="O160" t="n">
        <x:f>'NSSC Model'!$B$68</x:f>
        <x:v>106.88376</x:v>
      </x:c>
      <x:c r="P160" t="n">
        <x:f>'NSSC Model'!$C$68</x:f>
        <x:v>110.0902728</x:v>
      </x:c>
      <x:c r="Q160" t="n">
        <x:f>'NSSC Model'!$D$68</x:f>
        <x:v>113.39298098399999</x:v>
      </x:c>
      <x:c r="R160" t="n">
        <x:f>'NSSC Model'!$E$68</x:f>
        <x:v>116.79477041352</x:v>
      </x:c>
      <x:c r="S160" t="n">
        <x:f>'NSSC Model'!$F$68</x:f>
        <x:v>120.2986135259256</x:v>
      </x:c>
      <x:c r="T160" t="n">
        <x:f>S160*(1+($BG160+('Assumptions'!$D$9-$BG160)*(6-5)/5))</x:f>
        <x:v>147.43164540207724</x:v>
      </x:c>
      <x:c r="U160" t="n">
        <x:f>T160*(1+($BG160+('Assumptions'!$D$9-$BG160)*(7-5)/5))</x:f>
        <x:v>173.4769939546494</x:v>
      </x:c>
      <x:c r="V160" t="n">
        <x:f>U160*(1+($BG160+('Assumptions'!$D$9-$BG160)*(8-5)/5))</x:f>
        <x:v>195.64278583695915</x:v>
      </x:c>
      <x:c r="W160" t="n">
        <x:f>V160*(1+($BG160+('Assumptions'!$D$9-$BG160)*(9-5)/5))</x:f>
        <x:v>211.07642583539737</x:v>
      </x:c>
      <x:c r="X160" t="n">
        <x:f>W160*(1+($BG160+('Assumptions'!$D$9-$BG160)*(10-5)/5))</x:f>
        <x:v>217.4087186104593</x:v>
      </x:c>
      <x:c r="Y160" t="n">
        <x:f>E160*'NSSC Model'!$B$62+O160*'NSSC Model'!$B$63+'NSSC Model'!$B$73+'NSSC Model'!$B$74</x:f>
        <x:v>89.63082915999999</x:v>
      </x:c>
      <x:c r="Z160" t="n">
        <x:f>F160*'NSSC Model'!$C$62+P160*'NSSC Model'!$C$63+'NSSC Model'!$C$73+'NSSC Model'!$C$74</x:f>
        <x:v>130.6410609374</x:v>
      </x:c>
      <x:c r="AA160" t="n">
        <x:f>G160*'NSSC Model'!$D$62+Q160*'NSSC Model'!$D$63+'NSSC Model'!$D$73+'NSSC Model'!$D$74</x:f>
        <x:v>187.26287128432898</x:v>
      </x:c>
      <x:c r="AB160" t="n">
        <x:f>H160*'NSSC Model'!$E$62+R160*'NSSC Model'!$E$63+'NSSC Model'!$E$73+'NSSC Model'!$E$74</x:f>
        <x:v>264.27872572678575</x:v>
      </x:c>
      <x:c r="AC160" t="n">
        <x:f>I160*'NSSC Model'!$F$62+S160*'NSSC Model'!$F$63+'NSSC Model'!$F$73+'NSSC Model'!$F$74</x:f>
        <x:v>369.8290025393678</x:v>
      </x:c>
      <x:c r="AD160" t="n">
        <x:f>AX160*$AC160/$AW160</x:f>
        <x:v>453.24294905558</x:v>
      </x:c>
      <x:c r="AE160" t="n">
        <x:f>AY160*$AC160/$AW160</x:f>
        <x:v>533.3130761640031</x:v>
      </x:c>
      <x:c r="AF160" t="n">
        <x:f>AZ160*$AC160/$AW160</x:f>
        <x:v>601.4564442549677</x:v>
      </x:c>
      <x:c r="AG160" t="n">
        <x:f>BA160*$AC160/$AW160</x:f>
        <x:v>648.903439019741</x:v>
      </x:c>
      <x:c r="AH160" t="n">
        <x:f>BB160*$AC160/$AW160</x:f>
        <x:v>668.3705421903333</x:v>
      </x:c>
      <x:c r="AI160" t="n">
        <x:f>Y160*(1-'Assumptions'!$F$9)+AS160*'Assumptions'!$G$9-AS160*'NSSC Model'!$B$65-(AS160-'Inputs'!$D$14)*'Assumptions'!$H$9-'Assumptions'!$I$9</x:f>
        <x:v>68.81860855119999</x:v>
      </x:c>
      <x:c r="AJ160" t="n">
        <x:f>Z160*(1-'Assumptions'!$F$9)+AT160*'Assumptions'!$G$9-AT160*'NSSC Model'!$C$65-(AT160-AS160)*'Assumptions'!$H$9-0</x:f>
        <x:v>100.868135562268</x:v>
      </x:c>
      <x:c r="AK160" t="n">
        <x:f>AA160*(1-'Assumptions'!$F$9)+AU160*'Assumptions'!$G$9-AU160*'NSSC Model'!$D$65-(AU160-AT160)*'Assumptions'!$H$9-0</x:f>
        <x:v>145.29644174294177</x:v>
      </x:c>
      <x:c r="AL160" t="n">
        <x:f>AB160*(1-'Assumptions'!$F$9)+AV160*'Assumptions'!$G$9-AV160*'NSSC Model'!$E$65-(AV160-AU160)*'Assumptions'!$H$9-0</x:f>
        <x:v>205.73482991505233</x:v>
      </x:c>
      <x:c r="AM160" t="n">
        <x:f>AC160*(1-'Assumptions'!$F$9)+AW160*'Assumptions'!$G$9-AW160*'NSSC Model'!$F$65-(AW160-AV160)*'Assumptions'!$H$9-0</x:f>
        <x:v>288.6019439843613</x:v>
      </x:c>
      <x:c r="AN160" t="n">
        <x:f>AD160*(1-'Assumptions'!$F$9)+AX160*'Assumptions'!$G$9-AX160*'NSSC Model'!$G$65-(AX160-AW160)*'Assumptions'!$H$9-0</x:f>
        <x:v>355.89740246199864</x:v>
      </x:c>
      <x:c r="AO160" t="n">
        <x:f>AE160*(1-'Assumptions'!$F$9)+AY160*'Assumptions'!$G$9-AY160*'NSSC Model'!$H$65-(AY160-AX160)*'Assumptions'!$H$9-0</x:f>
        <x:v>421.57679522326936</x:v>
      </x:c>
      <x:c r="AP160" t="n">
        <x:f>AF160*(1-'Assumptions'!$F$9)+AZ160*'Assumptions'!$G$9-AZ160*'NSSC Model'!$I$65-(AZ160-AY160)*'Assumptions'!$H$9-0</x:f>
        <x:v>478.882558910731</x:v>
      </x:c>
      <x:c r="AQ160" t="n">
        <x:f>AG160*(1-'Assumptions'!$F$9)+BA160*'Assumptions'!$G$9-BA160*'NSSC Model'!$J$65-(BA160-AZ160)*'Assumptions'!$H$9-0</x:f>
        <x:v>520.7070353211161</x:v>
      </x:c>
      <x:c r="AR160" t="n">
        <x:f>AH160*(1-'Assumptions'!$F$9)+BB160*'Assumptions'!$G$9-BB160*'NSSC Model'!$K$65-(BB160-BA160)*'Assumptions'!$H$9-0</x:f>
        <x:v>540.892287106218</x:v>
      </x:c>
      <x:c r="AS160" t="n">
        <x:f>E160+O160</x:f>
        <x:v>239.52184</x:v>
      </x:c>
      <x:c r="AT160" t="n">
        <x:f>F160+P160</x:f>
        <x:v>290.4780616</x:v>
      </x:c>
      <x:c r="AU160" t="n">
        <x:f>G160+Q160</x:f>
        <x:v>358.72037375199994</x:v>
      </x:c>
      <x:c r="AV160" t="n">
        <x:f>H160+R160</x:f>
        <x:v>450.4400245779999</x:v>
      </x:c>
      <x:c r="AW160" t="n">
        <x:f>I160+S160</x:f>
        <x:v>574.0561591896183</x:v>
      </x:c>
      <x:c r="AX160" t="n">
        <x:f>J160+T160</x:f>
        <x:v>703.5329969474893</x:v>
      </x:c>
      <x:c r="AY160" t="n">
        <x:f>K160+U160</x:f>
        <x:v>827.8194896727131</x:v>
      </x:c>
      <x:c r="AZ160" t="n">
        <x:f>L160+V160</x:f>
        <x:v>933.5930225539787</x:v>
      </x:c>
      <x:c r="BA160" t="n">
        <x:f>M160+W160</x:f>
        <x:v>1007.2412204852817</x:v>
      </x:c>
      <x:c r="BB160" t="n">
        <x:f>N160+X160</x:f>
        <x:v>1037.4584570998402</x:v>
      </x:c>
      <x:c r="BC160" t="n">
        <x:f>AS160/'Inputs'!$D$14-1</x:f>
        <x:v>0.1838996421439727</x:v>
      </x:c>
      <x:c r="BD160" t="n">
        <x:f>AT160/AS160-1</x:f>
        <x:v>0.21274144186601096</x:v>
      </x:c>
      <x:c r="BE160" t="n">
        <x:f>AU160/AT160-1</x:f>
        <x:v>0.23493103670587123</x:v>
      </x:c>
      <x:c r="BF160" t="n">
        <x:f>AV160/AU160-1</x:f>
        <x:v>0.2556856469195419</x:v>
      </x:c>
      <x:c r="BG160" t="n">
        <x:f>AW160/AV160-1</x:f>
        <x:v>0.2744341707365583</x:v>
      </x:c>
      <x:c r="BH160" t="n">
        <x:f>AX160/AW160-1</x:f>
        <x:v>0.22554733658924686</x:v>
      </x:c>
      <x:c r="BI160" t="n">
        <x:f>AY160/AX160-1</x:f>
        <x:v>0.17666050244193499</x:v>
      </x:c>
      <x:c r="BJ160" t="n">
        <x:f>AZ160/AY160-1</x:f>
        <x:v>0.12777366829462333</x:v>
      </x:c>
      <x:c r="BK160" t="n">
        <x:f>BA160/AZ160-1</x:f>
        <x:v>0.07888683414731146</x:v>
      </x:c>
      <x:c r="BL160" t="n">
        <x:f>BB160/BA160-1</x:f>
        <x:v>0.030000000000000027</x:v>
      </x:c>
      <x:c r="BM160" t="n">
        <x:f>AH160*(1-'Assumptions'!$F$9)*(1+'Assumptions'!$D$9)*(1-'Assumptions'!$D$9/'Assumptions'!$E$9)</x:f>
        <x:v>508.0551839405599</x:v>
      </x:c>
      <x:c r="BN160" t="n">
        <x:f>SUMPRODUCT(AI160:AR160,'NSSC Model'!$B$83:$K$83)+BM160/('Assumptions'!$C$9-'Assumptions'!$D$9)*'NSSC Model'!$K$83</x:f>
        <x:v>4443.0538745784925</x:v>
      </x:c>
      <x:c r="BO160" t="n">
        <x:f>'NSSC Model'!$B$94</x:f>
        <x:v>101.2</x:v>
      </x:c>
      <x:c r="BP160" t="n">
        <x:f>'Inputs'!$D$8</x:f>
        <x:v>35.891</x:v>
      </x:c>
    </x:row>
    <x:row r="161">
      <x:c r="A161" t="str">
        <x:v>NSSC</x:v>
      </x:c>
      <x:c r="B161" s="22" t="n">
        <x:v>0.37</x:v>
      </x:c>
      <x:c r="C161" s="42" t="n">
        <x:f>(BN161+BO161)/BP161</x:f>
        <x:v>133.21907392984087</x:v>
      </x:c>
      <x:c r="D161" s="22" t="n">
        <x:f>C161/'Inputs'!$D$5-1</x:f>
        <x:v>2.5995426622491458</x:v>
      </x:c>
      <x:c r="E161" t="n">
        <x:f>'Inputs'!$D$21*(1+$B161)^1</x:f>
        <x:v>133.61336000000003</x:v>
      </x:c>
      <x:c r="F161" t="n">
        <x:f>'Inputs'!$D$21*(1+$B161)^2</x:f>
        <x:v>183.05030320000003</x:v>
      </x:c>
      <x:c r="G161" t="n">
        <x:f>'Inputs'!$D$21*(1+$B161)^3</x:f>
        <x:v>250.77891538400007</x:v>
      </x:c>
      <x:c r="H161" t="n">
        <x:f>'Inputs'!$D$21*(1+$B161)^4</x:f>
        <x:v>343.5671140760801</x:v>
      </x:c>
      <x:c r="I161" t="n">
        <x:f>'Inputs'!$D$21*(1+$B161)^5</x:f>
        <x:v>470.6869462842298</x:v>
      </x:c>
      <x:c r="J161" t="n">
        <x:f>I161*(1+($BG161+('Assumptions'!$D$9-$BG161)*(6-5)/5))</x:f>
        <x:v>580.3537253069854</x:v>
      </x:c>
      <x:c r="K161" t="n">
        <x:f>J161*(1+($BG161+('Assumptions'!$D$9-$BG161)*(7-5)/5))</x:f>
        <x:v>686.1201590793262</x:v>
      </x:c>
      <x:c r="L161" t="n">
        <x:f>K161*(1+($BG161+('Assumptions'!$D$9-$BG161)*(8-5)/5))</x:f>
        <x:v>776.3425697634708</x:v>
      </x:c>
      <x:c r="M161" t="n">
        <x:f>L161*(1+($BG161+('Assumptions'!$D$9-$BG161)*(9-5)/5))</x:f>
        <x:v>839.0308800007039</x:v>
      </x:c>
      <x:c r="N161" t="n">
        <x:f>M161*(1+($BG161+('Assumptions'!$D$9-$BG161)*(10-5)/5))</x:f>
        <x:v>864.201806400725</x:v>
      </x:c>
      <x:c r="O161" t="n">
        <x:f>'NSSC Model'!$B$68</x:f>
        <x:v>106.88376</x:v>
      </x:c>
      <x:c r="P161" t="n">
        <x:f>'NSSC Model'!$C$68</x:f>
        <x:v>110.0902728</x:v>
      </x:c>
      <x:c r="Q161" t="n">
        <x:f>'NSSC Model'!$D$68</x:f>
        <x:v>113.39298098399999</x:v>
      </x:c>
      <x:c r="R161" t="n">
        <x:f>'NSSC Model'!$E$68</x:f>
        <x:v>116.79477041352</x:v>
      </x:c>
      <x:c r="S161" t="n">
        <x:f>'NSSC Model'!$F$68</x:f>
        <x:v>120.2986135259256</x:v>
      </x:c>
      <x:c r="T161" t="n">
        <x:f>S161*(1+($BG161+('Assumptions'!$D$9-$BG161)*(6-5)/5))</x:f>
        <x:v>148.32735230961168</x:v>
      </x:c>
      <x:c r="U161" t="n">
        <x:f>T161*(1+($BG161+('Assumptions'!$D$9-$BG161)*(7-5)/5))</x:f>
        <x:v>175.35923717669476</x:v>
      </x:c>
      <x:c r="V161" t="n">
        <x:f>U161*(1+($BG161+('Assumptions'!$D$9-$BG161)*(8-5)/5))</x:f>
        <x:v>198.41836596696965</x:v>
      </x:c>
      <x:c r="W161" t="n">
        <x:f>V161*(1+($BG161+('Assumptions'!$D$9-$BG161)*(9-5)/5))</x:f>
        <x:v>214.44030340406252</x:v>
      </x:c>
      <x:c r="X161" t="n">
        <x:f>W161*(1+($BG161+('Assumptions'!$D$9-$BG161)*(10-5)/5))</x:f>
        <x:v>220.8735125061844</x:v>
      </x:c>
      <x:c r="Y161" t="n">
        <x:f>E161*'NSSC Model'!$B$62+O161*'NSSC Model'!$B$63+'NSSC Model'!$B$73+'NSSC Model'!$B$74</x:f>
        <x:v>90.51150700000002</x:v>
      </x:c>
      <x:c r="Z161" t="n">
        <x:f>F161*'NSSC Model'!$C$62+P161*'NSSC Model'!$C$63+'NSSC Model'!$C$73+'NSSC Model'!$C$74</x:f>
        <x:v>133.04531144060005</x:v>
      </x:c>
      <x:c r="AA161" t="n">
        <x:f>G161*'NSSC Model'!$D$62+Q161*'NSSC Model'!$D$63+'NSSC Model'!$D$73+'NSSC Model'!$D$74</x:f>
        <x:v>192.1855962065771</x:v>
      </x:c>
      <x:c r="AB161" t="n">
        <x:f>H161*'NSSC Model'!$E$62+R161*'NSSC Model'!$E$63+'NSSC Model'!$E$73+'NSSC Model'!$E$74</x:f>
        <x:v>273.2381652269607</x:v>
      </x:c>
      <x:c r="AC161" t="n">
        <x:f>I161*'NSSC Model'!$F$62+S161*'NSSC Model'!$F$63+'NSSC Model'!$F$73+'NSSC Model'!$F$74</x:f>
        <x:v>385.11625129971287</x:v>
      </x:c>
      <x:c r="AD161" t="n">
        <x:f>AX161*$AC161/$AW161</x:f>
        <x:v>474.8456545958346</x:v>
      </x:c>
      <x:c r="AE161" t="n">
        <x:f>AY161*$AC161/$AW161</x:f>
        <x:v>561.3837938183029</x:v>
      </x:c>
      <x:c r="AF161" t="n">
        <x:f>AZ161*$AC161/$AW161</x:f>
        <x:v>635.203807014333</x:v>
      </x:c>
      <x:c r="AG161" t="n">
        <x:f>BA161*$AC161/$AW161</x:f>
        <x:v>686.4954080019203</x:v>
      </x:c>
      <x:c r="AH161" t="n">
        <x:f>BB161*$AC161/$AW161</x:f>
        <x:v>707.0902702419778</x:v>
      </x:c>
      <x:c r="AI161" t="n">
        <x:f>Y161*(1-'Assumptions'!$F$9)+AS161*'Assumptions'!$G$9-AS161*'NSSC Model'!$B$65-(AS161-'Inputs'!$D$14)*'Assumptions'!$H$9-'Assumptions'!$I$9</x:f>
        <x:v>69.43933526000004</x:v>
      </x:c>
      <x:c r="AJ161" t="n">
        <x:f>Z161*(1-'Assumptions'!$F$9)+AT161*'Assumptions'!$G$9-AT161*'NSSC Model'!$C$65-(AT161-AS161)*'Assumptions'!$H$9-0</x:f>
        <x:v>102.66024747729205</x:v>
      </x:c>
      <x:c r="AK161" t="n">
        <x:f>AA161*(1-'Assumptions'!$F$9)+AU161*'Assumptions'!$G$9-AU161*'NSSC Model'!$D$65-(AU161-AT161)*'Assumptions'!$H$9-0</x:f>
        <x:v>149.03236926712123</x:v>
      </x:c>
      <x:c r="AL161" t="n">
        <x:f>AB161*(1-'Assumptions'!$F$9)+AV161*'Assumptions'!$G$9-AV161*'NSSC Model'!$E$65-(AV161-AU161)*'Assumptions'!$H$9-0</x:f>
        <x:v>212.59484913598936</x:v>
      </x:c>
      <x:c r="AM161" t="n">
        <x:f>AC161*(1-'Assumptions'!$F$9)+AW161*'Assumptions'!$G$9-AW161*'NSSC Model'!$F$65-(AW161-AV161)*'Assumptions'!$H$9-0</x:f>
        <x:v>300.36901629446845</x:v>
      </x:c>
      <x:c r="AN161" t="n">
        <x:f>AD161*(1-'Assumptions'!$F$9)+AX161*'Assumptions'!$G$9-AX161*'NSSC Model'!$G$65-(AX161-AW161)*'Assumptions'!$H$9-0</x:f>
        <x:v>372.68916067747386</x:v>
      </x:c>
      <x:c r="AO161" t="n">
        <x:f>AE161*(1-'Assumptions'!$F$9)+AY161*'Assumptions'!$G$9-AY161*'NSSC Model'!$H$65-(AY161-AX161)*'Assumptions'!$H$9-0</x:f>
        <x:v>443.608961482042</x:v>
      </x:c>
      <x:c r="AP161" t="n">
        <x:f>AF161*(1-'Assumptions'!$F$9)+AZ161*'Assumptions'!$G$9-AZ161*'NSSC Model'!$I$65-(AZ161-AY161)*'Assumptions'!$H$9-0</x:f>
        <x:v>505.6399240613895</x:v>
      </x:c>
      <x:c r="AQ161" t="n">
        <x:f>AG161*(1-'Assumptions'!$F$9)+BA161*'Assumptions'!$G$9-BA161*'NSSC Model'!$J$65-(BA161-AZ161)*'Assumptions'!$H$9-0</x:f>
        <x:v>550.8413250605231</x:v>
      </x:c>
      <x:c r="AR161" t="n">
        <x:f>AH161*(1-'Assumptions'!$F$9)+BB161*'Assumptions'!$G$9-BB161*'NSSC Model'!$K$65-(BB161-BA161)*'Assumptions'!$H$9-0</x:f>
        <x:v>572.3133067725798</x:v>
      </x:c>
      <x:c r="AS161" t="n">
        <x:f>E161+O161</x:f>
        <x:v>240.49712000000002</x:v>
      </x:c>
      <x:c r="AT161" t="n">
        <x:f>F161+P161</x:f>
        <x:v>293.140576</x:v>
      </x:c>
      <x:c r="AU161" t="n">
        <x:f>G161+Q161</x:f>
        <x:v>364.17189636800003</x:v>
      </x:c>
      <x:c r="AV161" t="n">
        <x:f>H161+R161</x:f>
        <x:v>460.3618844896001</x:v>
      </x:c>
      <x:c r="AW161" t="n">
        <x:f>I161+S161</x:f>
        <x:v>590.9855598101555</x:v>
      </x:c>
      <x:c r="AX161" t="n">
        <x:f>J161+T161</x:f>
        <x:v>728.6810776165971</x:v>
      </x:c>
      <x:c r="AY161" t="n">
        <x:f>K161+U161</x:f>
        <x:v>861.4793962560209</x:v>
      </x:c>
      <x:c r="AZ161" t="n">
        <x:f>L161+V161</x:f>
        <x:v>974.7609357304405</x:v>
      </x:c>
      <x:c r="BA161" t="n">
        <x:f>M161+W161</x:f>
        <x:v>1053.4711834047664</x:v>
      </x:c>
      <x:c r="BB161" t="n">
        <x:f>N161+X161</x:f>
        <x:v>1085.0753189069094</x:v>
      </x:c>
      <x:c r="BC161" t="n">
        <x:f>AS161/'Inputs'!$D$14-1</x:f>
        <x:v>0.18872021985408982</x:v>
      </x:c>
      <x:c r="BD161" t="n">
        <x:f>AT161/AS161-1</x:f>
        <x:v>0.21889433021069027</x:v>
      </x:c>
      <x:c r="BE161" t="n">
        <x:f>AU161/AT161-1</x:f>
        <x:v>0.24231145799481557</x:v>
      </x:c>
      <x:c r="BF161" t="n">
        <x:f>AV161/AU161-1</x:f>
        <x:v>0.26413347400206555</x:v>
      </x:c>
      <x:c r="BG161" t="n">
        <x:f>AW161/AV161-1</x:f>
        <x:v>0.2837412907573287</x:v>
      </x:c>
      <x:c r="BH161" t="n">
        <x:f>AX161/AW161-1</x:f>
        <x:v>0.2329930326058629</x:v>
      </x:c>
      <x:c r="BI161" t="n">
        <x:f>AY161/AX161-1</x:f>
        <x:v>0.18224477445439713</x:v>
      </x:c>
      <x:c r="BJ161" t="n">
        <x:f>AZ161/AY161-1</x:f>
        <x:v>0.13149651630293158</x:v>
      </x:c>
      <x:c r="BK161" t="n">
        <x:f>BA161/AZ161-1</x:f>
        <x:v>0.0807482581514658</x:v>
      </x:c>
      <x:c r="BL161" t="n">
        <x:f>BB161/BA161-1</x:f>
        <x:v>0.030000000000000027</x:v>
      </x:c>
      <x:c r="BM161" t="n">
        <x:f>AH161*(1-'Assumptions'!$F$9)*(1+'Assumptions'!$D$9)*(1-'Assumptions'!$D$9/'Assumptions'!$E$9)</x:f>
        <x:v>537.4875980217371</x:v>
      </x:c>
      <x:c r="BN161" t="n">
        <x:f>SUMPRODUCT(AI161:AR161,'NSSC Model'!$B$83:$K$83)+BM161/('Assumptions'!$C$9-'Assumptions'!$D$9)*'NSSC Model'!$K$83</x:f>
        <x:v>4680.165782415919</x:v>
      </x:c>
      <x:c r="BO161" t="n">
        <x:f>'NSSC Model'!$B$94</x:f>
        <x:v>101.2</x:v>
      </x:c>
      <x:c r="BP161" t="n">
        <x:f>'Inputs'!$D$8</x:f>
        <x:v>35.891</x:v>
      </x:c>
    </x:row>
    <x:row r="162">
      <x:c r="A162" t="str">
        <x:v>NSSC</x:v>
      </x:c>
      <x:c r="B162" s="22" t="n">
        <x:v>0.38</x:v>
      </x:c>
      <x:c r="C162" s="42" t="n">
        <x:f>(BN162+BO162)/BP162</x:f>
        <x:v>140.13695329376768</x:v>
      </x:c>
      <x:c r="D162" s="22" t="n">
        <x:f>C162/'Inputs'!$D$5-1</x:f>
        <x:v>2.7864618560866705</x:v>
      </x:c>
      <x:c r="E162" t="n">
        <x:f>'Inputs'!$D$21*(1+$B162)^1</x:f>
        <x:v>134.58864</x:v>
      </x:c>
      <x:c r="F162" t="n">
        <x:f>'Inputs'!$D$21*(1+$B162)^2</x:f>
        <x:v>185.73232319999997</x:v>
      </x:c>
      <x:c r="G162" t="n">
        <x:f>'Inputs'!$D$21*(1+$B162)^3</x:f>
        <x:v>256.31060601599995</x:v>
      </x:c>
      <x:c r="H162" t="n">
        <x:f>'Inputs'!$D$21*(1+$B162)^4</x:f>
        <x:v>353.7086363020799</x:v>
      </x:c>
      <x:c r="I162" t="n">
        <x:f>'Inputs'!$D$21*(1+$B162)^5</x:f>
        <x:v>488.1179180968702</x:v>
      </x:c>
      <x:c r="J162" t="n">
        <x:f>I162*(1+($BG162+('Assumptions'!$D$9-$BG162)*(6-5)/5))</x:f>
        <x:v>605.5076330236187</x:v>
      </x:c>
      <x:c r="K162" t="n">
        <x:f>J162*(1+($BG162+('Assumptions'!$D$9-$BG162)*(7-5)/5))</x:f>
        <x:v>719.2649193277742</x:v>
      </x:c>
      <x:c r="L162" t="n">
        <x:f>K162*(1+($BG162+('Assumptions'!$D$9-$BG162)*(8-5)/5))</x:f>
        <x:v>816.5435513604166</x:v>
      </x:c>
      <x:c r="M162" t="n">
        <x:f>L162*(1+($BG162+('Assumptions'!$D$9-$BG162)*(9-5)/5))</x:f>
        <x:v>884.0093563867672</x:v>
      </x:c>
      <x:c r="N162" t="n">
        <x:f>M162*(1+($BG162+('Assumptions'!$D$9-$BG162)*(10-5)/5))</x:f>
        <x:v>910.5296370783702</x:v>
      </x:c>
      <x:c r="O162" t="n">
        <x:f>'NSSC Model'!$B$68</x:f>
        <x:v>106.88376</x:v>
      </x:c>
      <x:c r="P162" t="n">
        <x:f>'NSSC Model'!$C$68</x:f>
        <x:v>110.0902728</x:v>
      </x:c>
      <x:c r="Q162" t="n">
        <x:f>'NSSC Model'!$D$68</x:f>
        <x:v>113.39298098399999</x:v>
      </x:c>
      <x:c r="R162" t="n">
        <x:f>'NSSC Model'!$E$68</x:f>
        <x:v>116.79477041352</x:v>
      </x:c>
      <x:c r="S162" t="n">
        <x:f>'NSSC Model'!$F$68</x:f>
        <x:v>120.2986135259256</x:v>
      </x:c>
      <x:c r="T162" t="n">
        <x:f>S162*(1+($BG162+('Assumptions'!$D$9-$BG162)*(6-5)/5))</x:f>
        <x:v>149.22977836197848</x:v>
      </x:c>
      <x:c r="U162" t="n">
        <x:f>T162*(1+($BG162+('Assumptions'!$D$9-$BG162)*(7-5)/5))</x:f>
        <x:v>177.26571663324233</x:v>
      </x:c>
      <x:c r="V162" t="n">
        <x:f>U162*(1+($BG162+('Assumptions'!$D$9-$BG162)*(8-5)/5))</x:f>
        <x:v>201.24042463997267</x:v>
      </x:c>
      <x:c r="W162" t="n">
        <x:f>V162*(1+($BG162+('Assumptions'!$D$9-$BG162)*(9-5)/5))</x:f>
        <x:v>217.86764217118758</x:v>
      </x:c>
      <x:c r="X162" t="n">
        <x:f>W162*(1+($BG162+('Assumptions'!$D$9-$BG162)*(10-5)/5))</x:f>
        <x:v>224.4036714363232</x:v>
      </x:c>
      <x:c r="Y162" t="n">
        <x:f>E162*'NSSC Model'!$B$62+O162*'NSSC Model'!$B$63+'NSSC Model'!$B$73+'NSSC Model'!$B$74</x:f>
        <x:v>91.39218484</x:v>
      </x:c>
      <x:c r="Z162" t="n">
        <x:f>F162*'NSSC Model'!$C$62+P162*'NSSC Model'!$C$63+'NSSC Model'!$C$73+'NSSC Model'!$C$74</x:f>
        <x:v>135.46717550059998</x:v>
      </x:c>
      <x:c r="AA162" t="n">
        <x:f>G162*'NSSC Model'!$D$62+Q162*'NSSC Model'!$D$63+'NSSC Model'!$D$73+'NSSC Model'!$D$74</x:f>
        <x:v>197.180712847273</x:v>
      </x:c>
      <x:c r="AB162" t="n">
        <x:f>H162*'NSSC Model'!$E$62+R162*'NSSC Model'!$E$63+'NSSC Model'!$E$73+'NSSC Model'!$E$74</x:f>
        <x:v>282.39595979703853</x:v>
      </x:c>
      <x:c r="AC162" t="n">
        <x:f>I162*'NSSC Model'!$F$62+S162*'NSSC Model'!$F$63+'NSSC Model'!$F$73+'NSSC Model'!$F$74</x:f>
        <x:v>400.8564188465271</x:v>
      </x:c>
      <x:c r="AD162" t="n">
        <x:f>AX162*$AC162/$AW162</x:f>
        <x:v>497.26021594215524</x:v>
      </x:c>
      <x:c r="AE162" t="n">
        <x:f>AY162*$AC162/$AW162</x:f>
        <x:v>590.6809585843731</x:v>
      </x:c>
      <x:c r="AF162" t="n">
        <x:f>AZ162*$AC162/$AW162</x:f>
        <x:v>670.568958227843</x:v>
      </x:c>
      <x:c r="AG162" t="n">
        <x:f>BA162*$AC162/$AW162</x:f>
        <x:v>725.9738102007097</x:v>
      </x:c>
      <x:c r="AH162" t="n">
        <x:f>BB162*$AC162/$AW162</x:f>
        <x:v>747.7530245067311</x:v>
      </x:c>
      <x:c r="AI162" t="n">
        <x:f>Y162*(1-'Assumptions'!$F$9)+AS162*'Assumptions'!$G$9-AS162*'NSSC Model'!$B$65-(AS162-'Inputs'!$D$14)*'Assumptions'!$H$9-'Assumptions'!$I$9</x:f>
        <x:v>70.06006196880001</x:v>
      </x:c>
      <x:c r="AJ162" t="n">
        <x:f>Z162*(1-'Assumptions'!$F$9)+AT162*'Assumptions'!$G$9-AT162*'NSSC Model'!$C$65-(AT162-AS162)*'Assumptions'!$H$9-0</x:f>
        <x:v>104.46477392649199</x:v>
      </x:c>
      <x:c r="AK162" t="n">
        <x:f>AA162*(1-'Assumptions'!$F$9)+AU162*'Assumptions'!$G$9-AU162*'NSSC Model'!$D$65-(AU162-AT162)*'Assumptions'!$H$9-0</x:f>
        <x:v>152.8212710867639</x:v>
      </x:c>
      <x:c r="AL162" t="n">
        <x:f>AB162*(1-'Assumptions'!$F$9)+AV162*'Assumptions'!$G$9-AV162*'NSSC Model'!$E$65-(AV162-AU162)*'Assumptions'!$H$9-0</x:f>
        <x:v>219.6026914351492</x:v>
      </x:c>
      <x:c r="AM162" t="n">
        <x:f>AC162*(1-'Assumptions'!$F$9)+AW162*'Assumptions'!$G$9-AW162*'NSSC Model'!$F$65-(AW162-AV162)*'Assumptions'!$H$9-0</x:f>
        <x:v>312.4772848369415</x:v>
      </x:c>
      <x:c r="AN162" t="n">
        <x:f>AD162*(1-'Assumptions'!$F$9)+AX162*'Assumptions'!$G$9-AX162*'NSSC Model'!$G$65-(AX162-AW162)*'Assumptions'!$H$9-0</x:f>
        <x:v>390.1023394507448</x:v>
      </x:c>
      <x:c r="AO162" t="n">
        <x:f>AE162*(1-'Assumptions'!$F$9)+AY162*'Assumptions'!$G$9-AY162*'NSSC Model'!$H$65-(AY162-AX162)*'Assumptions'!$H$9-0</x:f>
        <x:v>466.59294103779996</x:v>
      </x:c>
      <x:c r="AP162" t="n">
        <x:f>AF162*(1-'Assumptions'!$F$9)+AZ162*'Assumptions'!$G$9-AZ162*'NSSC Model'!$I$65-(AZ162-AY162)*'Assumptions'!$H$9-0</x:f>
        <x:v>533.6700758388926</x:v>
      </x:c>
      <x:c r="AQ162" t="n">
        <x:f>AG162*(1-'Assumptions'!$F$9)+BA162*'Assumptions'!$G$9-BA162*'NSSC Model'!$J$65-(BA162-AZ162)*'Assumptions'!$H$9-0</x:f>
        <x:v>582.4817141145936</x:v>
      </x:c>
      <x:c r="AR162" t="n">
        <x:f>AH162*(1-'Assumptions'!$F$9)+BB162*'Assumptions'!$G$9-BB162*'NSSC Model'!$K$65-(BB162-BA162)*'Assumptions'!$H$9-0</x:f>
        <x:v>605.312115865787</x:v>
      </x:c>
      <x:c r="AS162" t="n">
        <x:f>E162+O162</x:f>
        <x:v>241.4724</x:v>
      </x:c>
      <x:c r="AT162" t="n">
        <x:f>F162+P162</x:f>
        <x:v>295.822596</x:v>
      </x:c>
      <x:c r="AU162" t="n">
        <x:f>G162+Q162</x:f>
        <x:v>369.70358699999997</x:v>
      </x:c>
      <x:c r="AV162" t="n">
        <x:f>H162+R162</x:f>
        <x:v>470.5034067155999</x:v>
      </x:c>
      <x:c r="AW162" t="n">
        <x:f>I162+S162</x:f>
        <x:v>608.4165316227958</x:v>
      </x:c>
      <x:c r="AX162" t="n">
        <x:f>J162+T162</x:f>
        <x:v>754.7374113855972</x:v>
      </x:c>
      <x:c r="AY162" t="n">
        <x:f>K162+U162</x:f>
        <x:v>896.5306359610165</x:v>
      </x:c>
      <x:c r="AZ162" t="n">
        <x:f>L162+V162</x:f>
        <x:v>1017.7839760003892</x:v>
      </x:c>
      <x:c r="BA162" t="n">
        <x:f>M162+W162</x:f>
        <x:v>1101.8769985579547</x:v>
      </x:c>
      <x:c r="BB162" t="n">
        <x:f>N162+X162</x:f>
        <x:v>1134.9333085146934</x:v>
      </x:c>
      <x:c r="BC162" t="n">
        <x:f>AS162/'Inputs'!$D$14-1</x:f>
        <x:v>0.1935407975642065</x:v>
      </x:c>
      <x:c r="BD162" t="n">
        <x:f>AT162/AS162-1</x:f>
        <x:v>0.22507829466224716</x:v>
      </x:c>
      <x:c r="BE162" t="n">
        <x:f>AU162/AT162-1</x:f>
        <x:v>0.2497476257696014</x:v>
      </x:c>
      <x:c r="BF162" t="n">
        <x:f>AV162/AU162-1</x:f>
        <x:v>0.2726503698099092</x:v>
      </x:c>
      <x:c r="BG162" t="n">
        <x:f>AW162/AV162-1</x:f>
        <x:v>0.2931182281333804</x:v>
      </x:c>
      <x:c r="BH162" t="n">
        <x:f>AX162/AW162-1</x:f>
        <x:v>0.2404945825067044</x:v>
      </x:c>
      <x:c r="BI162" t="n">
        <x:f>AY162/AX162-1</x:f>
        <x:v>0.1878709368800282</x:v>
      </x:c>
      <x:c r="BJ162" t="n">
        <x:f>AZ162/AY162-1</x:f>
        <x:v>0.13524729125335222</x:v>
      </x:c>
      <x:c r="BK162" t="n">
        <x:f>BA162/AZ162-1</x:f>
        <x:v>0.08262364562667601</x:v>
      </x:c>
      <x:c r="BL162" t="n">
        <x:f>BB162/BA162-1</x:f>
        <x:v>0.030000000000000027</x:v>
      </x:c>
      <x:c r="BM162" t="n">
        <x:f>AH162*(1-'Assumptions'!$F$9)*(1+'Assumptions'!$D$9)*(1-'Assumptions'!$D$9/'Assumptions'!$E$9)</x:f>
        <x:v>568.3969840485466</x:v>
      </x:c>
      <x:c r="BN162" t="n">
        <x:f>SUMPRODUCT(AI162:AR162,'NSSC Model'!$B$83:$K$83)+BM162/('Assumptions'!$C$9-'Assumptions'!$D$9)*'NSSC Model'!$K$83</x:f>
        <x:v>4928.455390666615</x:v>
      </x:c>
      <x:c r="BO162" t="n">
        <x:f>'NSSC Model'!$B$94</x:f>
        <x:v>101.2</x:v>
      </x:c>
      <x:c r="BP162" t="n">
        <x:f>'Inputs'!$D$8</x:f>
        <x:v>35.891</x:v>
      </x:c>
    </x:row>
    <x:row r="163">
      <x:c r="A163" t="str">
        <x:v>NSSC</x:v>
      </x:c>
      <x:c r="B163" s="22" t="n">
        <x:v>0.39</x:v>
      </x:c>
      <x:c r="C163" s="42" t="n">
        <x:f>(BN163+BO163)/BP163</x:f>
        <x:v>147.3792591641514</x:v>
      </x:c>
      <x:c r="D163" s="22" t="n">
        <x:f>C163/'Inputs'!$D$5-1</x:f>
        <x:v>2.9821469647163306</x:v>
      </x:c>
      <x:c r="E163" t="n">
        <x:f>'Inputs'!$D$21*(1+$B163)^1</x:f>
        <x:v>135.56392000000002</x:v>
      </x:c>
      <x:c r="F163" t="n">
        <x:f>'Inputs'!$D$21*(1+$B163)^2</x:f>
        <x:v>188.43384880000005</x:v>
      </x:c>
      <x:c r="G163" t="n">
        <x:f>'Inputs'!$D$21*(1+$B163)^3</x:f>
        <x:v>261.9230498320001</x:v>
      </x:c>
      <x:c r="H163" t="n">
        <x:f>'Inputs'!$D$21*(1+$B163)^4</x:f>
        <x:v>364.0730392664801</x:v>
      </x:c>
      <x:c r="I163" t="n">
        <x:f>'Inputs'!$D$21*(1+$B163)^5</x:f>
        <x:v>506.0615245804075</x:v>
      </x:c>
      <x:c r="J163" t="n">
        <x:f>I163*(1+($BG163+('Assumptions'!$D$9-$BG163)*(6-5)/5))</x:f>
        <x:v>631.58988517507</x:v>
      </x:c>
      <x:c r="K163" t="n">
        <x:f>J163*(1+($BG163+('Assumptions'!$D$9-$BG163)*(7-5)/5))</x:f>
        <x:v>753.8260248291309</x:v>
      </x:c>
      <x:c r="L163" t="n">
        <x:f>K163*(1+($BG163+('Assumptions'!$D$9-$BG163)*(8-5)/5))</x:f>
        <x:v>858.6265385415118</x:v>
      </x:c>
      <x:c r="M163" t="n">
        <x:f>L163*(1+($BG163+('Assumptions'!$D$9-$BG163)*(9-5)/5))</x:f>
        <x:v>931.1911288008346</x:v>
      </x:c>
      <x:c r="N163" t="n">
        <x:f>M163*(1+($BG163+('Assumptions'!$D$9-$BG163)*(10-5)/5))</x:f>
        <x:v>959.1268626648597</x:v>
      </x:c>
      <x:c r="O163" t="n">
        <x:f>'NSSC Model'!$B$68</x:f>
        <x:v>106.88376</x:v>
      </x:c>
      <x:c r="P163" t="n">
        <x:f>'NSSC Model'!$C$68</x:f>
        <x:v>110.0902728</x:v>
      </x:c>
      <x:c r="Q163" t="n">
        <x:f>'NSSC Model'!$D$68</x:f>
        <x:v>113.39298098399999</x:v>
      </x:c>
      <x:c r="R163" t="n">
        <x:f>'NSSC Model'!$E$68</x:f>
        <x:v>116.79477041352</x:v>
      </x:c>
      <x:c r="S163" t="n">
        <x:f>'NSSC Model'!$F$68</x:f>
        <x:v>120.2986135259256</x:v>
      </x:c>
      <x:c r="T163" t="n">
        <x:f>S163*(1+($BG163+('Assumptions'!$D$9-$BG163)*(6-5)/5))</x:f>
        <x:v>150.13863693067069</x:v>
      </x:c>
      <x:c r="U163" t="n">
        <x:f>T163*(1+($BG163+('Assumptions'!$D$9-$BG163)*(7-5)/5))</x:f>
        <x:v>179.19604874504884</x:v>
      </x:c>
      <x:c r="V163" t="n">
        <x:f>U163*(1+($BG163+('Assumptions'!$D$9-$BG163)*(8-5)/5))</x:f>
        <x:v>204.10874390964835</x:v>
      </x:c>
      <x:c r="W163" t="n">
        <x:f>V163*(1+($BG163+('Assumptions'!$D$9-$BG163)*(9-5)/5))</x:f>
        <x:v>221.3584639046851</x:v>
      </x:c>
      <x:c r="X163" t="n">
        <x:f>W163*(1+($BG163+('Assumptions'!$D$9-$BG163)*(10-5)/5))</x:f>
        <x:v>227.99921782182565</x:v>
      </x:c>
      <x:c r="Y163" t="n">
        <x:f>E163*'NSSC Model'!$B$62+O163*'NSSC Model'!$B$63+'NSSC Model'!$B$73+'NSSC Model'!$B$74</x:f>
        <x:v>92.27286268000003</x:v>
      </x:c>
      <x:c r="Z163" t="n">
        <x:f>F163*'NSSC Model'!$C$62+P163*'NSSC Model'!$C$63+'NSSC Model'!$C$73+'NSSC Model'!$C$74</x:f>
        <x:v>137.90665311740005</x:v>
      </x:c>
      <x:c r="AA163" t="n">
        <x:f>G163*'NSSC Model'!$D$62+Q163*'NSSC Model'!$D$63+'NSSC Model'!$D$73+'NSSC Model'!$D$74</x:f>
        <x:v>202.2487496131211</x:v>
      </x:c>
      <x:c r="AB163" t="n">
        <x:f>H163*'NSSC Model'!$E$62+R163*'NSSC Model'!$E$63+'NSSC Model'!$E$73+'NSSC Model'!$E$74</x:f>
        <x:v>291.75501567389193</x:v>
      </x:c>
      <x:c r="AC163" t="n">
        <x:f>I163*'NSSC Model'!$F$62+S163*'NSSC Model'!$F$63+'NSSC Model'!$F$73+'NSSC Model'!$F$74</x:f>
        <x:v>417.0594955011613</x:v>
      </x:c>
      <x:c r="AD163" t="n">
        <x:f>AX163*$AC163/$AW163</x:f>
        <x:v>520.5109380586749</x:v>
      </x:c>
      <x:c r="AE163" t="n">
        <x:f>AY163*$AC163/$AW163</x:f>
        <x:v>621.2491690048058</x:v>
      </x:c>
      <x:c r="AF163" t="n">
        <x:f>AZ163*$AC163/$AW163</x:f>
        <x:v>707.6182116096311</x:v>
      </x:c>
      <x:c r="AG163" t="n">
        <x:f>BA163*$AC163/$AW163</x:f>
        <x:v>767.4207256021626</x:v>
      </x:c>
      <x:c r="AH163" t="n">
        <x:f>BB163*$AC163/$AW163</x:f>
        <x:v>790.4433473702276</x:v>
      </x:c>
      <x:c r="AI163" t="n">
        <x:f>Y163*(1-'Assumptions'!$F$9)+AS163*'Assumptions'!$G$9-AS163*'NSSC Model'!$B$65-(AS163-'Inputs'!$D$14)*'Assumptions'!$H$9-'Assumptions'!$I$9</x:f>
        <x:v>70.68078867760003</x:v>
      </x:c>
      <x:c r="AJ163" t="n">
        <x:f>Z163*(1-'Assumptions'!$F$9)+AT163*'Assumptions'!$G$9-AT163*'NSSC Model'!$C$65-(AT163-AS163)*'Assumptions'!$H$9-0</x:f>
        <x:v>106.28171490986804</x:v>
      </x:c>
      <x:c r="AK163" t="n">
        <x:f>AA163*(1-'Assumptions'!$F$9)+AU163*'Assumptions'!$G$9-AU163*'NSSC Model'!$D$65-(AU163-AT163)*'Assumptions'!$H$9-0</x:f>
        <x:v>156.66351963789532</x:v>
      </x:c>
      <x:c r="AL163" t="n">
        <x:f>AB163*(1-'Assumptions'!$F$9)+AV163*'Assumptions'!$G$9-AV163*'NSSC Model'!$E$65-(AV163-AU163)*'Assumptions'!$H$9-0</x:f>
        <x:v>226.76046372747138</x:v>
      </x:c>
      <x:c r="AM163" t="n">
        <x:f>AC163*(1-'Assumptions'!$F$9)+AW163*'Assumptions'!$G$9-AW163*'NSSC Model'!$F$65-(AW163-AV163)*'Assumptions'!$H$9-0</x:f>
        <x:v>324.9341129158936</x:v>
      </x:c>
      <x:c r="AN163" t="n">
        <x:f>AD163*(1-'Assumptions'!$F$9)+AX163*'Assumptions'!$G$9-AX163*'NSSC Model'!$G$65-(AX163-AW163)*'Assumptions'!$H$9-0</x:f>
        <x:v>408.1552167197498</x:v>
      </x:c>
      <x:c r="AO163" t="n">
        <x:f>AE163*(1-'Assumptions'!$F$9)+AY163*'Assumptions'!$G$9-AY163*'NSSC Model'!$H$65-(AY163-AX163)*'Assumptions'!$H$9-0</x:f>
        <x:v>490.56287514280024</x:v>
      </x:c>
      <x:c r="AP163" t="n">
        <x:f>AF163*(1-'Assumptions'!$F$9)+AZ163*'Assumptions'!$G$9-AZ163*'NSSC Model'!$I$65-(AZ163-AY163)*'Assumptions'!$H$9-0</x:f>
        <x:v>563.0246715023949</x:v>
      </x:c>
      <x:c r="AQ163" t="n">
        <x:f>AG163*(1-'Assumptions'!$F$9)+BA163*'Assumptions'!$G$9-BA163*'NSSC Model'!$J$65-(BA163-AZ163)*'Assumptions'!$H$9-0</x:f>
        <x:v>615.6933655975154</x:v>
      </x:c>
      <x:c r="AR163" t="n">
        <x:f>AH163*(1-'Assumptions'!$F$9)+BB163*'Assumptions'!$G$9-BB163*'NSSC Model'!$K$65-(BB163-BA163)*'Assumptions'!$H$9-0</x:f>
        <x:v>639.9573917435234</x:v>
      </x:c>
      <x:c r="AS163" t="n">
        <x:f>E163+O163</x:f>
        <x:v>242.44768000000002</x:v>
      </x:c>
      <x:c r="AT163" t="n">
        <x:f>F163+P163</x:f>
        <x:v>298.52412160000006</x:v>
      </x:c>
      <x:c r="AU163" t="n">
        <x:f>G163+Q163</x:f>
        <x:v>375.3160308160001</x:v>
      </x:c>
      <x:c r="AV163" t="n">
        <x:f>H163+R163</x:f>
        <x:v>480.8678096800001</x:v>
      </x:c>
      <x:c r="AW163" t="n">
        <x:f>I163+S163</x:f>
        <x:v>626.3601381063331</x:v>
      </x:c>
      <x:c r="AX163" t="n">
        <x:f>J163+T163</x:f>
        <x:v>781.7285221057407</x:v>
      </x:c>
      <x:c r="AY163" t="n">
        <x:f>K163+U163</x:f>
        <x:v>933.0220735741798</x:v>
      </x:c>
      <x:c r="AZ163" t="n">
        <x:f>L163+V163</x:f>
        <x:v>1062.7352824511602</x:v>
      </x:c>
      <x:c r="BA163" t="n">
        <x:f>M163+W163</x:f>
        <x:v>1152.5495927055197</x:v>
      </x:c>
      <x:c r="BB163" t="n">
        <x:f>N163+X163</x:f>
        <x:v>1187.1260804866854</x:v>
      </x:c>
      <x:c r="BC163" t="n">
        <x:f>AS163/'Inputs'!$D$14-1</x:f>
        <x:v>0.1983613752743234</x:v>
      </x:c>
      <x:c r="BD163" t="n">
        <x:f>AT163/AS163-1</x:f>
        <x:v>0.23129296019660828</x:v>
      </x:c>
      <x:c r="BE163" t="n">
        <x:f>AU163/AT163-1</x:f>
        <x:v>0.2572385400697885</x:v>
      </x:c>
      <x:c r="BF163" t="n">
        <x:f>AV163/AU163-1</x:f>
        <x:v>0.2812344003385967</x:v>
      </x:c>
      <x:c r="BG163" t="n">
        <x:f>AW163/AV163-1</x:f>
        <x:v>0.30256200456244486</x:v>
      </x:c>
      <x:c r="BH163" t="n">
        <x:f>AX163/AW163-1</x:f>
        <x:v>0.24804960364995599</x:v>
      </x:c>
      <x:c r="BI163" t="n">
        <x:f>AY163/AX163-1</x:f>
        <x:v>0.19353720273746688</x:v>
      </x:c>
      <x:c r="BJ163" t="n">
        <x:f>AZ163/AY163-1</x:f>
        <x:v>0.139024801824978</x:v>
      </x:c>
      <x:c r="BK163" t="n">
        <x:f>BA163/AZ163-1</x:f>
        <x:v>0.0845124009124889</x:v>
      </x:c>
      <x:c r="BL163" t="n">
        <x:f>BB163/BA163-1</x:f>
        <x:v>0.030000000000000027</x:v>
      </x:c>
      <x:c r="BM163" t="n">
        <x:f>AH163*(1-'Assumptions'!$F$9)*(1+'Assumptions'!$D$9)*(1-'Assumptions'!$D$9/'Assumptions'!$E$9)</x:f>
        <x:v>600.8476060700049</x:v>
      </x:c>
      <x:c r="BN163" t="n">
        <x:f>SUMPRODUCT(AI163:AR163,'NSSC Model'!$B$83:$K$83)+BM163/('Assumptions'!$C$9-'Assumptions'!$D$9)*'NSSC Model'!$K$83</x:f>
        <x:v>5188.388990660557</x:v>
      </x:c>
      <x:c r="BO163" t="n">
        <x:f>'NSSC Model'!$B$94</x:f>
        <x:v>101.2</x:v>
      </x:c>
      <x:c r="BP163" t="n">
        <x:f>'Inputs'!$D$8</x:f>
        <x:v>35.891</x:v>
      </x:c>
    </x:row>
    <x:row r="164">
      <x:c r="A164" t="str">
        <x:v>NSSC</x:v>
      </x:c>
      <x:c r="B164" s="22" t="n">
        <x:v>0.4</x:v>
      </x:c>
      <x:c r="C164" s="42" t="n">
        <x:f>(BN164+BO164)/BP164</x:f>
        <x:v>154.95942821979557</x:v>
      </x:c>
      <x:c r="D164" s="22" t="n">
        <x:f>C164/'Inputs'!$D$5-1</x:f>
        <x:v>3.1869610434962325</x:v>
      </x:c>
      <x:c r="E164" t="n">
        <x:f>'Inputs'!$D$21*(1+$B164)^1</x:f>
        <x:v>136.5392</x:v>
      </x:c>
      <x:c r="F164" t="n">
        <x:f>'Inputs'!$D$21*(1+$B164)^2</x:f>
        <x:v>191.15488</x:v>
      </x:c>
      <x:c r="G164" t="n">
        <x:f>'Inputs'!$D$21*(1+$B164)^3</x:f>
        <x:v>267.61683199999993</x:v>
      </x:c>
      <x:c r="H164" t="n">
        <x:f>'Inputs'!$D$21*(1+$B164)^4</x:f>
        <x:v>374.6635647999999</x:v>
      </x:c>
      <x:c r="I164" t="n">
        <x:f>'Inputs'!$D$21*(1+$B164)^5</x:f>
        <x:v>524.5289907199998</x:v>
      </x:c>
      <x:c r="J164" t="n">
        <x:f>I164*(1+($BG164+('Assumptions'!$D$9-$BG164)*(6-5)/5))</x:f>
        <x:v>658.6278602672942</x:v>
      </x:c>
      <x:c r="K164" t="n">
        <x:f>J164*(1+($BG164+('Assumptions'!$D$9-$BG164)*(7-5)/5))</x:f>
        <x:v>789.8540849459547</x:v>
      </x:c>
      <x:c r="L164" t="n">
        <x:f>K164*(1+($BG164+('Assumptions'!$D$9-$BG164)*(8-5)/5))</x:f>
        <x:v>902.6672782795562</x:v>
      </x:c>
      <x:c r="M164" t="n">
        <x:f>L164*(1+($BG164+('Assumptions'!$D$9-$BG164)*(9-5)/5))</x:f>
        <x:v>980.6703193740283</x:v>
      </x:c>
      <x:c r="N164" t="n">
        <x:f>M164*(1+($BG164+('Assumptions'!$D$9-$BG164)*(10-5)/5))</x:f>
        <x:v>1010.0904289552492</x:v>
      </x:c>
      <x:c r="O164" t="n">
        <x:f>'NSSC Model'!$B$68</x:f>
        <x:v>106.88376</x:v>
      </x:c>
      <x:c r="P164" t="n">
        <x:f>'NSSC Model'!$C$68</x:f>
        <x:v>110.0902728</x:v>
      </x:c>
      <x:c r="Q164" t="n">
        <x:f>'NSSC Model'!$D$68</x:f>
        <x:v>113.39298098399999</x:v>
      </x:c>
      <x:c r="R164" t="n">
        <x:f>'NSSC Model'!$E$68</x:f>
        <x:v>116.79477041352</x:v>
      </x:c>
      <x:c r="S164" t="n">
        <x:f>'NSSC Model'!$F$68</x:f>
        <x:v>120.2986135259256</x:v>
      </x:c>
      <x:c r="T164" t="n">
        <x:f>S164*(1+($BG164+('Assumptions'!$D$9-$BG164)*(6-5)/5))</x:f>
        <x:v>151.05364969616636</x:v>
      </x:c>
      <x:c r="U164" t="n">
        <x:f>T164*(1+($BG164+('Assumptions'!$D$9-$BG164)*(7-5)/5))</x:f>
        <x:v>181.14985632416455</x:v>
      </x:c>
      <x:c r="V164" t="n">
        <x:f>U164*(1+($BG164+('Assumptions'!$D$9-$BG164)*(8-5)/5))</x:f>
        <x:v>207.02310829987653</x:v>
      </x:c>
      <x:c r="W164" t="n">
        <x:f>V164*(1+($BG164+('Assumptions'!$D$9-$BG164)*(9-5)/5))</x:f>
        <x:v>224.91279192172976</x:v>
      </x:c>
      <x:c r="X164" t="n">
        <x:f>W164*(1+($BG164+('Assumptions'!$D$9-$BG164)*(10-5)/5))</x:f>
        <x:v>231.66017567938167</x:v>
      </x:c>
      <x:c r="Y164" t="n">
        <x:f>E164*'NSSC Model'!$B$62+O164*'NSSC Model'!$B$63+'NSSC Model'!$B$73+'NSSC Model'!$B$74</x:f>
        <x:v>93.15354052</x:v>
      </x:c>
      <x:c r="Z164" t="n">
        <x:f>F164*'NSSC Model'!$C$62+P164*'NSSC Model'!$C$63+'NSSC Model'!$C$73+'NSSC Model'!$C$74</x:f>
        <x:v>140.363744291</x:v>
      </x:c>
      <x:c r="AA164" t="n">
        <x:f>G164*'NSSC Model'!$D$62+Q164*'NSSC Model'!$D$63+'NSSC Model'!$D$73+'NSSC Model'!$D$74</x:f>
        <x:v>207.39023491082497</x:v>
      </x:c>
      <x:c r="AB164" t="n">
        <x:f>H164*'NSSC Model'!$E$62+R164*'NSSC Model'!$E$63+'NSSC Model'!$E$73+'NSSC Model'!$E$74</x:f>
        <x:v>301.31826023066026</x:v>
      </x:c>
      <x:c r="AC164" t="n">
        <x:f>I164*'NSSC Model'!$F$62+S164*'NSSC Model'!$F$63+'NSSC Model'!$F$73+'NSSC Model'!$F$74</x:f>
        <x:v>433.73561742521315</x:v>
      </x:c>
      <x:c r="AD164" t="n">
        <x:f>AX164*$AC164/$AW164</x:f>
        <x:v>544.6226360803312</x:v>
      </x:c>
      <x:c r="AE164" t="n">
        <x:f>AY164*$AC164/$AW164</x:f>
        <x:v>653.1342504817586</x:v>
      </x:c>
      <x:c r="AF164" t="n">
        <x:f>AZ164*$AC164/$AW164</x:f>
        <x:v>746.4200381692873</x:v>
      </x:c>
      <x:c r="AG164" t="n">
        <x:f>BA164*$AC164/$AW164</x:f>
        <x:v>810.9211387542414</x:v>
      </x:c>
      <x:c r="AH164" t="n">
        <x:f>BB164*$AC164/$AW164</x:f>
        <x:v>835.2487729168687</x:v>
      </x:c>
      <x:c r="AI164" t="n">
        <x:f>Y164*(1-'Assumptions'!$F$9)+AS164*'Assumptions'!$G$9-AS164*'NSSC Model'!$B$65-(AS164-'Inputs'!$D$14)*'Assumptions'!$H$9-'Assumptions'!$I$9</x:f>
        <x:v>71.30151538640001</x:v>
      </x:c>
      <x:c r="AJ164" t="n">
        <x:f>Z164*(1-'Assumptions'!$F$9)+AT164*'Assumptions'!$G$9-AT164*'NSSC Model'!$C$65-(AT164-AS164)*'Assumptions'!$H$9-0</x:f>
        <x:v>108.11107042742</x:v>
      </x:c>
      <x:c r="AK164" t="n">
        <x:f>AA164*(1-'Assumptions'!$F$9)+AU164*'Assumptions'!$G$9-AU164*'NSSC Model'!$D$65-(AU164-AT164)*'Assumptions'!$H$9-0</x:f>
        <x:v>160.5594873565405</x:v>
      </x:c>
      <x:c r="AL164" t="n">
        <x:f>AB164*(1-'Assumptions'!$F$9)+AV164*'Assumptions'!$G$9-AV164*'NSSC Model'!$E$65-(AV164-AU164)*'Assumptions'!$H$9-0</x:f>
        <x:v>234.07028782533536</x:v>
      </x:c>
      <x:c r="AM164" t="n">
        <x:f>AC164*(1-'Assumptions'!$F$9)+AW164*'Assumptions'!$G$9-AW164*'NSSC Model'!$F$65-(AW164-AV164)*'Assumptions'!$H$9-0</x:f>
        <x:v>337.7469689684505</x:v>
      </x:c>
      <x:c r="AN164" t="n">
        <x:f>AD164*(1-'Assumptions'!$F$9)+AX164*'Assumptions'!$G$9-AX164*'NSSC Model'!$G$65-(AX164-AW164)*'Assumptions'!$H$9-0</x:f>
        <x:v>426.86644497426425</x:v>
      </x:c>
      <x:c r="AO164" t="n">
        <x:f>AE164*(1-'Assumptions'!$F$9)+AY164*'Assumptions'!$G$9-AY164*'NSSC Model'!$H$65-(AY164-AX164)*'Assumptions'!$H$9-0</x:f>
        <x:v>515.5538264992958</x:v>
      </x:c>
      <x:c r="AP164" t="n">
        <x:f>AF164*(1-'Assumptions'!$F$9)+AZ164*'Assumptions'!$G$9-AZ164*'NSSC Model'!$I$65-(AZ164-AY164)*'Assumptions'!$H$9-0</x:f>
        <x:v>593.7570252215666</x:v>
      </x:c>
      <x:c r="AQ164" t="n">
        <x:f>AG164*(1-'Assumptions'!$F$9)+BA164*'Assumptions'!$G$9-BA164*'NSSC Model'!$J$65-(BA164-AZ164)*'Assumptions'!$H$9-0</x:f>
        <x:v>650.5437288616625</x:v>
      </x:c>
      <x:c r="AR164" t="n">
        <x:f>AH164*(1-'Assumptions'!$F$9)+BB164*'Assumptions'!$G$9-BB164*'NSSC Model'!$K$65-(BB164-BA164)*'Assumptions'!$H$9-0</x:f>
        <x:v>676.3202420394066</x:v>
      </x:c>
      <x:c r="AS164" t="n">
        <x:f>E164+O164</x:f>
        <x:v>243.42296</x:v>
      </x:c>
      <x:c r="AT164" t="n">
        <x:f>F164+P164</x:f>
        <x:v>301.24515279999997</x:v>
      </x:c>
      <x:c r="AU164" t="n">
        <x:f>G164+Q164</x:f>
        <x:v>381.00981298399995</x:v>
      </x:c>
      <x:c r="AV164" t="n">
        <x:f>H164+R164</x:f>
        <x:v>491.4583352135199</x:v>
      </x:c>
      <x:c r="AW164" t="n">
        <x:f>I164+S164</x:f>
        <x:v>644.8276042459254</x:v>
      </x:c>
      <x:c r="AX164" t="n">
        <x:f>J164+T164</x:f>
        <x:v>809.6815099634605</x:v>
      </x:c>
      <x:c r="AY164" t="n">
        <x:f>K164+U164</x:f>
        <x:v>971.0039412701192</x:v>
      </x:c>
      <x:c r="AZ164" t="n">
        <x:f>L164+V164</x:f>
        <x:v>1109.6903865794327</x:v>
      </x:c>
      <x:c r="BA164" t="n">
        <x:f>M164+W164</x:f>
        <x:v>1205.583111295758</x:v>
      </x:c>
      <x:c r="BB164" t="n">
        <x:f>N164+X164</x:f>
        <x:v>1241.750604634631</x:v>
      </x:c>
      <x:c r="BC164" t="n">
        <x:f>AS164/'Inputs'!$D$14-1</x:f>
        <x:v>0.20318195298444008</x:v>
      </x:c>
      <x:c r="BD164" t="n">
        <x:f>AT164/AS164-1</x:f>
        <x:v>0.2375379577998722</x:v>
      </x:c>
      <x:c r="BE164" t="n">
        <x:f>AU164/AT164-1</x:f>
        <x:v>0.26478321540647864</x:v>
      </x:c>
      <x:c r="BF164" t="n">
        <x:f>AV164/AU164-1</x:f>
        <x:v>0.2898836682564869</x:v>
      </x:c>
      <x:c r="BG164" t="n">
        <x:f>AW164/AV164-1</x:f>
        <x:v>0.3120697280793343</x:v>
      </x:c>
      <x:c r="BH164" t="n">
        <x:f>AX164/AW164-1</x:f>
        <x:v>0.2556557824634673</x:v>
      </x:c>
      <x:c r="BI164" t="n">
        <x:f>AY164/AX164-1</x:f>
        <x:v>0.19924183684760055</x:v>
      </x:c>
      <x:c r="BJ164" t="n">
        <x:f>AZ164/AY164-1</x:f>
        <x:v>0.142827891231734</x:v>
      </x:c>
      <x:c r="BK164" t="n">
        <x:f>BA164/AZ164-1</x:f>
        <x:v>0.0864139456158668</x:v>
      </x:c>
      <x:c r="BL164" t="n">
        <x:f>BB164/BA164-1</x:f>
        <x:v>0.030000000000000027</x:v>
      </x:c>
      <x:c r="BM164" t="n">
        <x:f>AH164*(1-'Assumptions'!$F$9)*(1+'Assumptions'!$D$9)*(1-'Assumptions'!$D$9/'Assumptions'!$E$9)</x:f>
        <x:v>634.9060022450286</x:v>
      </x:c>
      <x:c r="BN164" t="n">
        <x:f>SUMPRODUCT(AI164:AR164,'NSSC Model'!$B$83:$K$83)+BM164/('Assumptions'!$C$9-'Assumptions'!$D$9)*'NSSC Model'!$K$83</x:f>
        <x:v>5460.448838236683</x:v>
      </x:c>
      <x:c r="BO164" t="n">
        <x:f>'NSSC Model'!$B$94</x:f>
        <x:v>101.2</x:v>
      </x:c>
      <x:c r="BP164" t="n">
        <x:f>'Inputs'!$D$8</x:f>
        <x:v>35.891</x:v>
      </x:c>
    </x:row>
    <x:row r="165">
      <x:c r="A165" t="str">
        <x:v>NSSC</x:v>
      </x:c>
      <x:c r="B165" s="22" t="n">
        <x:v>0.41</x:v>
      </x:c>
      <x:c r="C165" s="42" t="n">
        <x:f>(BN165+BO165)/BP165</x:f>
        <x:v>162.8913538597493</x:v>
      </x:c>
      <x:c r="D165" s="22" t="n">
        <x:f>C165/'Inputs'!$D$5-1</x:f>
        <x:v>3.4012794882396467</x:v>
      </x:c>
      <x:c r="E165" t="n">
        <x:f>'Inputs'!$D$21*(1+$B165)^1</x:f>
        <x:v>137.51448</x:v>
      </x:c>
      <x:c r="F165" t="n">
        <x:f>'Inputs'!$D$21*(1+$B165)^2</x:f>
        <x:v>193.8954168</x:v>
      </x:c>
      <x:c r="G165" t="n">
        <x:f>'Inputs'!$D$21*(1+$B165)^3</x:f>
        <x:v>273.39253768799995</x:v>
      </x:c>
      <x:c r="H165" t="n">
        <x:f>'Inputs'!$D$21*(1+$B165)^4</x:f>
        <x:v>385.4834781400799</x:v>
      </x:c>
      <x:c r="I165" t="n">
        <x:f>'Inputs'!$D$21*(1+$B165)^5</x:f>
        <x:v>543.5317041775127</x:v>
      </x:c>
      <x:c r="J165" t="n">
        <x:f>I165*(1+($BG165+('Assumptions'!$D$9-$BG165)*(6-5)/5))</x:f>
        <x:v>686.6495124604384</x:v>
      </x:c>
      <x:c r="K165" t="n">
        <x:f>J165*(1+($BG165+('Assumptions'!$D$9-$BG165)*(7-5)/5))</x:f>
        <x:v>827.4010964453627</x:v>
      </x:c>
      <x:c r="L165" t="n">
        <x:f>K165*(1+($BG165+('Assumptions'!$D$9-$BG165)*(8-5)/5))</x:f>
        <x:v>948.7439659780925</x:v>
      </x:c>
      <x:c r="M165" t="n">
        <x:f>L165*(1+($BG165+('Assumptions'!$D$9-$BG165)*(9-5)/5))</x:f>
        <x:v>1032.544356024885</x:v>
      </x:c>
      <x:c r="N165" t="n">
        <x:f>M165*(1+($BG165+('Assumptions'!$D$9-$BG165)*(10-5)/5))</x:f>
        <x:v>1063.5206867056315</x:v>
      </x:c>
      <x:c r="O165" t="n">
        <x:f>'NSSC Model'!$B$68</x:f>
        <x:v>106.88376</x:v>
      </x:c>
      <x:c r="P165" t="n">
        <x:f>'NSSC Model'!$C$68</x:f>
        <x:v>110.0902728</x:v>
      </x:c>
      <x:c r="Q165" t="n">
        <x:f>'NSSC Model'!$D$68</x:f>
        <x:v>113.39298098399999</x:v>
      </x:c>
      <x:c r="R165" t="n">
        <x:f>'NSSC Model'!$E$68</x:f>
        <x:v>116.79477041352</x:v>
      </x:c>
      <x:c r="S165" t="n">
        <x:f>'NSSC Model'!$F$68</x:f>
        <x:v>120.2986135259256</x:v>
      </x:c>
      <x:c r="T165" t="n">
        <x:f>S165*(1+($BG165+('Assumptions'!$D$9-$BG165)*(6-5)/5))</x:f>
        <x:v>151.97454664073487</x:v>
      </x:c>
      <x:c r="U165" t="n">
        <x:f>T165*(1+($BG165+('Assumptions'!$D$9-$BG165)*(7-5)/5))</x:f>
        <x:v>183.12676881071218</x:v>
      </x:c>
      <x:c r="V165" t="n">
        <x:f>U165*(1+($BG165+('Assumptions'!$D$9-$BG165)*(8-5)/5))</x:f>
        <x:v>209.98330515229293</x:v>
      </x:c>
      <x:c r="W165" t="n">
        <x:f>V165*(1+($BG165+('Assumptions'!$D$9-$BG165)*(9-5)/5))</x:f>
        <x:v>228.5306514396928</x:v>
      </x:c>
      <x:c r="X165" t="n">
        <x:f>W165*(1+($BG165+('Assumptions'!$D$9-$BG165)*(10-5)/5))</x:f>
        <x:v>235.3865709828836</x:v>
      </x:c>
      <x:c r="Y165" t="n">
        <x:f>E165*'NSSC Model'!$B$62+O165*'NSSC Model'!$B$63+'NSSC Model'!$B$73+'NSSC Model'!$B$74</x:f>
        <x:v>94.03421835999998</x:v>
      </x:c>
      <x:c r="Z165" t="n">
        <x:f>F165*'NSSC Model'!$C$62+P165*'NSSC Model'!$C$63+'NSSC Model'!$C$73+'NSSC Model'!$C$74</x:f>
        <x:v>142.8384490214</x:v>
      </x:c>
      <x:c r="AA165" t="n">
        <x:f>G165*'NSSC Model'!$D$62+Q165*'NSSC Model'!$D$63+'NSSC Model'!$D$73+'NSSC Model'!$D$74</x:f>
        <x:v>212.60569714708896</x:v>
      </x:c>
      <x:c r="AB165" t="n">
        <x:f>H165*'NSSC Model'!$E$62+R165*'NSSC Model'!$E$63+'NSSC Model'!$E$73+'NSSC Model'!$E$74</x:f>
        <x:v>311.0886419767525</x:v>
      </x:c>
      <x:c r="AC165" t="n">
        <x:f>I165*'NSSC Model'!$F$62+S165*'NSSC Model'!$F$63+'NSSC Model'!$F$73+'NSSC Model'!$F$74</x:f>
        <x:v>450.89506767734724</x:v>
      </x:c>
      <x:c r="AD165" t="n">
        <x:f>AX165*$AC165/$AW165</x:f>
        <x:v>569.6206422033331</x:v>
      </x:c>
      <x:c r="AE165" t="n">
        <x:f>AY165*$AC165/$AW165</x:f>
        <x:v>686.3832790445678</x:v>
      </x:c>
      <x:c r="AF165" t="n">
        <x:f>AZ165*$AC165/$AW165</x:f>
        <x:v>787.045118914455</x:v>
      </x:c>
      <x:c r="AG165" t="n">
        <x:f>BA165*$AC165/$AW165</x:f>
        <x:v>856.5630187004743</x:v>
      </x:c>
      <x:c r="AH165" t="n">
        <x:f>BB165*$AC165/$AW165</x:f>
        <x:v>882.2599092614885</x:v>
      </x:c>
      <x:c r="AI165" t="n">
        <x:f>Y165*(1-'Assumptions'!$F$9)+AS165*'Assumptions'!$G$9-AS165*'NSSC Model'!$B$65-(AS165-'Inputs'!$D$14)*'Assumptions'!$H$9-'Assumptions'!$I$9</x:f>
        <x:v>71.92224209519999</x:v>
      </x:c>
      <x:c r="AJ165" t="n">
        <x:f>Z165*(1-'Assumptions'!$F$9)+AT165*'Assumptions'!$G$9-AT165*'NSSC Model'!$C$65-(AT165-AS165)*'Assumptions'!$H$9-0</x:f>
        <x:v>109.95284047914801</x:v>
      </x:c>
      <x:c r="AK165" t="n">
        <x:f>AA165*(1-'Assumptions'!$F$9)+AU165*'Assumptions'!$G$9-AU165*'NSSC Model'!$D$65-(AU165-AT165)*'Assumptions'!$H$9-0</x:f>
        <x:v>164.50954667872494</x:v>
      </x:c>
      <x:c r="AL165" t="n">
        <x:f>AB165*(1-'Assumptions'!$F$9)+AV165*'Assumptions'!$G$9-AV165*'NSSC Model'!$E$65-(AV165-AU165)*'Assumptions'!$H$9-0</x:f>
        <x:v>241.53430043856267</x:v>
      </x:c>
      <x:c r="AM165" t="n">
        <x:f>AC165*(1-'Assumptions'!$F$9)+AW165*'Assumptions'!$G$9-AW165*'NSSC Model'!$F$65-(AW165-AV165)*'Assumptions'!$H$9-0</x:f>
        <x:v>350.9234273096272</x:v>
      </x:c>
      <x:c r="AN165" t="n">
        <x:f>AD165*(1-'Assumptions'!$F$9)+AX165*'Assumptions'!$G$9-AX165*'NSSC Model'!$G$65-(AX165-AW165)*'Assumptions'!$H$9-0</x:f>
        <x:v>446.25505623055506</x:v>
      </x:c>
      <x:c r="AO165" t="n">
        <x:f>AE165*(1-'Assumptions'!$F$9)+AY165*'Assumptions'!$G$9-AY165*'NSSC Model'!$H$65-(AY165-AX165)*'Assumptions'!$H$9-0</x:f>
        <x:v>541.6017967400311</x:v>
      </x:c>
      <x:c r="AP165" t="n">
        <x:f>AF165*(1-'Assumptions'!$F$9)+AZ165*'Assumptions'!$G$9-AZ165*'NSSC Model'!$I$65-(AZ165-AY165)*'Assumptions'!$H$9-0</x:f>
        <x:v>625.9221478379005</x:v>
      </x:c>
      <x:c r="AQ165" t="n">
        <x:f>AG165*(1-'Assumptions'!$F$9)+BA165*'Assumptions'!$G$9-BA165*'NSSC Model'!$J$65-(BA165-AZ165)*'Assumptions'!$H$9-0</x:f>
        <x:v>687.1026016711115</x:v>
      </x:c>
      <x:c r="AR165" t="n">
        <x:f>AH165*(1-'Assumptions'!$F$9)+BB165*'Assumptions'!$G$9-BB165*'NSSC Model'!$K$65-(BB165-BA165)*'Assumptions'!$H$9-0</x:f>
        <x:v>714.4742715412729</x:v>
      </x:c>
      <x:c r="AS165" t="n">
        <x:f>E165+O165</x:f>
        <x:v>244.39824</x:v>
      </x:c>
      <x:c r="AT165" t="n">
        <x:f>F165+P165</x:f>
        <x:v>303.9856896</x:v>
      </x:c>
      <x:c r="AU165" t="n">
        <x:f>G165+Q165</x:f>
        <x:v>386.78551867199997</x:v>
      </x:c>
      <x:c r="AV165" t="n">
        <x:f>H165+R165</x:f>
        <x:v>502.2782485535999</x:v>
      </x:c>
      <x:c r="AW165" t="n">
        <x:f>I165+S165</x:f>
        <x:v>663.8303177034383</x:v>
      </x:c>
      <x:c r="AX165" t="n">
        <x:f>J165+T165</x:f>
        <x:v>838.6240591011732</x:v>
      </x:c>
      <x:c r="AY165" t="n">
        <x:f>K165+U165</x:f>
        <x:v>1010.5278652560748</x:v>
      </x:c>
      <x:c r="AZ165" t="n">
        <x:f>L165+V165</x:f>
        <x:v>1158.7272711303854</x:v>
      </x:c>
      <x:c r="BA165" t="n">
        <x:f>M165+W165</x:f>
        <x:v>1261.0750074645778</x:v>
      </x:c>
      <x:c r="BB165" t="n">
        <x:f>N165+X165</x:f>
        <x:v>1298.907257688515</x:v>
      </x:c>
      <x:c r="BC165" t="n">
        <x:f>AS165/'Inputs'!$D$14-1</x:f>
        <x:v>0.208002530694557</x:v>
      </x:c>
      <x:c r="BD165" t="n">
        <x:f>AT165/AS165-1</x:f>
        <x:v>0.24381292434839152</x:v>
      </x:c>
      <x:c r="BE165" t="n">
        <x:f>AU165/AT165-1</x:f>
        <x:v>0.27238068075162425</x:v>
      </x:c>
      <x:c r="BF165" t="n">
        <x:f>AV165/AU165-1</x:f>
        <x:v>0.29859631321807445</x:v>
      </x:c>
      <x:c r="BG165" t="n">
        <x:f>AW165/AV165-1</x:f>
        <x:v>0.321638592981194</x:v>
      </x:c>
      <x:c r="BH165" t="n">
        <x:f>AX165/AW165-1</x:f>
        <x:v>0.26331087438495526</x:v>
      </x:c>
      <x:c r="BI165" t="n">
        <x:f>AY165/AX165-1</x:f>
        <x:v>0.2049831557887165</x:v>
      </x:c>
      <x:c r="BJ165" t="n">
        <x:f>AZ165/AY165-1</x:f>
        <x:v>0.1466554371924773</x:v>
      </x:c>
      <x:c r="BK165" t="n">
        <x:f>BA165/AZ165-1</x:f>
        <x:v>0.08832771859623878</x:v>
      </x:c>
      <x:c r="BL165" t="n">
        <x:f>BB165/BA165-1</x:f>
        <x:v>0.030000000000000027</x:v>
      </x:c>
      <x:c r="BM165" t="n">
        <x:f>AH165*(1-'Assumptions'!$F$9)*(1+'Assumptions'!$D$9)*(1-'Assumptions'!$D$9/'Assumptions'!$E$9)</x:f>
        <x:v>670.641047426028</x:v>
      </x:c>
      <x:c r="BN165" t="n">
        <x:f>SUMPRODUCT(AI165:AR165,'NSSC Model'!$B$83:$K$83)+BM165/('Assumptions'!$C$9-'Assumptions'!$D$9)*'NSSC Model'!$K$83</x:f>
        <x:v>5745.1335813802625</x:v>
      </x:c>
      <x:c r="BO165" t="n">
        <x:f>'NSSC Model'!$B$94</x:f>
        <x:v>101.2</x:v>
      </x:c>
      <x:c r="BP165" t="n">
        <x:f>'Inputs'!$D$8</x:f>
        <x:v>35.891</x:v>
      </x:c>
    </x:row>
    <x:row r="166">
      <x:c r="A166" t="str">
        <x:v>NSSC</x:v>
      </x:c>
      <x:c r="B166" s="22" t="n">
        <x:v>0.42</x:v>
      </x:c>
      <x:c r="C166" s="42" t="n">
        <x:f>(BN166+BO166)/BP166</x:f>
        <x:v>171.18939836851717</x:v>
      </x:c>
      <x:c r="D166" s="22" t="n">
        <x:f>C166/'Inputs'!$D$5-1</x:f>
        <x:v>3.625490363915622</x:v>
      </x:c>
      <x:c r="E166" t="n">
        <x:f>'Inputs'!$D$21*(1+$B166)^1</x:f>
        <x:v>138.48976</x:v>
      </x:c>
      <x:c r="F166" t="n">
        <x:f>'Inputs'!$D$21*(1+$B166)^2</x:f>
        <x:v>196.6554592</x:v>
      </x:c>
      <x:c r="G166" t="n">
        <x:f>'Inputs'!$D$21*(1+$B166)^3</x:f>
        <x:v>279.250752064</x:v>
      </x:c>
      <x:c r="H166" t="n">
        <x:f>'Inputs'!$D$21*(1+$B166)^4</x:f>
        <x:v>396.53606793088</x:v>
      </x:c>
      <x:c r="I166" t="n">
        <x:f>'Inputs'!$D$21*(1+$B166)^5</x:f>
        <x:v>563.0812164618495</x:v>
      </x:c>
      <x:c r="J166" t="n">
        <x:f>I166*(1+($BG166+('Assumptions'!$D$9-$BG166)*(6-5)/5))</x:f>
        <x:v>715.6833792857162</x:v>
      </x:c>
      <x:c r="K166" t="n">
        <x:f>J166*(1+($BG166+('Assumptions'!$D$9-$BG166)*(7-5)/5))</x:f>
        <x:v>866.5204702906831</x:v>
      </x:c>
      <x:c r="L166" t="n">
        <x:f>K166*(1+($BG166+('Assumptions'!$D$9-$BG166)*(8-5)/5))</x:f>
        <x:v>996.9373050373581</x:v>
      </x:c>
      <x:c r="M166" t="n">
        <x:f>L166*(1+($BG166+('Assumptions'!$D$9-$BG166)*(9-5)/5))</x:f>
        <x:v>1086.9140629920098</x:v>
      </x:c>
      <x:c r="N166" t="n">
        <x:f>M166*(1+($BG166+('Assumptions'!$D$9-$BG166)*(10-5)/5))</x:f>
        <x:v>1119.5214848817702</x:v>
      </x:c>
      <x:c r="O166" t="n">
        <x:f>'NSSC Model'!$B$68</x:f>
        <x:v>106.88376</x:v>
      </x:c>
      <x:c r="P166" t="n">
        <x:f>'NSSC Model'!$C$68</x:f>
        <x:v>110.0902728</x:v>
      </x:c>
      <x:c r="Q166" t="n">
        <x:f>'NSSC Model'!$D$68</x:f>
        <x:v>113.39298098399999</x:v>
      </x:c>
      <x:c r="R166" t="n">
        <x:f>'NSSC Model'!$E$68</x:f>
        <x:v>116.79477041352</x:v>
      </x:c>
      <x:c r="S166" t="n">
        <x:f>'NSSC Model'!$F$68</x:f>
        <x:v>120.2986135259256</x:v>
      </x:c>
      <x:c r="T166" t="n">
        <x:f>S166*(1+($BG166+('Assumptions'!$D$9-$BG166)*(6-5)/5))</x:f>
        <x:v>152.90106601780784</x:v>
      </x:c>
      <x:c r="U166" t="n">
        <x:f>T166*(1+($BG166+('Assumptions'!$D$9-$BG166)*(7-5)/5))</x:f>
        <x:v>185.12642247739558</x:v>
      </x:c>
      <x:c r="V166" t="n">
        <x:f>U166*(1+($BG166+('Assumptions'!$D$9-$BG166)*(8-5)/5))</x:f>
        <x:v>212.9891249469384</x:v>
      </x:c>
      <x:c r="W166" t="n">
        <x:f>V166*(1+($BG166+('Assumptions'!$D$9-$BG166)*(9-5)/5))</x:f>
        <x:v>232.21206990595527</x:v>
      </x:c>
      <x:c r="X166" t="n">
        <x:f>W166*(1+($BG166+('Assumptions'!$D$9-$BG166)*(10-5)/5))</x:f>
        <x:v>239.17843200313393</x:v>
      </x:c>
      <x:c r="Y166" t="n">
        <x:f>E166*'NSSC Model'!$B$62+O166*'NSSC Model'!$B$63+'NSSC Model'!$B$73+'NSSC Model'!$B$74</x:f>
        <x:v>94.91489619999999</x:v>
      </x:c>
      <x:c r="Z166" t="n">
        <x:f>F166*'NSSC Model'!$C$62+P166*'NSSC Model'!$C$63+'NSSC Model'!$C$73+'NSSC Model'!$C$74</x:f>
        <x:v>145.3307673086</x:v>
      </x:c>
      <x:c r="AA166" t="n">
        <x:f>G166*'NSSC Model'!$D$62+Q166*'NSSC Model'!$D$63+'NSSC Model'!$D$73+'NSSC Model'!$D$74</x:f>
        <x:v>217.89566472861696</x:v>
      </x:c>
      <x:c r="AB166" t="n">
        <x:f>H166*'NSSC Model'!$E$62+R166*'NSSC Model'!$E$63+'NSSC Model'!$E$73+'NSSC Model'!$E$74</x:f>
        <x:v>321.069130557845</x:v>
      </x:c>
      <x:c r="AC166" t="n">
        <x:f>I166*'NSSC Model'!$F$62+S166*'NSSC Model'!$F$63+'NSSC Model'!$F$73+'NSSC Model'!$F$74</x:f>
        <x:v>468.5482772701034</x:v>
      </x:c>
      <x:c r="AD166" t="n">
        <x:f>AX166*$AC166/$AW166</x:f>
        <x:v>595.5308126636615</x:v>
      </x:c>
      <x:c r="AE166" t="n">
        <x:f>AY166*$AC166/$AW166</x:f>
        <x:v>721.044605474755</x:v>
      </x:c>
      <x:c r="AF166" t="n">
        <x:f>AZ166*$AC166/$AW166</x:f>
        <x:v>829.5663985324967</x:v>
      </x:c>
      <x:c r="AG166" t="n">
        <x:f>BA166*$AC166/$AW166</x:f>
        <x:v>904.4374006215135</x:v>
      </x:c>
      <x:c r="AH166" t="n">
        <x:f>BB166*$AC166/$AW166</x:f>
        <x:v>931.570522640159</x:v>
      </x:c>
      <x:c r="AI166" t="n">
        <x:f>Y166*(1-'Assumptions'!$F$9)+AS166*'Assumptions'!$G$9-AS166*'NSSC Model'!$B$65-(AS166-'Inputs'!$D$14)*'Assumptions'!$H$9-'Assumptions'!$I$9</x:f>
        <x:v>72.542968804</x:v>
      </x:c>
      <x:c r="AJ166" t="n">
        <x:f>Z166*(1-'Assumptions'!$F$9)+AT166*'Assumptions'!$G$9-AT166*'NSSC Model'!$C$65-(AT166-AS166)*'Assumptions'!$H$9-0</x:f>
        <x:v>111.80702506505202</x:v>
      </x:c>
      <x:c r="AK166" t="n">
        <x:f>AA166*(1-'Assumptions'!$F$9)+AU166*'Assumptions'!$G$9-AU166*'NSSC Model'!$D$65-(AU166-AT166)*'Assumptions'!$H$9-0</x:f>
        <x:v>168.5140700404739</x:v>
      </x:c>
      <x:c r="AL166" t="n">
        <x:f>AB166*(1-'Assumptions'!$F$9)+AV166*'Assumptions'!$G$9-AV166*'NSSC Model'!$E$65-(AV166-AU166)*'Assumptions'!$H$9-0</x:f>
        <x:v>249.1546531744153</x:v>
      </x:c>
      <x:c r="AM166" t="n">
        <x:f>AC166*(1-'Assumptions'!$F$9)+AW166*'Assumptions'!$G$9-AW166*'NSSC Model'!$F$65-(AW166-AV166)*'Assumptions'!$H$9-0</x:f>
        <x:v>364.4711688771962</x:v>
      </x:c>
      <x:c r="AN166" t="n">
        <x:f>AD166*(1-'Assumptions'!$F$9)+AX166*'Assumptions'!$G$9-AX166*'NSSC Model'!$G$65-(AX166-AW166)*'Assumptions'!$H$9-0</x:f>
        <x:v>466.3404670714135</x:v>
      </x:c>
      <x:c r="AO166" t="n">
        <x:f>AE166*(1-'Assumptions'!$F$9)+AY166*'Assumptions'!$G$9-AY166*'NSSC Model'!$H$65-(AY166-AX166)*'Assumptions'!$H$9-0</x:f>
        <x:v>568.7437441717714</x:v>
      </x:c>
      <x:c r="AP166" t="n">
        <x:f>AF166*(1-'Assumptions'!$F$9)+AZ166*'Assumptions'!$G$9-AZ166*'NSSC Model'!$I$65-(AZ166-AY166)*'Assumptions'!$H$9-0</x:f>
        <x:v>659.5767873550884</x:v>
      </x:c>
      <x:c r="AQ166" t="n">
        <x:f>AG166*(1-'Assumptions'!$F$9)+BA166*'Assumptions'!$G$9-BA166*'NSSC Model'!$J$65-(BA166-AZ166)*'Assumptions'!$H$9-0</x:f>
        <x:v>725.4421936866823</x:v>
      </x:c>
      <x:c r="AR166" t="n">
        <x:f>AH166*(1-'Assumptions'!$F$9)+BB166*'Assumptions'!$G$9-BB166*'NSSC Model'!$K$65-(BB166-BA166)*'Assumptions'!$H$9-0</x:f>
        <x:v>754.4956504986969</x:v>
      </x:c>
      <x:c r="AS166" t="n">
        <x:f>E166+O166</x:f>
        <x:v>245.37351999999998</x:v>
      </x:c>
      <x:c r="AT166" t="n">
        <x:f>F166+P166</x:f>
        <x:v>306.745732</x:v>
      </x:c>
      <x:c r="AU166" t="n">
        <x:f>G166+Q166</x:f>
        <x:v>392.64373304799994</x:v>
      </x:c>
      <x:c r="AV166" t="n">
        <x:f>H166+R166</x:f>
        <x:v>513.3308383444</x:v>
      </x:c>
      <x:c r="AW166" t="n">
        <x:f>I166+S166</x:f>
        <x:v>683.3798299877751</x:v>
      </x:c>
      <x:c r="AX166" t="n">
        <x:f>J166+T166</x:f>
        <x:v>868.584445303524</x:v>
      </x:c>
      <x:c r="AY166" t="n">
        <x:f>K166+U166</x:f>
        <x:v>1051.6468927680787</x:v>
      </x:c>
      <x:c r="AZ166" t="n">
        <x:f>L166+V166</x:f>
        <x:v>1209.9264299842964</x:v>
      </x:c>
      <x:c r="BA166" t="n">
        <x:f>M166+W166</x:f>
        <x:v>1319.1261328979651</x:v>
      </x:c>
      <x:c r="BB166" t="n">
        <x:f>N166+X166</x:f>
        <x:v>1358.6999168849043</x:v>
      </x:c>
      <x:c r="BC166" t="n">
        <x:f>AS166/'Inputs'!$D$14-1</x:f>
        <x:v>0.2128231084046739</x:v>
      </x:c>
      <x:c r="BD166" t="n">
        <x:f>AT166/AS166-1</x:f>
        <x:v>0.2501175024917115</x:v>
      </x:c>
      <x:c r="BE166" t="n">
        <x:f>AU166/AT166-1</x:f>
        <x:v>0.2800299795141077</x:v>
      </x:c>
      <x:c r="BF166" t="n">
        <x:f>AV166/AU166-1</x:f>
        <x:v>0.3073705120912915</x:v>
      </x:c>
      <x:c r="BG166" t="n">
        <x:f>AW166/AV166-1</x:f>
        <x:v>0.3312658795092438</x:v>
      </x:c>
      <x:c r="BH166" t="n">
        <x:f>AX166/AW166-1</x:f>
        <x:v>0.27101270360739504</x:v>
      </x:c>
      <x:c r="BI166" t="n">
        <x:f>AY166/AX166-1</x:f>
        <x:v>0.2107595277055463</x:v>
      </x:c>
      <x:c r="BJ166" t="n">
        <x:f>AZ166/AY166-1</x:f>
        <x:v>0.1505063518036973</x:v>
      </x:c>
      <x:c r="BK166" t="n">
        <x:f>BA166/AZ166-1</x:f>
        <x:v>0.09025317590184878</x:v>
      </x:c>
      <x:c r="BL166" t="n">
        <x:f>BB166/BA166-1</x:f>
        <x:v>0.030000000000000027</x:v>
      </x:c>
      <x:c r="BM166" t="n">
        <x:f>AH166*(1-'Assumptions'!$F$9)*(1+'Assumptions'!$D$9)*(1-'Assumptions'!$D$9/'Assumptions'!$E$9)</x:f>
        <x:v>708.1240170796905</x:v>
      </x:c>
      <x:c r="BN166" t="n">
        <x:f>SUMPRODUCT(AI166:AR166,'NSSC Model'!$B$83:$K$83)+BM166/('Assumptions'!$C$9-'Assumptions'!$D$9)*'NSSC Model'!$K$83</x:f>
        <x:v>6042.95869684445</x:v>
      </x:c>
      <x:c r="BO166" t="n">
        <x:f>'NSSC Model'!$B$94</x:f>
        <x:v>101.2</x:v>
      </x:c>
      <x:c r="BP166" t="n">
        <x:f>'Inputs'!$D$8</x:f>
        <x:v>35.891</x:v>
      </x:c>
    </x:row>
    <x:row r="167">
      <x:c r="A167" t="str">
        <x:v>NSSC</x:v>
      </x:c>
      <x:c r="B167" s="22" t="n">
        <x:v>0.43</x:v>
      </x:c>
      <x:c r="C167" s="42" t="n">
        <x:f>(BN167+BO167)/BP167</x:f>
        <x:v>179.8684053356641</x:v>
      </x:c>
      <x:c r="D167" s="22" t="n">
        <x:f>C167/'Inputs'!$D$5-1</x:f>
        <x:v>3.8599947402232946</x:v>
      </x:c>
      <x:c r="E167" t="n">
        <x:f>'Inputs'!$D$21*(1+$B167)^1</x:f>
        <x:v>139.46504000000002</x:v>
      </x:c>
      <x:c r="F167" t="n">
        <x:f>'Inputs'!$D$21*(1+$B167)^2</x:f>
        <x:v>199.43500719999997</x:v>
      </x:c>
      <x:c r="G167" t="n">
        <x:f>'Inputs'!$D$21*(1+$B167)^3</x:f>
        <x:v>285.19206029599997</x:v>
      </x:c>
      <x:c r="H167" t="n">
        <x:f>'Inputs'!$D$21*(1+$B167)^4</x:f>
        <x:v>407.82464622327996</x:v>
      </x:c>
      <x:c r="I167" t="n">
        <x:f>'Inputs'!$D$21*(1+$B167)^5</x:f>
        <x:v>583.1892440992902</x:v>
      </x:c>
      <x:c r="J167" t="n">
        <x:f>I167*(1+($BG167+('Assumptions'!$D$9-$BG167)*(6-5)/5))</x:f>
        <x:v>745.758589449725</x:v>
      </x:c>
      <x:c r="K167" t="n">
        <x:f>J167*(1+($BG167+('Assumptions'!$D$9-$BG167)*(7-5)/5))</x:f>
        <x:v>907.2670588200139</x:v>
      </x:c>
      <x:c r="L167" t="n">
        <x:f>K167*(1+($BG167+('Assumptions'!$D$9-$BG167)*(8-5)/5))</x:f>
        <x:v>1047.3305675097017</x:v>
      </x:c>
      <x:c r="M167" t="n">
        <x:f>L167*(1+($BG167+('Assumptions'!$D$9-$BG167)*(9-5)/5))</x:f>
        <x:v>1143.8837532823334</x:v>
      </x:c>
      <x:c r="N167" t="n">
        <x:f>M167*(1+($BG167+('Assumptions'!$D$9-$BG167)*(10-5)/5))</x:f>
        <x:v>1178.2002658808035</x:v>
      </x:c>
      <x:c r="O167" t="n">
        <x:f>'NSSC Model'!$B$68</x:f>
        <x:v>106.88376</x:v>
      </x:c>
      <x:c r="P167" t="n">
        <x:f>'NSSC Model'!$C$68</x:f>
        <x:v>110.0902728</x:v>
      </x:c>
      <x:c r="Q167" t="n">
        <x:f>'NSSC Model'!$D$68</x:f>
        <x:v>113.39298098399999</x:v>
      </x:c>
      <x:c r="R167" t="n">
        <x:f>'NSSC Model'!$E$68</x:f>
        <x:v>116.79477041352</x:v>
      </x:c>
      <x:c r="S167" t="n">
        <x:f>'NSSC Model'!$F$68</x:f>
        <x:v>120.2986135259256</x:v>
      </x:c>
      <x:c r="T167" t="n">
        <x:f>S167*(1+($BG167+('Assumptions'!$D$9-$BG167)*(6-5)/5))</x:f>
        <x:v>153.83295430012728</x:v>
      </x:c>
      <x:c r="U167" t="n">
        <x:f>T167*(1+($BG167+('Assumptions'!$D$9-$BG167)*(7-5)/5))</x:f>
        <x:v>187.14846060365622</x:v>
      </x:c>
      <x:c r="V167" t="n">
        <x:f>U167*(1+($BG167+('Assumptions'!$D$9-$BG167)*(8-5)/5))</x:f>
        <x:v>216.0403615970792</x:v>
      </x:c>
      <x:c r="W167" t="n">
        <x:f>V167*(1+($BG167+('Assumptions'!$D$9-$BG167)*(9-5)/5))</x:f>
        <x:v>235.9570773072564</x:v>
      </x:c>
      <x:c r="X167" t="n">
        <x:f>W167*(1+($BG167+('Assumptions'!$D$9-$BG167)*(10-5)/5))</x:f>
        <x:v>243.0357896264741</x:v>
      </x:c>
      <x:c r="Y167" t="n">
        <x:f>E167*'NSSC Model'!$B$62+O167*'NSSC Model'!$B$63+'NSSC Model'!$B$73+'NSSC Model'!$B$74</x:f>
        <x:v>95.79557403999999</x:v>
      </x:c>
      <x:c r="Z167" t="n">
        <x:f>F167*'NSSC Model'!$C$62+P167*'NSSC Model'!$C$63+'NSSC Model'!$C$73+'NSSC Model'!$C$74</x:f>
        <x:v>147.84069915259997</x:v>
      </x:c>
      <x:c r="AA167" t="n">
        <x:f>G167*'NSSC Model'!$D$62+Q167*'NSSC Model'!$D$63+'NSSC Model'!$D$73+'NSSC Model'!$D$74</x:f>
        <x:v>223.260666062113</x:v>
      </x:c>
      <x:c r="AB167" t="n">
        <x:f>H167*'NSSC Model'!$E$62+R167*'NSSC Model'!$E$63+'NSSC Model'!$E$73+'NSSC Model'!$E$74</x:f>
        <x:v>331.2627167558822</x:v>
      </x:c>
      <x:c r="AC167" t="n">
        <x:f>I167*'NSSC Model'!$F$62+S167*'NSSC Model'!$F$63+'NSSC Model'!$F$73+'NSSC Model'!$F$74</x:f>
        <x:v>486.70582622671236</x:v>
      </x:c>
      <x:c r="AD167" t="n">
        <x:f>AX167*$AC167/$AW167</x:f>
        <x:v>622.3795348015708</x:v>
      </x:c>
      <x:c r="AE167" t="n">
        <x:f>AY167*$AC167/$AW167</x:f>
        <x:v>757.1678797904831</x:v>
      </x:c>
      <x:c r="AF167" t="n">
        <x:f>AZ167*$AC167/$AW167</x:f>
        <x:v>874.0591400645163</x:v>
      </x:c>
      <x:c r="AG167" t="n">
        <x:f>BA167*$AC167/$AW167</x:f>
        <x:v>954.6384692132706</x:v>
      </x:c>
      <x:c r="AH167" t="n">
        <x:f>BB167*$AC167/$AW167</x:f>
        <x:v>983.2776232896688</x:v>
      </x:c>
      <x:c r="AI167" t="n">
        <x:f>Y167*(1-'Assumptions'!$F$9)+AS167*'Assumptions'!$G$9-AS167*'NSSC Model'!$B$65-(AS167-'Inputs'!$D$14)*'Assumptions'!$H$9-'Assumptions'!$I$9</x:f>
        <x:v>73.1636955128</x:v>
      </x:c>
      <x:c r="AJ167" t="n">
        <x:f>Z167*(1-'Assumptions'!$F$9)+AT167*'Assumptions'!$G$9-AT167*'NSSC Model'!$C$65-(AT167-AS167)*'Assumptions'!$H$9-0</x:f>
        <x:v>113.673624185132</x:v>
      </x:c>
      <x:c r="AK167" t="n">
        <x:f>AA167*(1-'Assumptions'!$F$9)+AU167*'Assumptions'!$G$9-AU167*'NSSC Model'!$D$65-(AU167-AT167)*'Assumptions'!$H$9-0</x:f>
        <x:v>172.57342987781266</x:v>
      </x:c>
      <x:c r="AL167" t="n">
        <x:f>AB167*(1-'Assumptions'!$F$9)+AV167*'Assumptions'!$G$9-AV167*'NSSC Model'!$E$65-(AV167-AU167)*'Assumptions'!$H$9-0</x:f>
        <x:v>256.93351253759613</x:v>
      </x:c>
      <x:c r="AM167" t="n">
        <x:f>AC167*(1-'Assumptions'!$F$9)+AW167*'Assumptions'!$G$9-AW167*'NSSC Model'!$F$65-(AW167-AV167)*'Assumptions'!$H$9-0</x:f>
        <x:v>378.3979819765617</x:v>
      </x:c>
      <x:c r="AN167" t="n">
        <x:f>AD167*(1-'Assumptions'!$F$9)+AX167*'Assumptions'!$G$9-AX167*'NSSC Model'!$G$65-(AX167-AW167)*'Assumptions'!$H$9-0</x:f>
        <x:v>487.142483749825</x:v>
      </x:c>
      <x:c r="AO167" t="n">
        <x:f>AE167*(1-'Assumptions'!$F$9)+AY167*'Assumptions'!$G$9-AY167*'NSSC Model'!$H$65-(AY167-AX167)*'Assumptions'!$H$9-0</x:f>
        <x:v>597.0176017831197</x:v>
      </x:c>
      <x:c r="AP167" t="n">
        <x:f>AF167*(1-'Assumptions'!$F$9)+AZ167*'Assumptions'!$G$9-AZ167*'NSSC Model'!$I$65-(AZ167-AY167)*'Assumptions'!$H$9-0</x:f>
        <x:v>694.7794701681652</x:v>
      </x:c>
      <x:c r="AQ167" t="n">
        <x:f>AG167*(1-'Assumptions'!$F$9)+BA167*'Assumptions'!$G$9-BA167*'NSSC Model'!$J$65-(BA167-AZ167)*'Assumptions'!$H$9-0</x:f>
        <x:v>765.6371912842427</x:v>
      </x:c>
      <x:c r="AR167" t="n">
        <x:f>AH167*(1-'Assumptions'!$F$9)+BB167*'Assumptions'!$G$9-BB167*'NSSC Model'!$K$65-(BB167-BA167)*'Assumptions'!$H$9-0</x:f>
        <x:v>796.4631843837307</x:v>
      </x:c>
      <x:c r="AS167" t="n">
        <x:f>E167+O167</x:f>
        <x:v>246.3488</x:v>
      </x:c>
      <x:c r="AT167" t="n">
        <x:f>F167+P167</x:f>
        <x:v>309.52527999999995</x:v>
      </x:c>
      <x:c r="AU167" t="n">
        <x:f>G167+Q167</x:f>
        <x:v>398.5850412799999</x:v>
      </x:c>
      <x:c r="AV167" t="n">
        <x:f>H167+R167</x:f>
        <x:v>524.6194166368</x:v>
      </x:c>
      <x:c r="AW167" t="n">
        <x:f>I167+S167</x:f>
        <x:v>703.4878576252158</x:v>
      </x:c>
      <x:c r="AX167" t="n">
        <x:f>J167+T167</x:f>
        <x:v>899.5915437498523</x:v>
      </x:c>
      <x:c r="AY167" t="n">
        <x:f>K167+U167</x:f>
        <x:v>1094.41551942367</x:v>
      </x:c>
      <x:c r="AZ167" t="n">
        <x:f>L167+V167</x:f>
        <x:v>1263.370929106781</x:v>
      </x:c>
      <x:c r="BA167" t="n">
        <x:f>M167+W167</x:f>
        <x:v>1379.8408305895898</x:v>
      </x:c>
      <x:c r="BB167" t="n">
        <x:f>N167+X167</x:f>
        <x:v>1421.2360555072776</x:v>
      </x:c>
      <x:c r="BC167" t="n">
        <x:f>AS167/'Inputs'!$D$14-1</x:f>
        <x:v>0.2176436861147908</x:v>
      </x:c>
      <x:c r="BD167" t="n">
        <x:f>AT167/AS167-1</x:f>
        <x:v>0.2564513405382933</x:v>
      </x:c>
      <x:c r="BE167" t="n">
        <x:f>AU167/AT167-1</x:f>
        <x:v>0.2877301695034409</x:v>
      </x:c>
      <x:c r="BF167" t="n">
        <x:f>AV167/AU167-1</x:f>
        <x:v>0.3162044791045302</x:v>
      </x:c>
      <x:c r="BG167" t="n">
        <x:f>AW167/AV167-1</x:f>
        <x:v>0.34094895330999253</x:v>
      </x:c>
      <x:c r="BH167" t="n">
        <x:f>AX167/AW167-1</x:f>
        <x:v>0.27875916264799416</x:v>
      </x:c>
      <x:c r="BI167" t="n">
        <x:f>AY167/AX167-1</x:f>
        <x:v>0.21656937198599557</x:v>
      </x:c>
      <x:c r="BJ167" t="n">
        <x:f>AZ167/AY167-1</x:f>
        <x:v>0.15437958132399698</x:v>
      </x:c>
      <x:c r="BK167" t="n">
        <x:f>BA167/AZ167-1</x:f>
        <x:v>0.09218979066199862</x:v>
      </x:c>
      <x:c r="BL167" t="n">
        <x:f>BB167/BA167-1</x:f>
        <x:v>0.030000000000000027</x:v>
      </x:c>
      <x:c r="BM167" t="n">
        <x:f>AH167*(1-'Assumptions'!$F$9)*(1+'Assumptions'!$D$9)*(1-'Assumptions'!$D$9/'Assumptions'!$E$9)</x:f>
        <x:v>747.428652567409</x:v>
      </x:c>
      <x:c r="BN167" t="n">
        <x:f>SUMPRODUCT(AI167:AR167,'NSSC Model'!$B$83:$K$83)+BM167/('Assumptions'!$C$9-'Assumptions'!$D$9)*'NSSC Model'!$K$83</x:f>
        <x:v>6354.456935902321</x:v>
      </x:c>
      <x:c r="BO167" t="n">
        <x:f>'NSSC Model'!$B$94</x:f>
        <x:v>101.2</x:v>
      </x:c>
      <x:c r="BP167" t="n">
        <x:f>'Inputs'!$D$8</x:f>
        <x:v>35.891</x:v>
      </x:c>
    </x:row>
    <x:row r="168">
      <x:c r="A168" t="str">
        <x:v>NSSC</x:v>
      </x:c>
      <x:c r="B168" s="22" t="n">
        <x:v>0.44</x:v>
      </x:c>
      <x:c r="C168" s="42" t="n">
        <x:f>(BN168+BO168)/BP168</x:f>
        <x:v>188.94371233389708</x:v>
      </x:c>
      <x:c r="D168" s="22" t="n">
        <x:f>C168/'Inputs'!$D$5-1</x:f>
        <x:v>4.105207034150151</x:v>
      </x:c>
      <x:c r="E168" t="n">
        <x:f>'Inputs'!$D$21*(1+$B168)^1</x:f>
        <x:v>140.44032</x:v>
      </x:c>
      <x:c r="F168" t="n">
        <x:f>'Inputs'!$D$21*(1+$B168)^2</x:f>
        <x:v>202.2340608</x:v>
      </x:c>
      <x:c r="G168" t="n">
        <x:f>'Inputs'!$D$21*(1+$B168)^3</x:f>
        <x:v>291.217047552</x:v>
      </x:c>
      <x:c r="H168" t="n">
        <x:f>'Inputs'!$D$21*(1+$B168)^4</x:f>
        <x:v>419.35254847487994</x:v>
      </x:c>
      <x:c r="I168" t="n">
        <x:f>'Inputs'!$D$21*(1+$B168)^5</x:f>
        <x:v>603.8676698038272</x:v>
      </x:c>
      <x:c r="J168" t="n">
        <x:f>I168*(1+($BG168+('Assumptions'!$D$9-$BG168)*(6-5)/5))</x:f>
        <x:v>776.904870724692</x:v>
      </x:c>
      <x:c r="K168" t="n">
        <x:f>J168*(1+($BG168+('Assumptions'!$D$9-$BG168)*(7-5)/5))</x:f>
        <x:v>949.6971833144116</x:v>
      </x:c>
      <x:c r="L168" t="n">
        <x:f>K168*(1+($BG168+('Assumptions'!$D$9-$BG168)*(8-5)/5))</x:f>
        <x:v>1100.0096558593896</x:v>
      </x:c>
      <x:c r="M168" t="n">
        <x:f>L168*(1+($BG168+('Assumptions'!$D$9-$BG168)*(9-5)/5))</x:f>
        <x:v>1203.5613230670351</x:v>
      </x:c>
      <x:c r="N168" t="n">
        <x:f>M168*(1+($BG168+('Assumptions'!$D$9-$BG168)*(10-5)/5))</x:f>
        <x:v>1239.6681627590463</x:v>
      </x:c>
      <x:c r="O168" t="n">
        <x:f>'NSSC Model'!$B$68</x:f>
        <x:v>106.88376</x:v>
      </x:c>
      <x:c r="P168" t="n">
        <x:f>'NSSC Model'!$C$68</x:f>
        <x:v>110.0902728</x:v>
      </x:c>
      <x:c r="Q168" t="n">
        <x:f>'NSSC Model'!$D$68</x:f>
        <x:v>113.39298098399999</x:v>
      </x:c>
      <x:c r="R168" t="n">
        <x:f>'NSSC Model'!$E$68</x:f>
        <x:v>116.79477041352</x:v>
      </x:c>
      <x:c r="S168" t="n">
        <x:f>'NSSC Model'!$F$68</x:f>
        <x:v>120.2986135259256</x:v>
      </x:c>
      <x:c r="T168" t="n">
        <x:f>S168*(1+($BG168+('Assumptions'!$D$9-$BG168)*(6-5)/5))</x:f>
        <x:v>154.7699661087678</x:v>
      </x:c>
      <x:c r="U168" t="n">
        <x:f>T168*(1+($BG168+('Assumptions'!$D$9-$BG168)*(7-5)/5))</x:f>
        <x:v>189.1925336213395</x:v>
      </x:c>
      <x:c r="V168" t="n">
        <x:f>U168*(1+($BG168+('Assumptions'!$D$9-$BG168)*(8-5)/5))</x:f>
        <x:v>219.1368127192565</x:v>
      </x:c>
      <x:c r="W168" t="n">
        <x:f>V168*(1+($BG168+('Assumptions'!$D$9-$BG168)*(9-5)/5))</x:f>
        <x:v>239.76570645921225</x:v>
      </x:c>
      <x:c r="X168" t="n">
        <x:f>W168*(1+($BG168+('Assumptions'!$D$9-$BG168)*(10-5)/5))</x:f>
        <x:v>246.95867765298863</x:v>
      </x:c>
      <x:c r="Y168" t="n">
        <x:f>E168*'NSSC Model'!$B$62+O168*'NSSC Model'!$B$63+'NSSC Model'!$B$73+'NSSC Model'!$B$74</x:f>
        <x:v>96.67625188000002</x:v>
      </x:c>
      <x:c r="Z168" t="n">
        <x:f>F168*'NSSC Model'!$C$62+P168*'NSSC Model'!$C$63+'NSSC Model'!$C$73+'NSSC Model'!$C$74</x:f>
        <x:v>150.36824455340002</x:v>
      </x:c>
      <x:c r="AA168" t="n">
        <x:f>G168*'NSSC Model'!$D$62+Q168*'NSSC Model'!$D$63+'NSSC Model'!$D$73+'NSSC Model'!$D$74</x:f>
        <x:v>228.70122955428104</x:v>
      </x:c>
      <x:c r="AB168" t="n">
        <x:f>H168*'NSSC Model'!$E$62+R168*'NSSC Model'!$E$63+'NSSC Model'!$E$73+'NSSC Model'!$E$74</x:f>
        <x:v>341.672412489077</x:v>
      </x:c>
      <x:c r="AC168" t="n">
        <x:f>I168*'NSSC Model'!$F$62+S168*'NSSC Model'!$F$63+'NSSC Model'!$F$73+'NSSC Model'!$F$74</x:f>
        <x:v>505.3784446379093</x:v>
      </x:c>
      <x:c r="AD168" t="n">
        <x:f>AX168*$AC168/$AW168</x:f>
        <x:v>650.1937342100317</x:v>
      </x:c>
      <x:c r="AE168" t="n">
        <x:f>AY168*$AC168/$AW168</x:f>
        <x:v>794.8040760922996</x:v>
      </x:c>
      <x:c r="AF168" t="n">
        <x:f>AZ168*$AC168/$AW168</x:f>
        <x:v>920.600980584864</x:v>
      </x:c>
      <x:c r="AG168" t="n">
        <x:f>BA168*$AC168/$AW168</x:f>
        <x:v>1007.263643830378</x:v>
      </x:c>
      <x:c r="AH168" t="n">
        <x:f>BB168*$AC168/$AW168</x:f>
        <x:v>1037.4815531452894</x:v>
      </x:c>
      <x:c r="AI168" t="n">
        <x:f>Y168*(1-'Assumptions'!$F$9)+AS168*'Assumptions'!$G$9-AS168*'NSSC Model'!$B$65-(AS168-'Inputs'!$D$14)*'Assumptions'!$H$9-'Assumptions'!$I$9</x:f>
        <x:v>73.78442222160001</x:v>
      </x:c>
      <x:c r="AJ168" t="n">
        <x:f>Z168*(1-'Assumptions'!$F$9)+AT168*'Assumptions'!$G$9-AT168*'NSSC Model'!$C$65-(AT168-AS168)*'Assumptions'!$H$9-0</x:f>
        <x:v>115.55263783938803</x:v>
      </x:c>
      <x:c r="AK168" t="n">
        <x:f>AA168*(1-'Assumptions'!$F$9)+AU168*'Assumptions'!$G$9-AU168*'NSSC Model'!$D$65-(AU168-AT168)*'Assumptions'!$H$9-0</x:f>
        <x:v>176.68799862676647</x:v>
      </x:c>
      <x:c r="AL168" t="n">
        <x:f>AB168*(1-'Assumptions'!$F$9)+AV168*'Assumptions'!$G$9-AV168*'NSSC Model'!$E$65-(AV168-AU168)*'Assumptions'!$H$9-0</x:f>
        <x:v>264.87305993024955</x:v>
      </x:c>
      <x:c r="AM168" t="n">
        <x:f>AC168*(1-'Assumptions'!$F$9)+AW168*'Assumptions'!$G$9-AW168*'NSSC Model'!$F$65-(AW168-AV168)*'Assumptions'!$H$9-0</x:f>
        <x:v>392.71176302563134</x:v>
      </x:c>
      <x:c r="AN168" t="n">
        <x:f>AD168*(1-'Assumptions'!$F$9)+AX168*'Assumptions'!$G$9-AX168*'NSSC Model'!$G$65-(AX168-AW168)*'Assumptions'!$H$9-0</x:f>
        <x:v>508.6813073545214</x:v>
      </x:c>
      <x:c r="AO168" t="n">
        <x:f>AE168*(1-'Assumptions'!$F$9)+AY168*'Assumptions'!$G$9-AY168*'NSSC Model'!$H$65-(AY168-AX168)*'Assumptions'!$H$9-0</x:f>
        <x:v>626.4622955177136</x:v>
      </x:c>
      <x:c r="AP168" t="n">
        <x:f>AF168*(1-'Assumptions'!$F$9)+AZ168*'Assumptions'!$G$9-AZ168*'NSSC Model'!$I$65-(AZ168-AY168)*'Assumptions'!$H$9-0</x:f>
        <x:v>731.5905430409845</x:v>
      </x:c>
      <x:c r="AQ168" t="n">
        <x:f>AG168*(1-'Assumptions'!$F$9)+BA168*'Assumptions'!$G$9-BA168*'NSSC Model'!$J$65-(BA168-AZ168)*'Assumptions'!$H$9-0</x:f>
        <x:v>807.7648237280449</x:v>
      </x:c>
      <x:c r="AR168" t="n">
        <x:f>AH168*(1-'Assumptions'!$F$9)+BB168*'Assumptions'!$G$9-BB168*'NSSC Model'!$K$65-(BB168-BA168)*'Assumptions'!$H$9-0</x:f>
        <x:v>840.4583851289105</x:v>
      </x:c>
      <x:c r="AS168" t="n">
        <x:f>E168+O168</x:f>
        <x:v>247.32408</x:v>
      </x:c>
      <x:c r="AT168" t="n">
        <x:f>F168+P168</x:f>
        <x:v>312.3243336</x:v>
      </x:c>
      <x:c r="AU168" t="n">
        <x:f>G168+Q168</x:f>
        <x:v>404.61002853599996</x:v>
      </x:c>
      <x:c r="AV168" t="n">
        <x:f>H168+R168</x:f>
        <x:v>536.1473188883999</x:v>
      </x:c>
      <x:c r="AW168" t="n">
        <x:f>I168+S168</x:f>
        <x:v>724.1662833297528</x:v>
      </x:c>
      <x:c r="AX168" t="n">
        <x:f>J168+T168</x:f>
        <x:v>931.6748368334598</x:v>
      </x:c>
      <x:c r="AY168" t="n">
        <x:f>K168+U168</x:f>
        <x:v>1138.889716935751</x:v>
      </x:c>
      <x:c r="AZ168" t="n">
        <x:f>L168+V168</x:f>
        <x:v>1319.1464685786461</x:v>
      </x:c>
      <x:c r="BA168" t="n">
        <x:f>M168+W168</x:f>
        <x:v>1443.3270295262473</x:v>
      </x:c>
      <x:c r="BB168" t="n">
        <x:f>N168+X168</x:f>
        <x:v>1486.6268404120349</x:v>
      </x:c>
      <x:c r="BC168" t="n">
        <x:f>AS168/'Inputs'!$D$14-1</x:f>
        <x:v>0.2224642638249077</x:v>
      </x:c>
      <x:c r="BD168" t="n">
        <x:f>AT168/AS168-1</x:f>
        <x:v>0.26281409234393993</x:v>
      </x:c>
      <x:c r="BE168" t="n">
        <x:f>AU168/AT168-1</x:f>
        <x:v>0.29548032288189274</x:v>
      </x:c>
      <x:c r="BF168" t="n">
        <x:f>AV168/AU168-1</x:f>
        <x:v>0.3250964659189026</x:v>
      </x:c>
      <x:c r="BG168" t="n">
        <x:f>AW168/AV168-1</x:f>
        <x:v>0.35068526469772276</x:v>
      </x:c>
      <x:c r="BH168" t="n">
        <x:f>AX168/AW168-1</x:f>
        <x:v>0.28654821175817835</x:v>
      </x:c>
      <x:c r="BI168" t="n">
        <x:f>AY168/AX168-1</x:f>
        <x:v>0.22241115881863371</x:v>
      </x:c>
      <x:c r="BJ168" t="n">
        <x:f>AZ168/AY168-1</x:f>
        <x:v>0.1582741058790893</x:v>
      </x:c>
      <x:c r="BK168" t="n">
        <x:f>BA168/AZ168-1</x:f>
        <x:v>0.09413705293954444</x:v>
      </x:c>
      <x:c r="BL168" t="n">
        <x:f>BB168/BA168-1</x:f>
        <x:v>0.030000000000000027</x:v>
      </x:c>
      <x:c r="BM168" t="n">
        <x:f>AH168*(1-'Assumptions'!$F$9)*(1+'Assumptions'!$D$9)*(1-'Assumptions'!$D$9/'Assumptions'!$E$9)</x:f>
        <x:v>788.6312278078603</x:v>
      </x:c>
      <x:c r="BN168" t="n">
        <x:f>SUMPRODUCT(AI168:AR168,'NSSC Model'!$B$83:$K$83)+BM168/('Assumptions'!$C$9-'Assumptions'!$D$9)*'NSSC Model'!$K$83</x:f>
        <x:v>6680.1787793759</x:v>
      </x:c>
      <x:c r="BO168" t="n">
        <x:f>'NSSC Model'!$B$94</x:f>
        <x:v>101.2</x:v>
      </x:c>
      <x:c r="BP168" t="n">
        <x:f>'Inputs'!$D$8</x:f>
        <x:v>35.891</x:v>
      </x:c>
    </x:row>
    <x:row r="169">
      <x:c r="A169" t="str">
        <x:v>NSSC</x:v>
      </x:c>
      <x:c r="B169" s="22" t="n">
        <x:v>0.45</x:v>
      </x:c>
      <x:c r="C169" s="42" t="n">
        <x:f>(BN169+BO169)/BP169</x:f>
        <x:v>198.4311638597286</x:v>
      </x:c>
      <x:c r="D169" s="22" t="n">
        <x:f>C169/'Inputs'!$D$5-1</x:f>
        <x:v>4.361555359625199</x:v>
      </x:c>
      <x:c r="E169" t="n">
        <x:f>'Inputs'!$D$21*(1+$B169)^1</x:f>
        <x:v>141.4156</x:v>
      </x:c>
      <x:c r="F169" t="n">
        <x:f>'Inputs'!$D$21*(1+$B169)^2</x:f>
        <x:v>205.05262000000002</x:v>
      </x:c>
      <x:c r="G169" t="n">
        <x:f>'Inputs'!$D$21*(1+$B169)^3</x:f>
        <x:v>297.326299</x:v>
      </x:c>
      <x:c r="H169" t="n">
        <x:f>'Inputs'!$D$21*(1+$B169)^4</x:f>
        <x:v>431.12313355000003</x:v>
      </x:c>
      <x:c r="I169" t="n">
        <x:f>'Inputs'!$D$21*(1+$B169)^5</x:f>
        <x:v>625.1285436475</x:v>
      </x:c>
      <x:c r="J169" t="n">
        <x:f>I169*(1+($BG169+('Assumptions'!$D$9-$BG169)*(6-5)/5))</x:f>
        <x:v>809.1525579231544</x:v>
      </x:c>
      <x:c r="K169" t="n">
        <x:f>J169*(1+($BG169+('Assumptions'!$D$9-$BG169)*(7-5)/5))</x:f>
        <x:v>993.8686619583282</x:v>
      </x:c>
      <x:c r="L169" t="n">
        <x:f>K169*(1+($BG169+('Assumptions'!$D$9-$BG169)*(8-5)/5))</x:f>
        <x:v>1155.0631658416721</x:v>
      </x:c>
      <x:c r="M169" t="n">
        <x:f>L169*(1+($BG169+('Assumptions'!$D$9-$BG169)*(9-5)/5))</x:f>
        <x:v>1266.0583480574064</x:v>
      </x:c>
      <x:c r="N169" t="n">
        <x:f>M169*(1+($BG169+('Assumptions'!$D$9-$BG169)*(10-5)/5))</x:f>
        <x:v>1304.0400984991286</x:v>
      </x:c>
      <x:c r="O169" t="n">
        <x:f>'NSSC Model'!$B$68</x:f>
        <x:v>106.88376</x:v>
      </x:c>
      <x:c r="P169" t="n">
        <x:f>'NSSC Model'!$C$68</x:f>
        <x:v>110.0902728</x:v>
      </x:c>
      <x:c r="Q169" t="n">
        <x:f>'NSSC Model'!$D$68</x:f>
        <x:v>113.39298098399999</x:v>
      </x:c>
      <x:c r="R169" t="n">
        <x:f>'NSSC Model'!$E$68</x:f>
        <x:v>116.79477041352</x:v>
      </x:c>
      <x:c r="S169" t="n">
        <x:f>'NSSC Model'!$F$68</x:f>
        <x:v>120.2986135259256</x:v>
      </x:c>
      <x:c r="T169" t="n">
        <x:f>S169*(1+($BG169+('Assumptions'!$D$9-$BG169)*(6-5)/5))</x:f>
        <x:v>155.71186412502084</x:v>
      </x:c>
      <x:c r="U169" t="n">
        <x:f>T169*(1+($BG169+('Assumptions'!$D$9-$BG169)*(7-5)/5))</x:f>
        <x:v>191.25829923368892</x:v>
      </x:c>
      <x:c r="V169" t="n">
        <x:f>U169*(1+($BG169+('Assumptions'!$D$9-$BG169)*(8-5)/5))</x:f>
        <x:v>222.27827987962186</x:v>
      </x:c>
      <x:c r="W169" t="n">
        <x:f>V169*(1+($BG169+('Assumptions'!$D$9-$BG169)*(9-5)/5))</x:f>
        <x:v>243.637993276647</x:v>
      </x:c>
      <x:c r="X169" t="n">
        <x:f>W169*(1+($BG169+('Assumptions'!$D$9-$BG169)*(10-5)/5))</x:f>
        <x:v>250.9471330749464</x:v>
      </x:c>
      <x:c r="Y169" t="n">
        <x:f>E169*'NSSC Model'!$B$62+O169*'NSSC Model'!$B$63+'NSSC Model'!$B$73+'NSSC Model'!$B$74</x:f>
        <x:v>97.55692972</x:v>
      </x:c>
      <x:c r="Z169" t="n">
        <x:f>F169*'NSSC Model'!$C$62+P169*'NSSC Model'!$C$63+'NSSC Model'!$C$73+'NSSC Model'!$C$74</x:f>
        <x:v>152.913403511</x:v>
      </x:c>
      <x:c r="AA169" t="n">
        <x:f>G169*'NSSC Model'!$D$62+Q169*'NSSC Model'!$D$63+'NSSC Model'!$D$73+'NSSC Model'!$D$74</x:f>
        <x:v>234.21788361182502</x:v>
      </x:c>
      <x:c r="AB169" t="n">
        <x:f>H169*'NSSC Model'!$E$62+R169*'NSSC Model'!$E$63+'NSSC Model'!$E$73+'NSSC Model'!$E$74</x:f>
        <x:v>352.3012508119104</x:v>
      </x:c>
      <x:c r="AC169" t="n">
        <x:f>I169*'NSSC Model'!$F$62+S169*'NSSC Model'!$F$63+'NSSC Model'!$F$73+'NSSC Model'!$F$74</x:f>
        <x:v>524.5770137187458</x:v>
      </x:c>
      <x:c r="AD169" t="n">
        <x:f>AX169*$AC169/$AW169</x:f>
        <x:v>679.0008819651028</x:v>
      </x:c>
      <x:c r="AE169" t="n">
        <x:f>AY169*$AC169/$AW169</x:f>
        <x:v>834.0055177719294</x:v>
      </x:c>
      <x:c r="AF169" t="n">
        <x:f>AZ169*$AC169/$AW169</x:f>
        <x:v>969.2719878992009</x:v>
      </x:c>
      <x:c r="AG169" t="n">
        <x:f>BA169*$AC169/$AW169</x:f>
        <x:v>1062.4136654238964</x:v>
      </x:c>
      <x:c r="AH169" t="n">
        <x:f>BB169*$AC169/$AW169</x:f>
        <x:v>1094.2860753866132</x:v>
      </x:c>
      <x:c r="AI169" t="n">
        <x:f>Y169*(1-'Assumptions'!$F$9)+AS169*'Assumptions'!$G$9-AS169*'NSSC Model'!$B$65-(AS169-'Inputs'!$D$14)*'Assumptions'!$H$9-'Assumptions'!$I$9</x:f>
        <x:v>74.40514893040002</x:v>
      </x:c>
      <x:c r="AJ169" t="n">
        <x:f>Z169*(1-'Assumptions'!$F$9)+AT169*'Assumptions'!$G$9-AT169*'NSSC Model'!$C$65-(AT169-AS169)*'Assumptions'!$H$9-0</x:f>
        <x:v>117.44406602782001</x:v>
      </x:c>
      <x:c r="AK169" t="n">
        <x:f>AA169*(1-'Assumptions'!$F$9)+AU169*'Assumptions'!$G$9-AU169*'NSSC Model'!$D$65-(AU169-AT169)*'Assumptions'!$H$9-0</x:f>
        <x:v>180.85814872336053</x:v>
      </x:c>
      <x:c r="AL169" t="n">
        <x:f>AB169*(1-'Assumptions'!$F$9)+AV169*'Assumptions'!$G$9-AV169*'NSSC Model'!$E$65-(AV169-AU169)*'Assumptions'!$H$9-0</x:f>
        <x:v>272.97549165196045</x:v>
      </x:c>
      <x:c r="AM169" t="n">
        <x:f>AC169*(1-'Assumptions'!$F$9)+AW169*'Assumptions'!$G$9-AW169*'NSSC Model'!$F$65-(AW169-AV169)*'Assumptions'!$H$9-0</x:f>
        <x:v>407.4205172996873</x:v>
      </x:c>
      <x:c r="AN169" t="n">
        <x:f>AD169*(1-'Assumptions'!$F$9)+AX169*'Assumptions'!$G$9-AX169*'NSSC Model'!$G$65-(AX169-AW169)*'Assumptions'!$H$9-0</x:f>
        <x:v>530.9775390357167</x:v>
      </x:c>
      <x:c r="AO169" t="n">
        <x:f>AE169*(1-'Assumptions'!$F$9)+AY169*'Assumptions'!$G$9-AY169*'NSSC Model'!$H$65-(AY169-AX169)*'Assumptions'!$H$9-0</x:f>
        <x:v>657.1177628138299</x:v>
      </x:c>
      <x:c r="AP169" t="n">
        <x:f>AF169*(1-'Assumptions'!$F$9)+AZ169*'Assumptions'!$G$9-AZ169*'NSSC Model'!$I$65-(AZ169-AY169)*'Assumptions'!$H$9-0</x:f>
        <x:v>770.0722158415319</x:v>
      </x:c>
      <x:c r="AQ169" t="n">
        <x:f>AG169*(1-'Assumptions'!$F$9)+BA169*'Assumptions'!$G$9-BA169*'NSSC Model'!$J$65-(BA169-AZ169)*'Assumptions'!$H$9-0</x:f>
        <x:v>851.9049307209831</x:v>
      </x:c>
      <x:c r="AR169" t="n">
        <x:f>AH169*(1-'Assumptions'!$F$9)+BB169*'Assumptions'!$G$9-BB169*'NSSC Model'!$K$65-(BB169-BA169)*'Assumptions'!$H$9-0</x:f>
        <x:v>886.5655438667245</x:v>
      </x:c>
      <x:c r="AS169" t="n">
        <x:f>E169+O169</x:f>
        <x:v>248.29936</x:v>
      </x:c>
      <x:c r="AT169" t="n">
        <x:f>F169+P169</x:f>
        <x:v>315.1428928</x:v>
      </x:c>
      <x:c r="AU169" t="n">
        <x:f>G169+Q169</x:f>
        <x:v>410.71927998399997</x:v>
      </x:c>
      <x:c r="AV169" t="n">
        <x:f>H169+R169</x:f>
        <x:v>547.9179039635201</x:v>
      </x:c>
      <x:c r="AW169" t="n">
        <x:f>I169+S169</x:f>
        <x:v>745.4271571734256</x:v>
      </x:c>
      <x:c r="AX169" t="n">
        <x:f>J169+T169</x:f>
        <x:v>964.8644220481752</x:v>
      </x:c>
      <x:c r="AY169" t="n">
        <x:f>K169+U169</x:f>
        <x:v>1185.126961192017</x:v>
      </x:c>
      <x:c r="AZ169" t="n">
        <x:f>L169+V169</x:f>
        <x:v>1377.341445721294</x:v>
      </x:c>
      <x:c r="BA169" t="n">
        <x:f>M169+W169</x:f>
        <x:v>1509.6963413340534</x:v>
      </x:c>
      <x:c r="BB169" t="n">
        <x:f>N169+X169</x:f>
        <x:v>1554.987231574075</x:v>
      </x:c>
      <x:c r="BC169" t="n">
        <x:f>AS169/'Inputs'!$D$14-1</x:f>
        <x:v>0.22728484153502437</x:v>
      </x:c>
      <x:c r="BD169" t="n">
        <x:f>AT169/AS169-1</x:f>
        <x:v>0.2692054172028475</x:v>
      </x:c>
      <x:c r="BE169" t="n">
        <x:f>AU169/AT169-1</x:f>
        <x:v>0.3032795261058159</x:v>
      </x:c>
      <x:c r="BF169" t="n">
        <x:f>AV169/AU169-1</x:f>
        <x:v>0.3340447616310216</x:v>
      </x:c>
      <x:c r="BG169" t="n">
        <x:f>AW169/AV169-1</x:f>
        <x:v>0.3604723477388969</x:v>
      </x:c>
      <x:c r="BH169" t="n">
        <x:f>AX169/AW169-1</x:f>
        <x:v>0.2943778781911175</x:v>
      </x:c>
      <x:c r="BI169" t="n">
        <x:f>AY169/AX169-1</x:f>
        <x:v>0.22828340864333807</x:v>
      </x:c>
      <x:c r="BJ169" t="n">
        <x:f>AZ169/AY169-1</x:f>
        <x:v>0.16218893909555887</x:v>
      </x:c>
      <x:c r="BK169" t="n">
        <x:f>BA169/AZ169-1</x:f>
        <x:v>0.09609446954777945</x:v>
      </x:c>
      <x:c r="BL169" t="n">
        <x:f>BB169/BA169-1</x:f>
        <x:v>0.030000000000000027</x:v>
      </x:c>
      <x:c r="BM169" t="n">
        <x:f>AH169*(1-'Assumptions'!$F$9)*(1+'Assumptions'!$D$9)*(1-'Assumptions'!$D$9/'Assumptions'!$E$9)</x:f>
        <x:v>831.8106173443803</x:v>
      </x:c>
      <x:c r="BN169" t="n">
        <x:f>SUMPRODUCT(AI169:AR169,'NSSC Model'!$B$83:$K$83)+BM169/('Assumptions'!$C$9-'Assumptions'!$D$9)*'NSSC Model'!$K$83</x:f>
        <x:v>7020.692902089519</x:v>
      </x:c>
      <x:c r="BO169" t="n">
        <x:f>'NSSC Model'!$B$94</x:f>
        <x:v>101.2</x:v>
      </x:c>
      <x:c r="BP169" t="n">
        <x:f>'Inputs'!$D$8</x:f>
        <x:v>35.891</x:v>
      </x:c>
    </x:row>
    <x:row r="170">
      <x:c r="A170" t="str">
        <x:v>NSSC</x:v>
      </x:c>
      <x:c r="B170" s="22" t="n">
        <x:v>0.46</x:v>
      </x:c>
      <x:c r="C170" s="42" t="n">
        <x:f>(BN170+BO170)/BP170</x:f>
        <x:v>208.34712454085394</x:v>
      </x:c>
      <x:c r="D170" s="22" t="n">
        <x:f>C170/'Inputs'!$D$5-1</x:f>
        <x:v>4.629481884378653</x:v>
      </x:c>
      <x:c r="E170" t="n">
        <x:f>'Inputs'!$D$21*(1+$B170)^1</x:f>
        <x:v>142.39088</x:v>
      </x:c>
      <x:c r="F170" t="n">
        <x:f>'Inputs'!$D$21*(1+$B170)^2</x:f>
        <x:v>207.89068479999997</x:v>
      </x:c>
      <x:c r="G170" t="n">
        <x:f>'Inputs'!$D$21*(1+$B170)^3</x:f>
        <x:v>303.520399808</x:v>
      </x:c>
      <x:c r="H170" t="n">
        <x:f>'Inputs'!$D$21*(1+$B170)^4</x:f>
        <x:v>443.1397837196799</x:v>
      </x:c>
      <x:c r="I170" t="n">
        <x:f>'Inputs'!$D$21*(1+$B170)^5</x:f>
        <x:v>646.9840842307326</x:v>
      </x:c>
      <x:c r="J170" t="n">
        <x:f>I170*(1+($BG170+('Assumptions'!$D$9-$BG170)*(6-5)/5))</x:f>
        <x:v>842.5326009555918</x:v>
      </x:c>
      <x:c r="K170" t="n">
        <x:f>J170*(1+($BG170+('Assumptions'!$D$9-$BG170)*(7-5)/5))</x:f>
        <x:v>1039.8408381947875</x:v>
      </x:c>
      <x:c r="L170" t="n">
        <x:f>K170*(1+($BG170+('Assumptions'!$D$9-$BG170)*(8-5)/5))</x:f>
        <x:v>1212.5824505159385</x:v>
      </x:c>
      <x:c r="M170" t="n">
        <x:f>L170*(1+($BG170+('Assumptions'!$D$9-$BG170)*(9-5)/5))</x:f>
        <x:v>1331.49018189313</x:v>
      </x:c>
      <x:c r="N170" t="n">
        <x:f>M170*(1+($BG170+('Assumptions'!$D$9-$BG170)*(10-5)/5))</x:f>
        <x:v>1371.4348873499239</x:v>
      </x:c>
      <x:c r="O170" t="n">
        <x:f>'NSSC Model'!$B$68</x:f>
        <x:v>106.88376</x:v>
      </x:c>
      <x:c r="P170" t="n">
        <x:f>'NSSC Model'!$C$68</x:f>
        <x:v>110.0902728</x:v>
      </x:c>
      <x:c r="Q170" t="n">
        <x:f>'NSSC Model'!$D$68</x:f>
        <x:v>113.39298098399999</x:v>
      </x:c>
      <x:c r="R170" t="n">
        <x:f>'NSSC Model'!$E$68</x:f>
        <x:v>116.79477041352</x:v>
      </x:c>
      <x:c r="S170" t="n">
        <x:f>'NSSC Model'!$F$68</x:f>
        <x:v>120.2986135259256</x:v>
      </x:c>
      <x:c r="T170" t="n">
        <x:f>S170*(1+($BG170+('Assumptions'!$D$9-$BG170)*(6-5)/5))</x:f>
        <x:v>156.65841898701703</x:v>
      </x:c>
      <x:c r="U170" t="n">
        <x:f>T170*(1+($BG170+('Assumptions'!$D$9-$BG170)*(7-5)/5))</x:f>
        <x:v>193.3454225094325</x:v>
      </x:c>
      <x:c r="V170" t="n">
        <x:f>U170*(1+($BG170+('Assumptions'!$D$9-$BG170)*(8-5)/5))</x:f>
        <x:v>225.4645688176073</x:v>
      </x:c>
      <x:c r="W170" t="n">
        <x:f>V170*(1+($BG170+('Assumptions'!$D$9-$BG170)*(9-5)/5))</x:f>
        <x:v>247.57397702538012</x:v>
      </x:c>
      <x:c r="X170" t="n">
        <x:f>W170*(1+($BG170+('Assumptions'!$D$9-$BG170)*(10-5)/5))</x:f>
        <x:v>255.00119633614153</x:v>
      </x:c>
      <x:c r="Y170" t="n">
        <x:f>E170*'NSSC Model'!$B$62+O170*'NSSC Model'!$B$63+'NSSC Model'!$B$73+'NSSC Model'!$B$74</x:f>
        <x:v>98.43760756</x:v>
      </x:c>
      <x:c r="Z170" t="n">
        <x:f>F170*'NSSC Model'!$C$62+P170*'NSSC Model'!$C$63+'NSSC Model'!$C$73+'NSSC Model'!$C$74</x:f>
        <x:v>155.47617602539998</x:v>
      </x:c>
      <x:c r="AA170" t="n">
        <x:f>G170*'NSSC Model'!$D$62+Q170*'NSSC Model'!$D$63+'NSSC Model'!$D$73+'NSSC Model'!$D$74</x:f>
        <x:v>239.81115664144903</x:v>
      </x:c>
      <x:c r="AB170" t="n">
        <x:f>H170*'NSSC Model'!$E$62+R170*'NSSC Model'!$E$63+'NSSC Model'!$E$73+'NSSC Model'!$E$74</x:f>
        <x:v>363.1522859151313</x:v>
      </x:c>
      <x:c r="AC170" t="n">
        <x:f>I170*'NSSC Model'!$F$62+S170*'NSSC Model'!$F$63+'NSSC Model'!$F$73+'NSSC Model'!$F$74</x:f>
        <x:v>544.3125668654048</x:v>
      </x:c>
      <x:c r="AD170" t="n">
        <x:f>AX170*$AC170/$AW170</x:f>
        <x:v>708.8290019362735</x:v>
      </x:c>
      <x:c r="AE170" t="n">
        <x:f>AY170*$AC170/$AW170</x:f>
        <x:v>874.8259030857828</x:v>
      </x:c>
      <x:c r="AF170" t="n">
        <x:f>AZ170*$AC170/$AW170</x:f>
        <x:v>1020.1547182741675</x:v>
      </x:c>
      <x:c r="AG170" t="n">
        <x:f>BA170*$AC170/$AW170</x:f>
        <x:v>1120.1926853023936</x:v>
      </x:c>
      <x:c r="AH170" t="n">
        <x:f>BB170*$AC170/$AW170</x:f>
        <x:v>1153.7984658614653</x:v>
      </x:c>
      <x:c r="AI170" t="n">
        <x:f>Y170*(1-'Assumptions'!$F$9)+AS170*'Assumptions'!$G$9-AS170*'NSSC Model'!$B$65-(AS170-'Inputs'!$D$14)*'Assumptions'!$H$9-'Assumptions'!$I$9</x:f>
        <x:v>75.02587563920001</x:v>
      </x:c>
      <x:c r="AJ170" t="n">
        <x:f>Z170*(1-'Assumptions'!$F$9)+AT170*'Assumptions'!$G$9-AT170*'NSSC Model'!$C$65-(AT170-AS170)*'Assumptions'!$H$9-0</x:f>
        <x:v>119.34790875042802</x:v>
      </x:c>
      <x:c r="AK170" t="n">
        <x:f>AA170*(1-'Assumptions'!$F$9)+AU170*'Assumptions'!$G$9-AU170*'NSSC Model'!$D$65-(AU170-AT170)*'Assumptions'!$H$9-0</x:f>
        <x:v>185.08425260362023</x:v>
      </x:c>
      <x:c r="AL170" t="n">
        <x:f>AB170*(1-'Assumptions'!$F$9)+AV170*'Assumptions'!$G$9-AV170*'NSSC Model'!$E$65-(AV170-AU170)*'Assumptions'!$H$9-0</x:f>
        <x:v>281.2430188997549</x:v>
      </x:c>
      <x:c r="AM170" t="n">
        <x:f>AC170*(1-'Assumptions'!$F$9)+AW170*'Assumptions'!$G$9-AW170*'NSSC Model'!$F$65-(AW170-AV170)*'Assumptions'!$H$9-0</x:f>
        <x:v>422.53235967625955</x:v>
      </x:c>
      <x:c r="AN170" t="n">
        <x:f>AD170*(1-'Assumptions'!$F$9)+AX170*'Assumptions'!$G$9-AX170*'NSSC Model'!$G$65-(AX170-AW170)*'Assumptions'!$H$9-0</x:f>
        <x:v>554.0521852893789</x:v>
      </x:c>
      <x:c r="AO170" t="n">
        <x:f>AE170*(1-'Assumptions'!$F$9)+AY170*'Assumptions'!$G$9-AY170*'NSSC Model'!$H$65-(AY170-AX170)*'Assumptions'!$H$9-0</x:f>
        <x:v>689.024971411364</x:v>
      </x:c>
      <x:c r="AP170" t="n">
        <x:f>AF170*(1-'Assumptions'!$F$9)+AZ170*'Assumptions'!$G$9-AZ170*'NSSC Model'!$I$65-(AZ170-AY170)*'Assumptions'!$H$9-0</x:f>
        <x:v>810.2886050445506</x:v>
      </x:c>
      <x:c r="AQ170" t="n">
        <x:f>AG170*(1-'Assumptions'!$F$9)+BA170*'Assumptions'!$G$9-BA170*'NSSC Model'!$J$65-(BA170-AZ170)*'Assumptions'!$H$9-0</x:f>
        <x:v>898.1400313537922</x:v>
      </x:c>
      <x:c r="AR170" t="n">
        <x:f>AH170*(1-'Assumptions'!$F$9)+BB170*'Assumptions'!$G$9-BB170*'NSSC Model'!$K$65-(BB170-BA170)*'Assumptions'!$H$9-0</x:f>
        <x:v>934.8718051949018</x:v>
      </x:c>
      <x:c r="AS170" t="n">
        <x:f>E170+O170</x:f>
        <x:v>249.27464</x:v>
      </x:c>
      <x:c r="AT170" t="n">
        <x:f>F170+P170</x:f>
        <x:v>317.98095759999995</x:v>
      </x:c>
      <x:c r="AU170" t="n">
        <x:f>G170+Q170</x:f>
        <x:v>416.913380792</x:v>
      </x:c>
      <x:c r="AV170" t="n">
        <x:f>H170+R170</x:f>
        <x:v>559.9345541331999</x:v>
      </x:c>
      <x:c r="AW170" t="n">
        <x:f>I170+S170</x:f>
        <x:v>767.2826977566582</x:v>
      </x:c>
      <x:c r="AX170" t="n">
        <x:f>J170+T170</x:f>
        <x:v>999.1910199426088</x:v>
      </x:c>
      <x:c r="AY170" t="n">
        <x:f>K170+U170</x:f>
        <x:v>1233.1862607042199</x:v>
      </x:c>
      <x:c r="AZ170" t="n">
        <x:f>L170+V170</x:f>
        <x:v>1438.047019333546</x:v>
      </x:c>
      <x:c r="BA170" t="n">
        <x:f>M170+W170</x:f>
        <x:v>1579.0641589185102</x:v>
      </x:c>
      <x:c r="BB170" t="n">
        <x:f>N170+X170</x:f>
        <x:v>1626.4360836860653</x:v>
      </x:c>
      <x:c r="BC170" t="n">
        <x:f>AS170/'Inputs'!$D$14-1</x:f>
        <x:v>0.23210541924514128</x:v>
      </x:c>
      <x:c r="BD170" t="n">
        <x:f>AT170/AS170-1</x:f>
        <x:v>0.27562497974122024</x:v>
      </x:c>
      <x:c r="BE170" t="n">
        <x:f>AU170/AT170-1</x:f>
        <x:v>0.3111268798569089</x:v>
      </x:c>
      <x:c r="BF170" t="n">
        <x:f>AV170/AU170-1</x:f>
        <x:v>0.3430476927113879</x:v>
      </x:c>
      <x:c r="BG170" t="n">
        <x:f>AW170/AV170-1</x:f>
        <x:v>0.3703078191779774</x:v>
      </x:c>
      <x:c r="BH170" t="n">
        <x:f>AX170/AW170-1</x:f>
        <x:v>0.3022462553423819</x:v>
      </x:c>
      <x:c r="BI170" t="n">
        <x:f>AY170/AX170-1</x:f>
        <x:v>0.23418469150678645</x:v>
      </x:c>
      <x:c r="BJ170" t="n">
        <x:f>AZ170/AY170-1</x:f>
        <x:v>0.1661231276711912</x:v>
      </x:c>
      <x:c r="BK170" t="n">
        <x:f>BA170/AZ170-1</x:f>
        <x:v>0.0980615638355955</x:v>
      </x:c>
      <x:c r="BL170" t="n">
        <x:f>BB170/BA170-1</x:f>
        <x:v>0.029999999999999805</x:v>
      </x:c>
      <x:c r="BM170" t="n">
        <x:f>AH170*(1-'Assumptions'!$F$9)*(1+'Assumptions'!$D$9)*(1-'Assumptions'!$D$9/'Assumptions'!$E$9)</x:f>
        <x:v>877.0483658399343</x:v>
      </x:c>
      <x:c r="BN170" t="n">
        <x:f>SUMPRODUCT(AI170:AR170,'NSSC Model'!$B$83:$K$83)+BM170/('Assumptions'!$C$9-'Assumptions'!$D$9)*'NSSC Model'!$K$83</x:f>
        <x:v>7376.586646895788</x:v>
      </x:c>
      <x:c r="BO170" t="n">
        <x:f>'NSSC Model'!$B$94</x:f>
        <x:v>101.2</x:v>
      </x:c>
      <x:c r="BP170" t="n">
        <x:f>'Inputs'!$D$8</x:f>
        <x:v>35.891</x:v>
      </x:c>
    </x:row>
    <x:row r="171">
      <x:c r="A171" t="str">
        <x:v>NSSC</x:v>
      </x:c>
      <x:c r="B171" s="22" t="n">
        <x:v>0.47</x:v>
      </x:c>
      <x:c r="C171" s="42" t="n">
        <x:f>(BN171+BO171)/BP171</x:f>
        <x:v>218.70849261438016</x:v>
      </x:c>
      <x:c r="D171" s="22" t="n">
        <x:f>C171/'Inputs'!$D$5-1</x:f>
        <x:v>4.909443194119972</x:v>
      </x:c>
      <x:c r="E171" t="n">
        <x:f>'Inputs'!$D$21*(1+$B171)^1</x:f>
        <x:v>143.36616</x:v>
      </x:c>
      <x:c r="F171" t="n">
        <x:f>'Inputs'!$D$21*(1+$B171)^2</x:f>
        <x:v>210.7482552</x:v>
      </x:c>
      <x:c r="G171" t="n">
        <x:f>'Inputs'!$D$21*(1+$B171)^3</x:f>
        <x:v>309.79993514399996</x:v>
      </x:c>
      <x:c r="H171" t="n">
        <x:f>'Inputs'!$D$21*(1+$B171)^4</x:f>
        <x:v>455.4059046616799</x:v>
      </x:c>
      <x:c r="I171" t="n">
        <x:f>'Inputs'!$D$21*(1+$B171)^5</x:f>
        <x:v>669.4466798526695</x:v>
      </x:c>
      <x:c r="J171" t="n">
        <x:f>I171*(1+($BG171+('Assumptions'!$D$9-$BG171)*(6-5)/5))</x:f>
        <x:v>877.076572969515</x:v>
      </x:c>
      <x:c r="K171" t="n">
        <x:f>J171*(1+($BG171+('Assumptions'!$D$9-$BG171)*(7-5)/5))</x:f>
        <x:v>1087.6746094776238</x:v>
      </x:c>
      <x:c r="L171" t="n">
        <x:f>K171*(1+($BG171+('Assumptions'!$D$9-$BG171)*(8-5)/5))</x:f>
        <x:v>1272.6616854076287</x:v>
      </x:c>
      <x:c r="M171" t="n">
        <x:f>L171*(1+($BG171+('Assumptions'!$D$9-$BG171)*(9-5)/5))</x:f>
        <x:v>1399.9760565755405</x:v>
      </x:c>
      <x:c r="N171" t="n">
        <x:f>M171*(1+($BG171+('Assumptions'!$D$9-$BG171)*(10-5)/5))</x:f>
        <x:v>1441.9753382728068</x:v>
      </x:c>
      <x:c r="O171" t="n">
        <x:f>'NSSC Model'!$B$68</x:f>
        <x:v>106.88376</x:v>
      </x:c>
      <x:c r="P171" t="n">
        <x:f>'NSSC Model'!$C$68</x:f>
        <x:v>110.0902728</x:v>
      </x:c>
      <x:c r="Q171" t="n">
        <x:f>'NSSC Model'!$D$68</x:f>
        <x:v>113.39298098399999</x:v>
      </x:c>
      <x:c r="R171" t="n">
        <x:f>'NSSC Model'!$E$68</x:f>
        <x:v>116.79477041352</x:v>
      </x:c>
      <x:c r="S171" t="n">
        <x:f>'NSSC Model'!$F$68</x:f>
        <x:v>120.2986135259256</x:v>
      </x:c>
      <x:c r="T171" t="n">
        <x:f>S171*(1+($BG171+('Assumptions'!$D$9-$BG171)*(6-5)/5))</x:f>
        <x:v>157.6094091728465</x:v>
      </x:c>
      <x:c r="U171" t="n">
        <x:f>T171*(1+($BG171+('Assumptions'!$D$9-$BG171)*(7-5)/5))</x:f>
        <x:v>195.4535759536622</x:v>
      </x:c>
      <x:c r="V171" t="n">
        <x:f>U171*(1+($BG171+('Assumptions'!$D$9-$BG171)*(8-5)/5))</x:f>
        <x:v>228.69548964795715</x:v>
      </x:c>
      <x:c r="W171" t="n">
        <x:f>V171*(1+($BG171+('Assumptions'!$D$9-$BG171)*(9-5)/5))</x:f>
        <x:v>251.57370055609928</x:v>
      </x:c>
      <x:c r="X171" t="n">
        <x:f>W171*(1+($BG171+('Assumptions'!$D$9-$BG171)*(10-5)/5))</x:f>
        <x:v>259.1209115727823</x:v>
      </x:c>
      <x:c r="Y171" t="n">
        <x:f>E171*'NSSC Model'!$B$62+O171*'NSSC Model'!$B$63+'NSSC Model'!$B$73+'NSSC Model'!$B$74</x:f>
        <x:v>99.31828540000001</x:v>
      </x:c>
      <x:c r="Z171" t="n">
        <x:f>F171*'NSSC Model'!$C$62+P171*'NSSC Model'!$C$63+'NSSC Model'!$C$73+'NSSC Model'!$C$74</x:f>
        <x:v>158.0565620966</x:v>
      </x:c>
      <x:c r="AA171" t="n">
        <x:f>G171*'NSSC Model'!$D$62+Q171*'NSSC Model'!$D$63+'NSSC Model'!$D$73+'NSSC Model'!$D$74</x:f>
        <x:v>245.48157704985698</x:v>
      </x:c>
      <x:c r="AB171" t="n">
        <x:f>H171*'NSSC Model'!$E$62+R171*'NSSC Model'!$E$63+'NSSC Model'!$E$73+'NSSC Model'!$E$74</x:f>
        <x:v>374.22859312575736</x:v>
      </x:c>
      <x:c r="AC171" t="n">
        <x:f>I171*'NSSC Model'!$F$62+S171*'NSSC Model'!$F$63+'NSSC Model'!$F$73+'NSSC Model'!$F$74</x:f>
        <x:v>564.5962907120138</x:v>
      </x:c>
      <x:c r="AD171" t="n">
        <x:f>AX171*$AC171/$AW171</x:f>
        <x:v>739.7066781748391</x:v>
      </x:c>
      <x:c r="AE171" t="n">
        <x:f>AY171*$AC171/$AW171</x:f>
        <x:v>917.3203310947092</x:v>
      </x:c>
      <x:c r="AF171" t="n">
        <x:f>AZ171*$AC171/$AW171</x:f>
        <x:v>1073.3342752115552</x:v>
      </x:c>
      <x:c r="AG171" t="n">
        <x:f>BA171*$AC171/$AW171</x:f>
        <x:v>1180.7083557455792</x:v>
      </x:c>
      <x:c r="AH171" t="n">
        <x:f>BB171*$AC171/$AW171</x:f>
        <x:v>1216.1296064179467</x:v>
      </x:c>
      <x:c r="AI171" t="n">
        <x:f>Y171*(1-'Assumptions'!$F$9)+AS171*'Assumptions'!$G$9-AS171*'NSSC Model'!$B$65-(AS171-'Inputs'!$D$14)*'Assumptions'!$H$9-'Assumptions'!$I$9</x:f>
        <x:v>75.64660234800002</x:v>
      </x:c>
      <x:c r="AJ171" t="n">
        <x:f>Z171*(1-'Assumptions'!$F$9)+AT171*'Assumptions'!$G$9-AT171*'NSSC Model'!$C$65-(AT171-AS171)*'Assumptions'!$H$9-0</x:f>
        <x:v>121.26416600721201</x:v>
      </x:c>
      <x:c r="AK171" t="n">
        <x:f>AA171*(1-'Assumptions'!$F$9)+AU171*'Assumptions'!$G$9-AU171*'NSSC Model'!$D$65-(AU171-AT171)*'Assumptions'!$H$9-0</x:f>
        <x:v>189.36668270357077</x:v>
      </x:c>
      <x:c r="AL171" t="n">
        <x:f>AB171*(1-'Assumptions'!$F$9)+AV171*'Assumptions'!$G$9-AV171*'NSSC Model'!$E$65-(AV171-AU171)*'Assumptions'!$H$9-0</x:f>
        <x:v>289.6778677681003</x:v>
      </x:c>
      <x:c r="AM171" t="n">
        <x:f>AC171*(1-'Assumptions'!$F$9)+AW171*'Assumptions'!$G$9-AW171*'NSSC Model'!$F$65-(AW171-AV171)*'Assumptions'!$H$9-0</x:f>
        <x:v>438.05551537999753</x:v>
      </x:c>
      <x:c r="AN171" t="n">
        <x:f>AD171*(1-'Assumptions'!$F$9)+AX171*'Assumptions'!$G$9-AX171*'NSSC Model'!$G$65-(AX171-AW171)*'Assumptions'!$H$9-0</x:f>
        <x:v>577.9266632984219</x:v>
      </x:c>
      <x:c r="AO171" t="n">
        <x:f>AE171*(1-'Assumptions'!$F$9)+AY171*'Assumptions'!$G$9-AY171*'NSSC Model'!$H$65-(AY171-AX171)*'Assumptions'!$H$9-0</x:f>
        <x:v>722.2259384270441</x:v>
      </x:c>
      <x:c r="AP171" t="n">
        <x:f>AF171*(1-'Assumptions'!$F$9)+AZ171*'Assumptions'!$G$9-AZ171*'NSSC Model'!$I$65-(AZ171-AY171)*'Assumptions'!$H$9-0</x:f>
        <x:v>852.305778010823</x:v>
      </x:c>
      <x:c r="AQ171" t="n">
        <x:f>AG171*(1-'Assumptions'!$F$9)+BA171*'Assumptions'!$G$9-BA171*'NSSC Model'!$J$65-(BA171-AZ171)*'Assumptions'!$H$9-0</x:f>
        <x:v>946.555394475243</x:v>
      </x:c>
      <x:c r="AR171" t="n">
        <x:f>AH171*(1-'Assumptions'!$F$9)+BB171*'Assumptions'!$G$9-BB171*'NSSC Model'!$K$65-(BB171-BA171)*'Assumptions'!$H$9-0</x:f>
        <x:v>985.4672429919391</x:v>
      </x:c>
      <x:c r="AS171" t="n">
        <x:f>E171+O171</x:f>
        <x:v>250.24992</x:v>
      </x:c>
      <x:c r="AT171" t="n">
        <x:f>F171+P171</x:f>
        <x:v>320.838528</x:v>
      </x:c>
      <x:c r="AU171" t="n">
        <x:f>G171+Q171</x:f>
        <x:v>423.192916128</x:v>
      </x:c>
      <x:c r="AV171" t="n">
        <x:f>H171+R171</x:f>
        <x:v>572.2006750751999</x:v>
      </x:c>
      <x:c r="AW171" t="n">
        <x:f>I171+S171</x:f>
        <x:v>789.7452933785951</x:v>
      </x:c>
      <x:c r="AX171" t="n">
        <x:f>J171+T171</x:f>
        <x:v>1034.6859821423616</x:v>
      </x:c>
      <x:c r="AY171" t="n">
        <x:f>K171+U171</x:f>
        <x:v>1283.128185431286</x:v>
      </x:c>
      <x:c r="AZ171" t="n">
        <x:f>L171+V171</x:f>
        <x:v>1501.357175055586</x:v>
      </x:c>
      <x:c r="BA171" t="n">
        <x:f>M171+W171</x:f>
        <x:v>1651.5497571316398</x:v>
      </x:c>
      <x:c r="BB171" t="n">
        <x:f>N171+X171</x:f>
        <x:v>1701.096249845589</x:v>
      </x:c>
      <x:c r="BC171" t="n">
        <x:f>AS171/'Inputs'!$D$14-1</x:f>
        <x:v>0.23692599695525818</x:v>
      </x:c>
      <x:c r="BD171" t="n">
        <x:f>AT171/AS171-1</x:f>
        <x:v>0.28207244981337065</x:v>
      </x:c>
      <x:c r="BE171" t="n">
        <x:f>AU171/AT171-1</x:f>
        <x:v>0.31902149896411447</x:v>
      </x:c>
      <x:c r="BF171" t="n">
        <x:f>AV171/AU171-1</x:f>
        <x:v>0.352103622883259</x:v>
      </x:c>
      <x:c r="BG171" t="n">
        <x:f>AW171/AV171-1</x:f>
        <x:v>0.38018937722295587</x:v>
      </x:c>
      <x:c r="BH171" t="n">
        <x:f>AX171/AW171-1</x:f>
        <x:v>0.3101515017783647</x:v>
      </x:c>
      <x:c r="BI171" t="n">
        <x:f>AY171/AX171-1</x:f>
        <x:v>0.24011362633377353</x:v>
      </x:c>
      <x:c r="BJ171" t="n">
        <x:f>AZ171/AY171-1</x:f>
        <x:v>0.17007575088918214</x:v>
      </x:c>
      <x:c r="BK171" t="n">
        <x:f>BA171/AZ171-1</x:f>
        <x:v>0.1000378754445912</x:v>
      </x:c>
      <x:c r="BL171" t="n">
        <x:f>BB171/BA171-1</x:f>
        <x:v>0.030000000000000027</x:v>
      </x:c>
      <x:c r="BM171" t="n">
        <x:f>AH171*(1-'Assumptions'!$F$9)*(1+'Assumptions'!$D$9)*(1-'Assumptions'!$D$9/'Assumptions'!$E$9)</x:f>
        <x:v>924.4287590225382</x:v>
      </x:c>
      <x:c r="BN171" t="n">
        <x:f>SUMPRODUCT(AI171:AR171,'NSSC Model'!$B$83:$K$83)+BM171/('Assumptions'!$C$9-'Assumptions'!$D$9)*'NSSC Model'!$K$83</x:f>
        <x:v>7748.466508422718</x:v>
      </x:c>
      <x:c r="BO171" t="n">
        <x:f>'NSSC Model'!$B$94</x:f>
        <x:v>101.2</x:v>
      </x:c>
      <x:c r="BP171" t="n">
        <x:f>'Inputs'!$D$8</x:f>
        <x:v>35.891</x:v>
      </x:c>
    </x:row>
    <x:row r="172">
      <x:c r="A172" t="str">
        <x:v>NSSC</x:v>
      </x:c>
      <x:c r="B172" s="22" t="n">
        <x:v>0.48</x:v>
      </x:c>
      <x:c r="C172" s="42" t="n">
        <x:f>(BN172+BO172)/BP172</x:f>
        <x:v>229.53271368008163</x:v>
      </x:c>
      <x:c r="D172" s="22" t="n">
        <x:f>C172/'Inputs'!$D$5-1</x:f>
        <x:v>5.201910664147031</x:v>
      </x:c>
      <x:c r="E172" t="n">
        <x:f>'Inputs'!$D$21*(1+$B172)^1</x:f>
        <x:v>144.34144</x:v>
      </x:c>
      <x:c r="F172" t="n">
        <x:f>'Inputs'!$D$21*(1+$B172)^2</x:f>
        <x:v>213.6253312</x:v>
      </x:c>
      <x:c r="G172" t="n">
        <x:f>'Inputs'!$D$21*(1+$B172)^3</x:f>
        <x:v>316.165490176</x:v>
      </x:c>
      <x:c r="H172" t="n">
        <x:f>'Inputs'!$D$21*(1+$B172)^4</x:f>
        <x:v>467.92492546048</x:v>
      </x:c>
      <x:c r="I172" t="n">
        <x:f>'Inputs'!$D$21*(1+$B172)^5</x:f>
        <x:v>692.5288896815103</x:v>
      </x:c>
      <x:c r="J172" t="n">
        <x:f>I172*(1+($BG172+('Assumptions'!$D$9-$BG172)*(6-5)/5))</x:f>
        <x:v>912.8166785685705</x:v>
      </x:c>
      <x:c r="K172" t="n">
        <x:f>J172*(1+($BG172+('Assumptions'!$D$9-$BG172)*(7-5)/5))</x:f>
        <x:v>1137.4324564230544</x:v>
      </x:c>
      <x:c r="L172" t="n">
        <x:f>K172*(1+($BG172+('Assumptions'!$D$9-$BG172)*(8-5)/5))</x:f>
        <x:v>1335.3979348335965</x:v>
      </x:c>
      <x:c r="M172" t="n">
        <x:f>L172*(1+($BG172+('Assumptions'!$D$9-$BG172)*(9-5)/5))</x:f>
        <x:v>1471.6391849786996</x:v>
      </x:c>
      <x:c r="N172" t="n">
        <x:f>M172*(1+($BG172+('Assumptions'!$D$9-$BG172)*(10-5)/5))</x:f>
        <x:v>1515.7883605280606</x:v>
      </x:c>
      <x:c r="O172" t="n">
        <x:f>'NSSC Model'!$B$68</x:f>
        <x:v>106.88376</x:v>
      </x:c>
      <x:c r="P172" t="n">
        <x:f>'NSSC Model'!$C$68</x:f>
        <x:v>110.0902728</x:v>
      </x:c>
      <x:c r="Q172" t="n">
        <x:f>'NSSC Model'!$D$68</x:f>
        <x:v>113.39298098399999</x:v>
      </x:c>
      <x:c r="R172" t="n">
        <x:f>'NSSC Model'!$E$68</x:f>
        <x:v>116.79477041352</x:v>
      </x:c>
      <x:c r="S172" t="n">
        <x:f>'NSSC Model'!$F$68</x:f>
        <x:v>120.2986135259256</x:v>
      </x:c>
      <x:c r="T172" t="n">
        <x:f>S172*(1+($BG172+('Assumptions'!$D$9-$BG172)*(6-5)/5))</x:f>
        <x:v>158.5646208718321</x:v>
      </x:c>
      <x:c r="U172" t="n">
        <x:f>T172*(1+($BG172+('Assumptions'!$D$9-$BG172)*(7-5)/5))</x:f>
        <x:v>197.5824395571558</x:v>
      </x:c>
      <x:c r="V172" t="n">
        <x:f>U172*(1+($BG172+('Assumptions'!$D$9-$BG172)*(8-5)/5))</x:f>
        <x:v>231.97085704214638</x:v>
      </x:c>
      <x:c r="W172" t="n">
        <x:f>V172*(1+($BG172+('Assumptions'!$D$9-$BG172)*(9-5)/5))</x:f>
        <x:v>255.63721052096253</x:v>
      </x:c>
      <x:c r="X172" t="n">
        <x:f>W172*(1+($BG172+('Assumptions'!$D$9-$BG172)*(10-5)/5))</x:f>
        <x:v>263.3063268365914</x:v>
      </x:c>
      <x:c r="Y172" t="n">
        <x:f>E172*'NSSC Model'!$B$62+O172*'NSSC Model'!$B$63+'NSSC Model'!$B$73+'NSSC Model'!$B$74</x:f>
        <x:v>100.19896324000001</x:v>
      </x:c>
      <x:c r="Z172" t="n">
        <x:f>F172*'NSSC Model'!$C$62+P172*'NSSC Model'!$C$63+'NSSC Model'!$C$73+'NSSC Model'!$C$74</x:f>
        <x:v>160.6545617246</x:v>
      </x:c>
      <x:c r="AA172" t="n">
        <x:f>G172*'NSSC Model'!$D$62+Q172*'NSSC Model'!$D$63+'NSSC Model'!$D$73+'NSSC Model'!$D$74</x:f>
        <x:v>251.22967324375304</x:v>
      </x:c>
      <x:c r="AB172" t="n">
        <x:f>H172*'NSSC Model'!$E$62+R172*'NSSC Model'!$E$63+'NSSC Model'!$E$73+'NSSC Model'!$E$74</x:f>
        <x:v>385.5332689070738</x:v>
      </x:c>
      <x:c r="AC172" t="n">
        <x:f>I172*'NSSC Model'!$F$62+S172*'NSSC Model'!$F$63+'NSSC Model'!$F$73+'NSSC Model'!$F$74</x:f>
        <x:v>585.4395261874571</x:v>
      </x:c>
      <x:c r="AD172" t="n">
        <x:f>AX172*$AC172/$AW172</x:f>
        <x:v>771.6630623784649</x:v>
      </x:c>
      <x:c r="AE172" t="n">
        <x:f>AY172*$AC172/$AW172</x:f>
        <x:v>961.5453279715026</x:v>
      </x:c>
      <x:c r="AF172" t="n">
        <x:f>AZ172*$AC172/$AW172</x:f>
        <x:v>1128.8983692799184</x:v>
      </x:c>
      <x:c r="AG172" t="n">
        <x:f>BA172*$AC172/$AW172</x:f>
        <x:v>1244.07192249994</x:v>
      </x:c>
      <x:c r="AH172" t="n">
        <x:f>BB172*$AC172/$AW172</x:f>
        <x:v>1281.3940801749382</x:v>
      </x:c>
      <x:c r="AI172" t="n">
        <x:f>Y172*(1-'Assumptions'!$F$9)+AS172*'Assumptions'!$G$9-AS172*'NSSC Model'!$B$65-(AS172-'Inputs'!$D$14)*'Assumptions'!$H$9-'Assumptions'!$I$9</x:f>
        <x:v>76.26732905680002</x:v>
      </x:c>
      <x:c r="AJ172" t="n">
        <x:f>Z172*(1-'Assumptions'!$F$9)+AT172*'Assumptions'!$G$9-AT172*'NSSC Model'!$C$65-(AT172-AS172)*'Assumptions'!$H$9-0</x:f>
        <x:v>123.19283779817202</x:v>
      </x:c>
      <x:c r="AK172" t="n">
        <x:f>AA172*(1-'Assumptions'!$F$9)+AU172*'Assumptions'!$G$9-AU172*'NSSC Model'!$D$65-(AU172-AT172)*'Assumptions'!$H$9-0</x:f>
        <x:v>193.7058114592375</x:v>
      </x:c>
      <x:c r="AL172" t="n">
        <x:f>AB172*(1-'Assumptions'!$F$9)+AV172*'Assumptions'!$G$9-AV172*'NSSC Model'!$E$65-(AV172-AU172)*'Assumptions'!$H$9-0</x:f>
        <x:v>298.28227924890456</x:v>
      </x:c>
      <x:c r="AM172" t="n">
        <x:f>AC172*(1-'Assumptions'!$F$9)+AW172*'Assumptions'!$G$9-AW172*'NSSC Model'!$F$65-(AW172-AV172)*'Assumptions'!$H$9-0</x:f>
        <x:v>453.9983207275415</x:v>
      </x:c>
      <x:c r="AN172" t="n">
        <x:f>AD172*(1-'Assumptions'!$F$9)+AX172*'Assumptions'!$G$9-AX172*'NSSC Model'!$G$65-(AX172-AW172)*'Assumptions'!$H$9-0</x:f>
        <x:v>602.622806329283</x:v>
      </x:c>
      <x:c r="AO172" t="n">
        <x:f>AE172*(1-'Assumptions'!$F$9)+AY172*'Assumptions'!$G$9-AY172*'NSSC Model'!$H$65-(AY172-AX172)*'Assumptions'!$H$9-0</x:f>
        <x:v>756.7637496987306</x:v>
      </x:c>
      <x:c r="AP172" t="n">
        <x:f>AF172*(1-'Assumptions'!$F$9)+AZ172*'Assumptions'!$G$9-AZ172*'NSSC Model'!$I$65-(AZ172-AY172)*'Assumptions'!$H$9-0</x:f>
        <x:v>896.1917980524769</x:v>
      </x:c>
      <x:c r="AQ172" t="n">
        <x:f>AG172*(1-'Assumptions'!$F$9)+BA172*'Assumptions'!$G$9-BA172*'NSSC Model'!$J$65-(BA172-AZ172)*'Assumptions'!$H$9-0</x:f>
        <x:v>997.2391105055602</x:v>
      </x:c>
      <x:c r="AR172" t="n">
        <x:f>AH172*(1-'Assumptions'!$F$9)+BB172*'Assumptions'!$G$9-BB172*'NSSC Model'!$K$65-(BB172-BA172)*'Assumptions'!$H$9-0</x:f>
        <x:v>1038.4449378074914</x:v>
      </x:c>
      <x:c r="AS172" t="n">
        <x:f>E172+O172</x:f>
        <x:v>251.2252</x:v>
      </x:c>
      <x:c r="AT172" t="n">
        <x:f>F172+P172</x:f>
        <x:v>323.715604</x:v>
      </x:c>
      <x:c r="AU172" t="n">
        <x:f>G172+Q172</x:f>
        <x:v>429.55847115999995</x:v>
      </x:c>
      <x:c r="AV172" t="n">
        <x:f>H172+R172</x:f>
        <x:v>584.719695874</x:v>
      </x:c>
      <x:c r="AW172" t="n">
        <x:f>I172+S172</x:f>
        <x:v>812.8275032074359</x:v>
      </x:c>
      <x:c r="AX172" t="n">
        <x:f>J172+T172</x:f>
        <x:v>1071.3812994404027</x:v>
      </x:c>
      <x:c r="AY172" t="n">
        <x:f>K172+U172</x:f>
        <x:v>1335.0148959802102</x:v>
      </x:c>
      <x:c r="AZ172" t="n">
        <x:f>L172+V172</x:f>
        <x:v>1567.368791875743</x:v>
      </x:c>
      <x:c r="BA172" t="n">
        <x:f>M172+W172</x:f>
        <x:v>1727.2763954996622</x:v>
      </x:c>
      <x:c r="BB172" t="n">
        <x:f>N172+X172</x:f>
        <x:v>1779.094687364652</x:v>
      </x:c>
      <x:c r="BC172" t="n">
        <x:f>AS172/'Inputs'!$D$14-1</x:f>
        <x:v>0.24174657466537486</x:v>
      </x:c>
      <x:c r="BD172" t="n">
        <x:f>AT172/AS172-1</x:f>
        <x:v>0.28854750240023685</x:v>
      </x:c>
      <x:c r="BE172" t="n">
        <x:f>AU172/AT172-1</x:f>
        <x:v>0.3269625123168298</x:v>
      </x:c>
      <x:c r="BF172" t="n">
        <x:f>AV172/AU172-1</x:f>
        <x:v>0.36121095294662764</x:v>
      </x:c>
      <x:c r="BG172" t="n">
        <x:f>AW172/AV172-1</x:f>
        <x:v>0.3901148002077741</x:v>
      </x:c>
      <x:c r="BH172" t="n">
        <x:f>AX172/AW172-1</x:f>
        <x:v>0.31809184016621916</x:v>
      </x:c>
      <x:c r="BI172" t="n">
        <x:f>AY172/AX172-1</x:f>
        <x:v>0.2460688801246642</x:v>
      </x:c>
      <x:c r="BJ172" t="n">
        <x:f>AZ172/AY172-1</x:f>
        <x:v>0.1740459200831097</x:v>
      </x:c>
      <x:c r="BK172" t="n">
        <x:f>BA172/AZ172-1</x:f>
        <x:v>0.10202296004155498</x:v>
      </x:c>
      <x:c r="BL172" t="n">
        <x:f>BB172/BA172-1</x:f>
        <x:v>0.030000000000000027</x:v>
      </x:c>
      <x:c r="BM172" t="n">
        <x:f>AH172*(1-'Assumptions'!$F$9)*(1+'Assumptions'!$D$9)*(1-'Assumptions'!$D$9/'Assumptions'!$E$9)</x:f>
        <x:v>974.0388961041776</x:v>
      </x:c>
      <x:c r="BN172" t="n">
        <x:f>SUMPRODUCT(AI172:AR172,'NSSC Model'!$B$83:$K$83)+BM172/('Assumptions'!$C$9-'Assumptions'!$D$9)*'NSSC Model'!$K$83</x:f>
        <x:v>8136.958626691809</x:v>
      </x:c>
      <x:c r="BO172" t="n">
        <x:f>'NSSC Model'!$B$94</x:f>
        <x:v>101.2</x:v>
      </x:c>
      <x:c r="BP172" t="n">
        <x:f>'Inputs'!$D$8</x:f>
        <x:v>35.891</x:v>
      </x:c>
    </x:row>
    <x:row r="173">
      <x:c r="A173" t="str">
        <x:v>NSSC</x:v>
      </x:c>
      <x:c r="B173" s="22" t="n">
        <x:v>0.49</x:v>
      </x:c>
      <x:c r="C173" s="42" t="n">
        <x:f>(BN173+BO173)/BP173</x:f>
        <x:v>240.83779473286475</x:v>
      </x:c>
      <x:c r="D173" s="22" t="n">
        <x:f>C173/'Inputs'!$D$5-1</x:f>
        <x:v>5.507370838499453</x:v>
      </x:c>
      <x:c r="E173" t="n">
        <x:f>'Inputs'!$D$21*(1+$B173)^1</x:f>
        <x:v>145.31672</x:v>
      </x:c>
      <x:c r="F173" t="n">
        <x:f>'Inputs'!$D$21*(1+$B173)^2</x:f>
        <x:v>216.5219128</x:v>
      </x:c>
      <x:c r="G173" t="n">
        <x:f>'Inputs'!$D$21*(1+$B173)^3</x:f>
        <x:v>322.617650072</x:v>
      </x:c>
      <x:c r="H173" t="n">
        <x:f>'Inputs'!$D$21*(1+$B173)^4</x:f>
        <x:v>480.70029860728</x:v>
      </x:c>
      <x:c r="I173" t="n">
        <x:f>'Inputs'!$D$21*(1+$B173)^5</x:f>
        <x:v>716.2434449248472</x:v>
      </x:c>
      <x:c r="J173" t="n">
        <x:f>I173*(1+($BG173+('Assumptions'!$D$9-$BG173)*(6-5)/5))</x:f>
        <x:v>949.7857621102273</x:v>
      </x:c>
      <x:c r="K173" t="n">
        <x:f>J173*(1+($BG173+('Assumptions'!$D$9-$BG173)*(7-5)/5))</x:f>
        <x:v>1189.1784723627136</x:v>
      </x:c>
      <x:c r="L173" t="n">
        <x:f>K173*(1+($BG173+('Assumptions'!$D$9-$BG173)*(8-5)/5))</x:f>
        <x:v>1400.891219405478</x:v>
      </x:c>
      <x:c r="M173" t="n">
        <x:f>L173*(1+($BG173+('Assumptions'!$D$9-$BG173)*(9-5)/5))</x:f>
        <x:v>1546.6068654712117</x:v>
      </x:c>
      <x:c r="N173" t="n">
        <x:f>M173*(1+($BG173+('Assumptions'!$D$9-$BG173)*(10-5)/5))</x:f>
        <x:v>1593.005071435348</x:v>
      </x:c>
      <x:c r="O173" t="n">
        <x:f>'NSSC Model'!$B$68</x:f>
        <x:v>106.88376</x:v>
      </x:c>
      <x:c r="P173" t="n">
        <x:f>'NSSC Model'!$C$68</x:f>
        <x:v>110.0902728</x:v>
      </x:c>
      <x:c r="Q173" t="n">
        <x:f>'NSSC Model'!$D$68</x:f>
        <x:v>113.39298098399999</x:v>
      </x:c>
      <x:c r="R173" t="n">
        <x:f>'NSSC Model'!$E$68</x:f>
        <x:v>116.79477041352</x:v>
      </x:c>
      <x:c r="S173" t="n">
        <x:f>'NSSC Model'!$F$68</x:f>
        <x:v>120.2986135259256</x:v>
      </x:c>
      <x:c r="T173" t="n">
        <x:f>S173*(1+($BG173+('Assumptions'!$D$9-$BG173)*(6-5)/5))</x:f>
        <x:v>159.52384784549562</x:v>
      </x:c>
      <x:c r="U173" t="n">
        <x:f>T173*(1+($BG173+('Assumptions'!$D$9-$BG173)*(7-5)/5))</x:f>
        <x:v>199.73170082572005</x:v>
      </x:c>
      <x:c r="V173" t="n">
        <x:f>U173*(1+($BG173+('Assumptions'!$D$9-$BG173)*(8-5)/5))</x:f>
        <x:v>235.29049039018426</x:v>
      </x:c>
      <x:c r="W173" t="n">
        <x:f>V173*(1+($BG173+('Assumptions'!$D$9-$BG173)*(9-5)/5))</x:f>
        <x:v>259.76455757355865</x:v>
      </x:c>
      <x:c r="X173" t="n">
        <x:f>W173*(1+($BG173+('Assumptions'!$D$9-$BG173)*(10-5)/5))</x:f>
        <x:v>267.5574943007654</x:v>
      </x:c>
      <x:c r="Y173" t="n">
        <x:f>E173*'NSSC Model'!$B$62+O173*'NSSC Model'!$B$63+'NSSC Model'!$B$73+'NSSC Model'!$B$74</x:f>
        <x:v>101.07964107999999</x:v>
      </x:c>
      <x:c r="Z173" t="n">
        <x:f>F173*'NSSC Model'!$C$62+P173*'NSSC Model'!$C$63+'NSSC Model'!$C$73+'NSSC Model'!$C$74</x:f>
        <x:v>163.2701749094</x:v>
      </x:c>
      <x:c r="AA173" t="n">
        <x:f>G173*'NSSC Model'!$D$62+Q173*'NSSC Model'!$D$63+'NSSC Model'!$D$73+'NSSC Model'!$D$74</x:f>
        <x:v>257.05597362984105</x:v>
      </x:c>
      <x:c r="AB173" t="n">
        <x:f>H173*'NSSC Model'!$E$62+R173*'NSSC Model'!$E$63+'NSSC Model'!$E$73+'NSSC Model'!$E$74</x:f>
        <x:v>397.0694308586342</x:v>
      </x:c>
      <x:c r="AC173" t="n">
        <x:f>I173*'NSSC Model'!$F$62+S173*'NSSC Model'!$F$63+'NSSC Model'!$F$73+'NSSC Model'!$F$74</x:f>
        <x:v>606.8537695721902</x:v>
      </x:c>
      <x:c r="AD173" t="n">
        <x:f>AX173*$AC173/$AW173</x:f>
        <x:v>804.7278814301254</x:v>
      </x:c>
      <x:c r="AE173" t="n">
        <x:f>AY173*$AC173/$AW173</x:f>
        <x:v>1007.5588736775557</x:v>
      </x:c>
      <x:c r="AF173" t="n">
        <x:f>AZ173*$AC173/$AW173</x:f>
        <x:v>1186.9373790164298</x:v>
      </x:c>
      <x:c r="AG173" t="n">
        <x:f>BA173*$AC173/$AW173</x:f>
        <x:v>1310.3983191858938</x:v>
      </x:c>
      <x:c r="AH173" t="n">
        <x:f>BB173*$AC173/$AW173</x:f>
        <x:v>1349.7102687614708</x:v>
      </x:c>
      <x:c r="AI173" t="n">
        <x:f>Y173*(1-'Assumptions'!$F$9)+AS173*'Assumptions'!$G$9-AS173*'NSSC Model'!$B$65-(AS173-'Inputs'!$D$14)*'Assumptions'!$H$9-'Assumptions'!$I$9</x:f>
        <x:v>76.8880557656</x:v>
      </x:c>
      <x:c r="AJ173" t="n">
        <x:f>Z173*(1-'Assumptions'!$F$9)+AT173*'Assumptions'!$G$9-AT173*'NSSC Model'!$C$65-(AT173-AS173)*'Assumptions'!$H$9-0</x:f>
        <x:v>125.133924123308</x:v>
      </x:c>
      <x:c r="AK173" t="n">
        <x:f>AA173*(1-'Assumptions'!$F$9)+AU173*'Assumptions'!$G$9-AU173*'NSSC Model'!$D$65-(AU173-AT173)*'Assumptions'!$H$9-0</x:f>
        <x:v>198.10201130664566</x:v>
      </x:c>
      <x:c r="AL173" t="n">
        <x:f>AB173*(1-'Assumptions'!$F$9)+AV173*'Assumptions'!$G$9-AV173*'NSSC Model'!$E$65-(AV173-AU173)*'Assumptions'!$H$9-0</x:f>
        <x:v>307.05850923151684</x:v>
      </x:c>
      <x:c r="AM173" t="n">
        <x:f>AC173*(1-'Assumptions'!$F$9)+AW173*'Assumptions'!$G$9-AW173*'NSSC Model'!$F$65-(AW173-AV173)*'Assumptions'!$H$9-0</x:f>
        <x:v>470.36922387239565</x:v>
      </x:c>
      <x:c r="AN173" t="n">
        <x:f>AD173*(1-'Assumptions'!$F$9)+AX173*'Assumptions'!$G$9-AX173*'NSSC Model'!$G$65-(AX173-AW173)*'Assumptions'!$H$9-0</x:f>
        <x:v>628.1628691823851</x:v>
      </x:c>
      <x:c r="AO173" t="n">
        <x:f>AE173*(1-'Assumptions'!$F$9)+AY173*'Assumptions'!$G$9-AY173*'NSSC Model'!$H$65-(AY173-AX173)*'Assumptions'!$H$9-0</x:f>
        <x:v>792.682579399571</x:v>
      </x:c>
      <x:c r="AP173" t="n">
        <x:f>AF173*(1-'Assumptions'!$F$9)+AZ173*'Assumptions'!$G$9-AZ173*'NSSC Model'!$I$65-(AZ173-AY173)*'Assumptions'!$H$9-0</x:f>
        <x:v>942.016770293567</x:v>
      </x:c>
      <x:c r="AQ173" t="n">
        <x:f>AG173*(1-'Assumptions'!$F$9)+BA173*'Assumptions'!$G$9-BA173*'NSSC Model'!$J$65-(BA173-AZ173)*'Assumptions'!$H$9-0</x:f>
        <x:v>1050.282164715343</x:v>
      </x:c>
      <x:c r="AR173" t="n">
        <x:f>AH173*(1-'Assumptions'!$F$9)+BB173*'Assumptions'!$G$9-BB173*'NSSC Model'!$K$65-(BB173-BA173)*'Assumptions'!$H$9-0</x:f>
        <x:v>1093.9010558523275</x:v>
      </x:c>
      <x:c r="AS173" t="n">
        <x:f>E173+O173</x:f>
        <x:v>252.20048</x:v>
      </x:c>
      <x:c r="AT173" t="n">
        <x:f>F173+P173</x:f>
        <x:v>326.6121856</x:v>
      </x:c>
      <x:c r="AU173" t="n">
        <x:f>G173+Q173</x:f>
        <x:v>436.01063105599997</x:v>
      </x:c>
      <x:c r="AV173" t="n">
        <x:f>H173+R173</x:f>
        <x:v>597.4950690208</x:v>
      </x:c>
      <x:c r="AW173" t="n">
        <x:f>I173+S173</x:f>
        <x:v>836.5420584507727</x:v>
      </x:c>
      <x:c r="AX173" t="n">
        <x:f>J173+T173</x:f>
        <x:v>1109.3096099557229</x:v>
      </x:c>
      <x:c r="AY173" t="n">
        <x:f>K173+U173</x:f>
        <x:v>1388.9101731884336</x:v>
      </x:c>
      <x:c r="AZ173" t="n">
        <x:f>L173+V173</x:f>
        <x:v>1636.1817097956623</x:v>
      </x:c>
      <x:c r="BA173" t="n">
        <x:f>M173+W173</x:f>
        <x:v>1806.3714230447704</x:v>
      </x:c>
      <x:c r="BB173" t="n">
        <x:f>N173+X173</x:f>
        <x:v>1860.5625657361136</x:v>
      </x:c>
      <x:c r="BC173" t="n">
        <x:f>AS173/'Inputs'!$D$14-1</x:f>
        <x:v>0.24656715237549176</x:v>
      </x:c>
      <x:c r="BD173" t="n">
        <x:f>AT173/AS173-1</x:f>
        <x:v>0.29504981751026005</x:v>
      </x:c>
      <x:c r="BE173" t="n">
        <x:f>AU173/AT173-1</x:f>
        <x:v>0.3349490627700573</x:v>
      </x:c>
      <x:c r="BF173" t="n">
        <x:f>AV173/AU173-1</x:f>
        <x:v>0.3703681205517657</x:v>
      </x:c>
      <x:c r="BG173" t="n">
        <x:f>AW173/AV173-1</x:f>
        <x:v>0.40008194514765294</x:v>
      </x:c>
      <x:c r="BH173" t="n">
        <x:f>AX173/AW173-1</x:f>
        <x:v>0.3260655561181225</x:v>
      </x:c>
      <x:c r="BI173" t="n">
        <x:f>AY173/AX173-1</x:f>
        <x:v>0.25204916708859204</x:v>
      </x:c>
      <x:c r="BJ173" t="n">
        <x:f>AZ173/AY173-1</x:f>
        <x:v>0.17803277805906115</x:v>
      </x:c>
      <x:c r="BK173" t="n">
        <x:f>BA173/AZ173-1</x:f>
        <x:v>0.10401638902953048</x:v>
      </x:c>
      <x:c r="BL173" t="n">
        <x:f>BB173/BA173-1</x:f>
        <x:v>0.030000000000000027</x:v>
      </x:c>
      <x:c r="BM173" t="n">
        <x:f>AH173*(1-'Assumptions'!$F$9)*(1+'Assumptions'!$D$9)*(1-'Assumptions'!$D$9/'Assumptions'!$E$9)</x:f>
        <x:v>1025.9687636963447</x:v>
      </x:c>
      <x:c r="BN173" t="n">
        <x:f>SUMPRODUCT(AI173:AR173,'NSSC Model'!$B$83:$K$83)+BM173/('Assumptions'!$C$9-'Assumptions'!$D$9)*'NSSC Model'!$K$83</x:f>
        <x:v>8542.709290757248</x:v>
      </x:c>
      <x:c r="BO173" t="n">
        <x:f>'NSSC Model'!$B$94</x:f>
        <x:v>101.2</x:v>
      </x:c>
      <x:c r="BP173" t="n">
        <x:f>'Inputs'!$D$8</x:f>
        <x:v>35.891</x:v>
      </x:c>
    </x:row>
    <x:row r="174">
      <x:c r="A174" t="str">
        <x:v>NSSC</x:v>
      </x:c>
      <x:c r="B174" s="22" t="n">
        <x:v>0.5</x:v>
      </x:c>
      <x:c r="C174" s="42" t="n">
        <x:f>(BN174+BO174)/BP174</x:f>
        <x:v>252.6423184786532</x:v>
      </x:c>
      <x:c r="D174" s="22" t="n">
        <x:f>C174/'Inputs'!$D$5-1</x:f>
        <x:v>5.826325816769879</x:v>
      </x:c>
      <x:c r="E174" t="n">
        <x:f>'Inputs'!$D$21*(1+$B174)^1</x:f>
        <x:v>146.292</x:v>
      </x:c>
      <x:c r="F174" t="n">
        <x:f>'Inputs'!$D$21*(1+$B174)^2</x:f>
        <x:v>219.43800000000002</x:v>
      </x:c>
      <x:c r="G174" t="n">
        <x:f>'Inputs'!$D$21*(1+$B174)^3</x:f>
        <x:v>329.15700000000004</x:v>
      </x:c>
      <x:c r="H174" t="n">
        <x:f>'Inputs'!$D$21*(1+$B174)^4</x:f>
        <x:v>493.7355</x:v>
      </x:c>
      <x:c r="I174" t="n">
        <x:f>'Inputs'!$D$21*(1+$B174)^5</x:f>
        <x:v>740.60325</x:v>
      </x:c>
      <x:c r="J174" t="n">
        <x:f>I174*(1+($BG174+('Assumptions'!$D$9-$BG174)*(6-5)/5))</x:f>
        <x:v>988.0173160806536</x:v>
      </x:c>
      <x:c r="K174" t="n">
        <x:f>J174*(1+($BG174+('Assumptions'!$D$9-$BG174)*(7-5)/5))</x:f>
        <x:v>1242.9783933002022</x:v>
      </x:c>
      <x:c r="L174" t="n">
        <x:f>K174*(1+($BG174+('Assumptions'!$D$9-$BG174)*(8-5)/5))</x:f>
        <x:v>1469.2445847255965</x:v>
      </x:c>
      <x:c r="M174" t="n">
        <x:f>L174*(1+($BG174+('Assumptions'!$D$9-$BG174)*(9-5)/5))</x:f>
        <x:v>1625.010588681926</x:v>
      </x:c>
      <x:c r="N174" t="n">
        <x:f>M174*(1+($BG174+('Assumptions'!$D$9-$BG174)*(10-5)/5))</x:f>
        <x:v>1673.7609063423838</x:v>
      </x:c>
      <x:c r="O174" t="n">
        <x:f>'NSSC Model'!$B$68</x:f>
        <x:v>106.88376</x:v>
      </x:c>
      <x:c r="P174" t="n">
        <x:f>'NSSC Model'!$C$68</x:f>
        <x:v>110.0902728</x:v>
      </x:c>
      <x:c r="Q174" t="n">
        <x:f>'NSSC Model'!$D$68</x:f>
        <x:v>113.39298098399999</x:v>
      </x:c>
      <x:c r="R174" t="n">
        <x:f>'NSSC Model'!$E$68</x:f>
        <x:v>116.79477041352</x:v>
      </x:c>
      <x:c r="S174" t="n">
        <x:f>'NSSC Model'!$F$68</x:f>
        <x:v>120.2986135259256</x:v>
      </x:c>
      <x:c r="T174" t="n">
        <x:f>S174*(1+($BG174+('Assumptions'!$D$9-$BG174)*(6-5)/5))</x:f>
        <x:v>160.48689127965454</x:v>
      </x:c>
      <x:c r="U174" t="n">
        <x:f>T174*(1+($BG174+('Assumptions'!$D$9-$BG174)*(7-5)/5))</x:f>
        <x:v>201.9010547910733</x:v>
      </x:c>
      <x:c r="V174" t="n">
        <x:f>U174*(1+($BG174+('Assumptions'!$D$9-$BG174)*(8-5)/5))</x:f>
        <x:v>238.65421394378643</x:v>
      </x:c>
      <x:c r="W174" t="n">
        <x:f>V174*(1+($BG174+('Assumptions'!$D$9-$BG174)*(9-5)/5))</x:f>
        <x:v>263.9557965528558</x:v>
      </x:c>
      <x:c r="X174" t="n">
        <x:f>W174*(1+($BG174+('Assumptions'!$D$9-$BG174)*(10-5)/5))</x:f>
        <x:v>271.8744704494415</x:v>
      </x:c>
      <x:c r="Y174" t="n">
        <x:f>E174*'NSSC Model'!$B$62+O174*'NSSC Model'!$B$63+'NSSC Model'!$B$73+'NSSC Model'!$B$74</x:f>
        <x:v>101.96031891999999</x:v>
      </x:c>
      <x:c r="Z174" t="n">
        <x:f>F174*'NSSC Model'!$C$62+P174*'NSSC Model'!$C$63+'NSSC Model'!$C$73+'NSSC Model'!$C$74</x:f>
        <x:v>165.90340165100002</x:v>
      </x:c>
      <x:c r="AA174" t="n">
        <x:f>G174*'NSSC Model'!$D$62+Q174*'NSSC Model'!$D$63+'NSSC Model'!$D$73+'NSSC Model'!$D$74</x:f>
        <x:v>262.96100661482507</x:v>
      </x:c>
      <x:c r="AB174" t="n">
        <x:f>H174*'NSSC Model'!$E$62+R174*'NSSC Model'!$E$63+'NSSC Model'!$E$73+'NSSC Model'!$E$74</x:f>
        <x:v>408.8402177162604</x:v>
      </x:c>
      <x:c r="AC174" t="n">
        <x:f>I174*'NSSC Model'!$F$62+S174*'NSSC Model'!$F$63+'NSSC Model'!$F$73+'NSSC Model'!$F$74</x:f>
        <x:v>628.8506735550533</x:v>
      </x:c>
      <x:c r="AD174" t="n">
        <x:f>AX174*$AC174/$AW174</x:f>
        <x:v>838.9314450096931</x:v>
      </x:c>
      <x:c r="AE174" t="n">
        <x:f>AY174*$AC174/$AW174</x:f>
        <x:v>1055.4204290100133</x:v>
      </x:c>
      <x:c r="AF174" t="n">
        <x:f>AZ174*$AC174/$AW174</x:f>
        <x:v>1247.5444129117793</x:v>
      </x:c>
      <x:c r="AG174" t="n">
        <x:f>BA174*$AC174/$AW174</x:f>
        <x:v>1379.8062636461868</x:v>
      </x:c>
      <x:c r="AH174" t="n">
        <x:f>BB174*$AC174/$AW174</x:f>
        <x:v>1421.2004515555725</x:v>
      </x:c>
      <x:c r="AI174" t="n">
        <x:f>Y174*(1-'Assumptions'!$F$9)+AS174*'Assumptions'!$G$9-AS174*'NSSC Model'!$B$65-(AS174-'Inputs'!$D$14)*'Assumptions'!$H$9-'Assumptions'!$I$9</x:f>
        <x:v>77.5087824744</x:v>
      </x:c>
      <x:c r="AJ174" t="n">
        <x:f>Z174*(1-'Assumptions'!$F$9)+AT174*'Assumptions'!$G$9-AT174*'NSSC Model'!$C$65-(AT174-AS174)*'Assumptions'!$H$9-0</x:f>
        <x:v>127.08742498262004</x:v>
      </x:c>
      <x:c r="AK174" t="n">
        <x:f>AA174*(1-'Assumptions'!$F$9)+AU174*'Assumptions'!$G$9-AU174*'NSSC Model'!$D$65-(AU174-AT174)*'Assumptions'!$H$9-0</x:f>
        <x:v>202.55565468182053</x:v>
      </x:c>
      <x:c r="AL174" t="n">
        <x:f>AB174*(1-'Assumptions'!$F$9)+AV174*'Assumptions'!$G$9-AV174*'NSSC Model'!$E$65-(AV174-AU174)*'Assumptions'!$H$9-0</x:f>
        <x:v>316.00882850272745</x:v>
      </x:c>
      <x:c r="AM174" t="n">
        <x:f>AC174*(1-'Assumptions'!$F$9)+AW174*'Assumptions'!$G$9-AW174*'NSSC Model'!$F$65-(AW174-AV174)*'Assumptions'!$H$9-0</x:f>
        <x:v>487.17678554979943</x:v>
      </x:c>
      <x:c r="AN174" t="n">
        <x:f>AD174*(1-'Assumptions'!$F$9)+AX174*'Assumptions'!$G$9-AX174*'NSSC Model'!$G$65-(AX174-AW174)*'Assumptions'!$H$9-0</x:f>
        <x:v>654.5695336950689</x:v>
      </x:c>
      <x:c r="AO174" t="n">
        <x:f>AE174*(1-'Assumptions'!$F$9)+AY174*'Assumptions'!$G$9-AY174*'NSSC Model'!$H$65-(AY174-AX174)*'Assumptions'!$H$9-0</x:f>
        <x:v>830.0277099227492</x:v>
      </x:c>
      <x:c r="AP174" t="n">
        <x:f>AF174*(1-'Assumptions'!$F$9)+AZ174*'Assumptions'!$G$9-AZ174*'NSSC Model'!$I$65-(AZ174-AY174)*'Assumptions'!$H$9-0</x:f>
        <x:v>989.8528883351709</x:v>
      </x:c>
      <x:c r="AQ174" t="n">
        <x:f>AG174*(1-'Assumptions'!$F$9)+BA174*'Assumptions'!$G$9-BA174*'NSSC Model'!$J$65-(BA174-AZ174)*'Assumptions'!$H$9-0</x:f>
        <x:v>1105.7785119923942</x:v>
      </x:c>
      <x:c r="AR174" t="n">
        <x:f>AH174*(1-'Assumptions'!$F$9)+BB174*'Assumptions'!$G$9-BB174*'NSSC Model'!$K$65-(BB174-BA174)*'Assumptions'!$H$9-0</x:f>
        <x:v>1151.934929612698</x:v>
      </x:c>
      <x:c r="AS174" t="n">
        <x:f>E174+O174</x:f>
        <x:v>253.17576</x:v>
      </x:c>
      <x:c r="AT174" t="n">
        <x:f>F174+P174</x:f>
        <x:v>329.5282728</x:v>
      </x:c>
      <x:c r="AU174" t="n">
        <x:f>G174+Q174</x:f>
        <x:v>442.54998098400006</x:v>
      </x:c>
      <x:c r="AV174" t="n">
        <x:f>H174+R174</x:f>
        <x:v>610.53027041352</x:v>
      </x:c>
      <x:c r="AW174" t="n">
        <x:f>I174+S174</x:f>
        <x:v>860.9018635259256</x:v>
      </x:c>
      <x:c r="AX174" t="n">
        <x:f>J174+T174</x:f>
        <x:v>1148.504207360308</x:v>
      </x:c>
      <x:c r="AY174" t="n">
        <x:f>K174+U174</x:f>
        <x:v>1444.8794480912757</x:v>
      </x:c>
      <x:c r="AZ174" t="n">
        <x:f>L174+V174</x:f>
        <x:v>1707.8987986693828</x:v>
      </x:c>
      <x:c r="BA174" t="n">
        <x:f>M174+W174</x:f>
        <x:v>1888.966385234782</x:v>
      </x:c>
      <x:c r="BB174" t="n">
        <x:f>N174+X174</x:f>
        <x:v>1945.6353767918254</x:v>
      </x:c>
      <x:c r="BC174" t="n">
        <x:f>AS174/'Inputs'!$D$14-1</x:f>
        <x:v>0.25138773008560866</x:v>
      </x:c>
      <x:c r="BD174" t="n">
        <x:f>AT174/AS174-1</x:f>
        <x:v>0.3015790800825484</x:v>
      </x:c>
      <x:c r="BE174" t="n">
        <x:f>AU174/AT174-1</x:f>
        <x:v>0.3429803070421096</x:v>
      </x:c>
      <x:c r="BF174" t="n">
        <x:f>AV174/AU174-1</x:f>
        <x:v>0.3795735999265428</x:v>
      </x:c>
      <x:c r="BG174" t="n">
        <x:f>AW174/AV174-1</x:f>
        <x:v>0.4100887462022573</x:v>
      </x:c>
      <x:c r="BH174" t="n">
        <x:f>AX174/AW174-1</x:f>
        <x:v>0.33407099696180587</x:v>
      </x:c>
      <x:c r="BI174" t="n">
        <x:f>AY174/AX174-1</x:f>
        <x:v>0.25805324772135463</x:v>
      </x:c>
      <x:c r="BJ174" t="n">
        <x:f>AZ174/AY174-1</x:f>
        <x:v>0.18203549848090295</x:v>
      </x:c>
      <x:c r="BK174" t="n">
        <x:f>BA174/AZ174-1</x:f>
        <x:v>0.10601774924045149</x:v>
      </x:c>
      <x:c r="BL174" t="n">
        <x:f>BB174/BA174-1</x:f>
        <x:v>0.030000000000000027</x:v>
      </x:c>
      <x:c r="BM174" t="n">
        <x:f>AH174*(1-'Assumptions'!$F$9)*(1+'Assumptions'!$D$9)*(1-'Assumptions'!$D$9/'Assumptions'!$E$9)</x:f>
        <x:v>1080.311311245453</x:v>
      </x:c>
      <x:c r="BN174" t="n">
        <x:f>SUMPRODUCT(AI174:AR174,'NSSC Model'!$B$83:$K$83)+BM174/('Assumptions'!$C$9-'Assumptions'!$D$9)*'NSSC Model'!$K$83</x:f>
        <x:v>8966.385452517341</x:v>
      </x:c>
      <x:c r="BO174" t="n">
        <x:f>'NSSC Model'!$B$94</x:f>
        <x:v>101.2</x:v>
      </x:c>
      <x:c r="BP174" t="n">
        <x:f>'Inputs'!$D$8</x:f>
        <x:v>35.891</x:v>
      </x:c>
    </x:row>
    <x:row r="175">
      <x:c r="A175" t="str">
        <x:v>NSSC</x:v>
      </x:c>
      <x:c r="B175" s="22" t="n">
        <x:v>0.51</x:v>
      </x:c>
      <x:c r="C175" s="42" t="n">
        <x:f>(BN175+BO175)/BP175</x:f>
        <x:v>264.9654579379261</x:v>
      </x:c>
      <x:c r="D175" s="22" t="n">
        <x:f>C175/'Inputs'!$D$5-1</x:f>
        <x:v>6.159293648687547</x:v>
      </x:c>
      <x:c r="E175" t="n">
        <x:f>'Inputs'!$D$21*(1+$B175)^1</x:f>
        <x:v>147.26728</x:v>
      </x:c>
      <x:c r="F175" t="n">
        <x:f>'Inputs'!$D$21*(1+$B175)^2</x:f>
        <x:v>222.3735928</x:v>
      </x:c>
      <x:c r="G175" t="n">
        <x:f>'Inputs'!$D$21*(1+$B175)^3</x:f>
        <x:v>335.784125128</x:v>
      </x:c>
      <x:c r="H175" t="n">
        <x:f>'Inputs'!$D$21*(1+$B175)^4</x:f>
        <x:v>507.03402894328</x:v>
      </x:c>
      <x:c r="I175" t="n">
        <x:f>'Inputs'!$D$21*(1+$B175)^5</x:f>
        <x:v>765.6213837043529</x:v>
      </x:c>
      <x:c r="J175" t="n">
        <x:f>I175*(1+($BG175+('Assumptions'!$D$9-$BG175)*(6-5)/5))</x:f>
        <x:v>1027.545489545439</x:v>
      </x:c>
      <x:c r="K175" t="n">
        <x:f>J175*(1+($BG175+('Assumptions'!$D$9-$BG175)*(7-5)/5))</x:f>
        <x:v>1298.8996282731462</x:v>
      </x:c>
      <x:c r="L175" t="n">
        <x:f>K175*(1+($BG175+('Assumptions'!$D$9-$BG175)*(8-5)/5))</x:f>
        <x:v>1540.5641712898841</x:v>
      </x:c>
      <x:c r="M175" t="n">
        <x:f>L175*(1+($BG175+('Assumptions'!$D$9-$BG175)*(9-5)/5))</x:f>
        <x:v>1706.9861464428384</x:v>
      </x:c>
      <x:c r="N175" t="n">
        <x:f>M175*(1+($BG175+('Assumptions'!$D$9-$BG175)*(10-5)/5))</x:f>
        <x:v>1758.1957308361236</x:v>
      </x:c>
      <x:c r="O175" t="n">
        <x:f>'NSSC Model'!$B$68</x:f>
        <x:v>106.88376</x:v>
      </x:c>
      <x:c r="P175" t="n">
        <x:f>'NSSC Model'!$C$68</x:f>
        <x:v>110.0902728</x:v>
      </x:c>
      <x:c r="Q175" t="n">
        <x:f>'NSSC Model'!$D$68</x:f>
        <x:v>113.39298098399999</x:v>
      </x:c>
      <x:c r="R175" t="n">
        <x:f>'NSSC Model'!$E$68</x:f>
        <x:v>116.79477041352</x:v>
      </x:c>
      <x:c r="S175" t="n">
        <x:f>'NSSC Model'!$F$68</x:f>
        <x:v>120.2986135259256</x:v>
      </x:c>
      <x:c r="T175" t="n">
        <x:f>S175*(1+($BG175+('Assumptions'!$D$9-$BG175)*(6-5)/5))</x:f>
        <x:v>161.45355962898248</x:v>
      </x:c>
      <x:c r="U175" t="n">
        <x:f>T175*(1+($BG175+('Assumptions'!$D$9-$BG175)*(7-5)/5))</x:f>
        <x:v>204.09020400472295</x:v>
      </x:c>
      <x:c r="V175" t="n">
        <x:f>U175*(1+($BG175+('Assumptions'!$D$9-$BG175)*(8-5)/5))</x:f>
        <x:v>242.06185694188306</x:v>
      </x:c>
      <x:c r="W175" t="n">
        <x:f>V175*(1+($BG175+('Assumptions'!$D$9-$BG175)*(9-5)/5))</x:f>
        <x:v>268.21098665176766</x:v>
      </x:c>
      <x:c r="X175" t="n">
        <x:f>W175*(1+($BG175+('Assumptions'!$D$9-$BG175)*(10-5)/5))</x:f>
        <x:v>276.2573162513207</x:v>
      </x:c>
      <x:c r="Y175" t="n">
        <x:f>E175*'NSSC Model'!$B$62+O175*'NSSC Model'!$B$63+'NSSC Model'!$B$73+'NSSC Model'!$B$74</x:f>
        <x:v>102.84099676</x:v>
      </x:c>
      <x:c r="Z175" t="n">
        <x:f>F175*'NSSC Model'!$C$62+P175*'NSSC Model'!$C$63+'NSSC Model'!$C$73+'NSSC Model'!$C$74</x:f>
        <x:v>168.55424194940002</x:v>
      </x:c>
      <x:c r="AA175" t="n">
        <x:f>G175*'NSSC Model'!$D$62+Q175*'NSSC Model'!$D$63+'NSSC Model'!$D$73+'NSSC Model'!$D$74</x:f>
        <x:v>268.94530060540905</x:v>
      </x:c>
      <x:c r="AB175" t="n">
        <x:f>H175*'NSSC Model'!$E$62+R175*'NSSC Model'!$E$63+'NSSC Model'!$E$73+'NSSC Model'!$E$74</x:f>
        <x:v>420.8487893520422</x:v>
      </x:c>
      <x:c r="AC175" t="n">
        <x:f>I175*'NSSC Model'!$F$62+S175*'NSSC Model'!$F$63+'NSSC Model'!$F$73+'NSSC Model'!$F$74</x:f>
        <x:v>651.4420482900839</x:v>
      </x:c>
      <x:c r="AD175" t="n">
        <x:f>AX175*$AC175/$AW175</x:f>
        <x:v>874.3046532765123</x:v>
      </x:c>
      <x:c r="AE175" t="n">
        <x:f>AY175*$AC175/$AW175</x:f>
        <x:v>1105.1909630207422</x:v>
      </x:c>
      <x:c r="AF175" t="n">
        <x:f>AZ175*$AC175/$AW175</x:f>
        <x:v>1310.8153724908716</x:v>
      </x:c>
      <x:c r="AG175" t="n">
        <x:f>BA175*$AC175/$AW175</x:f>
        <x:v>1452.4183562654032</x:v>
      </x:c>
      <x:c r="AH175" t="n">
        <x:f>BB175*$AC175/$AW175</x:f>
        <x:v>1495.9909069533653</x:v>
      </x:c>
      <x:c r="AI175" t="n">
        <x:f>Y175*(1-'Assumptions'!$F$9)+AS175*'Assumptions'!$G$9-AS175*'NSSC Model'!$B$65-(AS175-'Inputs'!$D$14)*'Assumptions'!$H$9-'Assumptions'!$I$9</x:f>
        <x:v>78.1295091832</x:v>
      </x:c>
      <x:c r="AJ175" t="n">
        <x:f>Z175*(1-'Assumptions'!$F$9)+AT175*'Assumptions'!$G$9-AT175*'NSSC Model'!$C$65-(AT175-AS175)*'Assumptions'!$H$9-0</x:f>
        <x:v>129.05334037610803</x:v>
      </x:c>
      <x:c r="AK175" t="n">
        <x:f>AA175*(1-'Assumptions'!$F$9)+AU175*'Assumptions'!$G$9-AU175*'NSSC Model'!$D$65-(AU175-AT175)*'Assumptions'!$H$9-0</x:f>
        <x:v>207.06711402078741</x:v>
      </x:c>
      <x:c r="AL175" t="n">
        <x:f>AB175*(1-'Assumptions'!$F$9)+AV175*'Assumptions'!$G$9-AV175*'NSSC Model'!$E$65-(AV175-AU175)*'Assumptions'!$H$9-0</x:f>
        <x:v>325.1355227467675</x:v>
      </x:c>
      <x:c r="AM175" t="n">
        <x:f>AC175*(1-'Assumptions'!$F$9)+AW175*'Assumptions'!$G$9-AW175*'NSSC Model'!$F$65-(AW175-AV175)*'Assumptions'!$H$9-0</x:f>
        <x:v>504.42967982159985</x:v>
      </x:c>
      <x:c r="AN175" t="n">
        <x:f>AD175*(1-'Assumptions'!$F$9)+AX175*'Assumptions'!$G$9-AX175*'NSSC Model'!$G$65-(AX175-AW175)*'Assumptions'!$H$9-0</x:f>
        <x:v>681.8659142956283</x:v>
      </x:c>
      <x:c r="AO175" t="n">
        <x:f>AE175*(1-'Assumptions'!$F$9)+AY175*'Assumptions'!$G$9-AY175*'NSSC Model'!$H$65-(AY175-AX175)*'Assumptions'!$H$9-0</x:f>
        <x:v>868.8455520375524</x:v>
      </x:c>
      <x:c r="AP175" t="n">
        <x:f>AF175*(1-'Assumptions'!$F$9)+AZ175*'Assumptions'!$G$9-AZ175*'NSSC Model'!$I$65-(AZ175-AY175)*'Assumptions'!$H$9-0</x:f>
        <x:v>1039.7744817341977</x:v>
      </x:c>
      <x:c r="AQ175" t="n">
        <x:f>AG175*(1-'Assumptions'!$F$9)+BA175*'Assumptions'!$G$9-BA175*'NSSC Model'!$J$65-(BA175-AZ175)*'Assumptions'!$H$9-0</x:f>
        <x:v>1163.8251531189685</x:v>
      </x:c>
      <x:c r="AR175" t="n">
        <x:f>AH175*(1-'Assumptions'!$F$9)+BB175*'Assumptions'!$G$9-BB175*'NSSC Model'!$K$65-(BB175-BA175)*'Assumptions'!$H$9-0</x:f>
        <x:v>1212.6491401141259</x:v>
      </x:c>
      <x:c r="AS175" t="n">
        <x:f>E175+O175</x:f>
        <x:v>254.15104</x:v>
      </x:c>
      <x:c r="AT175" t="n">
        <x:f>F175+P175</x:f>
        <x:v>332.4638656</x:v>
      </x:c>
      <x:c r="AU175" t="n">
        <x:f>G175+Q175</x:f>
        <x:v>449.17710611200005</x:v>
      </x:c>
      <x:c r="AV175" t="n">
        <x:f>H175+R175</x:f>
        <x:v>623.8287993568</x:v>
      </x:c>
      <x:c r="AW175" t="n">
        <x:f>I175+S175</x:f>
        <x:v>885.9199972302785</x:v>
      </x:c>
      <x:c r="AX175" t="n">
        <x:f>J175+T175</x:f>
        <x:v>1188.9990491744215</x:v>
      </x:c>
      <x:c r="AY175" t="n">
        <x:f>K175+U175</x:f>
        <x:v>1502.989832277869</x:v>
      </x:c>
      <x:c r="AZ175" t="n">
        <x:f>L175+V175</x:f>
        <x:v>1782.6260282317671</x:v>
      </x:c>
      <x:c r="BA175" t="n">
        <x:f>M175+W175</x:f>
        <x:v>1975.197133094606</x:v>
      </x:c>
      <x:c r="BB175" t="n">
        <x:f>N175+X175</x:f>
        <x:v>2034.4530470874442</x:v>
      </x:c>
      <x:c r="BC175" t="n">
        <x:f>AS175/'Inputs'!$D$14-1</x:f>
        <x:v>0.25620830779572557</x:v>
      </x:c>
      <x:c r="BD175" t="n">
        <x:f>AT175/AS175-1</x:f>
        <x:v>0.3081349798922721</x:v>
      </x:c>
      <x:c r="BE175" t="n">
        <x:f>AU175/AT175-1</x:f>
        <x:v>0.3510554156054426</x:v>
      </x:c>
      <x:c r="BF175" t="n">
        <x:f>AV175/AU175-1</x:f>
        <x:v>0.3888259015615356</x:v>
      </x:c>
      <x:c r="BG175" t="n">
        <x:f>AW175/AV175-1</x:f>
        <x:v>0.4201332130605515</x:v>
      </x:c>
      <x:c r="BH175" t="n">
        <x:f>AX175/AW175-1</x:f>
        <x:v>0.34210657044844117</x:v>
      </x:c>
      <x:c r="BI175" t="n">
        <x:f>AY175/AX175-1</x:f>
        <x:v>0.26407992783633105</x:v>
      </x:c>
      <x:c r="BJ175" t="n">
        <x:f>AZ175/AY175-1</x:f>
        <x:v>0.1860532852242207</x:v>
      </x:c>
      <x:c r="BK175" t="n">
        <x:f>BA175/AZ175-1</x:f>
        <x:v>0.10802664261211037</x:v>
      </x:c>
      <x:c r="BL175" t="n">
        <x:f>BB175/BA175-1</x:f>
        <x:v>0.030000000000000027</x:v>
      </x:c>
      <x:c r="BM175" t="n">
        <x:f>AH175*(1-'Assumptions'!$F$9)*(1+'Assumptions'!$D$9)*(1-'Assumptions'!$D$9/'Assumptions'!$E$9)</x:f>
        <x:v>1137.162528011531</x:v>
      </x:c>
      <x:c r="BN175" t="n">
        <x:f>SUMPRODUCT(AI175:AR175,'NSSC Model'!$B$83:$K$83)+BM175/('Assumptions'!$C$9-'Assumptions'!$D$9)*'NSSC Model'!$K$83</x:f>
        <x:v>9408.675250850103</x:v>
      </x:c>
      <x:c r="BO175" t="n">
        <x:f>'NSSC Model'!$B$94</x:f>
        <x:v>101.2</x:v>
      </x:c>
      <x:c r="BP175" t="n">
        <x:f>'Inputs'!$D$8</x:f>
        <x:v>35.891</x:v>
      </x:c>
    </x:row>
    <x:row r="176">
      <x:c r="A176" t="str">
        <x:v>NSSC</x:v>
      </x:c>
      <x:c r="B176" s="22" t="n">
        <x:v>0.52</x:v>
      </x:c>
      <x:c r="C176" s="42" t="n">
        <x:f>(BN176+BO176)/BP176</x:f>
        <x:v>277.8269913411601</x:v>
      </x:c>
      <x:c r="D176" s="22" t="n">
        <x:f>C176/'Inputs'!$D$5-1</x:f>
        <x:v>6.506808736589034</x:v>
      </x:c>
      <x:c r="E176" t="n">
        <x:f>'Inputs'!$D$21*(1+$B176)^1</x:f>
        <x:v>148.24256</x:v>
      </x:c>
      <x:c r="F176" t="n">
        <x:f>'Inputs'!$D$21*(1+$B176)^2</x:f>
        <x:v>225.3286912</x:v>
      </x:c>
      <x:c r="G176" t="n">
        <x:f>'Inputs'!$D$21*(1+$B176)^3</x:f>
        <x:v>342.49961062400007</x:v>
      </x:c>
      <x:c r="H176" t="n">
        <x:f>'Inputs'!$D$21*(1+$B176)^4</x:f>
        <x:v>520.59940814848</x:v>
      </x:c>
      <x:c r="I176" t="n">
        <x:f>'Inputs'!$D$21*(1+$B176)^5</x:f>
        <x:v>791.3111003856897</x:v>
      </x:c>
      <x:c r="J176" t="n">
        <x:f>I176*(1+($BG176+('Assumptions'!$D$9-$BG176)*(6-5)/5))</x:f>
        <x:v>1068.4050966748448</x:v>
      </x:c>
      <x:c r="K176" t="n">
        <x:f>J176*(1+($BG176+('Assumptions'!$D$9-$BG176)*(7-5)/5))</x:f>
        <x:v>1357.011290122648</x:v>
      </x:c>
      <x:c r="L176" t="n">
        <x:f>K176*(1+($BG176+('Assumptions'!$D$9-$BG176)*(8-5)/5))</x:f>
        <x:v>1614.9592856122183</x:v>
      </x:c>
      <x:c r="M176" t="n">
        <x:f>L176*(1+($BG176+('Assumptions'!$D$9-$BG176)*(9-5)/5))</x:f>
        <x:v>1792.6737429426628</x:v>
      </x:c>
      <x:c r="N176" t="n">
        <x:f>M176*(1+($BG176+('Assumptions'!$D$9-$BG176)*(10-5)/5))</x:f>
        <x:v>1846.4539552309427</x:v>
      </x:c>
      <x:c r="O176" t="n">
        <x:f>'NSSC Model'!$B$68</x:f>
        <x:v>106.88376</x:v>
      </x:c>
      <x:c r="P176" t="n">
        <x:f>'NSSC Model'!$C$68</x:f>
        <x:v>110.0902728</x:v>
      </x:c>
      <x:c r="Q176" t="n">
        <x:f>'NSSC Model'!$D$68</x:f>
        <x:v>113.39298098399999</x:v>
      </x:c>
      <x:c r="R176" t="n">
        <x:f>'NSSC Model'!$E$68</x:f>
        <x:v>116.79477041352</x:v>
      </x:c>
      <x:c r="S176" t="n">
        <x:f>'NSSC Model'!$F$68</x:f>
        <x:v>120.2986135259256</x:v>
      </x:c>
      <x:c r="T176" t="n">
        <x:f>S176*(1+($BG176+('Assumptions'!$D$9-$BG176)*(6-5)/5))</x:f>
        <x:v>162.42366845526522</x:v>
      </x:c>
      <x:c r="U176" t="n">
        <x:f>T176*(1+($BG176+('Assumptions'!$D$9-$BG176)*(7-5)/5))</x:f>
        <x:v>206.2988585162205</x:v>
      </x:c>
      <x:c r="V176" t="n">
        <x:f>U176*(1+($BG176+('Assumptions'!$D$9-$BG176)*(8-5)/5))</x:f>
        <x:v>245.51325371939964</x:v>
      </x:c>
      <x:c r="W176" t="n">
        <x:f>V176*(1+($BG176+('Assumptions'!$D$9-$BG176)*(9-5)/5))</x:f>
        <x:v>272.5301915709533</x:v>
      </x:c>
      <x:c r="X176" t="n">
        <x:f>W176*(1+($BG176+('Assumptions'!$D$9-$BG176)*(10-5)/5))</x:f>
        <x:v>280.7060973180819</x:v>
      </x:c>
      <x:c r="Y176" t="n">
        <x:f>E176*'NSSC Model'!$B$62+O176*'NSSC Model'!$B$63+'NSSC Model'!$B$73+'NSSC Model'!$B$74</x:f>
        <x:v>103.7216746</x:v>
      </x:c>
      <x:c r="Z176" t="n">
        <x:f>F176*'NSSC Model'!$C$62+P176*'NSSC Model'!$C$63+'NSSC Model'!$C$73+'NSSC Model'!$C$74</x:f>
        <x:v>171.22269580460002</x:v>
      </x:c>
      <x:c r="AA176" t="n">
        <x:f>G176*'NSSC Model'!$D$62+Q176*'NSSC Model'!$D$63+'NSSC Model'!$D$73+'NSSC Model'!$D$74</x:f>
        <x:v>275.0093840082971</x:v>
      </x:c>
      <x:c r="AB176" t="n">
        <x:f>H176*'NSSC Model'!$E$62+R176*'NSSC Model'!$E$63+'NSSC Model'!$E$73+'NSSC Model'!$E$74</x:f>
        <x:v>433.09832677433786</x:v>
      </x:c>
      <x:c r="AC176" t="n">
        <x:f>I176*'NSSC Model'!$F$62+S176*'NSSC Model'!$F$63+'NSSC Model'!$F$73+'NSSC Model'!$F$74</x:f>
        <x:v>674.639862453331</x:v>
      </x:c>
      <x:c r="AD176" t="n">
        <x:f>AX176*$AC176/$AW176</x:f>
        <x:v>910.8790046213664</x:v>
      </x:c>
      <x:c r="AE176" t="n">
        <x:f>AY176*$AC176/$AW176</x:f>
        <x:v>1156.9329808083617</x:v>
      </x:c>
      <x:c r="AF176" t="n">
        <x:f>AZ176*$AC176/$AW176</x:f>
        <x:v>1376.8490165020057</x:v>
      </x:c>
      <x:c r="AG176" t="n">
        <x:f>BA176*$AC176/$AW176</x:f>
        <x:v>1528.361180290613</x:v>
      </x:c>
      <x:c r="AH176" t="n">
        <x:f>BB176*$AC176/$AW176</x:f>
        <x:v>1574.2120156993312</x:v>
      </x:c>
      <x:c r="AI176" t="n">
        <x:f>Y176*(1-'Assumptions'!$F$9)+AS176*'Assumptions'!$G$9-AS176*'NSSC Model'!$B$65-(AS176-'Inputs'!$D$14)*'Assumptions'!$H$9-'Assumptions'!$I$9</x:f>
        <x:v>78.750235892</x:v>
      </x:c>
      <x:c r="AJ176" t="n">
        <x:f>Z176*(1-'Assumptions'!$F$9)+AT176*'Assumptions'!$G$9-AT176*'NSSC Model'!$C$65-(AT176-AS176)*'Assumptions'!$H$9-0</x:f>
        <x:v>131.03167030377205</x:v>
      </x:c>
      <x:c r="AK176" t="n">
        <x:f>AA176*(1-'Assumptions'!$F$9)+AU176*'Assumptions'!$G$9-AU176*'NSSC Model'!$D$65-(AU176-AT176)*'Assumptions'!$H$9-0</x:f>
        <x:v>211.63676175957164</x:v>
      </x:c>
      <x:c r="AL176" t="n">
        <x:f>AB176*(1-'Assumptions'!$F$9)+AV176*'Assumptions'!$G$9-AV176*'NSSC Model'!$E$65-(AV176-AU176)*'Assumptions'!$H$9-0</x:f>
        <x:v>334.4408925453091</x:v>
      </x:c>
      <x:c r="AM176" t="n">
        <x:f>AC176*(1-'Assumptions'!$F$9)+AW176*'Assumptions'!$G$9-AW176*'NSSC Model'!$F$65-(AW176-AV176)*'Assumptions'!$H$9-0</x:f>
        <x:v>522.1366948211236</x:v>
      </x:c>
      <x:c r="AN176" t="n">
        <x:f>AD176*(1-'Assumptions'!$F$9)+AX176*'Assumptions'!$G$9-AX176*'NSSC Model'!$G$65-(AX176-AW176)*'Assumptions'!$H$9-0</x:f>
        <x:v>710.0755636071506</x:v>
      </x:c>
      <x:c r="AO176" t="n">
        <x:f>AE176*(1-'Assumptions'!$F$9)+AY176*'Assumptions'!$G$9-AY176*'NSSC Model'!$H$65-(AY176-AX176)*'Assumptions'!$H$9-0</x:f>
        <x:v>909.1836653174253</x:v>
      </x:c>
      <x:c r="AP176" t="n">
        <x:f>AF176*(1-'Assumptions'!$F$9)+AZ176*'Assumptions'!$G$9-AZ176*'NSSC Model'!$I$65-(AZ176-AY176)*'Assumptions'!$H$9-0</x:f>
        <x:v>1091.8580643050434</x:v>
      </x:c>
      <x:c r="AQ176" t="n">
        <x:f>AG176*(1-'Assumptions'!$F$9)+BA176*'Assumptions'!$G$9-BA176*'NSSC Model'!$J$65-(BA176-AZ176)*'Assumptions'!$H$9-0</x:f>
        <x:v>1224.5222125820483</x:v>
      </x:c>
      <x:c r="AR176" t="n">
        <x:f>AH176*(1-'Assumptions'!$F$9)+BB176*'Assumptions'!$G$9-BB176*'NSSC Model'!$K$65-(BB176-BA176)*'Assumptions'!$H$9-0</x:f>
        <x:v>1276.1496008597144</x:v>
      </x:c>
      <x:c r="AS176" t="n">
        <x:f>E176+O176</x:f>
        <x:v>255.12632</x:v>
      </x:c>
      <x:c r="AT176" t="n">
        <x:f>F176+P176</x:f>
        <x:v>335.418964</x:v>
      </x:c>
      <x:c r="AU176" t="n">
        <x:f>G176+Q176</x:f>
        <x:v>455.8925916080001</x:v>
      </x:c>
      <x:c r="AV176" t="n">
        <x:f>H176+R176</x:f>
        <x:v>637.3941785620001</x:v>
      </x:c>
      <x:c r="AW176" t="n">
        <x:f>I176+S176</x:f>
        <x:v>911.6097139116152</x:v>
      </x:c>
      <x:c r="AX176" t="n">
        <x:f>J176+T176</x:f>
        <x:v>1230.82876513011</x:v>
      </x:c>
      <x:c r="AY176" t="n">
        <x:f>K176+U176</x:f>
        <x:v>1563.3101486388684</x:v>
      </x:c>
      <x:c r="AZ176" t="n">
        <x:f>L176+V176</x:f>
        <x:v>1860.472539331618</x:v>
      </x:c>
      <x:c r="BA176" t="n">
        <x:f>M176+W176</x:f>
        <x:v>2065.2039345136163</x:v>
      </x:c>
      <x:c r="BB176" t="n">
        <x:f>N176+X176</x:f>
        <x:v>2127.160052549025</x:v>
      </x:c>
      <x:c r="BC176" t="n">
        <x:f>AS176/'Inputs'!$D$14-1</x:f>
        <x:v>0.26102888550584225</x:v>
      </x:c>
      <x:c r="BD176" t="n">
        <x:f>AT176/AS176-1</x:f>
        <x:v>0.31471721145822995</x:v>
      </x:c>
      <x:c r="BE176" t="n">
        <x:f>AU176/AT176-1</x:f>
        <x:v>0.3591735725711682</x:v>
      </x:c>
      <x:c r="BF176" t="n">
        <x:f>AV176/AU176-1</x:f>
        <x:v>0.3981235718567333</x:v>
      </x:c>
      <x:c r="BG176" t="n">
        <x:f>AW176/AV176-1</x:f>
        <x:v>0.43021342926015116</x:v>
      </x:c>
      <x:c r="BH176" t="n">
        <x:f>AX176/AW176-1</x:f>
        <x:v>0.35017074340812093</x:v>
      </x:c>
      <x:c r="BI176" t="n">
        <x:f>AY176/AX176-1</x:f>
        <x:v>0.2701280575560907</x:v>
      </x:c>
      <x:c r="BJ176" t="n">
        <x:f>AZ176/AY176-1</x:f>
        <x:v>0.1900853717040607</x:v>
      </x:c>
      <x:c r="BK176" t="n">
        <x:f>BA176/AZ176-1</x:f>
        <x:v>0.11004268585203025</x:v>
      </x:c>
      <x:c r="BL176" t="n">
        <x:f>BB176/BA176-1</x:f>
        <x:v>0.030000000000000027</x:v>
      </x:c>
      <x:c r="BM176" t="n">
        <x:f>AH176*(1-'Assumptions'!$F$9)*(1+'Assumptions'!$D$9)*(1-'Assumptions'!$D$9/'Assumptions'!$E$9)</x:f>
        <x:v>1196.6215216136895</x:v>
      </x:c>
      <x:c r="BN176" t="n">
        <x:f>SUMPRODUCT(AI176:AR176,'NSSC Model'!$B$83:$K$83)+BM176/('Assumptions'!$C$9-'Assumptions'!$D$9)*'NSSC Model'!$K$83</x:f>
        <x:v>9870.288546225576</x:v>
      </x:c>
      <x:c r="BO176" t="n">
        <x:f>'NSSC Model'!$B$94</x:f>
        <x:v>101.2</x:v>
      </x:c>
      <x:c r="BP176" t="n">
        <x:f>'Inputs'!$D$8</x:f>
        <x:v>35.891</x:v>
      </x:c>
    </x:row>
    <x:row r="177">
      <x:c r="A177" t="str">
        <x:v>NSSC</x:v>
      </x:c>
      <x:c r="B177" s="22" t="n">
        <x:v>0.53</x:v>
      </x:c>
      <x:c r="C177" s="42" t="n">
        <x:f>(BN177+BO177)/BP177</x:f>
        <x:v>291.2473173204593</x:v>
      </x:c>
      <x:c r="D177" s="22" t="n">
        <x:f>C177/'Inputs'!$D$5-1</x:f>
        <x:v>6.869422245891902</x:v>
      </x:c>
      <x:c r="E177" t="n">
        <x:f>'Inputs'!$D$21*(1+$B177)^1</x:f>
        <x:v>149.21784000000002</x:v>
      </x:c>
      <x:c r="F177" t="n">
        <x:f>'Inputs'!$D$21*(1+$B177)^2</x:f>
        <x:v>228.3032952</x:v>
      </x:c>
      <x:c r="G177" t="n">
        <x:f>'Inputs'!$D$21*(1+$B177)^3</x:f>
        <x:v>349.30404165600004</x:v>
      </x:c>
      <x:c r="H177" t="n">
        <x:f>'Inputs'!$D$21*(1+$B177)^4</x:f>
        <x:v>534.4351837336801</x:v>
      </x:c>
      <x:c r="I177" t="n">
        <x:f>'Inputs'!$D$21*(1+$B177)^5</x:f>
        <x:v>817.6858311125305</x:v>
      </x:c>
      <x:c r="J177" t="n">
        <x:f>I177*(1+($BG177+('Assumptions'!$D$9-$BG177)*(6-5)/5))</x:f>
        <x:v>1110.6316253423306</x:v>
      </x:c>
      <x:c r="K177" t="n">
        <x:f>J177*(1+($BG177+('Assumptions'!$D$9-$BG177)*(7-5)/5))</x:f>
        <x:v>1417.384226672012</x:v>
      </x:c>
      <x:c r="L177" t="n">
        <x:f>K177*(1+($BG177+('Assumptions'!$D$9-$BG177)*(8-5)/5))</x:f>
        <x:v>1692.5424725845905</x:v>
      </x:c>
      <x:c r="M177" t="n">
        <x:f>L177*(1+($BG177+('Assumptions'!$D$9-$BG177)*(9-5)/5))</x:f>
        <x:v>1882.2181081247877</x:v>
      </x:c>
      <x:c r="N177" t="n">
        <x:f>M177*(1+($BG177+('Assumptions'!$D$9-$BG177)*(10-5)/5))</x:f>
        <x:v>1938.6846513685314</x:v>
      </x:c>
      <x:c r="O177" t="n">
        <x:f>'NSSC Model'!$B$68</x:f>
        <x:v>106.88376</x:v>
      </x:c>
      <x:c r="P177" t="n">
        <x:f>'NSSC Model'!$C$68</x:f>
        <x:v>110.0902728</x:v>
      </x:c>
      <x:c r="Q177" t="n">
        <x:f>'NSSC Model'!$D$68</x:f>
        <x:v>113.39298098399999</x:v>
      </x:c>
      <x:c r="R177" t="n">
        <x:f>'NSSC Model'!$E$68</x:f>
        <x:v>116.79477041352</x:v>
      </x:c>
      <x:c r="S177" t="n">
        <x:f>'NSSC Model'!$F$68</x:f>
        <x:v>120.2986135259256</x:v>
      </x:c>
      <x:c r="T177" t="n">
        <x:f>S177*(1+($BG177+('Assumptions'!$D$9-$BG177)*(6-5)/5))</x:f>
        <x:v>163.3970402604915</x:v>
      </x:c>
      <x:c r="U177" t="n">
        <x:f>T177*(1+($BG177+('Assumptions'!$D$9-$BG177)*(7-5)/5))</x:f>
        <x:v>208.52673583712087</x:v>
      </x:c>
      <x:c r="V177" t="n">
        <x:f>U177*(1+($BG177+('Assumptions'!$D$9-$BG177)*(8-5)/5))</x:f>
        <x:v>249.00824380023673</x:v>
      </x:c>
      <x:c r="W177" t="n">
        <x:f>V177*(1+($BG177+('Assumptions'!$D$9-$BG177)*(9-5)/5))</x:f>
        <x:v>276.9134796584747</x:v>
      </x:c>
      <x:c r="X177" t="n">
        <x:f>W177*(1+($BG177+('Assumptions'!$D$9-$BG177)*(10-5)/5))</x:f>
        <x:v>285.220884048229</x:v>
      </x:c>
      <x:c r="Y177" t="n">
        <x:f>E177*'NSSC Model'!$B$62+O177*'NSSC Model'!$B$63+'NSSC Model'!$B$73+'NSSC Model'!$B$74</x:f>
        <x:v>104.60235244000003</x:v>
      </x:c>
      <x:c r="Z177" t="n">
        <x:f>F177*'NSSC Model'!$C$62+P177*'NSSC Model'!$C$63+'NSSC Model'!$C$73+'NSSC Model'!$C$74</x:f>
        <x:v>173.90876321660002</x:v>
      </x:c>
      <x:c r="AA177" t="n">
        <x:f>G177*'NSSC Model'!$D$62+Q177*'NSSC Model'!$D$63+'NSSC Model'!$D$73+'NSSC Model'!$D$74</x:f>
        <x:v>281.1537852301931</x:v>
      </x:c>
      <x:c r="AB177" t="n">
        <x:f>H177*'NSSC Model'!$E$62+R177*'NSSC Model'!$E$63+'NSSC Model'!$E$73+'NSSC Model'!$E$74</x:f>
        <x:v>445.5920321277735</x:v>
      </x:c>
      <x:c r="AC177" t="n">
        <x:f>I177*'NSSC Model'!$F$62+S177*'NSSC Model'!$F$63+'NSSC Model'!$F$73+'NSSC Model'!$F$74</x:f>
        <x:v>698.4562442996684</x:v>
      </x:c>
      <x:c r="AD177" t="n">
        <x:f>AX177*$AC177/$AW177</x:f>
        <x:v>948.6866034863265</x:v>
      </x:c>
      <x:c r="AE177" t="n">
        <x:f>AY177*$AC177/$AW177</x:f>
        <x:v>1210.7105516845888</x:v>
      </x:c>
      <x:c r="AF177" t="n">
        <x:f>AZ177*$AC177/$AW177</x:f>
        <x:v>1445.7470262272611</x:v>
      </x:c>
      <x:c r="AG177" t="n">
        <x:f>BA177*$AC177/$AW177</x:f>
        <x:v>1607.765404183387</x:v>
      </x:c>
      <x:c r="AH177" t="n">
        <x:f>BB177*$AC177/$AW177</x:f>
        <x:v>1655.9983663088885</x:v>
      </x:c>
      <x:c r="AI177" t="n">
        <x:f>Y177*(1-'Assumptions'!$F$9)+AS177*'Assumptions'!$G$9-AS177*'NSSC Model'!$B$65-(AS177-'Inputs'!$D$14)*'Assumptions'!$H$9-'Assumptions'!$I$9</x:f>
        <x:v>79.37096260080003</x:v>
      </x:c>
      <x:c r="AJ177" t="n">
        <x:f>Z177*(1-'Assumptions'!$F$9)+AT177*'Assumptions'!$G$9-AT177*'NSSC Model'!$C$65-(AT177-AS177)*'Assumptions'!$H$9-0</x:f>
        <x:v>133.022414765612</x:v>
      </x:c>
      <x:c r="AK177" t="n">
        <x:f>AA177*(1-'Assumptions'!$F$9)+AU177*'Assumptions'!$G$9-AU177*'NSSC Model'!$D$65-(AU177-AT177)*'Assumptions'!$H$9-0</x:f>
        <x:v>216.26497033419835</x:v>
      </x:c>
      <x:c r="AL177" t="n">
        <x:f>AB177*(1-'Assumptions'!$F$9)+AV177*'Assumptions'!$G$9-AV177*'NSSC Model'!$E$65-(AV177-AU177)*'Assumptions'!$H$9-0</x:f>
        <x:v>343.92725337746555</x:v>
      </x:c>
      <x:c r="AM177" t="n">
        <x:f>AC177*(1-'Assumptions'!$F$9)+AW177*'Assumptions'!$G$9-AW177*'NSSC Model'!$F$65-(AW177-AV177)*'Assumptions'!$H$9-0</x:f>
        <x:v>540.3067334980486</x:v>
      </x:c>
      <x:c r="AN177" t="n">
        <x:f>AD177*(1-'Assumptions'!$F$9)+AX177*'Assumptions'!$G$9-AX177*'NSSC Model'!$G$65-(AX177-AW177)*'Assumptions'!$H$9-0</x:f>
        <x:v>739.2224780999398</x:v>
      </x:c>
      <x:c r="AO177" t="n">
        <x:f>AE177*(1-'Assumptions'!$F$9)+AY177*'Assumptions'!$G$9-AY177*'NSSC Model'!$H$65-(AY177-AX177)*'Assumptions'!$H$9-0</x:f>
        <x:v>951.0907788406954</x:v>
      </x:c>
      <x:c r="AP177" t="n">
        <x:f>AF177*(1-'Assumptions'!$F$9)+AZ177*'Assumptions'!$G$9-AZ177*'NSSC Model'!$I$65-(AZ177-AY177)*'Assumptions'!$H$9-0</x:f>
        <x:v>1146.1823832532455</x:v>
      </x:c>
      <x:c r="AQ177" t="n">
        <x:f>AG177*(1-'Assumptions'!$F$9)+BA177*'Assumptions'!$G$9-BA177*'NSSC Model'!$J$65-(BA177-AZ177)*'Assumptions'!$H$9-0</x:f>
        <x:v>1287.973017939401</x:v>
      </x:c>
      <x:c r="AR177" t="n">
        <x:f>AH177*(1-'Assumptions'!$F$9)+BB177*'Assumptions'!$G$9-BB177*'NSSC Model'!$K$65-(BB177-BA177)*'Assumptions'!$H$9-0</x:f>
        <x:v>1342.545643468272</x:v>
      </x:c>
      <x:c r="AS177" t="n">
        <x:f>E177+O177</x:f>
        <x:v>256.1016</x:v>
      </x:c>
      <x:c r="AT177" t="n">
        <x:f>F177+P177</x:f>
        <x:v>338.393568</x:v>
      </x:c>
      <x:c r="AU177" t="n">
        <x:f>G177+Q177</x:f>
        <x:v>462.69702264</x:v>
      </x:c>
      <x:c r="AV177" t="n">
        <x:f>H177+R177</x:f>
        <x:v>651.2299541472001</x:v>
      </x:c>
      <x:c r="AW177" t="n">
        <x:f>I177+S177</x:f>
        <x:v>937.9844446384561</x:v>
      </x:c>
      <x:c r="AX177" t="n">
        <x:f>J177+T177</x:f>
        <x:v>1274.028665602822</x:v>
      </x:c>
      <x:c r="AY177" t="n">
        <x:f>K177+U177</x:f>
        <x:v>1625.9109625091328</x:v>
      </x:c>
      <x:c r="AZ177" t="n">
        <x:f>L177+V177</x:f>
        <x:v>1941.5507163848272</x:v>
      </x:c>
      <x:c r="BA177" t="n">
        <x:f>M177+W177</x:f>
        <x:v>2159.1315877832626</x:v>
      </x:c>
      <x:c r="BB177" t="n">
        <x:f>N177+X177</x:f>
        <x:v>2223.9055354167604</x:v>
      </x:c>
      <x:c r="BC177" t="n">
        <x:f>AS177/'Inputs'!$D$14-1</x:f>
        <x:v>0.26584946321595937</x:v>
      </x:c>
      <x:c r="BD177" t="n">
        <x:f>AT177/AS177-1</x:f>
        <x:v>0.3213254739525251</x:v>
      </x:c>
      <x:c r="BE177" t="n">
        <x:f>AU177/AT177-1</x:f>
        <x:v>0.3673339755677625</x:v>
      </x:c>
      <x:c r="BF177" t="n">
        <x:f>AV177/AU177-1</x:f>
        <x:v>0.40746519273344806</x:v>
      </x:c>
      <x:c r="BG177" t="n">
        <x:f>AW177/AV177-1</x:f>
        <x:v>0.44032755045299976</x:v>
      </x:c>
      <x:c r="BH177" t="n">
        <x:f>AX177/AW177-1</x:f>
        <x:v>0.35826204036239995</x:v>
      </x:c>
      <x:c r="BI177" t="n">
        <x:f>AY177/AX177-1</x:f>
        <x:v>0.2761965302717999</x:v>
      </x:c>
      <x:c r="BJ177" t="n">
        <x:f>AZ177/AY177-1</x:f>
        <x:v>0.19413102018119988</x:v>
      </x:c>
      <x:c r="BK177" t="n">
        <x:f>BA177/AZ177-1</x:f>
        <x:v>0.11206551009060006</x:v>
      </x:c>
      <x:c r="BL177" t="n">
        <x:f>BB177/BA177-1</x:f>
        <x:v>0.030000000000000027</x:v>
      </x:c>
      <x:c r="BM177" t="n">
        <x:f>AH177*(1-'Assumptions'!$F$9)*(1+'Assumptions'!$D$9)*(1-'Assumptions'!$D$9/'Assumptions'!$E$9)</x:f>
        <x:v>1258.7905981660388</x:v>
      </x:c>
      <x:c r="BN177" t="n">
        <x:f>SUMPRODUCT(AI177:AR177,'NSSC Model'!$B$83:$K$83)+BM177/('Assumptions'!$C$9-'Assumptions'!$D$9)*'NSSC Model'!$K$83</x:f>
        <x:v>10351.957465948602</x:v>
      </x:c>
      <x:c r="BO177" t="n">
        <x:f>'NSSC Model'!$B$94</x:f>
        <x:v>101.2</x:v>
      </x:c>
      <x:c r="BP177" t="n">
        <x:f>'Inputs'!$D$8</x:f>
        <x:v>35.891</x:v>
      </x:c>
    </x:row>
    <x:row r="178">
      <x:c r="A178" t="str">
        <x:v>NSSC</x:v>
      </x:c>
      <x:c r="B178" s="22" t="n">
        <x:v>0.54</x:v>
      </x:c>
      <x:c r="C178" s="42" t="n">
        <x:f>(BN178+BO178)/BP178</x:f>
        <x:v>305.24747040166835</x:v>
      </x:c>
      <x:c r="D178" s="22" t="n">
        <x:f>C178/'Inputs'!$D$5-1</x:f>
        <x:v>7.247702523687337</x:v>
      </x:c>
      <x:c r="E178" t="n">
        <x:f>'Inputs'!$D$21*(1+$B178)^1</x:f>
        <x:v>150.19312000000002</x:v>
      </x:c>
      <x:c r="F178" t="n">
        <x:f>'Inputs'!$D$21*(1+$B178)^2</x:f>
        <x:v>231.2974048</x:v>
      </x:c>
      <x:c r="G178" t="n">
        <x:f>'Inputs'!$D$21*(1+$B178)^3</x:f>
        <x:v>356.19800339200003</x:v>
      </x:c>
      <x:c r="H178" t="n">
        <x:f>'Inputs'!$D$21*(1+$B178)^4</x:f>
        <x:v>548.54492522368</x:v>
      </x:c>
      <x:c r="I178" t="n">
        <x:f>'Inputs'!$D$21*(1+$B178)^5</x:f>
        <x:v>844.7591848444671</x:v>
      </x:c>
      <x:c r="J178" t="n">
        <x:f>I178*(1+($BG178+('Assumptions'!$D$9-$BG178)*(6-5)/5))</x:f>
        <x:v>1154.2612457951366</x:v>
      </x:c>
      <x:c r="K178" t="n">
        <x:f>J178*(1+($BG178+('Assumptions'!$D$9-$BG178)*(7-5)/5))</x:f>
        <x:v>1480.0910523165119</x:v>
      </x:c>
      <x:c r="L178" t="n">
        <x:f>K178*(1+($BG178+('Assumptions'!$D$9-$BG178)*(8-5)/5))</x:f>
        <x:v>1773.429589087419</x:v>
      </x:c>
      <x:c r="M178" t="n">
        <x:f>L178*(1+($BG178+('Assumptions'!$D$9-$BG178)*(9-5)/5))</x:f>
        <x:v>1975.7686133634395</x:v>
      </x:c>
      <x:c r="N178" t="n">
        <x:f>M178*(1+($BG178+('Assumptions'!$D$9-$BG178)*(10-5)/5))</x:f>
        <x:v>2035.0416717643427</x:v>
      </x:c>
      <x:c r="O178" t="n">
        <x:f>'NSSC Model'!$B$68</x:f>
        <x:v>106.88376</x:v>
      </x:c>
      <x:c r="P178" t="n">
        <x:f>'NSSC Model'!$C$68</x:f>
        <x:v>110.0902728</x:v>
      </x:c>
      <x:c r="Q178" t="n">
        <x:f>'NSSC Model'!$D$68</x:f>
        <x:v>113.39298098399999</x:v>
      </x:c>
      <x:c r="R178" t="n">
        <x:f>'NSSC Model'!$E$68</x:f>
        <x:v>116.79477041352</x:v>
      </x:c>
      <x:c r="S178" t="n">
        <x:f>'NSSC Model'!$F$68</x:f>
        <x:v>120.2986135259256</x:v>
      </x:c>
      <x:c r="T178" t="n">
        <x:f>S178*(1+($BG178+('Assumptions'!$D$9-$BG178)*(6-5)/5))</x:f>
        <x:v>164.37350431582232</x:v>
      </x:c>
      <x:c r="U178" t="n">
        <x:f>T178*(1+($BG178+('Assumptions'!$D$9-$BG178)*(7-5)/5))</x:f>
        <x:v>210.77356089189706</x:v>
      </x:c>
      <x:c r="V178" t="n">
        <x:f>U178*(1+($BG178+('Assumptions'!$D$9-$BG178)*(8-5)/5))</x:f>
        <x:v>252.54667197533675</x:v>
      </x:c>
      <x:c r="W178" t="n">
        <x:f>V178*(1+($BG178+('Assumptions'!$D$9-$BG178)*(9-5)/5))</x:f>
        <x:v>281.3609240359112</x:v>
      </x:c>
      <x:c r="X178" t="n">
        <x:f>W178*(1+($BG178+('Assumptions'!$D$9-$BG178)*(10-5)/5))</x:f>
        <x:v>289.80175175698855</x:v>
      </x:c>
      <x:c r="Y178" t="n">
        <x:f>E178*'NSSC Model'!$B$62+O178*'NSSC Model'!$B$63+'NSSC Model'!$B$73+'NSSC Model'!$B$74</x:f>
        <x:v>105.48303028000001</x:v>
      </x:c>
      <x:c r="Z178" t="n">
        <x:f>F178*'NSSC Model'!$C$62+P178*'NSSC Model'!$C$63+'NSSC Model'!$C$73+'NSSC Model'!$C$74</x:f>
        <x:v>176.61244418540002</x:v>
      </x:c>
      <x:c r="AA178" t="n">
        <x:f>G178*'NSSC Model'!$D$62+Q178*'NSSC Model'!$D$63+'NSSC Model'!$D$73+'NSSC Model'!$D$74</x:f>
        <x:v>287.37903267780104</x:v>
      </x:c>
      <x:c r="AB178" t="n">
        <x:f>H178*'NSSC Model'!$E$62+R178*'NSSC Model'!$E$63+'NSSC Model'!$E$73+'NSSC Model'!$E$74</x:f>
        <x:v>458.3331286932435</x:v>
      </x:c>
      <x:c r="AC178" t="n">
        <x:f>I178*'NSSC Model'!$F$62+S178*'NSSC Model'!$F$63+'NSSC Model'!$F$73+'NSSC Model'!$F$74</x:f>
        <x:v>722.903482719607</x:v>
      </x:c>
      <x:c r="AD178" t="n">
        <x:f>AX178*$AC178/$AW178</x:f>
        <x:v>987.7601682510334</x:v>
      </x:c>
      <x:c r="AE178" t="n">
        <x:f>AY178*$AC178/$AW178</x:f>
        <x:v>1266.5893377160862</x:v>
      </x:c>
      <x:c r="AF178" t="n">
        <x:f>AZ178*$AC178/$AW178</x:f>
        <x:v>1517.6140719267062</x:v>
      </x:c>
      <x:c r="AG178" t="n">
        <x:f>BA178*$AC178/$AW178</x:f>
        <x:v>1690.7658860335314</x:v>
      </x:c>
      <x:c r="AH178" t="n">
        <x:f>BB178*$AC178/$AW178</x:f>
        <x:v>1741.4888626145373</x:v>
      </x:c>
      <x:c r="AI178" t="n">
        <x:f>Y178*(1-'Assumptions'!$F$9)+AS178*'Assumptions'!$G$9-AS178*'NSSC Model'!$B$65-(AS178-'Inputs'!$D$14)*'Assumptions'!$H$9-'Assumptions'!$I$9</x:f>
        <x:v>79.9916893096</x:v>
      </x:c>
      <x:c r="AJ178" t="n">
        <x:f>Z178*(1-'Assumptions'!$F$9)+AT178*'Assumptions'!$G$9-AT178*'NSSC Model'!$C$65-(AT178-AS178)*'Assumptions'!$H$9-0</x:f>
        <x:v>135.02557376162807</x:v>
      </x:c>
      <x:c r="AK178" t="n">
        <x:f>AA178*(1-'Assumptions'!$F$9)+AU178*'Assumptions'!$G$9-AU178*'NSSC Model'!$D$65-(AU178-AT178)*'Assumptions'!$H$9-0</x:f>
        <x:v>220.95211218069286</x:v>
      </x:c>
      <x:c r="AL178" t="n">
        <x:f>AB178*(1-'Assumptions'!$F$9)+AV178*'Assumptions'!$G$9-AV178*'NSSC Model'!$E$65-(AV178-AU178)*'Assumptions'!$H$9-0</x:f>
        <x:v>353.5969356197909</x:v>
      </x:c>
      <x:c r="AM178" t="n">
        <x:f>AC178*(1-'Assumptions'!$F$9)+AW178*'Assumptions'!$G$9-AW178*'NSSC Model'!$F$65-(AW178-AV178)*'Assumptions'!$H$9-0</x:f>
        <x:v>558.9488143632769</x:v>
      </x:c>
      <x:c r="AN178" t="n">
        <x:f>AD178*(1-'Assumptions'!$F$9)+AX178*'Assumptions'!$G$9-AX178*'NSSC Model'!$G$65-(AX178-AW178)*'Assumptions'!$H$9-0</x:f>
        <x:v>769.331103791347</x:v>
      </x:c>
      <x:c r="AO178" t="n">
        <x:f>AE178*(1-'Assumptions'!$F$9)+AY178*'Assumptions'!$G$9-AY178*'NSSC Model'!$H$65-(AY178-AX178)*'Assumptions'!$H$9-0</x:f>
        <x:v>994.6168121646122</x:v>
      </x:c>
      <x:c r="AP178" t="n">
        <x:f>AF178*(1-'Assumptions'!$F$9)+AZ178*'Assumptions'!$G$9-AZ178*'NSSC Model'!$I$65-(AZ178-AY178)*'Assumptions'!$H$9-0</x:f>
        <x:v>1202.8284691502133</x:v>
      </x:c>
      <x:c r="AQ178" t="n">
        <x:f>AG178*(1-'Assumptions'!$F$9)+BA178*'Assumptions'!$G$9-BA178*'NSSC Model'!$J$65-(BA178-AZ178)*'Assumptions'!$H$9-0</x:f>
        <x:v>1354.284180764239</x:v>
      </x:c>
      <x:c r="AR178" t="n">
        <x:f>AH178*(1-'Assumptions'!$F$9)+BB178*'Assumptions'!$G$9-BB178*'NSSC Model'!$K$65-(BB178-BA178)*'Assumptions'!$H$9-0</x:f>
        <x:v>1411.9501050376373</x:v>
      </x:c>
      <x:c r="AS178" t="n">
        <x:f>E178+O178</x:f>
        <x:v>257.07688</x:v>
      </x:c>
      <x:c r="AT178" t="n">
        <x:f>F178+P178</x:f>
        <x:v>341.3876776</x:v>
      </x:c>
      <x:c r="AU178" t="n">
        <x:f>G178+Q178</x:f>
        <x:v>469.59098437600005</x:v>
      </x:c>
      <x:c r="AV178" t="n">
        <x:f>H178+R178</x:f>
        <x:v>665.3396956372001</x:v>
      </x:c>
      <x:c r="AW178" t="n">
        <x:f>I178+S178</x:f>
        <x:v>965.0577983703927</x:v>
      </x:c>
      <x:c r="AX178" t="n">
        <x:f>J178+T178</x:f>
        <x:v>1318.634750110959</x:v>
      </x:c>
      <x:c r="AY178" t="n">
        <x:f>K178+U178</x:f>
        <x:v>1690.8646132084089</x:v>
      </x:c>
      <x:c r="AZ178" t="n">
        <x:f>L178+V178</x:f>
        <x:v>2025.9762610627556</x:v>
      </x:c>
      <x:c r="BA178" t="n">
        <x:f>M178+W178</x:f>
        <x:v>2257.1295373993507</x:v>
      </x:c>
      <x:c r="BB178" t="n">
        <x:f>N178+X178</x:f>
        <x:v>2324.8434235213313</x:v>
      </x:c>
      <x:c r="BC178" t="n">
        <x:f>AS178/'Inputs'!$D$14-1</x:f>
        <x:v>0.27067004092607605</x:v>
      </x:c>
      <x:c r="BD178" t="n">
        <x:f>AT178/AS178-1</x:f>
        <x:v>0.32795947111229906</x:v>
      </x:c>
      <x:c r="BE178" t="n">
        <x:f>AU178/AT178-1</x:f>
        <x:v>0.37553583561447224</x:v>
      </x:c>
      <x:c r="BF178" t="n">
        <x:f>AV178/AU178-1</x:f>
        <x:v>0.4168493812148333</x:v>
      </x:c>
      <x:c r="BG178" t="n">
        <x:f>AW178/AV178-1</x:f>
        <x:v>0.4504738026282209</x:v>
      </x:c>
      <x:c r="BH178" t="n">
        <x:f>AX178/AW178-1</x:f>
        <x:v>0.366379042102577</x:v>
      </x:c>
      <x:c r="BI178" t="n">
        <x:f>AY178/AX178-1</x:f>
        <x:v>0.2822842815769324</x:v>
      </x:c>
      <x:c r="BJ178" t="n">
        <x:f>AZ178/AY178-1</x:f>
        <x:v>0.1981895210512885</x:v>
      </x:c>
      <x:c r="BK178" t="n">
        <x:f>BA178/AZ178-1</x:f>
        <x:v>0.11409476052564416</x:v>
      </x:c>
      <x:c r="BL178" t="n">
        <x:f>BB178/BA178-1</x:f>
        <x:v>0.030000000000000027</x:v>
      </x:c>
      <x:c r="BM178" t="n">
        <x:f>AH178*(1-'Assumptions'!$F$9)*(1+'Assumptions'!$D$9)*(1-'Assumptions'!$D$9/'Assumptions'!$E$9)</x:f>
        <x:v>1323.7753440278143</x:v>
      </x:c>
      <x:c r="BN178" t="n">
        <x:f>SUMPRODUCT(AI178:AR178,'NSSC Model'!$B$83:$K$83)+BM178/('Assumptions'!$C$9-'Assumptions'!$D$9)*'NSSC Model'!$K$83</x:f>
        <x:v>10854.436960186278</x:v>
      </x:c>
      <x:c r="BO178" t="n">
        <x:f>'NSSC Model'!$B$94</x:f>
        <x:v>101.2</x:v>
      </x:c>
      <x:c r="BP178" t="n">
        <x:f>'Inputs'!$D$8</x:f>
        <x:v>35.891</x:v>
      </x:c>
    </x:row>
    <x:row r="179">
      <x:c r="A179" t="str">
        <x:v>NSSC</x:v>
      </x:c>
      <x:c r="B179" s="22" t="n">
        <x:v>0.55</x:v>
      </x:c>
      <x:c r="C179" s="42" t="n">
        <x:f>(BN179+BO179)/BP179</x:f>
        <x:v>319.8491368013049</x:v>
      </x:c>
      <x:c r="D179" s="22" t="n">
        <x:f>C179/'Inputs'!$D$5-1</x:f>
        <x:v>7.642235525568898</x:v>
      </x:c>
      <x:c r="E179" t="n">
        <x:f>'Inputs'!$D$21*(1+$B179)^1</x:f>
        <x:v>151.16840000000002</x:v>
      </x:c>
      <x:c r="F179" t="n">
        <x:f>'Inputs'!$D$21*(1+$B179)^2</x:f>
        <x:v>234.31102000000004</x:v>
      </x:c>
      <x:c r="G179" t="n">
        <x:f>'Inputs'!$D$21*(1+$B179)^3</x:f>
        <x:v>363.1820810000001</x:v>
      </x:c>
      <x:c r="H179" t="n">
        <x:f>'Inputs'!$D$21*(1+$B179)^4</x:f>
        <x:v>562.9322255500001</x:v>
      </x:c>
      <x:c r="I179" t="n">
        <x:f>'Inputs'!$D$21*(1+$B179)^5</x:f>
        <x:v>872.5449496025003</x:v>
      </x:c>
      <x:c r="J179" t="n">
        <x:f>I179*(1+($BG179+('Assumptions'!$D$9-$BG179)*(6-5)/5))</x:f>
        <x:v>1199.3308193957728</x:v>
      </x:c>
      <x:c r="K179" t="n">
        <x:f>J179*(1+($BG179+('Assumptions'!$D$9-$BG179)*(7-5)/5))</x:f>
        <x:v>1545.2061800259933</x:v>
      </x:c>
      <x:c r="L179" t="n">
        <x:f>K179*(1+($BG179+('Assumptions'!$D$9-$BG179)*(8-5)/5))</x:f>
        <x:v>1857.7398788643661</x:v>
      </x:c>
      <x:c r="M179" t="n">
        <x:f>L179*(1+($BG179+('Assumptions'!$D$9-$BG179)*(9-5)/5))</x:f>
        <x:v>2073.4793894521613</x:v>
      </x:c>
      <x:c r="N179" t="n">
        <x:f>M179*(1+($BG179+('Assumptions'!$D$9-$BG179)*(10-5)/5))</x:f>
        <x:v>2135.683771135726</x:v>
      </x:c>
      <x:c r="O179" t="n">
        <x:f>'NSSC Model'!$B$68</x:f>
        <x:v>106.88376</x:v>
      </x:c>
      <x:c r="P179" t="n">
        <x:f>'NSSC Model'!$C$68</x:f>
        <x:v>110.0902728</x:v>
      </x:c>
      <x:c r="Q179" t="n">
        <x:f>'NSSC Model'!$D$68</x:f>
        <x:v>113.39298098399999</x:v>
      </x:c>
      <x:c r="R179" t="n">
        <x:f>'NSSC Model'!$E$68</x:f>
        <x:v>116.79477041352</x:v>
      </x:c>
      <x:c r="S179" t="n">
        <x:f>'NSSC Model'!$F$68</x:f>
        <x:v>120.2986135259256</x:v>
      </x:c>
      <x:c r="T179" t="n">
        <x:f>S179*(1+($BG179+('Assumptions'!$D$9-$BG179)*(6-5)/5))</x:f>
        <x:v>165.35289648739754</x:v>
      </x:c>
      <x:c r="U179" t="n">
        <x:f>T179*(1+($BG179+('Assumptions'!$D$9-$BG179)*(7-5)/5))</x:f>
        <x:v>213.0390659570051</x:v>
      </x:c>
      <x:c r="V179" t="n">
        <x:f>U179*(1+($BG179+('Assumptions'!$D$9-$BG179)*(8-5)/5))</x:f>
        <x:v>256.1283883667141</x:v>
      </x:c>
      <x:c r="W179" t="n">
        <x:f>V179*(1+($BG179+('Assumptions'!$D$9-$BG179)*(9-5)/5))</x:f>
        <x:v>285.8726027115417</x:v>
      </x:c>
      <x:c r="X179" t="n">
        <x:f>W179*(1+($BG179+('Assumptions'!$D$9-$BG179)*(10-5)/5))</x:f>
        <x:v>294.44878079288793</x:v>
      </x:c>
      <x:c r="Y179" t="n">
        <x:f>E179*'NSSC Model'!$B$62+O179*'NSSC Model'!$B$63+'NSSC Model'!$B$73+'NSSC Model'!$B$74</x:f>
        <x:v>106.36370812000001</x:v>
      </x:c>
      <x:c r="Z179" t="n">
        <x:f>F179*'NSSC Model'!$C$62+P179*'NSSC Model'!$C$63+'NSSC Model'!$C$73+'NSSC Model'!$C$74</x:f>
        <x:v>179.33373871100005</x:v>
      </x:c>
      <x:c r="AA179" t="n">
        <x:f>G179*'NSSC Model'!$D$62+Q179*'NSSC Model'!$D$63+'NSSC Model'!$D$73+'NSSC Model'!$D$74</x:f>
        <x:v>293.6856547578251</x:v>
      </x:c>
      <x:c r="AB179" t="n">
        <x:f>H179*'NSSC Model'!$E$62+R179*'NSSC Model'!$E$63+'NSSC Model'!$E$73+'NSSC Model'!$E$74</x:f>
        <x:v>471.32486088791046</x:v>
      </x:c>
      <x:c r="AC179" t="n">
        <x:f>I179*'NSSC Model'!$F$62+S179*'NSSC Model'!$F$63+'NSSC Model'!$F$73+'NSSC Model'!$F$74</x:f>
        <x:v>747.9940282961111</x:v>
      </x:c>
      <x:c r="AD179" t="n">
        <x:f>AX179*$AC179/$AW179</x:f>
        <x:v>1028.1330391840586</x:v>
      </x:c>
      <x:c r="AE179" t="n">
        <x:f>AY179*$AC179/$AW179</x:f>
        <x:v>1324.6366226430296</x:v>
      </x:c>
      <x:c r="AF179" t="n">
        <x:f>AZ179*$AC179/$AW179</x:f>
        <x:v>1592.5578804291147</x:v>
      </x:c>
      <x:c r="AG179" t="n">
        <x:f>BA179*$AC179/$AW179</x:f>
        <x:v>1777.5017800651297</x:v>
      </x:c>
      <x:c r="AH179" t="n">
        <x:f>BB179*$AC179/$AW179</x:f>
        <x:v>1830.8268334670838</x:v>
      </x:c>
      <x:c r="AI179" t="n">
        <x:f>Y179*(1-'Assumptions'!$F$9)+AS179*'Assumptions'!$G$9-AS179*'NSSC Model'!$B$65-(AS179-'Inputs'!$D$14)*'Assumptions'!$H$9-'Assumptions'!$I$9</x:f>
        <x:v>80.61241601840003</x:v>
      </x:c>
      <x:c r="AJ179" t="n">
        <x:f>Z179*(1-'Assumptions'!$F$9)+AT179*'Assumptions'!$G$9-AT179*'NSSC Model'!$C$65-(AT179-AS179)*'Assumptions'!$H$9-0</x:f>
        <x:v>137.04114729182004</x:v>
      </x:c>
      <x:c r="AK179" t="n">
        <x:f>AA179*(1-'Assumptions'!$F$9)+AU179*'Assumptions'!$G$9-AU179*'NSSC Model'!$D$65-(AU179-AT179)*'Assumptions'!$H$9-0</x:f>
        <x:v>225.69855973508064</x:v>
      </x:c>
      <x:c r="AL179" t="n">
        <x:f>AB179*(1-'Assumptions'!$F$9)+AV179*'Assumptions'!$G$9-AV179*'NSSC Model'!$E$65-(AV179-AU179)*'Assumptions'!$H$9-0</x:f>
        <x:v>363.45228454628057</x:v>
      </x:c>
      <x:c r="AM179" t="n">
        <x:f>AC179*(1-'Assumptions'!$F$9)+AW179*'Assumptions'!$G$9-AW179*'NSSC Model'!$F$65-(AW179-AV179)*'Assumptions'!$H$9-0</x:f>
        <x:v>578.0720722338069</x:v>
      </x:c>
      <x:c r="AN179" t="n">
        <x:f>AD179*(1-'Assumptions'!$F$9)+AX179*'Assumptions'!$G$9-AX179*'NSSC Model'!$G$65-(AX179-AW179)*'Assumptions'!$H$9-0</x:f>
        <x:v>800.4263419919209</x:v>
      </x:c>
      <x:c r="AO179" t="n">
        <x:f>AE179*(1-'Assumptions'!$F$9)+AY179*'Assumptions'!$G$9-AY179*'NSSC Model'!$H$65-(AY179-AX179)*'Assumptions'!$H$9-0</x:f>
        <x:v>1039.8128965733695</x:v>
      </x:c>
      <x:c r="AP179" t="n">
        <x:f>AF179*(1-'Assumptions'!$F$9)+AZ179*'Assumptions'!$G$9-AZ179*'NSSC Model'!$I$65-(AZ179-AY179)*'Assumptions'!$H$9-0</x:f>
        <x:v>1261.8796867581416</x:v>
      </x:c>
      <x:c r="AQ179" t="n">
        <x:f>AG179*(1-'Assumptions'!$F$9)+BA179*'Assumptions'!$G$9-BA179*'NSSC Model'!$J$65-(BA179-AZ179)*'Assumptions'!$H$9-0</x:f>
        <x:v>1423.5656791914892</x:v>
      </x:c>
      <x:c r="AR179" t="n">
        <x:f>AH179*(1-'Assumptions'!$F$9)+BB179*'Assumptions'!$G$9-BB179*'NSSC Model'!$K$65-(BB179-BA179)*'Assumptions'!$H$9-0</x:f>
        <x:v>1484.479417258803</x:v>
      </x:c>
      <x:c r="AS179" t="n">
        <x:f>E179+O179</x:f>
        <x:v>258.05216</x:v>
      </x:c>
      <x:c r="AT179" t="n">
        <x:f>F179+P179</x:f>
        <x:v>344.4012928</x:v>
      </x:c>
      <x:c r="AU179" t="n">
        <x:f>G179+Q179</x:f>
        <x:v>476.57506198400006</x:v>
      </x:c>
      <x:c r="AV179" t="n">
        <x:f>H179+R179</x:f>
        <x:v>679.7269959635202</x:v>
      </x:c>
      <x:c r="AW179" t="n">
        <x:f>I179+S179</x:f>
        <x:v>992.8435631284259</x:v>
      </x:c>
      <x:c r="AX179" t="n">
        <x:f>J179+T179</x:f>
        <x:v>1364.6837158831704</x:v>
      </x:c>
      <x:c r="AY179" t="n">
        <x:f>K179+U179</x:f>
        <x:v>1758.2452459829983</x:v>
      </x:c>
      <x:c r="AZ179" t="n">
        <x:f>L179+V179</x:f>
        <x:v>2113.86826723108</x:v>
      </x:c>
      <x:c r="BA179" t="n">
        <x:f>M179+W179</x:f>
        <x:v>2359.351992163703</x:v>
      </x:c>
      <x:c r="BB179" t="n">
        <x:f>N179+X179</x:f>
        <x:v>2430.1325519286142</x:v>
      </x:c>
      <x:c r="BC179" t="n">
        <x:f>AS179/'Inputs'!$D$14-1</x:f>
        <x:v>0.27549061863619295</x:v>
      </x:c>
      <x:c r="BD179" t="n">
        <x:f>AT179/AS179-1</x:f>
        <x:v>0.3346189111534661</x:v>
      </x:c>
      <x:c r="BE179" t="n">
        <x:f>AU179/AT179-1</x:f>
        <x:v>0.3837783769898788</x:v>
      </x:c>
      <x:c r="BF179" t="n">
        <x:f>AV179/AU179-1</x:f>
        <x:v>0.42627478897823745</x:v>
      </x:c>
      <x:c r="BG179" t="n">
        <x:f>AW179/AV179-1</x:f>
        <x:v>0.46065048030210964</x:v>
      </x:c>
      <x:c r="BH179" t="n">
        <x:f>AX179/AW179-1</x:f>
        <x:v>0.37452038424168776</x:v>
      </x:c>
      <x:c r="BI179" t="n">
        <x:f>AY179/AX179-1</x:f>
        <x:v>0.28839028818126566</x:v>
      </x:c>
      <x:c r="BJ179" t="n">
        <x:f>AZ179/AY179-1</x:f>
        <x:v>0.202260192120844</x:v>
      </x:c>
      <x:c r="BK179" t="n">
        <x:f>BA179/AZ179-1</x:f>
        <x:v>0.1161300960604219</x:v>
      </x:c>
      <x:c r="BL179" t="n">
        <x:f>BB179/BA179-1</x:f>
        <x:v>0.030000000000000027</x:v>
      </x:c>
      <x:c r="BM179" t="n">
        <x:f>AH179*(1-'Assumptions'!$F$9)*(1+'Assumptions'!$D$9)*(1-'Assumptions'!$D$9/'Assumptions'!$E$9)</x:f>
        <x:v>1391.6847091916693</x:v>
      </x:c>
      <x:c r="BN179" t="n">
        <x:f>SUMPRODUCT(AI179:AR179,'NSSC Model'!$B$83:$K$83)+BM179/('Assumptions'!$C$9-'Assumptions'!$D$9)*'NSSC Model'!$K$83</x:f>
        <x:v>11378.505368935634</x:v>
      </x:c>
      <x:c r="BO179" t="n">
        <x:f>'NSSC Model'!$B$94</x:f>
        <x:v>101.2</x:v>
      </x:c>
      <x:c r="BP179" t="n">
        <x:f>'Inputs'!$D$8</x:f>
        <x:v>35.891</x:v>
      </x:c>
    </x:row>
    <x:row r="180">
      <x:c r="A180" t="str">
        <x:v>NSSC</x:v>
      </x:c>
      <x:c r="B180" s="22" t="n">
        <x:v>0.56</x:v>
      </x:c>
      <x:c r="C180" s="42" t="n">
        <x:f>(BN180+BO180)/BP180</x:f>
        <x:v>335.0746705326557</x:v>
      </x:c>
      <x:c r="D180" s="22" t="n">
        <x:f>C180/'Inputs'!$D$5-1</x:f>
        <x:v>8.0536252508148</x:v>
      </x:c>
      <x:c r="E180" t="n">
        <x:f>'Inputs'!$D$21*(1+$B180)^1</x:f>
        <x:v>152.14368000000002</x:v>
      </x:c>
      <x:c r="F180" t="n">
        <x:f>'Inputs'!$D$21*(1+$B180)^2</x:f>
        <x:v>237.34414080000005</x:v>
      </x:c>
      <x:c r="G180" t="n">
        <x:f>'Inputs'!$D$21*(1+$B180)^3</x:f>
        <x:v>370.25685964800005</x:v>
      </x:c>
      <x:c r="H180" t="n">
        <x:f>'Inputs'!$D$21*(1+$B180)^4</x:f>
        <x:v>577.6007010508802</x:v>
      </x:c>
      <x:c r="I180" t="n">
        <x:f>'Inputs'!$D$21*(1+$B180)^5</x:f>
        <x:v>901.0570936393731</x:v>
      </x:c>
      <x:c r="J180" t="n">
        <x:f>I180*(1+($BG180+('Assumptions'!$D$9-$BG180)*(6-5)/5))</x:f>
        <x:v>1245.8779074332842</x:v>
      </x:c>
      <x:c r="K180" t="n">
        <x:f>J180*(1+($BG180+('Assumptions'!$D$9-$BG180)*(7-5)/5))</x:f>
        <x:v>1612.805853761993</x:v>
      </x:c>
      <x:c r="L180" t="n">
        <x:f>K180*(1+($BG180+('Assumptions'!$D$9-$BG180)*(8-5)/5))</x:f>
        <x:v>1945.5960486759243</x:v>
      </x:c>
      <x:c r="M180" t="n">
        <x:f>L180*(1+($BG180+('Assumptions'!$D$9-$BG180)*(9-5)/5))</x:f>
        <x:v>2175.509446938831</x:v>
      </x:c>
      <x:c r="N180" t="n">
        <x:f>M180*(1+($BG180+('Assumptions'!$D$9-$BG180)*(10-5)/5))</x:f>
        <x:v>2240.774730346996</x:v>
      </x:c>
      <x:c r="O180" t="n">
        <x:f>'NSSC Model'!$B$68</x:f>
        <x:v>106.88376</x:v>
      </x:c>
      <x:c r="P180" t="n">
        <x:f>'NSSC Model'!$C$68</x:f>
        <x:v>110.0902728</x:v>
      </x:c>
      <x:c r="Q180" t="n">
        <x:f>'NSSC Model'!$D$68</x:f>
        <x:v>113.39298098399999</x:v>
      </x:c>
      <x:c r="R180" t="n">
        <x:f>'NSSC Model'!$E$68</x:f>
        <x:v>116.79477041352</x:v>
      </x:c>
      <x:c r="S180" t="n">
        <x:f>'NSSC Model'!$F$68</x:f>
        <x:v>120.2986135259256</x:v>
      </x:c>
      <x:c r="T180" t="n">
        <x:f>S180*(1+($BG180+('Assumptions'!$D$9-$BG180)*(6-5)/5))</x:f>
        <x:v>166.33505905985407</x:v>
      </x:c>
      <x:c r="U180" t="n">
        <x:f>T180*(1+($BG180+('Assumptions'!$D$9-$BG180)*(7-5)/5))</x:f>
        <x:v>215.32299058922425</x:v>
      </x:c>
      <x:c r="V180" t="n">
        <x:f>U180*(1+($BG180+('Assumptions'!$D$9-$BG180)*(8-5)/5))</x:f>
        <x:v>259.753248478289</x:v>
      </x:c>
      <x:c r="W180" t="n">
        <x:f>V180*(1+($BG180+('Assumptions'!$D$9-$BG180)*(9-5)/5))</x:f>
        <x:v>290.44859868118215</x:v>
      </x:c>
      <x:c r="X180" t="n">
        <x:f>W180*(1+($BG180+('Assumptions'!$D$9-$BG180)*(10-5)/5))</x:f>
        <x:v>299.1620566416176</x:v>
      </x:c>
      <x:c r="Y180" t="n">
        <x:f>E180*'NSSC Model'!$B$62+O180*'NSSC Model'!$B$63+'NSSC Model'!$B$73+'NSSC Model'!$B$74</x:f>
        <x:v>107.24438596000002</x:v>
      </x:c>
      <x:c r="Z180" t="n">
        <x:f>F180*'NSSC Model'!$C$62+P180*'NSSC Model'!$C$63+'NSSC Model'!$C$73+'NSSC Model'!$C$74</x:f>
        <x:v>182.07264679340005</x:v>
      </x:c>
      <x:c r="AA180" t="n">
        <x:f>G180*'NSSC Model'!$D$62+Q180*'NSSC Model'!$D$63+'NSSC Model'!$D$73+'NSSC Model'!$D$74</x:f>
        <x:v>300.0741798769691</x:v>
      </x:c>
      <x:c r="AB180" t="n">
        <x:f>H180*'NSSC Model'!$E$62+R180*'NSSC Model'!$E$63+'NSSC Model'!$E$73+'NSSC Model'!$E$74</x:f>
        <x:v>484.57049426520524</x:v>
      </x:c>
      <x:c r="AC180" t="n">
        <x:f>I180*'NSSC Model'!$F$62+S180*'NSSC Model'!$F$63+'NSSC Model'!$F$73+'NSSC Model'!$F$74</x:f>
        <x:v>773.7404943614072</x:v>
      </x:c>
      <x:c r="AD180" t="n">
        <x:f>AX180*$AC180/$AW180</x:f>
        <x:v>1069.839186458031</x:v>
      </x:c>
      <x:c r="AE180" t="n">
        <x:f>AY180*$AC180/$AW180</x:f>
        <x:v>1384.9213411755413</x:v>
      </x:c>
      <x:c r="AF180" t="n">
        <x:f>AZ180*$AC180/$AW180</x:f>
        <x:v>1670.6893038817866</x:v>
      </x:c>
      <x:c r="AG180" t="n">
        <x:f>BA180*$AC180/$AW180</x:f>
        <x:v>1868.116645265606</x:v>
      </x:c>
      <x:c r="AH180" t="n">
        <x:f>BB180*$AC180/$AW180</x:f>
        <x:v>1924.1601446235743</x:v>
      </x:c>
      <x:c r="AI180" t="n">
        <x:f>Y180*(1-'Assumptions'!$F$9)+AS180*'Assumptions'!$G$9-AS180*'NSSC Model'!$B$65-(AS180-'Inputs'!$D$14)*'Assumptions'!$H$9-'Assumptions'!$I$9</x:f>
        <x:v>81.23314272720002</x:v>
      </x:c>
      <x:c r="AJ180" t="n">
        <x:f>Z180*(1-'Assumptions'!$F$9)+AT180*'Assumptions'!$G$9-AT180*'NSSC Model'!$C$65-(AT180-AS180)*'Assumptions'!$H$9-0</x:f>
        <x:v>139.06913535618804</x:v>
      </x:c>
      <x:c r="AK180" t="n">
        <x:f>AA180*(1-'Assumptions'!$F$9)+AU180*'Assumptions'!$G$9-AU180*'NSSC Model'!$D$65-(AU180-AT180)*'Assumptions'!$H$9-0</x:f>
        <x:v>230.50468543338667</x:v>
      </x:c>
      <x:c r="AL180" t="n">
        <x:f>AB180*(1-'Assumptions'!$F$9)+AV180*'Assumptions'!$G$9-AV180*'NSSC Model'!$E$65-(AV180-AU180)*'Assumptions'!$H$9-0</x:f>
        <x:v>373.4956603283707</x:v>
      </x:c>
      <x:c r="AM180" t="n">
        <x:f>AC180*(1-'Assumptions'!$F$9)+AW180*'Assumptions'!$G$9-AW180*'NSSC Model'!$F$65-(AW180-AV180)*'Assumptions'!$H$9-0</x:f>
        <x:v>597.6857589776029</x:v>
      </x:c>
      <x:c r="AN180" t="n">
        <x:f>AD180*(1-'Assumptions'!$F$9)+AX180*'Assumptions'!$G$9-AX180*'NSSC Model'!$G$65-(AX180-AW180)*'Assumptions'!$H$9-0</x:f>
        <x:v>832.533555096829</x:v>
      </x:c>
      <x:c r="AO180" t="n">
        <x:f>AE180*(1-'Assumptions'!$F$9)+AY180*'Assumptions'!$G$9-AY180*'NSSC Model'!$H$65-(AY180-AX180)*'Assumptions'!$H$9-0</x:f>
        <x:v>1086.7313966007312</x:v>
      </x:c>
      <x:c r="AP180" t="n">
        <x:f>AF180*(1-'Assumptions'!$F$9)+AZ180*'Assumptions'!$G$9-AZ180*'NSSC Model'!$I$65-(AZ180-AY180)*'Assumptions'!$H$9-0</x:f>
        <x:v>1323.4217867141485</x:v>
      </x:c>
      <x:c r="AQ180" t="n">
        <x:f>AG180*(1-'Assumptions'!$F$9)+BA180*'Assumptions'!$G$9-BA180*'NSSC Model'!$J$65-(BA180-AZ180)*'Assumptions'!$H$9-0</x:f>
        <x:v>1495.9309420887369</x:v>
      </x:c>
      <x:c r="AR180" t="n">
        <x:f>AH180*(1-'Assumptions'!$F$9)+BB180*'Assumptions'!$G$9-BB180*'NSSC Model'!$K$65-(BB180-BA180)*'Assumptions'!$H$9-0</x:f>
        <x:v>1560.2536973065164</x:v>
      </x:c>
      <x:c r="AS180" t="n">
        <x:f>E180+O180</x:f>
        <x:v>259.02744</x:v>
      </x:c>
      <x:c r="AT180" t="n">
        <x:f>F180+P180</x:f>
        <x:v>347.4344136</x:v>
      </x:c>
      <x:c r="AU180" t="n">
        <x:f>G180+Q180</x:f>
        <x:v>483.64984063200006</x:v>
      </x:c>
      <x:c r="AV180" t="n">
        <x:f>H180+R180</x:f>
        <x:v>694.3954714644002</x:v>
      </x:c>
      <x:c r="AW180" t="n">
        <x:f>I180+S180</x:f>
        <x:v>1021.3557071652987</x:v>
      </x:c>
      <x:c r="AX180" t="n">
        <x:f>J180+T180</x:f>
        <x:v>1412.2129664931383</x:v>
      </x:c>
      <x:c r="AY180" t="n">
        <x:f>K180+U180</x:f>
        <x:v>1828.1288443512171</x:v>
      </x:c>
      <x:c r="AZ180" t="n">
        <x:f>L180+V180</x:f>
        <x:v>2205.349297154213</x:v>
      </x:c>
      <x:c r="BA180" t="n">
        <x:f>M180+W180</x:f>
        <x:v>2465.958045620013</x:v>
      </x:c>
      <x:c r="BB180" t="n">
        <x:f>N180+X180</x:f>
        <x:v>2539.9367869886137</x:v>
      </x:c>
      <x:c r="BC180" t="n">
        <x:f>AS180/'Inputs'!$D$14-1</x:f>
        <x:v>0.28031119634630985</x:v>
      </x:c>
      <x:c r="BD180" t="n">
        <x:f>AT180/AS180-1</x:f>
        <x:v>0.34130350668639586</x:v>
      </x:c>
      <x:c r="BE180" t="n">
        <x:f>AU180/AT180-1</x:f>
        <x:v>0.3920608370960752</x:v>
      </x:c>
      <x:c r="BF180" t="n">
        <x:f>AV180/AU180-1</x:f>
        <x:v>0.4357401018824123</x:v>
      </x:c>
      <x:c r="BG180" t="n">
        <x:f>AW180/AV180-1</x:f>
        <x:v>0.470855944684341</x:v>
      </x:c>
      <x:c r="BH180" t="n">
        <x:f>AX180/AW180-1</x:f>
        <x:v>0.38268475574747285</x:v>
      </x:c>
      <x:c r="BI180" t="n">
        <x:f>AY180/AX180-1</x:f>
        <x:v>0.2945135668106045</x:v>
      </x:c>
      <x:c r="BJ180" t="n">
        <x:f>AZ180/AY180-1</x:f>
        <x:v>0.20634237787373655</x:v>
      </x:c>
      <x:c r="BK180" t="n">
        <x:f>BA180/AZ180-1</x:f>
        <x:v>0.11817118893686795</x:v>
      </x:c>
      <x:c r="BL180" t="n">
        <x:f>BB180/BA180-1</x:f>
        <x:v>0.03000000000000025</x:v>
      </x:c>
      <x:c r="BM180" t="n">
        <x:f>AH180*(1-'Assumptions'!$F$9)*(1+'Assumptions'!$D$9)*(1-'Assumptions'!$D$9/'Assumptions'!$E$9)</x:f>
        <x:v>1462.631092334164</x:v>
      </x:c>
      <x:c r="BN180" t="n">
        <x:f>SUMPRODUCT(AI180:AR180,'NSSC Model'!$B$83:$K$83)+BM180/('Assumptions'!$C$9-'Assumptions'!$D$9)*'NSSC Model'!$K$83</x:f>
        <x:v>11924.965000087544</x:v>
      </x:c>
      <x:c r="BO180" t="n">
        <x:f>'NSSC Model'!$B$94</x:f>
        <x:v>101.2</x:v>
      </x:c>
      <x:c r="BP180" t="n">
        <x:f>'Inputs'!$D$8</x:f>
        <x:v>35.891</x:v>
      </x:c>
    </x:row>
    <x:row r="181">
      <x:c r="A181" t="str">
        <x:v>NSSC</x:v>
      </x:c>
      <x:c r="B181" s="22" t="n">
        <x:v>0.57</x:v>
      </x:c>
      <x:c r="C181" s="42" t="n">
        <x:f>(BN181+BO181)/BP181</x:f>
        <x:v>350.94710982542955</x:v>
      </x:c>
      <x:c r="D181" s="22" t="n">
        <x:f>C181/'Inputs'!$D$5-1</x:f>
        <x:v>8.482494186042409</x:v>
      </x:c>
      <x:c r="E181" t="n">
        <x:f>'Inputs'!$D$21*(1+$B181)^1</x:f>
        <x:v>153.11896</x:v>
      </x:c>
      <x:c r="F181" t="n">
        <x:f>'Inputs'!$D$21*(1+$B181)^2</x:f>
        <x:v>240.39676719999997</x:v>
      </x:c>
      <x:c r="G181" t="n">
        <x:f>'Inputs'!$D$21*(1+$B181)^3</x:f>
        <x:v>377.4229245039999</x:v>
      </x:c>
      <x:c r="H181" t="n">
        <x:f>'Inputs'!$D$21*(1+$B181)^4</x:f>
        <x:v>592.5539914712799</x:v>
      </x:c>
      <x:c r="I181" t="n">
        <x:f>'Inputs'!$D$21*(1+$B181)^5</x:f>
        <x:v>930.3097666099094</x:v>
      </x:c>
      <x:c r="J181" t="n">
        <x:f>I181*(1+($BG181+('Assumptions'!$D$9-$BG181)*(6-5)/5))</x:f>
        <x:v>1293.9407800032625</x:v>
      </x:c>
      <x:c r="K181" t="n">
        <x:f>J181*(1+($BG181+('Assumptions'!$D$9-$BG181)*(7-5)/5))</x:f>
        <x:v>1682.9681813111154</x:v>
      </x:c>
      <x:c r="L181" t="n">
        <x:f>K181*(1+($BG181+('Assumptions'!$D$9-$BG181)*(8-5)/5))</x:f>
        <x:v>2037.1243457461053</x:v>
      </x:c>
      <x:c r="M181" t="n">
        <x:f>L181*(1+($BG181+('Assumptions'!$D$9-$BG181)*(9-5)/5))</x:f>
        <x:v>2282.0227988417387</x:v>
      </x:c>
      <x:c r="N181" t="n">
        <x:f>M181*(1+($BG181+('Assumptions'!$D$9-$BG181)*(10-5)/5))</x:f>
        <x:v>2350.483482806991</x:v>
      </x:c>
      <x:c r="O181" t="n">
        <x:f>'NSSC Model'!$B$68</x:f>
        <x:v>106.88376</x:v>
      </x:c>
      <x:c r="P181" t="n">
        <x:f>'NSSC Model'!$C$68</x:f>
        <x:v>110.0902728</x:v>
      </x:c>
      <x:c r="Q181" t="n">
        <x:f>'NSSC Model'!$D$68</x:f>
        <x:v>113.39298098399999</x:v>
      </x:c>
      <x:c r="R181" t="n">
        <x:f>'NSSC Model'!$E$68</x:f>
        <x:v>116.79477041352</x:v>
      </x:c>
      <x:c r="S181" t="n">
        <x:f>'NSSC Model'!$F$68</x:f>
        <x:v>120.2986135259256</x:v>
      </x:c>
      <x:c r="T181" t="n">
        <x:f>S181*(1+($BG181+('Assumptions'!$D$9-$BG181)*(6-5)/5))</x:f>
        <x:v>167.31984055835147</x:v>
      </x:c>
      <x:c r="U181" t="n">
        <x:f>T181*(1+($BG181+('Assumptions'!$D$9-$BG181)*(7-5)/5))</x:f>
        <x:v>217.6250815443382</x:v>
      </x:c>
      <x:c r="V181" t="n">
        <x:f>U181*(1+($BG181+('Assumptions'!$D$9-$BG181)*(8-5)/5))</x:f>
        <x:v>263.4211132343437</x:v>
      </x:c>
      <x:c r="W181" t="n">
        <x:f>V181*(1+($BG181+('Assumptions'!$D$9-$BG181)*(9-5)/5))</x:f>
        <x:v>295.0890000172651</x:v>
      </x:c>
      <x:c r="X181" t="n">
        <x:f>W181*(1+($BG181+('Assumptions'!$D$9-$BG181)*(10-5)/5))</x:f>
        <x:v>303.94167001778305</x:v>
      </x:c>
      <x:c r="Y181" t="n">
        <x:f>E181*'NSSC Model'!$B$62+O181*'NSSC Model'!$B$63+'NSSC Model'!$B$73+'NSSC Model'!$B$74</x:f>
        <x:v>108.12506379999999</x:v>
      </x:c>
      <x:c r="Z181" t="n">
        <x:f>F181*'NSSC Model'!$C$62+P181*'NSSC Model'!$C$63+'NSSC Model'!$C$73+'NSSC Model'!$C$74</x:f>
        <x:v>184.82916843259997</x:v>
      </x:c>
      <x:c r="AA181" t="n">
        <x:f>G181*'NSSC Model'!$D$62+Q181*'NSSC Model'!$D$63+'NSSC Model'!$D$73+'NSSC Model'!$D$74</x:f>
        <x:v>306.54513644193696</x:v>
      </x:c>
      <x:c r="AB181" t="n">
        <x:f>H181*'NSSC Model'!$E$62+R181*'NSSC Model'!$E$63+'NSSC Model'!$E$73+'NSSC Model'!$E$74</x:f>
        <x:v>498.0733155148262</x:v>
      </x:c>
      <x:c r="AC181" t="n">
        <x:f>I181*'NSSC Model'!$F$62+S181*'NSSC Model'!$F$63+'NSSC Model'!$F$73+'NSSC Model'!$F$74</x:f>
        <x:v>800.1556580538015</x:v>
      </x:c>
      <x:c r="AD181" t="n">
        <x:f>AX181*$AC181/$AW181</x:f>
        <x:v>1112.91321822734</x:v>
      </x:c>
      <x:c r="AE181" t="n">
        <x:f>AY181*$AC181/$AW181</x:f>
        <x:v>1447.5141086692115</x:v>
      </x:c>
      <x:c r="AF181" t="n">
        <x:f>AZ181*$AC181/$AW181</x:f>
        <x:v>1752.1223896721501</x:v>
      </x:c>
      <x:c r="AG181" t="n">
        <x:f>BA181*$AC181/$AW181</x:f>
        <x:v>1962.75855616879</x:v>
      </x:c>
      <x:c r="AH181" t="n">
        <x:f>BB181*$AC181/$AW181</x:f>
        <x:v>2021.6413128538538</x:v>
      </x:c>
      <x:c r="AI181" t="n">
        <x:f>Y181*(1-'Assumptions'!$F$9)+AS181*'Assumptions'!$G$9-AS181*'NSSC Model'!$B$65-(AS181-'Inputs'!$D$14)*'Assumptions'!$H$9-'Assumptions'!$I$9</x:f>
        <x:v>81.85386943600001</x:v>
      </x:c>
      <x:c r="AJ181" t="n">
        <x:f>Z181*(1-'Assumptions'!$F$9)+AT181*'Assumptions'!$G$9-AT181*'NSSC Model'!$C$65-(AT181-AS181)*'Assumptions'!$H$9-0</x:f>
        <x:v>141.10953795473202</x:v>
      </x:c>
      <x:c r="AK181" t="n">
        <x:f>AA181*(1-'Assumptions'!$F$9)+AU181*'Assumptions'!$G$9-AU181*'NSSC Model'!$D$65-(AU181-AT181)*'Assumptions'!$H$9-0</x:f>
        <x:v>235.37086171163634</x:v>
      </x:c>
      <x:c r="AL181" t="n">
        <x:f>AB181*(1-'Assumptions'!$F$9)+AV181*'Assumptions'!$G$9-AV181*'NSSC Model'!$E$65-(AV181-AU181)*'Assumptions'!$H$9-0</x:f>
        <x:v>383.72943803493837</x:v>
      </x:c>
      <x:c r="AM181" t="n">
        <x:f>AC181*(1-'Assumptions'!$F$9)+AW181*'Assumptions'!$G$9-AW181*'NSSC Model'!$F$65-(AW181-AV181)*'Assumptions'!$H$9-0</x:f>
        <x:v>617.7992442584705</x:v>
      </x:c>
      <x:c r="AN181" t="n">
        <x:f>AD181*(1-'Assumptions'!$F$9)+AX181*'Assumptions'!$G$9-AX181*'NSSC Model'!$G$65-(AX181-AW181)*'Assumptions'!$H$9-0</x:f>
        <x:v>865.6785724215945</x:v>
      </x:c>
      <x:c r="AO181" t="n">
        <x:f>AE181*(1-'Assumptions'!$F$9)+AY181*'Assumptions'!$G$9-AY181*'NSSC Model'!$H$65-(AY181-AX181)*'Assumptions'!$H$9-0</x:f>
        <x:v>1135.4259318279478</x:v>
      </x:c>
      <x:c r="AP181" t="n">
        <x:f>AF181*(1-'Assumptions'!$F$9)+AZ181*'Assumptions'!$G$9-AZ181*'NSSC Model'!$I$65-(AZ181-AY181)*'Assumptions'!$H$9-0</x:f>
        <x:v>1387.5429580827417</x:v>
      </x:c>
      <x:c r="AQ181" t="n">
        <x:f>AG181*(1-'Assumptions'!$F$9)+BA181*'Assumptions'!$G$9-BA181*'NSSC Model'!$J$65-(BA181-AZ181)*'Assumptions'!$H$9-0</x:f>
        <x:v>1571.4969348751165</x:v>
      </x:c>
      <x:c r="AR181" t="n">
        <x:f>AH181*(1-'Assumptions'!$F$9)+BB181*'Assumptions'!$G$9-BB181*'NSSC Model'!$K$65-(BB181-BA181)*'Assumptions'!$H$9-0</x:f>
        <x:v>1639.3968405322844</x:v>
      </x:c>
      <x:c r="AS181" t="n">
        <x:f>E181+O181</x:f>
        <x:v>260.00271999999995</x:v>
      </x:c>
      <x:c r="AT181" t="n">
        <x:f>F181+P181</x:f>
        <x:v>350.48704</x:v>
      </x:c>
      <x:c r="AU181" t="n">
        <x:f>G181+Q181</x:f>
        <x:v>490.8159054879999</x:v>
      </x:c>
      <x:c r="AV181" t="n">
        <x:f>H181+R181</x:f>
        <x:v>709.3487618848</x:v>
      </x:c>
      <x:c r="AW181" t="n">
        <x:f>I181+S181</x:f>
        <x:v>1050.608380135835</x:v>
      </x:c>
      <x:c r="AX181" t="n">
        <x:f>J181+T181</x:f>
        <x:v>1461.260620561614</x:v>
      </x:c>
      <x:c r="AY181" t="n">
        <x:f>K181+U181</x:f>
        <x:v>1900.5932628554535</x:v>
      </x:c>
      <x:c r="AZ181" t="n">
        <x:f>L181+V181</x:f>
        <x:v>2300.545458980449</x:v>
      </x:c>
      <x:c r="BA181" t="n">
        <x:f>M181+W181</x:f>
        <x:v>2577.111798859004</x:v>
      </x:c>
      <x:c r="BB181" t="n">
        <x:f>N181+X181</x:f>
        <x:v>2654.425152824774</x:v>
      </x:c>
      <x:c r="BC181" t="n">
        <x:f>AS181/'Inputs'!$D$14-1</x:f>
        <x:v>0.2851317740564263</x:v>
      </x:c>
      <x:c r="BD181" t="n">
        <x:f>AT181/AS181-1</x:f>
        <x:v>0.34801297463349634</x:v>
      </x:c>
      <x:c r="BE181" t="n">
        <x:f>AU181/AT181-1</x:f>
        <x:v>0.4003824663188684</x:v>
      </x:c>
      <x:c r="BF181" t="n">
        <x:f>AV181/AU181-1</x:f>
        <x:v>0.4452440394724393</x:v>
      </x:c>
      <x:c r="BG181" t="n">
        <x:f>AW181/AV181-1</x:f>
        <x:v>0.4810886218286745</x:v>
      </x:c>
      <x:c r="BH181" t="n">
        <x:f>AX181/AW181-1</x:f>
        <x:v>0.39087089746293957</x:v>
      </x:c>
      <x:c r="BI181" t="n">
        <x:f>AY181/AX181-1</x:f>
        <x:v>0.30065317309720463</x:v>
      </x:c>
      <x:c r="BJ181" t="n">
        <x:f>AZ181/AY181-1</x:f>
        <x:v>0.2104354487314697</x:v>
      </x:c>
      <x:c r="BK181" t="n">
        <x:f>BA181/AZ181-1</x:f>
        <x:v>0.12021772436573497</x:v>
      </x:c>
      <x:c r="BL181" t="n">
        <x:f>BB181/BA181-1</x:f>
        <x:v>0.030000000000000027</x:v>
      </x:c>
      <x:c r="BM181" t="n">
        <x:f>AH181*(1-'Assumptions'!$F$9)*(1+'Assumptions'!$D$9)*(1-'Assumptions'!$D$9/'Assumptions'!$E$9)</x:f>
        <x:v>1536.7304275527285</x:v>
      </x:c>
      <x:c r="BN181" t="n">
        <x:f>SUMPRODUCT(AI181:AR181,'NSSC Model'!$B$83:$K$83)+BM181/('Assumptions'!$C$9-'Assumptions'!$D$9)*'NSSC Model'!$K$83</x:f>
        <x:v>12494.642718744492</x:v>
      </x:c>
      <x:c r="BO181" t="n">
        <x:f>'NSSC Model'!$B$94</x:f>
        <x:v>101.2</x:v>
      </x:c>
      <x:c r="BP181" t="n">
        <x:f>'Inputs'!$D$8</x:f>
        <x:v>35.891</x:v>
      </x:c>
    </x:row>
    <x:row r="182">
      <x:c r="A182" t="str">
        <x:v>NSSC</x:v>
      </x:c>
      <x:c r="B182" s="22" t="n">
        <x:v>0.58</x:v>
      </x:c>
      <x:c r="C182" s="42" t="n">
        <x:f>(BN182+BO182)/BP182</x:f>
        <x:v>367.49019386336613</x:v>
      </x:c>
      <x:c r="D182" s="22" t="n">
        <x:f>C182/'Inputs'!$D$5-1</x:f>
        <x:v>8.929483757453827</x:v>
      </x:c>
      <x:c r="E182" t="n">
        <x:f>'Inputs'!$D$21*(1+$B182)^1</x:f>
        <x:v>154.09424</x:v>
      </x:c>
      <x:c r="F182" t="n">
        <x:f>'Inputs'!$D$21*(1+$B182)^2</x:f>
        <x:v>243.46889920000007</x:v>
      </x:c>
      <x:c r="G182" t="n">
        <x:f>'Inputs'!$D$21*(1+$B182)^3</x:f>
        <x:v>384.6808607360001</x:v>
      </x:c>
      <x:c r="H182" t="n">
        <x:f>'Inputs'!$D$21*(1+$B182)^4</x:f>
        <x:v>607.7957599628803</x:v>
      </x:c>
      <x:c r="I182" t="n">
        <x:f>'Inputs'!$D$21*(1+$B182)^5</x:f>
        <x:v>960.3173007413508</x:v>
      </x:c>
      <x:c r="J182" t="n">
        <x:f>I182*(1+($BG182+('Assumptions'!$D$9-$BG182)*(6-5)/5))</x:f>
        <x:v>1343.558424955577</x:v>
      </x:c>
      <x:c r="K182" t="n">
        <x:f>J182*(1+($BG182+('Assumptions'!$D$9-$BG182)*(7-5)/5))</x:f>
        <x:v>1755.7731675363048</x:v>
      </x:c>
      <x:c r="L182" t="n">
        <x:f>K182*(1+($BG182+('Assumptions'!$D$9-$BG182)*(8-5)/5))</x:f>
        <x:v>2132.4546365164833</x:v>
      </x:c>
      <x:c r="M182" t="n">
        <x:f>L182*(1+($BG182+('Assumptions'!$D$9-$BG182)*(9-5)/5))</x:f>
        <x:v>2393.188585781376</x:v>
      </x:c>
      <x:c r="N182" t="n">
        <x:f>M182*(1+($BG182+('Assumptions'!$D$9-$BG182)*(10-5)/5))</x:f>
        <x:v>2464.9842433548174</x:v>
      </x:c>
      <x:c r="O182" t="n">
        <x:f>'NSSC Model'!$B$68</x:f>
        <x:v>106.88376</x:v>
      </x:c>
      <x:c r="P182" t="n">
        <x:f>'NSSC Model'!$C$68</x:f>
        <x:v>110.0902728</x:v>
      </x:c>
      <x:c r="Q182" t="n">
        <x:f>'NSSC Model'!$D$68</x:f>
        <x:v>113.39298098399999</x:v>
      </x:c>
      <x:c r="R182" t="n">
        <x:f>'NSSC Model'!$E$68</x:f>
        <x:v>116.79477041352</x:v>
      </x:c>
      <x:c r="S182" t="n">
        <x:f>'NSSC Model'!$F$68</x:f>
        <x:v>120.2986135259256</x:v>
      </x:c>
      <x:c r="T182" t="n">
        <x:f>S182*(1+($BG182+('Assumptions'!$D$9-$BG182)*(6-5)/5))</x:f>
        <x:v>168.30709556982643</x:v>
      </x:c>
      <x:c r="U182" t="n">
        <x:f>T182*(1+($BG182+('Assumptions'!$D$9-$BG182)*(7-5)/5))</x:f>
        <x:v>219.94509268716047</x:v>
      </x:c>
      <x:c r="V182" t="n">
        <x:f>U182*(1+($BG182+('Assumptions'!$D$9-$BG182)*(8-5)/5))</x:f>
        <x:v>267.13184900639214</x:v>
      </x:c>
      <x:c r="W182" t="n">
        <x:f>V182*(1+($BG182+('Assumptions'!$D$9-$BG182)*(9-5)/5))</x:f>
        <x:v>299.79389994673403</x:v>
      </x:c>
      <x:c r="X182" t="n">
        <x:f>W182*(1+($BG182+('Assumptions'!$D$9-$BG182)*(10-5)/5))</x:f>
        <x:v>308.7877169451361</x:v>
      </x:c>
      <x:c r="Y182" t="n">
        <x:f>E182*'NSSC Model'!$B$62+O182*'NSSC Model'!$B$63+'NSSC Model'!$B$73+'NSSC Model'!$B$74</x:f>
        <x:v>109.00574164</x:v>
      </x:c>
      <x:c r="Z182" t="n">
        <x:f>F182*'NSSC Model'!$C$62+P182*'NSSC Model'!$C$63+'NSSC Model'!$C$73+'NSSC Model'!$C$74</x:f>
        <x:v>187.60330362860006</x:v>
      </x:c>
      <x:c r="AA182" t="n">
        <x:f>G182*'NSSC Model'!$D$62+Q182*'NSSC Model'!$D$63+'NSSC Model'!$D$73+'NSSC Model'!$D$74</x:f>
        <x:v>313.09905285943313</x:v>
      </x:c>
      <x:c r="AB182" t="n">
        <x:f>H182*'NSSC Model'!$E$62+R182*'NSSC Model'!$E$63+'NSSC Model'!$E$73+'NSSC Model'!$E$74</x:f>
        <x:v>511.8366324627413</x:v>
      </x:c>
      <x:c r="AC182" t="n">
        <x:f>I182*'NSSC Model'!$F$62+S182*'NSSC Model'!$F$63+'NSSC Model'!$F$73+'NSSC Model'!$F$74</x:f>
        <x:v>827.252461374493</x:v>
      </x:c>
      <x:c r="AD182" t="n">
        <x:f>AX182*$AC182/$AW182</x:f>
        <x:v>1157.3903887672398</x:v>
      </x:c>
      <x:c r="AE182" t="n">
        <x:f>AY182*$AC182/$AW182</x:f>
        <x:v>1512.487251180849</x:v>
      </x:c>
      <x:c r="AF182" t="n">
        <x:f>AZ182*$AC182/$AW182</x:f>
        <x:v>1836.9744515337466</x:v>
      </x:c>
      <x:c r="AG182" t="n">
        <x:f>BA182*$AC182/$AW182</x:f>
        <x:v>2061.5802158230736</x:v>
      </x:c>
      <x:c r="AH182" t="n">
        <x:f>BB182*$AC182/$AW182</x:f>
        <x:v>2123.427622297766</x:v>
      </x:c>
      <x:c r="AI182" t="n">
        <x:f>Y182*(1-'Assumptions'!$F$9)+AS182*'Assumptions'!$G$9-AS182*'NSSC Model'!$B$65-(AS182-'Inputs'!$D$14)*'Assumptions'!$H$9-'Assumptions'!$I$9</x:f>
        <x:v>82.47459614479999</x:v>
      </x:c>
      <x:c r="AJ182" t="n">
        <x:f>Z182*(1-'Assumptions'!$F$9)+AT182*'Assumptions'!$G$9-AT182*'NSSC Model'!$C$65-(AT182-AS182)*'Assumptions'!$H$9-0</x:f>
        <x:v>143.16235508745206</x:v>
      </x:c>
      <x:c r="AK182" t="n">
        <x:f>AA182*(1-'Assumptions'!$F$9)+AU182*'Assumptions'!$G$9-AU182*'NSSC Model'!$D$65-(AU182-AT182)*'Assumptions'!$H$9-0</x:f>
        <x:v>240.29746100585518</x:v>
      </x:c>
      <x:c r="AL182" t="n">
        <x:f>AB182*(1-'Assumptions'!$F$9)+AV182*'Assumptions'!$G$9-AV182*'NSSC Model'!$E$65-(AV182-AU182)*'Assumptions'!$H$9-0</x:f>
        <x:v>394.1560076323023</x:v>
      </x:c>
      <x:c r="AM182" t="n">
        <x:f>AC182*(1-'Assumptions'!$F$9)+AW182*'Assumptions'!$G$9-AW182*'NSSC Model'!$F$65-(AW182-AV182)*'Assumptions'!$H$9-0</x:f>
        <x:v>638.4220162809276</x:v>
      </x:c>
      <x:c r="AN182" t="n">
        <x:f>AD182*(1-'Assumptions'!$F$9)+AX182*'Assumptions'!$G$9-AX182*'NSSC Model'!$G$65-(AX182-AW182)*'Assumptions'!$H$9-0</x:f>
        <x:v>899.8876960812224</x:v>
      </x:c>
      <x:c r="AO182" t="n">
        <x:f>AE182*(1-'Assumptions'!$F$9)+AY182*'Assumptions'!$G$9-AY182*'NSSC Model'!$H$65-(AY182-AX182)*'Assumptions'!$H$9-0</x:f>
        <x:v>1185.9513989575962</x:v>
      </x:c>
      <x:c r="AP182" t="n">
        <x:f>AF182*(1-'Assumptions'!$F$9)+AZ182*'Assumptions'!$G$9-AZ182*'NSSC Model'!$I$65-(AZ182-AY182)*'Assumptions'!$H$9-0</x:f>
        <x:v>1454.3338817856395</x:v>
      </x:c>
      <x:c r="AQ182" t="n">
        <x:f>AG182*(1-'Assumptions'!$F$9)+BA182*'Assumptions'!$G$9-BA182*'NSSC Model'!$J$65-(BA182-AZ182)*'Assumptions'!$H$9-0</x:f>
        <x:v>1650.3842470114848</x:v>
      </x:c>
      <x:c r="AR182" t="n">
        <x:f>AH182*(1-'Assumptions'!$F$9)+BB182*'Assumptions'!$G$9-BB182*'NSSC Model'!$K$65-(BB182-BA182)*'Assumptions'!$H$9-0</x:f>
        <x:v>1722.036614985784</x:v>
      </x:c>
      <x:c r="AS182" t="n">
        <x:f>E182+O182</x:f>
        <x:v>260.978</x:v>
      </x:c>
      <x:c r="AT182" t="n">
        <x:f>F182+P182</x:f>
        <x:v>353.55917200000005</x:v>
      </x:c>
      <x:c r="AU182" t="n">
        <x:f>G182+Q182</x:f>
        <x:v>498.07384172000013</x:v>
      </x:c>
      <x:c r="AV182" t="n">
        <x:f>H182+R182</x:f>
        <x:v>724.5905303764004</x:v>
      </x:c>
      <x:c r="AW182" t="n">
        <x:f>I182+S182</x:f>
        <x:v>1080.6159142672764</x:v>
      </x:c>
      <x:c r="AX182" t="n">
        <x:f>J182+T182</x:f>
        <x:v>1511.8655205254036</x:v>
      </x:c>
      <x:c r="AY182" t="n">
        <x:f>K182+U182</x:f>
        <x:v>1975.7182602234652</x:v>
      </x:c>
      <x:c r="AZ182" t="n">
        <x:f>L182+V182</x:f>
        <x:v>2399.5864855228756</x:v>
      </x:c>
      <x:c r="BA182" t="n">
        <x:f>M182+W182</x:f>
        <x:v>2692.98248572811</x:v>
      </x:c>
      <x:c r="BB182" t="n">
        <x:f>N182+X182</x:f>
        <x:v>2773.7719602999537</x:v>
      </x:c>
      <x:c r="BC182" t="n">
        <x:f>AS182/'Inputs'!$D$14-1</x:f>
        <x:v>0.28995235176654344</x:v>
      </x:c>
      <x:c r="BD182" t="n">
        <x:f>AT182/AS182-1</x:f>
        <x:v>0.3547470361486411</x:v>
      </x:c>
      <x:c r="BE182" t="n">
        <x:f>AU182/AT182-1</x:f>
        <x:v>0.40874252788441323</x:v>
      </x:c>
      <x:c r="BF182" t="n">
        <x:f>AV182/AU182-1</x:f>
        <x:v>0.45478535446505153</x:v>
      </x:c>
      <x:c r="BG182" t="n">
        <x:f>AW182/AV182-1</x:f>
        <x:v>0.491347000775642</x:v>
      </x:c>
      <x:c r="BH182" t="n">
        <x:f>AX182/AW182-1</x:f>
        <x:v>0.39907760062051345</x:v>
      </x:c>
      <x:c r="BI182" t="n">
        <x:f>AY182/AX182-1</x:f>
        <x:v>0.30680820046538493</x:v>
      </x:c>
      <x:c r="BJ182" t="n">
        <x:f>AZ182/AY182-1</x:f>
        <x:v>0.21453880031025707</x:v>
      </x:c>
      <x:c r="BK182" t="n">
        <x:f>BA182/AZ182-1</x:f>
        <x:v>0.12226940015512833</x:v>
      </x:c>
      <x:c r="BL182" t="n">
        <x:f>BB182/BA182-1</x:f>
        <x:v>0.030000000000000027</x:v>
      </x:c>
      <x:c r="BM182" t="n">
        <x:f>AH182*(1-'Assumptions'!$F$9)*(1+'Assumptions'!$D$9)*(1-'Assumptions'!$D$9/'Assumptions'!$E$9)</x:f>
        <x:v>1614.1022728134242</x:v>
      </x:c>
      <x:c r="BN182" t="n">
        <x:f>SUMPRODUCT(AI182:AR182,'NSSC Model'!$B$83:$K$83)+BM182/('Assumptions'!$C$9-'Assumptions'!$D$9)*'NSSC Model'!$K$83</x:f>
        <x:v>13088.390547950072</x:v>
      </x:c>
      <x:c r="BO182" t="n">
        <x:f>'NSSC Model'!$B$94</x:f>
        <x:v>101.2</x:v>
      </x:c>
      <x:c r="BP182" t="n">
        <x:f>'Inputs'!$D$8</x:f>
        <x:v>35.891</x:v>
      </x:c>
    </x:row>
    <x:row r="183">
      <x:c r="A183" t="str">
        <x:v>NSSC</x:v>
      </x:c>
      <x:c r="B183" s="22" t="n">
        <x:v>0.59</x:v>
      </x:c>
      <x:c r="C183" s="42" t="n">
        <x:f>(BN183+BO183)/BP183</x:f>
        <x:v>384.72837984424126</x:v>
      </x:c>
      <x:c r="D183" s="22" t="n">
        <x:f>C183/'Inputs'!$D$5-1</x:f>
        <x:v>9.395254791792523</x:v>
      </x:c>
      <x:c r="E183" t="n">
        <x:f>'Inputs'!$D$21*(1+$B183)^1</x:f>
        <x:v>155.06951999999998</x:v>
      </x:c>
      <x:c r="F183" t="n">
        <x:f>'Inputs'!$D$21*(1+$B183)^2</x:f>
        <x:v>246.56053679999994</x:v>
      </x:c>
      <x:c r="G183" t="n">
        <x:f>'Inputs'!$D$21*(1+$B183)^3</x:f>
        <x:v>392.03125351199986</x:v>
      </x:c>
      <x:c r="H183" t="n">
        <x:f>'Inputs'!$D$21*(1+$B183)^4</x:f>
        <x:v>623.3296930840797</x:v>
      </x:c>
      <x:c r="I183" t="n">
        <x:f>'Inputs'!$D$21*(1+$B183)^5</x:f>
        <x:v>991.0942120036867</x:v>
      </x:c>
      <x:c r="J183" t="n">
        <x:f>I183*(1+($BG183+('Assumptions'!$D$9-$BG183)*(6-5)/5))</x:f>
        <x:v>1394.770556908872</x:v>
      </x:c>
      <x:c r="K183" t="n">
        <x:f>J183*(1+($BG183+('Assumptions'!$D$9-$BG183)*(7-5)/5))</x:f>
        <x:v>1831.3027480476694</x:v>
      </x:c>
      <x:c r="L183" t="n">
        <x:f>K183*(1+($BG183+('Assumptions'!$D$9-$BG183)*(8-5)/5))</x:f>
        <x:v>2231.7204867218647</x:v>
      </x:c>
      <x:c r="M183" t="n">
        <x:f>L183*(1+($BG183+('Assumptions'!$D$9-$BG183)*(9-5)/5))</x:f>
        <x:v>2509.1812035628336</x:v>
      </x:c>
      <x:c r="N183" t="n">
        <x:f>M183*(1+($BG183+('Assumptions'!$D$9-$BG183)*(10-5)/5))</x:f>
        <x:v>2584.4566396697187</x:v>
      </x:c>
      <x:c r="O183" t="n">
        <x:f>'NSSC Model'!$B$68</x:f>
        <x:v>106.88376</x:v>
      </x:c>
      <x:c r="P183" t="n">
        <x:f>'NSSC Model'!$C$68</x:f>
        <x:v>110.0902728</x:v>
      </x:c>
      <x:c r="Q183" t="n">
        <x:f>'NSSC Model'!$D$68</x:f>
        <x:v>113.39298098399999</x:v>
      </x:c>
      <x:c r="R183" t="n">
        <x:f>'NSSC Model'!$E$68</x:f>
        <x:v>116.79477041352</x:v>
      </x:c>
      <x:c r="S183" t="n">
        <x:f>'NSSC Model'!$F$68</x:f>
        <x:v>120.2986135259256</x:v>
      </x:c>
      <x:c r="T183" t="n">
        <x:f>S183*(1+($BG183+('Assumptions'!$D$9-$BG183)*(6-5)/5))</x:f>
        <x:v>169.29668456412728</x:v>
      </x:c>
      <x:c r="U183" t="n">
        <x:f>T183*(1+($BG183+('Assumptions'!$D$9-$BG183)*(7-5)/5))</x:f>
        <x:v>222.2827848938468</x:v>
      </x:c>
      <x:c r="V183" t="n">
        <x:f>U183*(1+($BG183+('Assumptions'!$D$9-$BG183)*(8-5)/5))</x:f>
        <x:v>270.88532762922193</x:v>
      </x:c>
      <x:c r="W183" t="n">
        <x:f>V183*(1+($BG183+('Assumptions'!$D$9-$BG183)*(9-5)/5))</x:f>
        <x:v>304.56339691831374</x:v>
      </x:c>
      <x:c r="X183" t="n">
        <x:f>W183*(1+($BG183+('Assumptions'!$D$9-$BG183)*(10-5)/5))</x:f>
        <x:v>313.7002988258632</x:v>
      </x:c>
      <x:c r="Y183" t="n">
        <x:f>E183*'NSSC Model'!$B$62+O183*'NSSC Model'!$B$63+'NSSC Model'!$B$73+'NSSC Model'!$B$74</x:f>
        <x:v>109.88641947999997</x:v>
      </x:c>
      <x:c r="Z183" t="n">
        <x:f>F183*'NSSC Model'!$C$62+P183*'NSSC Model'!$C$63+'NSSC Model'!$C$73+'NSSC Model'!$C$74</x:f>
        <x:v>190.39505238139995</x:v>
      </x:c>
      <x:c r="AA183" t="n">
        <x:f>G183*'NSSC Model'!$D$62+Q183*'NSSC Model'!$D$63+'NSSC Model'!$D$73+'NSSC Model'!$D$74</x:f>
        <x:v>319.7364575361609</x:v>
      </x:c>
      <x:c r="AB183" t="n">
        <x:f>H183*'NSSC Model'!$E$62+R183*'NSSC Model'!$E$63+'NSSC Model'!$E$73+'NSSC Model'!$E$74</x:f>
        <x:v>525.8637740711845</x:v>
      </x:c>
      <x:c r="AC183" t="n">
        <x:f>I183*'NSSC Model'!$F$62+S183*'NSSC Model'!$F$63+'NSSC Model'!$F$73+'NSSC Model'!$F$74</x:f>
        <x:v>855.0440122443824</x:v>
      </x:c>
      <x:c r="AD183" t="n">
        <x:f>AX183*$AC183/$AW183</x:f>
        <x:v>1203.306606673289</x:v>
      </x:c>
      <x:c r="AE183" t="n">
        <x:f>AY183*$AC183/$AW183</x:f>
        <x:v>1579.9148359056485</x:v>
      </x:c>
      <x:c r="AF183" t="n">
        <x:f>AZ183*$AC183/$AW183</x:f>
        <x:v>1925.3661418492381</x:v>
      </x:c>
      <x:c r="AG183" t="n">
        <x:f>BA183*$AC183/$AW183</x:f>
        <x:v>2164.739070976002</x:v>
      </x:c>
      <x:c r="AH183" t="n">
        <x:f>BB183*$AC183/$AW183</x:f>
        <x:v>2229.681243105282</x:v>
      </x:c>
      <x:c r="AI183" t="n">
        <x:f>Y183*(1-'Assumptions'!$F$9)+AS183*'Assumptions'!$G$9-AS183*'NSSC Model'!$B$65-(AS183-'Inputs'!$D$14)*'Assumptions'!$H$9-'Assumptions'!$I$9</x:f>
        <x:v>83.0953228536</x:v>
      </x:c>
      <x:c r="AJ183" t="n">
        <x:f>Z183*(1-'Assumptions'!$F$9)+AT183*'Assumptions'!$G$9-AT183*'NSSC Model'!$C$65-(AT183-AS183)*'Assumptions'!$H$9-0</x:f>
        <x:v>145.22758675434795</x:v>
      </x:c>
      <x:c r="AK183" t="n">
        <x:f>AA183*(1-'Assumptions'!$F$9)+AU183*'Assumptions'!$G$9-AU183*'NSSC Model'!$D$65-(AU183-AT183)*'Assumptions'!$H$9-0</x:f>
        <x:v>245.28485575206798</x:v>
      </x:c>
      <x:c r="AL183" t="n">
        <x:f>AB183*(1-'Assumptions'!$F$9)+AV183*'Assumptions'!$G$9-AV183*'NSSC Model'!$E$65-(AV183-AU183)*'Assumptions'!$H$9-0</x:f>
        <x:v>404.7777739842209</x:v>
      </x:c>
      <x:c r="AM183" t="n">
        <x:f>AC183*(1-'Assumptions'!$F$9)+AW183*'Assumptions'!$G$9-AW183*'NSSC Model'!$F$65-(AW183-AV183)*'Assumptions'!$H$9-0</x:f>
        <x:v>659.563682535074</x:v>
      </x:c>
      <x:c r="AN183" t="n">
        <x:f>AD183*(1-'Assumptions'!$F$9)+AX183*'Assumptions'!$G$9-AX183*'NSSC Model'!$G$65-(AX183-AW183)*'Assumptions'!$H$9-0</x:f>
        <x:v>935.1877069118664</x:v>
      </x:c>
      <x:c r="AO183" t="n">
        <x:f>AE183*(1-'Assumptions'!$F$9)+AY183*'Assumptions'!$G$9-AY183*'NSSC Model'!$H$65-(AY183-AX183)*'Assumptions'!$H$9-0</x:f>
        <x:v>1238.3639941640142</x:v>
      </x:c>
      <x:c r="AP183" t="n">
        <x:f>AF183*(1-'Assumptions'!$F$9)+AZ183*'Assumptions'!$G$9-AZ183*'NSSC Model'!$I$65-(AZ183-AY183)*'Assumptions'!$H$9-0</x:f>
        <x:v>1523.887784918014</x:v>
      </x:c>
      <x:c r="AQ183" t="n">
        <x:f>AG183*(1-'Assumptions'!$F$9)+BA183*'Assumptions'!$G$9-BA183*'NSSC Model'!$J$65-(BA183-AZ183)*'Assumptions'!$H$9-0</x:f>
        <x:v>1732.7171811853912</x:v>
      </x:c>
      <x:c r="AR183" t="n">
        <x:f>AH183*(1-'Assumptions'!$F$9)+BB183*'Assumptions'!$G$9-BB183*'NSSC Model'!$K$65-(BB183-BA183)*'Assumptions'!$H$9-0</x:f>
        <x:v>1808.3047577909058</x:v>
      </x:c>
      <x:c r="AS183" t="n">
        <x:f>E183+O183</x:f>
        <x:v>261.95327999999995</x:v>
      </x:c>
      <x:c r="AT183" t="n">
        <x:f>F183+P183</x:f>
        <x:v>356.65080959999995</x:v>
      </x:c>
      <x:c r="AU183" t="n">
        <x:f>G183+Q183</x:f>
        <x:v>505.4242344959998</x:v>
      </x:c>
      <x:c r="AV183" t="n">
        <x:f>H183+R183</x:f>
        <x:v>740.1244634975998</x:v>
      </x:c>
      <x:c r="AW183" t="n">
        <x:f>I183+S183</x:f>
        <x:v>1111.3928255296123</x:v>
      </x:c>
      <x:c r="AX183" t="n">
        <x:f>J183+T183</x:f>
        <x:v>1564.0672414729993</x:v>
      </x:c>
      <x:c r="AY183" t="n">
        <x:f>K183+U183</x:f>
        <x:v>2053.5855329415162</x:v>
      </x:c>
      <x:c r="AZ183" t="n">
        <x:f>L183+V183</x:f>
        <x:v>2502.605814351087</x:v>
      </x:c>
      <x:c r="BA183" t="n">
        <x:f>M183+W183</x:f>
        <x:v>2813.7446004811472</x:v>
      </x:c>
      <x:c r="BB183" t="n">
        <x:f>N183+X183</x:f>
        <x:v>2898.156938495582</x:v>
      </x:c>
      <x:c r="BC183" t="n">
        <x:f>AS183/'Inputs'!$D$14-1</x:f>
        <x:v>0.2947729294766601</x:v>
      </x:c>
      <x:c r="BD183" t="n">
        <x:f>AT183/AS183-1</x:f>
        <x:v>0.3615054165383995</x:v>
      </x:c>
      <x:c r="BE183" t="n">
        <x:f>AU183/AT183-1</x:f>
        <x:v>0.41714029771264505</x:v>
      </x:c>
      <x:c r="BF183" t="n">
        <x:f>AV183/AU183-1</x:f>
        <x:v>0.46436283221685826</x:v>
      </x:c>
      <x:c r="BG183" t="n">
        <x:f>AW183/AV183-1</x:f>
        <x:v>0.5016296316939894</x:v>
      </x:c>
      <x:c r="BH183" t="n">
        <x:f>AX183/AW183-1</x:f>
        <x:v>0.40730370535519156</x:v>
      </x:c>
      <x:c r="BI183" t="n">
        <x:f>AY183/AX183-1</x:f>
        <x:v>0.3129777790163937</x:v>
      </x:c>
      <x:c r="BJ183" t="n">
        <x:f>AZ183/AY183-1</x:f>
        <x:v>0.2186518526775958</x:v>
      </x:c>
      <x:c r="BK183" t="n">
        <x:f>BA183/AZ183-1</x:f>
        <x:v>0.12432592633879791</x:v>
      </x:c>
      <x:c r="BL183" t="n">
        <x:f>BB183/BA183-1</x:f>
        <x:v>0.030000000000000027</x:v>
      </x:c>
      <x:c r="BM183" t="n">
        <x:f>AH183*(1-'Assumptions'!$F$9)*(1+'Assumptions'!$D$9)*(1-'Assumptions'!$D$9/'Assumptions'!$E$9)</x:f>
        <x:v>1694.8699001340494</x:v>
      </x:c>
      <x:c r="BN183" t="n">
        <x:f>SUMPRODUCT(AI183:AR183,'NSSC Model'!$B$83:$K$83)+BM183/('Assumptions'!$C$9-'Assumptions'!$D$9)*'NSSC Model'!$K$83</x:f>
        <x:v>13707.086280989663</x:v>
      </x:c>
      <x:c r="BO183" t="n">
        <x:f>'NSSC Model'!$B$94</x:f>
        <x:v>101.2</x:v>
      </x:c>
      <x:c r="BP183" t="n">
        <x:f>'Inputs'!$D$8</x:f>
        <x:v>35.891</x:v>
      </x:c>
    </x:row>
    <x:row r="184">
      <x:c r="A184" t="str">
        <x:v>NSSC</x:v>
      </x:c>
      <x:c r="B184" s="22" t="n">
        <x:v>0.6</x:v>
      </x:c>
      <x:c r="C184" s="42" t="n">
        <x:f>(BN184+BO184)/BP184</x:f>
        <x:v>402.6868603667457</x:v>
      </x:c>
      <x:c r="D184" s="22" t="n">
        <x:f>C184/'Inputs'!$D$5-1</x:f>
        <x:v>9.88048798613201</x:v>
      </x:c>
      <x:c r="E184" t="n">
        <x:f>'Inputs'!$D$21*(1+$B184)^1</x:f>
        <x:v>156.0448</x:v>
      </x:c>
      <x:c r="F184" t="n">
        <x:f>'Inputs'!$D$21*(1+$B184)^2</x:f>
        <x:v>249.67168000000007</x:v>
      </x:c>
      <x:c r="G184" t="n">
        <x:f>'Inputs'!$D$21*(1+$B184)^3</x:f>
        <x:v>399.4746880000001</x:v>
      </x:c>
      <x:c r="H184" t="n">
        <x:f>'Inputs'!$D$21*(1+$B184)^4</x:f>
        <x:v>639.1595008000003</x:v>
      </x:c>
      <x:c r="I184" t="n">
        <x:f>'Inputs'!$D$21*(1+$B184)^5</x:f>
        <x:v>1022.6552012800007</x:v>
      </x:c>
      <x:c r="J184" t="n">
        <x:f>I184*(1+($BG184+('Assumptions'!$D$9-$BG184)*(6-5)/5))</x:f>
        <x:v>1447.6176263309576</x:v>
      </x:c>
      <x:c r="K184" t="n">
        <x:f>J184*(1+($BG184+('Assumptions'!$D$9-$BG184)*(7-5)/5))</x:f>
        <x:v>1909.6408232945432</x:v>
      </x:c>
      <x:c r="L184" t="n">
        <x:f>K184*(1+($BG184+('Assumptions'!$D$9-$BG184)*(8-5)/5))</x:f>
        <x:v>2335.0592428019427</x:v>
      </x:c>
      <x:c r="M184" t="n">
        <x:f>L184*(1+($BG184+('Assumptions'!$D$9-$BG184)*(9-5)/5))</x:f>
        <x:v>2630.1804332440133</x:v>
      </x:c>
      <x:c r="N184" t="n">
        <x:f>M184*(1+($BG184+('Assumptions'!$D$9-$BG184)*(10-5)/5))</x:f>
        <x:v>2709.085846241334</x:v>
      </x:c>
      <x:c r="O184" t="n">
        <x:f>'NSSC Model'!$B$68</x:f>
        <x:v>106.88376</x:v>
      </x:c>
      <x:c r="P184" t="n">
        <x:f>'NSSC Model'!$C$68</x:f>
        <x:v>110.0902728</x:v>
      </x:c>
      <x:c r="Q184" t="n">
        <x:f>'NSSC Model'!$D$68</x:f>
        <x:v>113.39298098399999</x:v>
      </x:c>
      <x:c r="R184" t="n">
        <x:f>'NSSC Model'!$E$68</x:f>
        <x:v>116.79477041352</x:v>
      </x:c>
      <x:c r="S184" t="n">
        <x:f>'NSSC Model'!$F$68</x:f>
        <x:v>120.2986135259256</x:v>
      </x:c>
      <x:c r="T184" t="n">
        <x:f>S184*(1+($BG184+('Assumptions'!$D$9-$BG184)*(6-5)/5))</x:f>
        <x:v>170.28847371561432</x:v>
      </x:c>
      <x:c r="U184" t="n">
        <x:f>T184*(1+($BG184+('Assumptions'!$D$9-$BG184)*(7-5)/5))</x:f>
        <x:v>224.63792594738086</x:v>
      </x:c>
      <x:c r="V184" t="n">
        <x:f>U184*(1+($BG184+('Assumptions'!$D$9-$BG184)*(8-5)/5))</x:f>
        <x:v>274.6814264068466</x:v>
      </x:c>
      <x:c r="W184" t="n">
        <x:f>V184*(1+($BG184+('Assumptions'!$D$9-$BG184)*(9-5)/5))</x:f>
        <x:v>309.39759465970934</x:v>
      </x:c>
      <x:c r="X184" t="n">
        <x:f>W184*(1+($BG184+('Assumptions'!$D$9-$BG184)*(10-5)/5))</x:f>
        <x:v>318.67952249950065</x:v>
      </x:c>
      <x:c r="Y184" t="n">
        <x:f>E184*'NSSC Model'!$B$62+O184*'NSSC Model'!$B$63+'NSSC Model'!$B$73+'NSSC Model'!$B$74</x:f>
        <x:v>110.76709732</x:v>
      </x:c>
      <x:c r="Z184" t="n">
        <x:f>F184*'NSSC Model'!$C$62+P184*'NSSC Model'!$C$63+'NSSC Model'!$C$73+'NSSC Model'!$C$74</x:f>
        <x:v>193.20441469100007</x:v>
      </x:c>
      <x:c r="AA184" t="n">
        <x:f>G184*'NSSC Model'!$D$62+Q184*'NSSC Model'!$D$63+'NSSC Model'!$D$73+'NSSC Model'!$D$74</x:f>
        <x:v>326.4578788788251</x:v>
      </x:c>
      <x:c r="AB184" t="n">
        <x:f>H184*'NSSC Model'!$E$62+R184*'NSSC Model'!$E$63+'NSSC Model'!$E$73+'NSSC Model'!$E$74</x:f>
        <x:v>540.1580904386608</x:v>
      </x:c>
      <x:c r="AC184" t="n">
        <x:f>I184*'NSSC Model'!$F$62+S184*'NSSC Model'!$F$63+'NSSC Model'!$F$73+'NSSC Model'!$F$74</x:f>
        <x:v>883.5435855608939</x:v>
      </x:c>
      <x:c r="AD184" t="n">
        <x:f>AX184*$AC184/$AW184</x:f>
        <x:v>1250.6984431201345</x:v>
      </x:c>
      <x:c r="AE184" t="n">
        <x:f>AY184*$AC184/$AW184</x:f>
        <x:v>1649.8727019969976</x:v>
      </x:c>
      <x:c r="AF184" t="n">
        <x:f>AZ184*$AC184/$AW184</x:f>
        <x:v>2017.421525163157</x:v>
      </x:c>
      <x:c r="AG184" t="n">
        <x:f>BA184*$AC184/$AW184</x:f>
        <x:v>2272.397429506886</x:v>
      </x:c>
      <x:c r="AH184" t="n">
        <x:f>BB184*$AC184/$AW184</x:f>
        <x:v>2340.5693523920927</x:v>
      </x:c>
      <x:c r="AI184" t="n">
        <x:f>Y184*(1-'Assumptions'!$F$9)+AS184*'Assumptions'!$G$9-AS184*'NSSC Model'!$B$65-(AS184-'Inputs'!$D$14)*'Assumptions'!$H$9-'Assumptions'!$I$9</x:f>
        <x:v>83.7160495624</x:v>
      </x:c>
      <x:c r="AJ184" t="n">
        <x:f>Z184*(1-'Assumptions'!$F$9)+AT184*'Assumptions'!$G$9-AT184*'NSSC Model'!$C$65-(AT184-AS184)*'Assumptions'!$H$9-0</x:f>
        <x:v>147.30523295542005</x:v>
      </x:c>
      <x:c r="AK184" t="n">
        <x:f>AA184*(1-'Assumptions'!$F$9)+AU184*'Assumptions'!$G$9-AU184*'NSSC Model'!$D$65-(AU184-AT184)*'Assumptions'!$H$9-0</x:f>
        <x:v>250.33341838630056</x:v>
      </x:c>
      <x:c r="AL184" t="n">
        <x:f>AB184*(1-'Assumptions'!$F$9)+AV184*'Assumptions'!$G$9-AV184*'NSSC Model'!$E$65-(AV184-AU184)*'Assumptions'!$H$9-0</x:f>
        <x:v>415.5971568518958</x:v>
      </x:c>
      <x:c r="AM184" t="n">
        <x:f>AC184*(1-'Assumptions'!$F$9)+AW184*'Assumptions'!$G$9-AW184*'NSSC Model'!$F$65-(AW184-AV184)*'Assumptions'!$H$9-0</x:f>
        <x:v>681.2339705414689</x:v>
      </x:c>
      <x:c r="AN184" t="n">
        <x:f>AD184*(1-'Assumptions'!$F$9)+AX184*'Assumptions'!$G$9-AX184*'NSSC Model'!$G$65-(AX184-AW184)*'Assumptions'!$H$9-0</x:f>
        <x:v>971.6058704342595</x:v>
      </x:c>
      <x:c r="AO184" t="n">
        <x:f>AE184*(1-'Assumptions'!$F$9)+AY184*'Assumptions'!$G$9-AY184*'NSSC Model'!$H$65-(AY184-AX184)*'Assumptions'!$H$9-0</x:f>
        <x:v>1292.721235721035</x:v>
      </x:c>
      <x:c r="AP184" t="n">
        <x:f>AF184*(1-'Assumptions'!$F$9)+AZ184*'Assumptions'!$G$9-AZ184*'NSSC Model'!$I$65-(AZ184-AY184)*'Assumptions'!$H$9-0</x:f>
        <x:v>1596.3004959602672</x:v>
      </x:c>
      <x:c r="AQ184" t="n">
        <x:f>AG184*(1-'Assumptions'!$F$9)+BA184*'Assumptions'!$G$9-BA184*'NSSC Model'!$J$65-(BA184-AZ184)*'Assumptions'!$H$9-0</x:f>
        <x:v>1818.6238442145384</x:v>
      </x:c>
      <x:c r="AR184" t="n">
        <x:f>AH184*(1-'Assumptions'!$F$9)+BB184*'Assumptions'!$G$9-BB184*'NSSC Model'!$K$65-(BB184-BA184)*'Assumptions'!$H$9-0</x:f>
        <x:v>1898.3370734028417</x:v>
      </x:c>
      <x:c r="AS184" t="n">
        <x:f>E184+O184</x:f>
        <x:v>262.92856</x:v>
      </x:c>
      <x:c r="AT184" t="n">
        <x:f>F184+P184</x:f>
        <x:v>359.7619528000001</x:v>
      </x:c>
      <x:c r="AU184" t="n">
        <x:f>G184+Q184</x:f>
        <x:v>512.8676689840001</x:v>
      </x:c>
      <x:c r="AV184" t="n">
        <x:f>H184+R184</x:f>
        <x:v>755.9542712135203</x:v>
      </x:c>
      <x:c r="AW184" t="n">
        <x:f>I184+S184</x:f>
        <x:v>1142.9538148059264</x:v>
      </x:c>
      <x:c r="AX184" t="n">
        <x:f>J184+T184</x:f>
        <x:v>1617.906100046572</x:v>
      </x:c>
      <x:c r="AY184" t="n">
        <x:f>K184+U184</x:f>
        <x:v>2134.2787492419243</x:v>
      </x:c>
      <x:c r="AZ184" t="n">
        <x:f>L184+V184</x:f>
        <x:v>2609.7406692087893</x:v>
      </x:c>
      <x:c r="BA184" t="n">
        <x:f>M184+W184</x:f>
        <x:v>2939.5780279037226</x:v>
      </x:c>
      <x:c r="BB184" t="n">
        <x:f>N184+X184</x:f>
        <x:v>3027.7653687408347</x:v>
      </x:c>
      <x:c r="BC184" t="n">
        <x:f>AS184/'Inputs'!$D$14-1</x:f>
        <x:v>0.299593507186777</x:v>
      </x:c>
      <x:c r="BD184" t="n">
        <x:f>AT184/AS184-1</x:f>
        <x:v>0.36828784518501934</x:v>
      </x:c>
      <x:c r="BE184" t="n">
        <x:f>AU184/AT184-1</x:f>
        <x:v>0.4255750642678857</x:v>
      </x:c>
      <x:c r="BF184" t="n">
        <x:f>AV184/AU184-1</x:f>
        <x:v>0.4739752901778327</x:v>
      </x:c>
      <x:c r="BG184" t="n">
        <x:f>AW184/AV184-1</x:f>
        <x:v>0.5119351240269632</x:v>
      </x:c>
      <x:c r="BH184" t="n">
        <x:f>AX184/AW184-1</x:f>
        <x:v>0.41554809922157054</x:v>
      </x:c>
      <x:c r="BI184" t="n">
        <x:f>AY184/AX184-1</x:f>
        <x:v>0.3191610744161779</x:v>
      </x:c>
      <x:c r="BJ184" t="n">
        <x:f>AZ184/AY184-1</x:f>
        <x:v>0.22277404961078529</x:v>
      </x:c>
      <x:c r="BK184" t="n">
        <x:f>BA184/AZ184-1</x:f>
        <x:v>0.12638702480539266</x:v>
      </x:c>
      <x:c r="BL184" t="n">
        <x:f>BB184/BA184-1</x:f>
        <x:v>0.030000000000000027</x:v>
      </x:c>
      <x:c r="BM184" t="n">
        <x:f>AH184*(1-'Assumptions'!$F$9)*(1+'Assumptions'!$D$9)*(1-'Assumptions'!$D$9/'Assumptions'!$E$9)</x:f>
        <x:v>1779.1603875273256</x:v>
      </x:c>
      <x:c r="BN184" t="n">
        <x:f>SUMPRODUCT(AI184:AR184,'NSSC Model'!$B$83:$K$83)+BM184/('Assumptions'!$C$9-'Assumptions'!$D$9)*'NSSC Model'!$K$83</x:f>
        <x:v>14351.634105422869</x:v>
      </x:c>
      <x:c r="BO184" t="n">
        <x:f>'NSSC Model'!$B$94</x:f>
        <x:v>101.2</x:v>
      </x:c>
      <x:c r="BP184" t="n">
        <x:f>'Inputs'!$D$8</x:f>
        <x:v>35.891</x:v>
      </x:c>
    </x:row>
    <x:row r="185">
      <x:c r="A185" t="str">
        <x:v>APPF</x:v>
      </x:c>
      <x:c r="B185" s="22" t="n">
        <x:v>0</x:v>
      </x:c>
      <x:c r="C185" s="42" t="n">
        <x:f>(BN185+BO185)/BP185</x:f>
        <x:v>70.64147838432376</x:v>
      </x:c>
      <x:c r="D185" s="22" t="n">
        <x:f>C185/'Inputs'!$E$5-1</x:f>
        <x:v>-0.6703309763658589</x:v>
      </x:c>
      <x:c r="E185" t="n">
        <x:f>'Inputs'!$E$14*(1+$B185)^1</x:f>
        <x:v>1122</x:v>
      </x:c>
      <x:c r="F185" t="n">
        <x:f>'Inputs'!$E$14*(1+$B185)^2</x:f>
        <x:v>1122</x:v>
      </x:c>
      <x:c r="G185" t="n">
        <x:f>'Inputs'!$E$14*(1+$B185)^3</x:f>
        <x:v>1122</x:v>
      </x:c>
      <x:c r="H185" t="n">
        <x:f>'Inputs'!$E$14*(1+$B185)^4</x:f>
        <x:v>1122</x:v>
      </x:c>
      <x:c r="I185" t="n">
        <x:f>'Inputs'!$E$14*(1+$B185)^5</x:f>
        <x:v>1122</x:v>
      </x:c>
      <x:c r="J185" t="n">
        <x:f>I185*(1+($BG185+('Assumptions'!$D$12-$BG185)*(6-5)/5))</x:f>
        <x:v>1128.732</x:v>
      </x:c>
      <x:c r="K185" t="n">
        <x:f>J185*(1+($BG185+('Assumptions'!$D$12-$BG185)*(7-5)/5))</x:f>
        <x:v>1142.276784</x:v>
      </x:c>
      <x:c r="L185" t="n">
        <x:f>K185*(1+($BG185+('Assumptions'!$D$12-$BG185)*(8-5)/5))</x:f>
        <x:v>1162.8377661119998</x:v>
      </x:c>
      <x:c r="M185" t="n">
        <x:f>L185*(1+($BG185+('Assumptions'!$D$12-$BG185)*(9-5)/5))</x:f>
        <x:v>1190.745872498688</x:v>
      </x:c>
      <x:c r="N185" t="n">
        <x:f>M185*(1+($BG185+('Assumptions'!$D$12-$BG185)*(10-5)/5))</x:f>
        <x:v>1226.4682486736485</x:v>
      </x:c>
      <x:c r="O185" t="n">
        <x:f>0</x:f>
        <x:v>0</x:v>
      </x:c>
      <x:c r="P185" t="n">
        <x:f>0</x:f>
        <x:v>0</x:v>
      </x:c>
      <x:c r="Q185" t="n">
        <x:f>0</x:f>
        <x:v>0</x:v>
      </x:c>
      <x:c r="R185" t="n">
        <x:f>0</x:f>
        <x:v>0</x:v>
      </x:c>
      <x:c r="S185" t="n">
        <x:f>0</x:f>
        <x:v>0</x:v>
      </x:c>
      <x:c r="T185" t="n">
        <x:f>S185*(1+($BG185+('Assumptions'!$D$12-$BG185)*(6-5)/5))</x:f>
        <x:v>0</x:v>
      </x:c>
      <x:c r="U185" t="n">
        <x:f>T185*(1+($BG185+('Assumptions'!$D$12-$BG185)*(7-5)/5))</x:f>
        <x:v>0</x:v>
      </x:c>
      <x:c r="V185" t="n">
        <x:f>U185*(1+($BG185+('Assumptions'!$D$12-$BG185)*(8-5)/5))</x:f>
        <x:v>0</x:v>
      </x:c>
      <x:c r="W185" t="n">
        <x:f>V185*(1+($BG185+('Assumptions'!$D$12-$BG185)*(9-5)/5))</x:f>
        <x:v>0</x:v>
      </x:c>
      <x:c r="X185" t="n">
        <x:f>W185*(1+($BG185+('Assumptions'!$D$12-$BG185)*(10-5)/5))</x:f>
        <x:v>0</x:v>
      </x:c>
      <x:c r="Y185" t="n">
        <x:f>E185*'APPF Model'!$B$62+O185*'APPF Model'!$B$63+'APPF Model'!$B$73+'APPF Model'!$B$74</x:f>
        <x:v>230.01</x:v>
      </x:c>
      <x:c r="Z185" t="n">
        <x:f>F185*'APPF Model'!$C$62+P185*'APPF Model'!$C$63+'APPF Model'!$C$73+'APPF Model'!$C$74</x:f>
        <x:v>246.84</x:v>
      </x:c>
      <x:c r="AA185" t="n">
        <x:f>G185*'APPF Model'!$D$62+Q185*'APPF Model'!$D$63+'APPF Model'!$D$73+'APPF Model'!$D$74</x:f>
        <x:v>258.06</x:v>
      </x:c>
      <x:c r="AB185" t="n">
        <x:f>H185*'APPF Model'!$E$62+R185*'APPF Model'!$E$63+'APPF Model'!$E$73+'APPF Model'!$E$74</x:f>
        <x:v>269.28</x:v>
      </x:c>
      <x:c r="AC185" t="n">
        <x:f>I185*'APPF Model'!$F$62+S185*'APPF Model'!$F$63+'APPF Model'!$F$73+'APPF Model'!$F$74</x:f>
        <x:v>274.89</x:v>
      </x:c>
      <x:c r="AD185" t="n">
        <x:f>AX185*$AC185/$AW185</x:f>
        <x:v>276.53934</x:v>
      </x:c>
      <x:c r="AE185" t="n">
        <x:f>AY185*$AC185/$AW185</x:f>
        <x:v>279.85781208</x:v>
      </x:c>
      <x:c r="AF185" t="n">
        <x:f>AZ185*$AC185/$AW185</x:f>
        <x:v>284.89525269743996</x:v>
      </x:c>
      <x:c r="AG185" t="n">
        <x:f>BA185*$AC185/$AW185</x:f>
        <x:v>291.73273876217854</x:v>
      </x:c>
      <x:c r="AH185" t="n">
        <x:f>BB185*$AC185/$AW185</x:f>
        <x:v>300.48472092504386</x:v>
      </x:c>
      <x:c r="AI185" t="n">
        <x:f>Y185*(1-'Assumptions'!$F$12)+AS185*'Assumptions'!$G$12-AS185*'APPF Model'!$B$65-(AS185-'Inputs'!$E$14)*'Assumptions'!$H$12-'Assumptions'!$I$12</x:f>
        <x:v>169.1415</x:v>
      </x:c>
      <x:c r="AJ185" t="n">
        <x:f>Z185*(1-'Assumptions'!$F$12)+AT185*'Assumptions'!$G$12-AT185*'APPF Model'!$C$65-(AT185-AS185)*'Assumptions'!$H$12-0</x:f>
        <x:v>181.764</x:v>
      </x:c>
      <x:c r="AK185" t="n">
        <x:f>AA185*(1-'Assumptions'!$F$12)+AU185*'Assumptions'!$G$12-AU185*'APPF Model'!$D$65-(AU185-AT185)*'Assumptions'!$H$12-0</x:f>
        <x:v>190.17900000000003</x:v>
      </x:c>
      <x:c r="AL185" t="n">
        <x:f>AB185*(1-'Assumptions'!$F$12)+AV185*'Assumptions'!$G$12-AV185*'APPF Model'!$E$65-(AV185-AU185)*'Assumptions'!$H$12-0</x:f>
        <x:v>198.594</x:v>
      </x:c>
      <x:c r="AM185" t="n">
        <x:f>AC185*(1-'Assumptions'!$F$12)+AW185*'Assumptions'!$G$12-AW185*'APPF Model'!$F$65-(AW185-AV185)*'Assumptions'!$H$12-0</x:f>
        <x:v>202.80149999999998</x:v>
      </x:c>
      <x:c r="AN185" t="n">
        <x:f>AD185*(1-'Assumptions'!$F$12)+AX185*'Assumptions'!$G$12-AX185*'APPF Model'!$G$65-(AX185-AW185)*'Assumptions'!$H$12-0</x:f>
        <x:v>203.74902899999995</x:v>
      </x:c>
      <x:c r="AO185" t="n">
        <x:f>AE185*(1-'Assumptions'!$F$12)+AY185*'Assumptions'!$G$12-AY185*'APPF Model'!$H$65-(AY185-AX185)*'Assumptions'!$H$12-0</x:f>
        <x:v>205.92473734799995</x:v>
      </x:c>
      <x:c r="AP185" t="n">
        <x:f>AF185*(1-'Assumptions'!$F$12)+AZ185*'Assumptions'!$G$12-AZ185*'APPF Model'!$I$65-(AZ185-AY185)*'Assumptions'!$H$12-0</x:f>
        <x:v>209.360486940264</x:v>
      </x:c>
      <x:c r="AQ185" t="n">
        <x:f>AG185*(1-'Assumptions'!$F$12)+BA185*'Assumptions'!$G$12-BA185*'APPF Model'!$J$65-(BA185-AZ185)*'Assumptions'!$H$12-0</x:f>
        <x:v>214.11099219867032</x:v>
      </x:c>
      <x:c r="AR185" t="n">
        <x:f>AH185*(1-'Assumptions'!$F$12)+BB185*'Assumptions'!$G$12-BB185*'APPF Model'!$K$65-(BB185-BA185)*'Assumptions'!$H$12-0</x:f>
        <x:v>220.2552409007635</x:v>
      </x:c>
      <x:c r="AS185" t="n">
        <x:f>E185+O185</x:f>
        <x:v>1122</x:v>
      </x:c>
      <x:c r="AT185" t="n">
        <x:f>F185+P185</x:f>
        <x:v>1122</x:v>
      </x:c>
      <x:c r="AU185" t="n">
        <x:f>G185+Q185</x:f>
        <x:v>1122</x:v>
      </x:c>
      <x:c r="AV185" t="n">
        <x:f>H185+R185</x:f>
        <x:v>1122</x:v>
      </x:c>
      <x:c r="AW185" t="n">
        <x:f>I185+S185</x:f>
        <x:v>1122</x:v>
      </x:c>
      <x:c r="AX185" t="n">
        <x:f>J185+T185</x:f>
        <x:v>1128.732</x:v>
      </x:c>
      <x:c r="AY185" t="n">
        <x:f>K185+U185</x:f>
        <x:v>1142.276784</x:v>
      </x:c>
      <x:c r="AZ185" t="n">
        <x:f>L185+V185</x:f>
        <x:v>1162.8377661119998</x:v>
      </x:c>
      <x:c r="BA185" t="n">
        <x:f>M185+W185</x:f>
        <x:v>1190.745872498688</x:v>
      </x:c>
      <x:c r="BB185" t="n">
        <x:f>N185+X185</x:f>
        <x:v>1226.4682486736485</x:v>
      </x:c>
      <x:c r="BC185" t="n">
        <x:f>AS185/'Inputs'!$E$14-1</x:f>
        <x:v>0</x:v>
      </x:c>
      <x:c r="BD185" t="n">
        <x:f>AT185/AS185-1</x:f>
        <x:v>0</x:v>
      </x:c>
      <x:c r="BE185" t="n">
        <x:f>AU185/AT185-1</x:f>
        <x:v>0</x:v>
      </x:c>
      <x:c r="BF185" t="n">
        <x:f>AV185/AU185-1</x:f>
        <x:v>0</x:v>
      </x:c>
      <x:c r="BG185" t="n">
        <x:f>AW185/AV185-1</x:f>
        <x:v>0</x:v>
      </x:c>
      <x:c r="BH185" t="n">
        <x:f>AX185/AW185-1</x:f>
        <x:v>0.006000000000000005</x:v>
      </x:c>
      <x:c r="BI185" t="n">
        <x:f>AY185/AX185-1</x:f>
        <x:v>0.01200000000000001</x:v>
      </x:c>
      <x:c r="BJ185" t="n">
        <x:f>AZ185/AY185-1</x:f>
        <x:v>0.018000000000000016</x:v>
      </x:c>
      <x:c r="BK185" t="n">
        <x:f>BA185/AZ185-1</x:f>
        <x:v>0.02400000000000002</x:v>
      </x:c>
      <x:c r="BL185" t="n">
        <x:f>BB185/BA185-1</x:f>
        <x:v>0.030000000000000027</x:v>
      </x:c>
      <x:c r="BM185" t="n">
        <x:f>AH185*(1-'Assumptions'!$F$12)*(1+'Assumptions'!$D$12)*(1-'Assumptions'!$D$12/'Assumptions'!$E$12)</x:f>
        <x:v>212.22806575048813</x:v>
      </x:c>
      <x:c r="BN185" t="n">
        <x:f>SUMPRODUCT(AI185:AR185,'APPF Model'!$B$83:$K$83)+BM185/('Assumptions'!$C$12-'Assumptions'!$D$12)*'APPF Model'!$K$83</x:f>
        <x:v>2371.4082218356557</x:v>
      </x:c>
      <x:c r="BO185" t="n">
        <x:f>'APPF Model'!$B$94</x:f>
        <x:v>171.685</x:v>
      </x:c>
      <x:c r="BP185" t="n">
        <x:f>'Inputs'!$E$8</x:f>
        <x:v>36</x:v>
      </x:c>
    </x:row>
    <x:row r="186">
      <x:c r="A186" t="str">
        <x:v>APPF</x:v>
      </x:c>
      <x:c r="B186" s="22" t="n">
        <x:v>0.01</x:v>
      </x:c>
      <x:c r="C186" s="42" t="n">
        <x:f>(BN186+BO186)/BP186</x:f>
        <x:v>74.41637371218003</x:v>
      </x:c>
      <x:c r="D186" s="22" t="n">
        <x:f>C186/'Inputs'!$E$5-1</x:f>
        <x:v>-0.652714328391917</x:v>
      </x:c>
      <x:c r="E186" t="n">
        <x:f>'Inputs'!$E$14*(1+$B186)^1</x:f>
        <x:v>1133.22</x:v>
      </x:c>
      <x:c r="F186" t="n">
        <x:f>'Inputs'!$E$14*(1+$B186)^2</x:f>
        <x:v>1144.5522</x:v>
      </x:c>
      <x:c r="G186" t="n">
        <x:f>'Inputs'!$E$14*(1+$B186)^3</x:f>
        <x:v>1155.9977219999998</x:v>
      </x:c>
      <x:c r="H186" t="n">
        <x:f>'Inputs'!$E$14*(1+$B186)^4</x:f>
        <x:v>1167.5576992200001</x:v>
      </x:c>
      <x:c r="I186" t="n">
        <x:f>'Inputs'!$E$14*(1+$B186)^5</x:f>
        <x:v>1179.2332762121998</x:v>
      </x:c>
      <x:c r="J186" t="n">
        <x:f>I186*(1+($BG186+('Assumptions'!$D$12-$BG186)*(6-5)/5))</x:f>
        <x:v>1195.7425420791703</x:v>
      </x:c>
      <x:c r="K186" t="n">
        <x:f>J186*(1+($BG186+('Assumptions'!$D$12-$BG186)*(7-5)/5))</x:f>
        <x:v>1217.2659078365953</x:v>
      </x:c>
      <x:c r="L186" t="n">
        <x:f>K186*(1+($BG186+('Assumptions'!$D$12-$BG186)*(8-5)/5))</x:f>
        <x:v>1244.0457578090004</x:v>
      </x:c>
      <x:c r="M186" t="n">
        <x:f>L186*(1+($BG186+('Assumptions'!$D$12-$BG186)*(9-5)/5))</x:f>
        <x:v>1276.3909475120345</x:v>
      </x:c>
      <x:c r="N186" t="n">
        <x:f>M186*(1+($BG186+('Assumptions'!$D$12-$BG186)*(10-5)/5))</x:f>
        <x:v>1314.6826759373955</x:v>
      </x:c>
      <x:c r="O186" t="n">
        <x:f>0</x:f>
        <x:v>0</x:v>
      </x:c>
      <x:c r="P186" t="n">
        <x:f>0</x:f>
        <x:v>0</x:v>
      </x:c>
      <x:c r="Q186" t="n">
        <x:f>0</x:f>
        <x:v>0</x:v>
      </x:c>
      <x:c r="R186" t="n">
        <x:f>0</x:f>
        <x:v>0</x:v>
      </x:c>
      <x:c r="S186" t="n">
        <x:f>0</x:f>
        <x:v>0</x:v>
      </x:c>
      <x:c r="T186" t="n">
        <x:f>S186*(1+($BG186+('Assumptions'!$D$12-$BG186)*(6-5)/5))</x:f>
        <x:v>0</x:v>
      </x:c>
      <x:c r="U186" t="n">
        <x:f>T186*(1+($BG186+('Assumptions'!$D$12-$BG186)*(7-5)/5))</x:f>
        <x:v>0</x:v>
      </x:c>
      <x:c r="V186" t="n">
        <x:f>U186*(1+($BG186+('Assumptions'!$D$12-$BG186)*(8-5)/5))</x:f>
        <x:v>0</x:v>
      </x:c>
      <x:c r="W186" t="n">
        <x:f>V186*(1+($BG186+('Assumptions'!$D$12-$BG186)*(9-5)/5))</x:f>
        <x:v>0</x:v>
      </x:c>
      <x:c r="X186" t="n">
        <x:f>W186*(1+($BG186+('Assumptions'!$D$12-$BG186)*(10-5)/5))</x:f>
        <x:v>0</x:v>
      </x:c>
      <x:c r="Y186" t="n">
        <x:f>E186*'APPF Model'!$B$62+O186*'APPF Model'!$B$63+'APPF Model'!$B$73+'APPF Model'!$B$74</x:f>
        <x:v>232.3101</x:v>
      </x:c>
      <x:c r="Z186" t="n">
        <x:f>F186*'APPF Model'!$C$62+P186*'APPF Model'!$C$63+'APPF Model'!$C$73+'APPF Model'!$C$74</x:f>
        <x:v>251.80148400000002</x:v>
      </x:c>
      <x:c r="AA186" t="n">
        <x:f>G186*'APPF Model'!$D$62+Q186*'APPF Model'!$D$63+'APPF Model'!$D$73+'APPF Model'!$D$74</x:f>
        <x:v>265.87947606</x:v>
      </x:c>
      <x:c r="AB186" t="n">
        <x:f>H186*'APPF Model'!$E$62+R186*'APPF Model'!$E$63+'APPF Model'!$E$73+'APPF Model'!$E$74</x:f>
        <x:v>280.2138478128</x:v>
      </x:c>
      <x:c r="AC186" t="n">
        <x:f>I186*'APPF Model'!$F$62+S186*'APPF Model'!$F$63+'APPF Model'!$F$73+'APPF Model'!$F$74</x:f>
        <x:v>288.91215267198896</x:v>
      </x:c>
      <x:c r="AD186" t="n">
        <x:f>AX186*$AC186/$AW186</x:f>
        <x:v>292.9569228093967</x:v>
      </x:c>
      <x:c r="AE186" t="n">
        <x:f>AY186*$AC186/$AW186</x:f>
        <x:v>298.2301474199658</x:v>
      </x:c>
      <x:c r="AF186" t="n">
        <x:f>AZ186*$AC186/$AW186</x:f>
        <x:v>304.7912106632051</x:v>
      </x:c>
      <x:c r="AG186" t="n">
        <x:f>BA186*$AC186/$AW186</x:f>
        <x:v>312.7157821404485</x:v>
      </x:c>
      <x:c r="AH186" t="n">
        <x:f>BB186*$AC186/$AW186</x:f>
        <x:v>322.0972556046619</x:v>
      </x:c>
      <x:c r="AI186" t="n">
        <x:f>Y186*(1-'Assumptions'!$F$12)+AS186*'Assumptions'!$G$12-AS186*'APPF Model'!$B$65-(AS186-'Inputs'!$E$14)*'Assumptions'!$H$12-'Assumptions'!$I$12</x:f>
        <x:v>170.38411499999998</x:v>
      </x:c>
      <x:c r="AJ186" t="n">
        <x:f>Z186*(1-'Assumptions'!$F$12)+AT186*'Assumptions'!$G$12-AT186*'APPF Model'!$C$65-(AT186-AS186)*'Assumptions'!$H$12-0</x:f>
        <x:v>184.96416839999998</x:v>
      </x:c>
      <x:c r="AK186" t="n">
        <x:f>AA186*(1-'Assumptions'!$F$12)+AU186*'Assumptions'!$G$12-AU186*'APPF Model'!$D$65-(AU186-AT186)*'Assumptions'!$H$12-0</x:f>
        <x:v>195.483792999</x:v>
      </x:c>
      <x:c r="AL186" t="n">
        <x:f>AB186*(1-'Assumptions'!$F$12)+AV186*'Assumptions'!$G$12-AV186*'APPF Model'!$E$65-(AV186-AU186)*'Assumptions'!$H$12-0</x:f>
        <x:v>206.19531367314002</x:v>
      </x:c>
      <x:c r="AM186" t="n">
        <x:f>AC186*(1-'Assumptions'!$F$12)+AW186*'Assumptions'!$G$12-AW186*'APPF Model'!$F$65-(AW186-AV186)*'Assumptions'!$H$12-0</x:f>
        <x:v>212.67939159566714</x:v>
      </x:c>
      <x:c r="AN186" t="n">
        <x:f>AD186*(1-'Assumptions'!$F$12)+AX186*'Assumptions'!$G$12-AX186*'APPF Model'!$G$65-(AX186-AW186)*'Assumptions'!$H$12-0</x:f>
        <x:v>215.4700938461312</x:v>
      </x:c>
      <x:c r="AO186" t="n">
        <x:f>AE186*(1-'Assumptions'!$F$12)+AY186*'Assumptions'!$G$12-AY186*'APPF Model'!$H$65-(AY186-AX186)*'Assumptions'!$H$12-0</x:f>
        <x:v>219.15987821116758</x:v>
      </x:c>
      <x:c r="AP186" t="n">
        <x:f>AF186*(1-'Assumptions'!$F$12)+AZ186*'Assumptions'!$G$12-AZ186*'APPF Model'!$I$65-(AZ186-AY186)*'Assumptions'!$H$12-0</x:f>
        <x:v>223.7900767250806</x:v>
      </x:c>
      <x:c r="AQ186" t="n">
        <x:f>AG186*(1-'Assumptions'!$F$12)+BA186*'Assumptions'!$G$12-BA186*'APPF Model'!$J$65-(BA186-AZ186)*'Assumptions'!$H$12-0</x:f>
        <x:v>229.4138561746789</x:v>
      </x:c>
      <x:c r="AR186" t="n">
        <x:f>AH186*(1-'Assumptions'!$F$12)+BB186*'Assumptions'!$G$12-BB186*'APPF Model'!$K$65-(BB186-BA186)*'Assumptions'!$H$12-0</x:f>
        <x:v>236.09722453866982</x:v>
      </x:c>
      <x:c r="AS186" t="n">
        <x:f>E186+O186</x:f>
        <x:v>1133.22</x:v>
      </x:c>
      <x:c r="AT186" t="n">
        <x:f>F186+P186</x:f>
        <x:v>1144.5522</x:v>
      </x:c>
      <x:c r="AU186" t="n">
        <x:f>G186+Q186</x:f>
        <x:v>1155.9977219999998</x:v>
      </x:c>
      <x:c r="AV186" t="n">
        <x:f>H186+R186</x:f>
        <x:v>1167.5576992200001</x:v>
      </x:c>
      <x:c r="AW186" t="n">
        <x:f>I186+S186</x:f>
        <x:v>1179.2332762121998</x:v>
      </x:c>
      <x:c r="AX186" t="n">
        <x:f>J186+T186</x:f>
        <x:v>1195.7425420791703</x:v>
      </x:c>
      <x:c r="AY186" t="n">
        <x:f>K186+U186</x:f>
        <x:v>1217.2659078365953</x:v>
      </x:c>
      <x:c r="AZ186" t="n">
        <x:f>L186+V186</x:f>
        <x:v>1244.0457578090004</x:v>
      </x:c>
      <x:c r="BA186" t="n">
        <x:f>M186+W186</x:f>
        <x:v>1276.3909475120345</x:v>
      </x:c>
      <x:c r="BB186" t="n">
        <x:f>N186+X186</x:f>
        <x:v>1314.6826759373955</x:v>
      </x:c>
      <x:c r="BC186" t="n">
        <x:f>AS186/'Inputs'!$E$14-1</x:f>
        <x:v>0.010000000000000009</x:v>
      </x:c>
      <x:c r="BD186" t="n">
        <x:f>AT186/AS186-1</x:f>
        <x:v>0.010000000000000009</x:v>
      </x:c>
      <x:c r="BE186" t="n">
        <x:f>AU186/AT186-1</x:f>
        <x:v>0.009999999999999787</x:v>
      </x:c>
      <x:c r="BF186" t="n">
        <x:f>AV186/AU186-1</x:f>
        <x:v>0.010000000000000231</x:v>
      </x:c>
      <x:c r="BG186" t="n">
        <x:f>AW186/AV186-1</x:f>
        <x:v>0.009999999999999787</x:v>
      </x:c>
      <x:c r="BH186" t="n">
        <x:f>AX186/AW186-1</x:f>
        <x:v>0.01399999999999979</x:v>
      </x:c>
      <x:c r="BI186" t="n">
        <x:f>AY186/AX186-1</x:f>
        <x:v>0.017999999999999794</x:v>
      </x:c>
      <x:c r="BJ186" t="n">
        <x:f>AZ186/AY186-1</x:f>
        <x:v>0.02200000000000002</x:v>
      </x:c>
      <x:c r="BK186" t="n">
        <x:f>BA186/AZ186-1</x:f>
        <x:v>0.026000000000000023</x:v>
      </x:c>
      <x:c r="BL186" t="n">
        <x:f>BB186/BA186-1</x:f>
        <x:v>0.030000000000000027</x:v>
      </x:c>
      <x:c r="BM186" t="n">
        <x:f>AH186*(1-'Assumptions'!$F$12)*(1+'Assumptions'!$D$12)*(1-'Assumptions'!$D$12/'Assumptions'!$E$12)</x:f>
        <x:v>227.4926902442069</x:v>
      </x:c>
      <x:c r="BN186" t="n">
        <x:f>SUMPRODUCT(AI186:AR186,'APPF Model'!$B$83:$K$83)+BM186/('Assumptions'!$C$12-'Assumptions'!$D$12)*'APPF Model'!$K$83</x:f>
        <x:v>2507.3044536384814</x:v>
      </x:c>
      <x:c r="BO186" t="n">
        <x:f>'APPF Model'!$B$94</x:f>
        <x:v>171.685</x:v>
      </x:c>
      <x:c r="BP186" t="n">
        <x:f>'Inputs'!$E$8</x:f>
        <x:v>36</x:v>
      </x:c>
    </x:row>
    <x:row r="187">
      <x:c r="A187" t="str">
        <x:v>APPF</x:v>
      </x:c>
      <x:c r="B187" s="22" t="n">
        <x:v>0.02</x:v>
      </x:c>
      <x:c r="C187" s="42" t="n">
        <x:f>(BN187+BO187)/BP187</x:f>
        <x:v>78.40156833369919</x:v>
      </x:c>
      <x:c r="D187" s="22" t="n">
        <x:f>C187/'Inputs'!$E$5-1</x:f>
        <x:v>-0.6341162575429382</x:v>
      </x:c>
      <x:c r="E187" t="n">
        <x:f>'Inputs'!$E$14*(1+$B187)^1</x:f>
        <x:v>1144.44</x:v>
      </x:c>
      <x:c r="F187" t="n">
        <x:f>'Inputs'!$E$14*(1+$B187)^2</x:f>
        <x:v>1167.3288</x:v>
      </x:c>
      <x:c r="G187" t="n">
        <x:f>'Inputs'!$E$14*(1+$B187)^3</x:f>
        <x:v>1190.675376</x:v>
      </x:c>
      <x:c r="H187" t="n">
        <x:f>'Inputs'!$E$14*(1+$B187)^4</x:f>
        <x:v>1214.48888352</x:v>
      </x:c>
      <x:c r="I187" t="n">
        <x:f>'Inputs'!$E$14*(1+$B187)^5</x:f>
        <x:v>1238.7786611904</x:v>
      </x:c>
      <x:c r="J187" t="n">
        <x:f>I187*(1+($BG187+('Assumptions'!$D$12-$BG187)*(6-5)/5))</x:f>
        <x:v>1266.031791736589</x:v>
      </x:c>
      <x:c r="K187" t="n">
        <x:f>J187*(1+($BG187+('Assumptions'!$D$12-$BG187)*(7-5)/5))</x:f>
        <x:v>1296.4165547382672</x:v>
      </x:c>
      <x:c r="L187" t="n">
        <x:f>K187*(1+($BG187+('Assumptions'!$D$12-$BG187)*(8-5)/5))</x:f>
        <x:v>1330.1233851614622</x:v>
      </x:c>
      <x:c r="M187" t="n">
        <x:f>L187*(1+($BG187+('Assumptions'!$D$12-$BG187)*(9-5)/5))</x:f>
        <x:v>1367.3668399459832</x:v>
      </x:c>
      <x:c r="N187" t="n">
        <x:f>M187*(1+($BG187+('Assumptions'!$D$12-$BG187)*(10-5)/5))</x:f>
        <x:v>1408.3878451443627</x:v>
      </x:c>
      <x:c r="O187" t="n">
        <x:f>0</x:f>
        <x:v>0</x:v>
      </x:c>
      <x:c r="P187" t="n">
        <x:f>0</x:f>
        <x:v>0</x:v>
      </x:c>
      <x:c r="Q187" t="n">
        <x:f>0</x:f>
        <x:v>0</x:v>
      </x:c>
      <x:c r="R187" t="n">
        <x:f>0</x:f>
        <x:v>0</x:v>
      </x:c>
      <x:c r="S187" t="n">
        <x:f>0</x:f>
        <x:v>0</x:v>
      </x:c>
      <x:c r="T187" t="n">
        <x:f>S187*(1+($BG187+('Assumptions'!$D$12-$BG187)*(6-5)/5))</x:f>
        <x:v>0</x:v>
      </x:c>
      <x:c r="U187" t="n">
        <x:f>T187*(1+($BG187+('Assumptions'!$D$12-$BG187)*(7-5)/5))</x:f>
        <x:v>0</x:v>
      </x:c>
      <x:c r="V187" t="n">
        <x:f>U187*(1+($BG187+('Assumptions'!$D$12-$BG187)*(8-5)/5))</x:f>
        <x:v>0</x:v>
      </x:c>
      <x:c r="W187" t="n">
        <x:f>V187*(1+($BG187+('Assumptions'!$D$12-$BG187)*(9-5)/5))</x:f>
        <x:v>0</x:v>
      </x:c>
      <x:c r="X187" t="n">
        <x:f>W187*(1+($BG187+('Assumptions'!$D$12-$BG187)*(10-5)/5))</x:f>
        <x:v>0</x:v>
      </x:c>
      <x:c r="Y187" t="n">
        <x:f>E187*'APPF Model'!$B$62+O187*'APPF Model'!$B$63+'APPF Model'!$B$73+'APPF Model'!$B$74</x:f>
        <x:v>234.6102</x:v>
      </x:c>
      <x:c r="Z187" t="n">
        <x:f>F187*'APPF Model'!$C$62+P187*'APPF Model'!$C$63+'APPF Model'!$C$73+'APPF Model'!$C$74</x:f>
        <x:v>256.812336</x:v>
      </x:c>
      <x:c r="AA187" t="n">
        <x:f>G187*'APPF Model'!$D$62+Q187*'APPF Model'!$D$63+'APPF Model'!$D$73+'APPF Model'!$D$74</x:f>
        <x:v>273.85533648</x:v>
      </x:c>
      <x:c r="AB187" t="n">
        <x:f>H187*'APPF Model'!$E$62+R187*'APPF Model'!$E$63+'APPF Model'!$E$73+'APPF Model'!$E$74</x:f>
        <x:v>291.4773320448</x:v>
      </x:c>
      <x:c r="AC187" t="n">
        <x:f>I187*'APPF Model'!$F$62+S187*'APPF Model'!$F$63+'APPF Model'!$F$73+'APPF Model'!$F$74</x:f>
        <x:v>303.500771991648</x:v>
      </x:c>
      <x:c r="AD187" t="n">
        <x:f>AX187*$AC187/$AW187</x:f>
        <x:v>310.1777889754643</x:v>
      </x:c>
      <x:c r="AE187" t="n">
        <x:f>AY187*$AC187/$AW187</x:f>
        <x:v>317.6220559108754</x:v>
      </x:c>
      <x:c r="AF187" t="n">
        <x:f>AZ187*$AC187/$AW187</x:f>
        <x:v>325.8802293645582</x:v>
      </x:c>
      <x:c r="AG187" t="n">
        <x:f>BA187*$AC187/$AW187</x:f>
        <x:v>335.00487578676587</x:v>
      </x:c>
      <x:c r="AH187" t="n">
        <x:f>BB187*$AC187/$AW187</x:f>
        <x:v>345.0550220603688</x:v>
      </x:c>
      <x:c r="AI187" t="n">
        <x:f>Y187*(1-'Assumptions'!$F$12)+AS187*'Assumptions'!$G$12-AS187*'APPF Model'!$B$65-(AS187-'Inputs'!$E$14)*'Assumptions'!$H$12-'Assumptions'!$I$12</x:f>
        <x:v>171.62673</x:v>
      </x:c>
      <x:c r="AJ187" t="n">
        <x:f>Z187*(1-'Assumptions'!$F$12)+AT187*'Assumptions'!$G$12-AT187*'APPF Model'!$C$65-(AT187-AS187)*'Assumptions'!$H$12-0</x:f>
        <x:v>188.19171360000004</x:v>
      </x:c>
      <x:c r="AK187" t="n">
        <x:f>AA187*(1-'Assumptions'!$F$12)+AU187*'Assumptions'!$G$12-AU187*'APPF Model'!$D$65-(AU187-AT187)*'Assumptions'!$H$12-0</x:f>
        <x:v>200.885613192</x:v>
      </x:c>
      <x:c r="AL187" t="n">
        <x:f>AB187*(1-'Assumptions'!$F$12)+AV187*'Assumptions'!$G$12-AV187*'APPF Model'!$E$65-(AV187-AU187)*'Assumptions'!$H$12-0</x:f>
        <x:v>214.01199208224</x:v>
      </x:c>
      <x:c r="AM187" t="n">
        <x:f>AC187*(1-'Assumptions'!$F$12)+AW187*'Assumptions'!$G$12-AW187*'APPF Model'!$F$65-(AW187-AV187)*'Assumptions'!$H$12-0</x:f>
        <x:v>222.93765190334878</x:v>
      </x:c>
      <x:c r="AN187" t="n">
        <x:f>AD187*(1-'Assumptions'!$F$12)+AX187*'Assumptions'!$G$12-AX187*'APPF Model'!$G$65-(AX187-AW187)*'Assumptions'!$H$12-0</x:f>
        <x:v>227.7451211345409</x:v>
      </x:c>
      <x:c r="AO187" t="n">
        <x:f>AE187*(1-'Assumptions'!$F$12)+AY187*'Assumptions'!$G$12-AY187*'APPF Model'!$H$65-(AY187-AX187)*'Assumptions'!$H$12-0</x:f>
        <x:v>233.11190174887466</x:v>
      </x:c>
      <x:c r="AP187" t="n">
        <x:f>AF187*(1-'Assumptions'!$F$12)+AZ187*'Assumptions'!$G$12-AZ187*'APPF Model'!$I$65-(AZ187-AY187)*'Assumptions'!$H$12-0</x:f>
        <x:v>239.0715286510065</x:v>
      </x:c>
      <x:c r="AQ187" t="n">
        <x:f>AG187*(1-'Assumptions'!$F$12)+BA187*'Assumptions'!$G$12-BA187*'APPF Model'!$J$65-(BA187-AZ187)*'Assumptions'!$H$12-0</x:f>
        <x:v>245.66181812885563</x:v>
      </x:c>
      <x:c r="AR187" t="n">
        <x:f>AH187*(1-'Assumptions'!$F$12)+BB187*'Assumptions'!$G$12-BB187*'APPF Model'!$K$65-(BB187-BA187)*'Assumptions'!$H$12-0</x:f>
        <x:v>252.9252628019083</x:v>
      </x:c>
      <x:c r="AS187" t="n">
        <x:f>E187+O187</x:f>
        <x:v>1144.44</x:v>
      </x:c>
      <x:c r="AT187" t="n">
        <x:f>F187+P187</x:f>
        <x:v>1167.3288</x:v>
      </x:c>
      <x:c r="AU187" t="n">
        <x:f>G187+Q187</x:f>
        <x:v>1190.675376</x:v>
      </x:c>
      <x:c r="AV187" t="n">
        <x:f>H187+R187</x:f>
        <x:v>1214.48888352</x:v>
      </x:c>
      <x:c r="AW187" t="n">
        <x:f>I187+S187</x:f>
        <x:v>1238.7786611904</x:v>
      </x:c>
      <x:c r="AX187" t="n">
        <x:f>J187+T187</x:f>
        <x:v>1266.031791736589</x:v>
      </x:c>
      <x:c r="AY187" t="n">
        <x:f>K187+U187</x:f>
        <x:v>1296.4165547382672</x:v>
      </x:c>
      <x:c r="AZ187" t="n">
        <x:f>L187+V187</x:f>
        <x:v>1330.1233851614622</x:v>
      </x:c>
      <x:c r="BA187" t="n">
        <x:f>M187+W187</x:f>
        <x:v>1367.3668399459832</x:v>
      </x:c>
      <x:c r="BB187" t="n">
        <x:f>N187+X187</x:f>
        <x:v>1408.3878451443627</x:v>
      </x:c>
      <x:c r="BC187" t="n">
        <x:f>AS187/'Inputs'!$E$14-1</x:f>
        <x:v>0.020000000000000018</x:v>
      </x:c>
      <x:c r="BD187" t="n">
        <x:f>AT187/AS187-1</x:f>
        <x:v>0.020000000000000018</x:v>
      </x:c>
      <x:c r="BE187" t="n">
        <x:f>AU187/AT187-1</x:f>
        <x:v>0.020000000000000018</x:v>
      </x:c>
      <x:c r="BF187" t="n">
        <x:f>AV187/AU187-1</x:f>
        <x:v>0.020000000000000018</x:v>
      </x:c>
      <x:c r="BG187" t="n">
        <x:f>AW187/AV187-1</x:f>
        <x:v>0.020000000000000018</x:v>
      </x:c>
      <x:c r="BH187" t="n">
        <x:f>AX187/AW187-1</x:f>
        <x:v>0.02200000000000002</x:v>
      </x:c>
      <x:c r="BI187" t="n">
        <x:f>AY187/AX187-1</x:f>
        <x:v>0.02400000000000002</x:v>
      </x:c>
      <x:c r="BJ187" t="n">
        <x:f>AZ187/AY187-1</x:f>
        <x:v>0.026000000000000023</x:v>
      </x:c>
      <x:c r="BK187" t="n">
        <x:f>BA187/AZ187-1</x:f>
        <x:v>0.028000000000000025</x:v>
      </x:c>
      <x:c r="BL187" t="n">
        <x:f>BB187/BA187-1</x:f>
        <x:v>0.030000000000000027</x:v>
      </x:c>
      <x:c r="BM187" t="n">
        <x:f>AH187*(1-'Assumptions'!$F$12)*(1+'Assumptions'!$D$12)*(1-'Assumptions'!$D$12/'Assumptions'!$E$12)</x:f>
        <x:v>243.70743272378047</x:v>
      </x:c>
      <x:c r="BN187" t="n">
        <x:f>SUMPRODUCT(AI187:AR187,'APPF Model'!$B$83:$K$83)+BM187/('Assumptions'!$C$12-'Assumptions'!$D$12)*'APPF Model'!$K$83</x:f>
        <x:v>2650.771460013171</x:v>
      </x:c>
      <x:c r="BO187" t="n">
        <x:f>'APPF Model'!$B$94</x:f>
        <x:v>171.685</x:v>
      </x:c>
      <x:c r="BP187" t="n">
        <x:f>'Inputs'!$E$8</x:f>
        <x:v>36</x:v>
      </x:c>
    </x:row>
    <x:row r="188">
      <x:c r="A188" t="str">
        <x:v>APPF</x:v>
      </x:c>
      <x:c r="B188" s="22" t="n">
        <x:v>0.03</x:v>
      </x:c>
      <x:c r="C188" s="42" t="n">
        <x:f>(BN188+BO188)/BP188</x:f>
        <x:v>82.60749674839468</x:v>
      </x:c>
      <x:c r="D188" s="22" t="n">
        <x:f>C188/'Inputs'!$E$5-1</x:f>
        <x:v>-0.6144880681893099</x:v>
      </x:c>
      <x:c r="E188" t="n">
        <x:f>'Inputs'!$E$14*(1+$B188)^1</x:f>
        <x:v>1155.66</x:v>
      </x:c>
      <x:c r="F188" t="n">
        <x:f>'Inputs'!$E$14*(1+$B188)^2</x:f>
        <x:v>1190.3298</x:v>
      </x:c>
      <x:c r="G188" t="n">
        <x:f>'Inputs'!$E$14*(1+$B188)^3</x:f>
        <x:v>1226.039694</x:v>
      </x:c>
      <x:c r="H188" t="n">
        <x:f>'Inputs'!$E$14*(1+$B188)^4</x:f>
        <x:v>1262.82088482</x:v>
      </x:c>
      <x:c r="I188" t="n">
        <x:f>'Inputs'!$E$14*(1+$B188)^5</x:f>
        <x:v>1300.7055113645997</x:v>
      </x:c>
      <x:c r="J188" t="n">
        <x:f>I188*(1+($BG188+('Assumptions'!$D$12-$BG188)*(6-5)/5))</x:f>
        <x:v>1339.7266767055376</x:v>
      </x:c>
      <x:c r="K188" t="n">
        <x:f>J188*(1+($BG188+('Assumptions'!$D$12-$BG188)*(7-5)/5))</x:f>
        <x:v>1379.9184770067034</x:v>
      </x:c>
      <x:c r="L188" t="n">
        <x:f>K188*(1+($BG188+('Assumptions'!$D$12-$BG188)*(8-5)/5))</x:f>
        <x:v>1421.3160313169044</x:v>
      </x:c>
      <x:c r="M188" t="n">
        <x:f>L188*(1+($BG188+('Assumptions'!$D$12-$BG188)*(9-5)/5))</x:f>
        <x:v>1463.9555122564116</x:v>
      </x:c>
      <x:c r="N188" t="n">
        <x:f>M188*(1+($BG188+('Assumptions'!$D$12-$BG188)*(10-5)/5))</x:f>
        <x:v>1507.874177624104</x:v>
      </x:c>
      <x:c r="O188" t="n">
        <x:f>0</x:f>
        <x:v>0</x:v>
      </x:c>
      <x:c r="P188" t="n">
        <x:f>0</x:f>
        <x:v>0</x:v>
      </x:c>
      <x:c r="Q188" t="n">
        <x:f>0</x:f>
        <x:v>0</x:v>
      </x:c>
      <x:c r="R188" t="n">
        <x:f>0</x:f>
        <x:v>0</x:v>
      </x:c>
      <x:c r="S188" t="n">
        <x:f>0</x:f>
        <x:v>0</x:v>
      </x:c>
      <x:c r="T188" t="n">
        <x:f>S188*(1+($BG188+('Assumptions'!$D$12-$BG188)*(6-5)/5))</x:f>
        <x:v>0</x:v>
      </x:c>
      <x:c r="U188" t="n">
        <x:f>T188*(1+($BG188+('Assumptions'!$D$12-$BG188)*(7-5)/5))</x:f>
        <x:v>0</x:v>
      </x:c>
      <x:c r="V188" t="n">
        <x:f>U188*(1+($BG188+('Assumptions'!$D$12-$BG188)*(8-5)/5))</x:f>
        <x:v>0</x:v>
      </x:c>
      <x:c r="W188" t="n">
        <x:f>V188*(1+($BG188+('Assumptions'!$D$12-$BG188)*(9-5)/5))</x:f>
        <x:v>0</x:v>
      </x:c>
      <x:c r="X188" t="n">
        <x:f>W188*(1+($BG188+('Assumptions'!$D$12-$BG188)*(10-5)/5))</x:f>
        <x:v>0</x:v>
      </x:c>
      <x:c r="Y188" t="n">
        <x:f>E188*'APPF Model'!$B$62+O188*'APPF Model'!$B$63+'APPF Model'!$B$73+'APPF Model'!$B$74</x:f>
        <x:v>236.9103</x:v>
      </x:c>
      <x:c r="Z188" t="n">
        <x:f>F188*'APPF Model'!$C$62+P188*'APPF Model'!$C$63+'APPF Model'!$C$73+'APPF Model'!$C$74</x:f>
        <x:v>261.872556</x:v>
      </x:c>
      <x:c r="AA188" t="n">
        <x:f>G188*'APPF Model'!$D$62+Q188*'APPF Model'!$D$63+'APPF Model'!$D$73+'APPF Model'!$D$74</x:f>
        <x:v>281.98912962</x:v>
      </x:c>
      <x:c r="AB188" t="n">
        <x:f>H188*'APPF Model'!$E$62+R188*'APPF Model'!$E$63+'APPF Model'!$E$73+'APPF Model'!$E$74</x:f>
        <x:v>303.07701235679997</x:v>
      </x:c>
      <x:c r="AC188" t="n">
        <x:f>I188*'APPF Model'!$F$62+S188*'APPF Model'!$F$63+'APPF Model'!$F$73+'APPF Model'!$F$74</x:f>
        <x:v>318.6728502843269</x:v>
      </x:c>
      <x:c r="AD188" t="n">
        <x:f>AX188*$AC188/$AW188</x:f>
        <x:v>328.2330357928567</x:v>
      </x:c>
      <x:c r="AE188" t="n">
        <x:f>AY188*$AC188/$AW188</x:f>
        <x:v>338.0800268666423</x:v>
      </x:c>
      <x:c r="AF188" t="n">
        <x:f>AZ188*$AC188/$AW188</x:f>
        <x:v>348.2224276726415</x:v>
      </x:c>
      <x:c r="AG188" t="n">
        <x:f>BA188*$AC188/$AW188</x:f>
        <x:v>358.66910050282075</x:v>
      </x:c>
      <x:c r="AH188" t="n">
        <x:f>BB188*$AC188/$AW188</x:f>
        <x:v>369.42917351790544</x:v>
      </x:c>
      <x:c r="AI188" t="n">
        <x:f>Y188*(1-'Assumptions'!$F$12)+AS188*'Assumptions'!$G$12-AS188*'APPF Model'!$B$65-(AS188-'Inputs'!$E$14)*'Assumptions'!$H$12-'Assumptions'!$I$12</x:f>
        <x:v>172.86934499999998</x:v>
      </x:c>
      <x:c r="AJ188" t="n">
        <x:f>Z188*(1-'Assumptions'!$F$12)+AT188*'Assumptions'!$G$12-AT188*'APPF Model'!$C$65-(AT188-AS188)*'Assumptions'!$H$12-0</x:f>
        <x:v>191.44663559999998</x:v>
      </x:c>
      <x:c r="AK188" t="n">
        <x:f>AA188*(1-'Assumptions'!$F$12)+AU188*'Assumptions'!$G$12-AU188*'APPF Model'!$D$65-(AU188-AT188)*'Assumptions'!$H$12-0</x:f>
        <x:v>206.385332373</x:v>
      </x:c>
      <x:c r="AL188" t="n">
        <x:f>AB188*(1-'Assumptions'!$F$12)+AV188*'Assumptions'!$G$12-AV188*'APPF Model'!$E$65-(AV188-AU188)*'Assumptions'!$H$12-0</x:f>
        <x:v>222.04804898033998</x:v>
      </x:c>
      <x:c r="AM188" t="n">
        <x:f>AC188*(1-'Assumptions'!$F$12)+AW188*'Assumptions'!$G$12-AW188*'APPF Model'!$F$65-(AW188-AV188)*'Assumptions'!$H$12-0</x:f>
        <x:v>233.58713611736738</x:v>
      </x:c>
      <x:c r="AN188" t="n">
        <x:f>AD188*(1-'Assumptions'!$F$12)+AX188*'Assumptions'!$G$12-AX188*'APPF Model'!$G$65-(AX188-AW188)*'Assumptions'!$H$12-0</x:f>
        <x:v>240.59475020088837</x:v>
      </x:c>
      <x:c r="AO188" t="n">
        <x:f>AE188*(1-'Assumptions'!$F$12)+AY188*'Assumptions'!$G$12-AY188*'APPF Model'!$H$65-(AY188-AX188)*'Assumptions'!$H$12-0</x:f>
        <x:v>247.81259270691496</x:v>
      </x:c>
      <x:c r="AP188" t="n">
        <x:f>AF188*(1-'Assumptions'!$F$12)+AZ188*'Assumptions'!$G$12-AZ188*'APPF Model'!$I$65-(AZ188-AY188)*'Assumptions'!$H$12-0</x:f>
        <x:v>255.24697048812237</x:v>
      </x:c>
      <x:c r="AQ188" t="n">
        <x:f>AG188*(1-'Assumptions'!$F$12)+BA188*'Assumptions'!$G$12-BA188*'APPF Model'!$J$65-(BA188-AZ188)*'Assumptions'!$H$12-0</x:f>
        <x:v>262.90437960276597</x:v>
      </x:c>
      <x:c r="AR188" t="n">
        <x:f>AH188*(1-'Assumptions'!$F$12)+BB188*'Assumptions'!$G$12-BB188*'APPF Model'!$K$65-(BB188-BA188)*'Assumptions'!$H$12-0</x:f>
        <x:v>270.7915109908491</x:v>
      </x:c>
      <x:c r="AS188" t="n">
        <x:f>E188+O188</x:f>
        <x:v>1155.66</x:v>
      </x:c>
      <x:c r="AT188" t="n">
        <x:f>F188+P188</x:f>
        <x:v>1190.3298</x:v>
      </x:c>
      <x:c r="AU188" t="n">
        <x:f>G188+Q188</x:f>
        <x:v>1226.039694</x:v>
      </x:c>
      <x:c r="AV188" t="n">
        <x:f>H188+R188</x:f>
        <x:v>1262.82088482</x:v>
      </x:c>
      <x:c r="AW188" t="n">
        <x:f>I188+S188</x:f>
        <x:v>1300.7055113645997</x:v>
      </x:c>
      <x:c r="AX188" t="n">
        <x:f>J188+T188</x:f>
        <x:v>1339.7266767055376</x:v>
      </x:c>
      <x:c r="AY188" t="n">
        <x:f>K188+U188</x:f>
        <x:v>1379.9184770067034</x:v>
      </x:c>
      <x:c r="AZ188" t="n">
        <x:f>L188+V188</x:f>
        <x:v>1421.3160313169044</x:v>
      </x:c>
      <x:c r="BA188" t="n">
        <x:f>M188+W188</x:f>
        <x:v>1463.9555122564116</x:v>
      </x:c>
      <x:c r="BB188" t="n">
        <x:f>N188+X188</x:f>
        <x:v>1507.874177624104</x:v>
      </x:c>
      <x:c r="BC188" t="n">
        <x:f>AS188/'Inputs'!$E$14-1</x:f>
        <x:v>0.030000000000000027</x:v>
      </x:c>
      <x:c r="BD188" t="n">
        <x:f>AT188/AS188-1</x:f>
        <x:v>0.029999999999999805</x:v>
      </x:c>
      <x:c r="BE188" t="n">
        <x:f>AU188/AT188-1</x:f>
        <x:v>0.030000000000000027</x:v>
      </x:c>
      <x:c r="BF188" t="n">
        <x:f>AV188/AU188-1</x:f>
        <x:v>0.029999999999999805</x:v>
      </x:c>
      <x:c r="BG188" t="n">
        <x:f>AW188/AV188-1</x:f>
        <x:v>0.029999999999999805</x:v>
      </x:c>
      <x:c r="BH188" t="n">
        <x:f>AX188/AW188-1</x:f>
        <x:v>0.029999999999999805</x:v>
      </x:c>
      <x:c r="BI188" t="n">
        <x:f>AY188/AX188-1</x:f>
        <x:v>0.029999999999999805</x:v>
      </x:c>
      <x:c r="BJ188" t="n">
        <x:f>AZ188/AY188-1</x:f>
        <x:v>0.030000000000000027</x:v>
      </x:c>
      <x:c r="BK188" t="n">
        <x:f>BA188/AZ188-1</x:f>
        <x:v>0.030000000000000027</x:v>
      </x:c>
      <x:c r="BL188" t="n">
        <x:f>BB188/BA188-1</x:f>
        <x:v>0.030000000000000027</x:v>
      </x:c>
      <x:c r="BM188" t="n">
        <x:f>AH188*(1-'Assumptions'!$F$12)*(1+'Assumptions'!$D$12)*(1-'Assumptions'!$D$12/'Assumptions'!$E$12)</x:f>
        <x:v>260.9225476960749</x:v>
      </x:c>
      <x:c r="BN188" t="n">
        <x:f>SUMPRODUCT(AI188:AR188,'APPF Model'!$B$83:$K$83)+BM188/('Assumptions'!$C$12-'Assumptions'!$D$12)*'APPF Model'!$K$83</x:f>
        <x:v>2802.184882942209</x:v>
      </x:c>
      <x:c r="BO188" t="n">
        <x:f>'APPF Model'!$B$94</x:f>
        <x:v>171.685</x:v>
      </x:c>
      <x:c r="BP188" t="n">
        <x:f>'Inputs'!$E$8</x:f>
        <x:v>36</x:v>
      </x:c>
    </x:row>
    <x:row r="189">
      <x:c r="A189" t="str">
        <x:v>APPF</x:v>
      </x:c>
      <x:c r="B189" s="22" t="n">
        <x:v>0.04</x:v>
      </x:c>
      <x:c r="C189" s="42" t="n">
        <x:f>(BN189+BO189)/BP189</x:f>
        <x:v>87.04503156151891</x:v>
      </x:c>
      <x:c r="D189" s="22" t="n">
        <x:f>C189/'Inputs'!$E$5-1</x:f>
        <x:v>-0.5937790201534492</x:v>
      </x:c>
      <x:c r="E189" t="n">
        <x:f>'Inputs'!$E$14*(1+$B189)^1</x:f>
        <x:v>1166.88</x:v>
      </x:c>
      <x:c r="F189" t="n">
        <x:f>'Inputs'!$E$14*(1+$B189)^2</x:f>
        <x:v>1213.5552000000002</x:v>
      </x:c>
      <x:c r="G189" t="n">
        <x:f>'Inputs'!$E$14*(1+$B189)^3</x:f>
        <x:v>1262.097408</x:v>
      </x:c>
      <x:c r="H189" t="n">
        <x:f>'Inputs'!$E$14*(1+$B189)^4</x:f>
        <x:v>1312.5813043200003</x:v>
      </x:c>
      <x:c r="I189" t="n">
        <x:f>'Inputs'!$E$14*(1+$B189)^5</x:f>
        <x:v>1365.0845564928004</x:v>
      </x:c>
      <x:c r="J189" t="n">
        <x:f>I189*(1+($BG189+('Assumptions'!$D$12-$BG189)*(6-5)/5))</x:f>
        <x:v>1416.9577696395268</x:v>
      </x:c>
      <x:c r="K189" t="n">
        <x:f>J189*(1+($BG189+('Assumptions'!$D$12-$BG189)*(7-5)/5))</x:f>
        <x:v>1467.9682493465498</x:v>
      </x:c>
      <x:c r="L189" t="n">
        <x:f>K189*(1+($BG189+('Assumptions'!$D$12-$BG189)*(8-5)/5))</x:f>
        <x:v>1517.8791698243326</x:v>
      </x:c>
      <x:c r="M189" t="n">
        <x:f>L189*(1+($BG189+('Assumptions'!$D$12-$BG189)*(9-5)/5))</x:f>
        <x:v>1566.4513032587113</x:v>
      </x:c>
      <x:c r="N189" t="n">
        <x:f>M189*(1+($BG189+('Assumptions'!$D$12-$BG189)*(10-5)/5))</x:f>
        <x:v>1613.4448423564727</x:v>
      </x:c>
      <x:c r="O189" t="n">
        <x:f>0</x:f>
        <x:v>0</x:v>
      </x:c>
      <x:c r="P189" t="n">
        <x:f>0</x:f>
        <x:v>0</x:v>
      </x:c>
      <x:c r="Q189" t="n">
        <x:f>0</x:f>
        <x:v>0</x:v>
      </x:c>
      <x:c r="R189" t="n">
        <x:f>0</x:f>
        <x:v>0</x:v>
      </x:c>
      <x:c r="S189" t="n">
        <x:f>0</x:f>
        <x:v>0</x:v>
      </x:c>
      <x:c r="T189" t="n">
        <x:f>S189*(1+($BG189+('Assumptions'!$D$12-$BG189)*(6-5)/5))</x:f>
        <x:v>0</x:v>
      </x:c>
      <x:c r="U189" t="n">
        <x:f>T189*(1+($BG189+('Assumptions'!$D$12-$BG189)*(7-5)/5))</x:f>
        <x:v>0</x:v>
      </x:c>
      <x:c r="V189" t="n">
        <x:f>U189*(1+($BG189+('Assumptions'!$D$12-$BG189)*(8-5)/5))</x:f>
        <x:v>0</x:v>
      </x:c>
      <x:c r="W189" t="n">
        <x:f>V189*(1+($BG189+('Assumptions'!$D$12-$BG189)*(9-5)/5))</x:f>
        <x:v>0</x:v>
      </x:c>
      <x:c r="X189" t="n">
        <x:f>W189*(1+($BG189+('Assumptions'!$D$12-$BG189)*(10-5)/5))</x:f>
        <x:v>0</x:v>
      </x:c>
      <x:c r="Y189" t="n">
        <x:f>E189*'APPF Model'!$B$62+O189*'APPF Model'!$B$63+'APPF Model'!$B$73+'APPF Model'!$B$74</x:f>
        <x:v>239.21040000000002</x:v>
      </x:c>
      <x:c r="Z189" t="n">
        <x:f>F189*'APPF Model'!$C$62+P189*'APPF Model'!$C$63+'APPF Model'!$C$73+'APPF Model'!$C$74</x:f>
        <x:v>266.98214400000006</x:v>
      </x:c>
      <x:c r="AA189" t="n">
        <x:f>G189*'APPF Model'!$D$62+Q189*'APPF Model'!$D$63+'APPF Model'!$D$73+'APPF Model'!$D$74</x:f>
        <x:v>290.28240384000003</x:v>
      </x:c>
      <x:c r="AB189" t="n">
        <x:f>H189*'APPF Model'!$E$62+R189*'APPF Model'!$E$63+'APPF Model'!$E$73+'APPF Model'!$E$74</x:f>
        <x:v>315.01951303680005</x:v>
      </x:c>
      <x:c r="AC189" t="n">
        <x:f>I189*'APPF Model'!$F$62+S189*'APPF Model'!$F$63+'APPF Model'!$F$73+'APPF Model'!$F$74</x:f>
        <x:v>334.4457163407361</x:v>
      </x:c>
      <x:c r="AD189" t="n">
        <x:f>AX189*$AC189/$AW189</x:f>
        <x:v>347.1546535616841</x:v>
      </x:c>
      <x:c r="AE189" t="n">
        <x:f>AY189*$AC189/$AW189</x:f>
        <x:v>359.65222108990474</x:v>
      </x:c>
      <x:c r="AF189" t="n">
        <x:f>AZ189*$AC189/$AW189</x:f>
        <x:v>371.8803966069615</x:v>
      </x:c>
      <x:c r="AG189" t="n">
        <x:f>BA189*$AC189/$AW189</x:f>
        <x:v>383.7805692983843</x:v>
      </x:c>
      <x:c r="AH189" t="n">
        <x:f>BB189*$AC189/$AW189</x:f>
        <x:v>395.2939863773358</x:v>
      </x:c>
      <x:c r="AI189" t="n">
        <x:f>Y189*(1-'Assumptions'!$F$12)+AS189*'Assumptions'!$G$12-AS189*'APPF Model'!$B$65-(AS189-'Inputs'!$E$14)*'Assumptions'!$H$12-'Assumptions'!$I$12</x:f>
        <x:v>174.11196</x:v>
      </x:c>
      <x:c r="AJ189" t="n">
        <x:f>Z189*(1-'Assumptions'!$F$12)+AT189*'Assumptions'!$G$12-AT189*'APPF Model'!$C$65-(AT189-AS189)*'Assumptions'!$H$12-0</x:f>
        <x:v>194.72893440000004</x:v>
      </x:c>
      <x:c r="AK189" t="n">
        <x:f>AA189*(1-'Assumptions'!$F$12)+AU189*'Assumptions'!$G$12-AU189*'APPF Model'!$D$65-(AU189-AT189)*'Assumptions'!$H$12-0</x:f>
        <x:v>211.98382233600003</x:v>
      </x:c>
      <x:c r="AL189" t="n">
        <x:f>AB189*(1-'Assumptions'!$F$12)+AV189*'Assumptions'!$G$12-AV189*'APPF Model'!$E$65-(AV189-AU189)*'Assumptions'!$H$12-0</x:f>
        <x:v>230.30753501184003</x:v>
      </x:c>
      <x:c r="AM189" t="n">
        <x:f>AC189*(1-'Assumptions'!$F$12)+AW189*'Assumptions'!$G$12-AW189*'APPF Model'!$F$65-(AW189-AV189)*'Assumptions'!$H$12-0</x:f>
        <x:v>244.6389034991617</x:v>
      </x:c>
      <x:c r="AN189" t="n">
        <x:f>AD189*(1-'Assumptions'!$F$12)+AX189*'Assumptions'!$G$12-AX189*'APPF Model'!$G$65-(AX189-AW189)*'Assumptions'!$H$12-0</x:f>
        <x:v>254.04018833647547</x:v>
      </x:c>
      <x:c r="AO189" t="n">
        <x:f>AE189*(1-'Assumptions'!$F$12)+AY189*'Assumptions'!$G$12-AY189*'APPF Model'!$H$65-(AY189-AX189)*'Assumptions'!$H$12-0</x:f>
        <x:v>263.294841881108</x:v>
      </x:c>
      <x:c r="AP189" t="n">
        <x:f>AF189*(1-'Assumptions'!$F$12)+AZ189*'Assumptions'!$G$12-AZ189*'APPF Model'!$I$65-(AZ189-AY189)*'Assumptions'!$H$12-0</x:f>
        <x:v>272.3602231266368</x:v>
      </x:c>
      <x:c r="AQ189" t="n">
        <x:f>AG189*(1-'Assumptions'!$F$12)+BA189*'Assumptions'!$G$12-BA189*'APPF Model'!$J$65-(BA189-AZ189)*'Assumptions'!$H$12-0</x:f>
        <x:v>281.19318772663695</x:v>
      </x:c>
      <x:c r="AR189" t="n">
        <x:f>AH189*(1-'Assumptions'!$F$12)+BB189*'Assumptions'!$G$12-BB189*'APPF Model'!$K$65-(BB189-BA189)*'Assumptions'!$H$12-0</x:f>
        <x:v>289.75041369202194</x:v>
      </x:c>
      <x:c r="AS189" t="n">
        <x:f>E189+O189</x:f>
        <x:v>1166.88</x:v>
      </x:c>
      <x:c r="AT189" t="n">
        <x:f>F189+P189</x:f>
        <x:v>1213.5552000000002</x:v>
      </x:c>
      <x:c r="AU189" t="n">
        <x:f>G189+Q189</x:f>
        <x:v>1262.097408</x:v>
      </x:c>
      <x:c r="AV189" t="n">
        <x:f>H189+R189</x:f>
        <x:v>1312.5813043200003</x:v>
      </x:c>
      <x:c r="AW189" t="n">
        <x:f>I189+S189</x:f>
        <x:v>1365.0845564928004</x:v>
      </x:c>
      <x:c r="AX189" t="n">
        <x:f>J189+T189</x:f>
        <x:v>1416.9577696395268</x:v>
      </x:c>
      <x:c r="AY189" t="n">
        <x:f>K189+U189</x:f>
        <x:v>1467.9682493465498</x:v>
      </x:c>
      <x:c r="AZ189" t="n">
        <x:f>L189+V189</x:f>
        <x:v>1517.8791698243326</x:v>
      </x:c>
      <x:c r="BA189" t="n">
        <x:f>M189+W189</x:f>
        <x:v>1566.4513032587113</x:v>
      </x:c>
      <x:c r="BB189" t="n">
        <x:f>N189+X189</x:f>
        <x:v>1613.4448423564727</x:v>
      </x:c>
      <x:c r="BC189" t="n">
        <x:f>AS189/'Inputs'!$E$14-1</x:f>
        <x:v>0.040000000000000036</x:v>
      </x:c>
      <x:c r="BD189" t="n">
        <x:f>AT189/AS189-1</x:f>
        <x:v>0.040000000000000036</x:v>
      </x:c>
      <x:c r="BE189" t="n">
        <x:f>AU189/AT189-1</x:f>
        <x:v>0.039999999999999813</x:v>
      </x:c>
      <x:c r="BF189" t="n">
        <x:f>AV189/AU189-1</x:f>
        <x:v>0.04000000000000026</x:v>
      </x:c>
      <x:c r="BG189" t="n">
        <x:f>AW189/AV189-1</x:f>
        <x:v>0.040000000000000036</x:v>
      </x:c>
      <x:c r="BH189" t="n">
        <x:f>AX189/AW189-1</x:f>
        <x:v>0.038000000000000034</x:v>
      </x:c>
      <x:c r="BI189" t="n">
        <x:f>AY189/AX189-1</x:f>
        <x:v>0.03600000000000003</x:v>
      </x:c>
      <x:c r="BJ189" t="n">
        <x:f>AZ189/AY189-1</x:f>
        <x:v>0.03400000000000003</x:v>
      </x:c>
      <x:c r="BK189" t="n">
        <x:f>BA189/AZ189-1</x:f>
        <x:v>0.03200000000000003</x:v>
      </x:c>
      <x:c r="BL189" t="n">
        <x:f>BB189/BA189-1</x:f>
        <x:v>0.030000000000000027</x:v>
      </x:c>
      <x:c r="BM189" t="n">
        <x:f>AH189*(1-'Assumptions'!$F$12)*(1+'Assumptions'!$D$12)*(1-'Assumptions'!$D$12/'Assumptions'!$E$12)</x:f>
        <x:v>279.19049552136397</x:v>
      </x:c>
      <x:c r="BN189" t="n">
        <x:f>SUMPRODUCT(AI189:AR189,'APPF Model'!$B$83:$K$83)+BM189/('Assumptions'!$C$12-'Assumptions'!$D$12)*'APPF Model'!$K$83</x:f>
        <x:v>2961.936136214681</x:v>
      </x:c>
      <x:c r="BO189" t="n">
        <x:f>'APPF Model'!$B$94</x:f>
        <x:v>171.685</x:v>
      </x:c>
      <x:c r="BP189" t="n">
        <x:f>'Inputs'!$E$8</x:f>
        <x:v>36</x:v>
      </x:c>
    </x:row>
    <x:row r="190">
      <x:c r="A190" t="str">
        <x:v>APPF</x:v>
      </x:c>
      <x:c r="B190" s="22" t="n">
        <x:v>0.05</x:v>
      </x:c>
      <x:c r="C190" s="42" t="n">
        <x:f>(BN190+BO190)/BP190</x:f>
        <x:v>91.72549841171353</x:v>
      </x:c>
      <x:c r="D190" s="22" t="n">
        <x:f>C190/'Inputs'!$E$5-1</x:f>
        <x:v>-0.5719362590455781</x:v>
      </x:c>
      <x:c r="E190" t="n">
        <x:f>'Inputs'!$E$14*(1+$B190)^1</x:f>
        <x:v>1178.1000000000001</x:v>
      </x:c>
      <x:c r="F190" t="n">
        <x:f>'Inputs'!$E$14*(1+$B190)^2</x:f>
        <x:v>1237.005</x:v>
      </x:c>
      <x:c r="G190" t="n">
        <x:f>'Inputs'!$E$14*(1+$B190)^3</x:f>
        <x:v>1298.85525</x:v>
      </x:c>
      <x:c r="H190" t="n">
        <x:f>'Inputs'!$E$14*(1+$B190)^4</x:f>
        <x:v>1363.7980125</x:v>
      </x:c>
      <x:c r="I190" t="n">
        <x:f>'Inputs'!$E$14*(1+$B190)^5</x:f>
        <x:v>1431.9879131250002</x:v>
      </x:c>
      <x:c r="J190" t="n">
        <x:f>I190*(1+($BG190+('Assumptions'!$D$12-$BG190)*(6-5)/5))</x:f>
        <x:v>1497.8593571287506</x:v>
      </x:c>
      <x:c r="K190" t="n">
        <x:f>J190*(1+($BG190+('Assumptions'!$D$12-$BG190)*(7-5)/5))</x:f>
        <x:v>1560.7694501281585</x:v>
      </x:c>
      <x:c r="L190" t="n">
        <x:f>K190*(1+($BG190+('Assumptions'!$D$12-$BG190)*(8-5)/5))</x:f>
        <x:v>1620.0786892330286</x:v>
      </x:c>
      <x:c r="M190" t="n">
        <x:f>L190*(1+($BG190+('Assumptions'!$D$12-$BG190)*(9-5)/5))</x:f>
        <x:v>1675.1613646669516</x:v>
      </x:c>
      <x:c r="N190" t="n">
        <x:f>M190*(1+($BG190+('Assumptions'!$D$12-$BG190)*(10-5)/5))</x:f>
        <x:v>1725.4162056069601</x:v>
      </x:c>
      <x:c r="O190" t="n">
        <x:f>0</x:f>
        <x:v>0</x:v>
      </x:c>
      <x:c r="P190" t="n">
        <x:f>0</x:f>
        <x:v>0</x:v>
      </x:c>
      <x:c r="Q190" t="n">
        <x:f>0</x:f>
        <x:v>0</x:v>
      </x:c>
      <x:c r="R190" t="n">
        <x:f>0</x:f>
        <x:v>0</x:v>
      </x:c>
      <x:c r="S190" t="n">
        <x:f>0</x:f>
        <x:v>0</x:v>
      </x:c>
      <x:c r="T190" t="n">
        <x:f>S190*(1+($BG190+('Assumptions'!$D$12-$BG190)*(6-5)/5))</x:f>
        <x:v>0</x:v>
      </x:c>
      <x:c r="U190" t="n">
        <x:f>T190*(1+($BG190+('Assumptions'!$D$12-$BG190)*(7-5)/5))</x:f>
        <x:v>0</x:v>
      </x:c>
      <x:c r="V190" t="n">
        <x:f>U190*(1+($BG190+('Assumptions'!$D$12-$BG190)*(8-5)/5))</x:f>
        <x:v>0</x:v>
      </x:c>
      <x:c r="W190" t="n">
        <x:f>V190*(1+($BG190+('Assumptions'!$D$12-$BG190)*(9-5)/5))</x:f>
        <x:v>0</x:v>
      </x:c>
      <x:c r="X190" t="n">
        <x:f>W190*(1+($BG190+('Assumptions'!$D$12-$BG190)*(10-5)/5))</x:f>
        <x:v>0</x:v>
      </x:c>
      <x:c r="Y190" t="n">
        <x:f>E190*'APPF Model'!$B$62+O190*'APPF Model'!$B$63+'APPF Model'!$B$73+'APPF Model'!$B$74</x:f>
        <x:v>241.5105</x:v>
      </x:c>
      <x:c r="Z190" t="n">
        <x:f>F190*'APPF Model'!$C$62+P190*'APPF Model'!$C$63+'APPF Model'!$C$73+'APPF Model'!$C$74</x:f>
        <x:v>272.14110000000005</x:v>
      </x:c>
      <x:c r="AA190" t="n">
        <x:f>G190*'APPF Model'!$D$62+Q190*'APPF Model'!$D$63+'APPF Model'!$D$73+'APPF Model'!$D$74</x:f>
        <x:v>298.7367075</x:v>
      </x:c>
      <x:c r="AB190" t="n">
        <x:f>H190*'APPF Model'!$E$62+R190*'APPF Model'!$E$63+'APPF Model'!$E$73+'APPF Model'!$E$74</x:f>
        <x:v>327.31152299999997</x:v>
      </x:c>
      <x:c r="AC190" t="n">
        <x:f>I190*'APPF Model'!$F$62+S190*'APPF Model'!$F$63+'APPF Model'!$F$73+'APPF Model'!$F$74</x:f>
        <x:v>350.83703871562506</x:v>
      </x:c>
      <x:c r="AD190" t="n">
        <x:f>AX190*$AC190/$AW190</x:f>
        <x:v>366.97554249654394</x:v>
      </x:c>
      <x:c r="AE190" t="n">
        <x:f>AY190*$AC190/$AW190</x:f>
        <x:v>382.3885152813989</x:v>
      </x:c>
      <x:c r="AF190" t="n">
        <x:f>AZ190*$AC190/$AW190</x:f>
        <x:v>396.919278862092</x:v>
      </x:c>
      <x:c r="AG190" t="n">
        <x:f>BA190*$AC190/$AW190</x:f>
        <x:v>410.41453434340315</x:v>
      </x:c>
      <x:c r="AH190" t="n">
        <x:f>BB190*$AC190/$AW190</x:f>
        <x:v>422.7269703737052</x:v>
      </x:c>
      <x:c r="AI190" t="n">
        <x:f>Y190*(1-'Assumptions'!$F$12)+AS190*'Assumptions'!$G$12-AS190*'APPF Model'!$B$65-(AS190-'Inputs'!$E$14)*'Assumptions'!$H$12-'Assumptions'!$I$12</x:f>
        <x:v>175.354575</x:v>
      </x:c>
      <x:c r="AJ190" t="n">
        <x:f>Z190*(1-'Assumptions'!$F$12)+AT190*'Assumptions'!$G$12-AT190*'APPF Model'!$C$65-(AT190-AS190)*'Assumptions'!$H$12-0</x:f>
        <x:v>198.03861000000006</x:v>
      </x:c>
      <x:c r="AK190" t="n">
        <x:f>AA190*(1-'Assumptions'!$F$12)+AU190*'Assumptions'!$G$12-AU190*'APPF Model'!$D$65-(AU190-AT190)*'Assumptions'!$H$12-0</x:f>
        <x:v>217.68195487500003</x:v>
      </x:c>
      <x:c r="AL190" t="n">
        <x:f>AB190*(1-'Assumptions'!$F$12)+AV190*'Assumptions'!$G$12-AV190*'APPF Model'!$E$65-(AV190-AU190)*'Assumptions'!$H$12-0</x:f>
        <x:v>238.7945377125</x:v>
      </x:c>
      <x:c r="AM190" t="n">
        <x:f>AC190*(1-'Assumptions'!$F$12)+AW190*'Assumptions'!$G$12-AW190*'APPF Model'!$F$65-(AW190-AV190)*'Assumptions'!$H$12-0</x:f>
        <x:v>256.10421927234376</x:v>
      </x:c>
      <x:c r="AN190" t="n">
        <x:f>AD190*(1-'Assumptions'!$F$12)+AX190*'Assumptions'!$G$12-AX190*'APPF Model'!$G$65-(AX190-AW190)*'Assumptions'!$H$12-0</x:f>
        <x:v>268.1032210408717</x:v>
      </x:c>
      <x:c r="AO190" t="n">
        <x:f>AE190*(1-'Assumptions'!$F$12)+AY190*'Assumptions'!$G$12-AY190*'APPF Model'!$H$65-(AY190-AX190)*'Assumptions'!$H$12-0</x:f>
        <x:v>279.5926743906884</x:v>
      </x:c>
      <x:c r="AP190" t="n">
        <x:f>AF190*(1-'Assumptions'!$F$12)+AZ190*'Assumptions'!$G$12-AZ190*'APPF Model'!$I$65-(AZ190-AY190)*'Assumptions'!$H$12-0</x:f>
        <x:v>290.4568535146751</x:v>
      </x:c>
      <x:c r="AQ190" t="n">
        <x:f>AG190*(1-'Assumptions'!$F$12)+BA190*'Assumptions'!$G$12-BA190*'APPF Model'!$J$65-(BA190-AZ190)*'Assumptions'!$H$12-0</x:f>
        <x:v>300.5821096461946</x:v>
      </x:c>
      <x:c r="AR190" t="n">
        <x:f>AH190*(1-'Assumptions'!$F$12)+BB190*'Assumptions'!$G$12-BB190*'APPF Model'!$K$65-(BB190-BA190)*'Assumptions'!$H$12-0</x:f>
        <x:v>309.8587855258577</x:v>
      </x:c>
      <x:c r="AS190" t="n">
        <x:f>E190+O190</x:f>
        <x:v>1178.1000000000001</x:v>
      </x:c>
      <x:c r="AT190" t="n">
        <x:f>F190+P190</x:f>
        <x:v>1237.005</x:v>
      </x:c>
      <x:c r="AU190" t="n">
        <x:f>G190+Q190</x:f>
        <x:v>1298.85525</x:v>
      </x:c>
      <x:c r="AV190" t="n">
        <x:f>H190+R190</x:f>
        <x:v>1363.7980125</x:v>
      </x:c>
      <x:c r="AW190" t="n">
        <x:f>I190+S190</x:f>
        <x:v>1431.9879131250002</x:v>
      </x:c>
      <x:c r="AX190" t="n">
        <x:f>J190+T190</x:f>
        <x:v>1497.8593571287506</x:v>
      </x:c>
      <x:c r="AY190" t="n">
        <x:f>K190+U190</x:f>
        <x:v>1560.7694501281585</x:v>
      </x:c>
      <x:c r="AZ190" t="n">
        <x:f>L190+V190</x:f>
        <x:v>1620.0786892330286</x:v>
      </x:c>
      <x:c r="BA190" t="n">
        <x:f>M190+W190</x:f>
        <x:v>1675.1613646669516</x:v>
      </x:c>
      <x:c r="BB190" t="n">
        <x:f>N190+X190</x:f>
        <x:v>1725.4162056069601</x:v>
      </x:c>
      <x:c r="BC190" t="n">
        <x:f>AS190/'Inputs'!$E$14-1</x:f>
        <x:v>0.050000000000000044</x:v>
      </x:c>
      <x:c r="BD190" t="n">
        <x:f>AT190/AS190-1</x:f>
        <x:v>0.050000000000000044</x:v>
      </x:c>
      <x:c r="BE190" t="n">
        <x:f>AU190/AT190-1</x:f>
        <x:v>0.050000000000000044</x:v>
      </x:c>
      <x:c r="BF190" t="n">
        <x:f>AV190/AU190-1</x:f>
        <x:v>0.04999999999999982</x:v>
      </x:c>
      <x:c r="BG190" t="n">
        <x:f>AW190/AV190-1</x:f>
        <x:v>0.050000000000000266</x:v>
      </x:c>
      <x:c r="BH190" t="n">
        <x:f>AX190/AW190-1</x:f>
        <x:v>0.04600000000000026</x:v>
      </x:c>
      <x:c r="BI190" t="n">
        <x:f>AY190/AX190-1</x:f>
        <x:v>0.04200000000000026</x:v>
      </x:c>
      <x:c r="BJ190" t="n">
        <x:f>AZ190/AY190-1</x:f>
        <x:v>0.038000000000000034</x:v>
      </x:c>
      <x:c r="BK190" t="n">
        <x:f>BA190/AZ190-1</x:f>
        <x:v>0.03400000000000003</x:v>
      </x:c>
      <x:c r="BL190" t="n">
        <x:f>BB190/BA190-1</x:f>
        <x:v>0.030000000000000027</x:v>
      </x:c>
      <x:c r="BM190" t="n">
        <x:f>AH190*(1-'Assumptions'!$F$12)*(1+'Assumptions'!$D$12)*(1-'Assumptions'!$D$12/'Assumptions'!$E$12)</x:f>
        <x:v>298.5660202182284</x:v>
      </x:c>
      <x:c r="BN190" t="n">
        <x:f>SUMPRODUCT(AI190:AR190,'APPF Model'!$B$83:$K$83)+BM190/('Assumptions'!$C$12-'Assumptions'!$D$12)*'APPF Model'!$K$83</x:f>
        <x:v>3130.432942821687</x:v>
      </x:c>
      <x:c r="BO190" t="n">
        <x:f>'APPF Model'!$B$94</x:f>
        <x:v>171.685</x:v>
      </x:c>
      <x:c r="BP190" t="n">
        <x:f>'Inputs'!$E$8</x:f>
        <x:v>36</x:v>
      </x:c>
    </x:row>
    <x:row r="191">
      <x:c r="A191" t="str">
        <x:v>APPF</x:v>
      </x:c>
      <x:c r="B191" s="22" t="n">
        <x:v>0.06</x:v>
      </x:c>
      <x:c r="C191" s="42" t="n">
        <x:f>(BN191+BO191)/BP191</x:f>
        <x:v>96.66069129116619</x:v>
      </x:c>
      <x:c r="D191" s="22" t="n">
        <x:f>C191/'Inputs'!$E$5-1</x:f>
        <x:v>-0.5489047447677515</x:v>
      </x:c>
      <x:c r="E191" t="n">
        <x:f>'Inputs'!$E$14*(1+$B191)^1</x:f>
        <x:v>1189.3200000000002</x:v>
      </x:c>
      <x:c r="F191" t="n">
        <x:f>'Inputs'!$E$14*(1+$B191)^2</x:f>
        <x:v>1260.6792000000003</x:v>
      </x:c>
      <x:c r="G191" t="n">
        <x:f>'Inputs'!$E$14*(1+$B191)^3</x:f>
        <x:v>1336.3199520000003</x:v>
      </x:c>
      <x:c r="H191" t="n">
        <x:f>'Inputs'!$E$14*(1+$B191)^4</x:f>
        <x:v>1416.4991491200003</x:v>
      </x:c>
      <x:c r="I191" t="n">
        <x:f>'Inputs'!$E$14*(1+$B191)^5</x:f>
        <x:v>1501.4890980672005</x:v>
      </x:c>
      <x:c r="J191" t="n">
        <x:f>I191*(1+($BG191+('Assumptions'!$D$12-$BG191)*(6-5)/5))</x:f>
        <x:v>1582.5695093628294</x:v>
      </x:c>
      <x:c r="K191" t="n">
        <x:f>J191*(1+($BG191+('Assumptions'!$D$12-$BG191)*(7-5)/5))</x:f>
        <x:v>1658.5328458122453</x:v>
      </x:c>
      <x:c r="L191" t="n">
        <x:f>K191*(1+($BG191+('Assumptions'!$D$12-$BG191)*(8-5)/5))</x:f>
        <x:v>1728.1912253363598</x:v>
      </x:c>
      <x:c r="M191" t="n">
        <x:f>L191*(1+($BG191+('Assumptions'!$D$12-$BG191)*(9-5)/5))</x:f>
        <x:v>1790.406109448469</x:v>
      </x:c>
      <x:c r="N191" t="n">
        <x:f>M191*(1+($BG191+('Assumptions'!$D$12-$BG191)*(10-5)/5))</x:f>
        <x:v>1844.118292731923</x:v>
      </x:c>
      <x:c r="O191" t="n">
        <x:f>0</x:f>
        <x:v>0</x:v>
      </x:c>
      <x:c r="P191" t="n">
        <x:f>0</x:f>
        <x:v>0</x:v>
      </x:c>
      <x:c r="Q191" t="n">
        <x:f>0</x:f>
        <x:v>0</x:v>
      </x:c>
      <x:c r="R191" t="n">
        <x:f>0</x:f>
        <x:v>0</x:v>
      </x:c>
      <x:c r="S191" t="n">
        <x:f>0</x:f>
        <x:v>0</x:v>
      </x:c>
      <x:c r="T191" t="n">
        <x:f>S191*(1+($BG191+('Assumptions'!$D$12-$BG191)*(6-5)/5))</x:f>
        <x:v>0</x:v>
      </x:c>
      <x:c r="U191" t="n">
        <x:f>T191*(1+($BG191+('Assumptions'!$D$12-$BG191)*(7-5)/5))</x:f>
        <x:v>0</x:v>
      </x:c>
      <x:c r="V191" t="n">
        <x:f>U191*(1+($BG191+('Assumptions'!$D$12-$BG191)*(8-5)/5))</x:f>
        <x:v>0</x:v>
      </x:c>
      <x:c r="W191" t="n">
        <x:f>V191*(1+($BG191+('Assumptions'!$D$12-$BG191)*(9-5)/5))</x:f>
        <x:v>0</x:v>
      </x:c>
      <x:c r="X191" t="n">
        <x:f>W191*(1+($BG191+('Assumptions'!$D$12-$BG191)*(10-5)/5))</x:f>
        <x:v>0</x:v>
      </x:c>
      <x:c r="Y191" t="n">
        <x:f>E191*'APPF Model'!$B$62+O191*'APPF Model'!$B$63+'APPF Model'!$B$73+'APPF Model'!$B$74</x:f>
        <x:v>243.81060000000002</x:v>
      </x:c>
      <x:c r="Z191" t="n">
        <x:f>F191*'APPF Model'!$C$62+P191*'APPF Model'!$C$63+'APPF Model'!$C$73+'APPF Model'!$C$74</x:f>
        <x:v>277.34942400000006</x:v>
      </x:c>
      <x:c r="AA191" t="n">
        <x:f>G191*'APPF Model'!$D$62+Q191*'APPF Model'!$D$63+'APPF Model'!$D$73+'APPF Model'!$D$74</x:f>
        <x:v>307.3535889600001</x:v>
      </x:c>
      <x:c r="AB191" t="n">
        <x:f>H191*'APPF Model'!$E$62+R191*'APPF Model'!$E$63+'APPF Model'!$E$73+'APPF Model'!$E$74</x:f>
        <x:v>339.9597957888001</x:v>
      </x:c>
      <x:c r="AC191" t="n">
        <x:f>I191*'APPF Model'!$F$62+S191*'APPF Model'!$F$63+'APPF Model'!$F$73+'APPF Model'!$F$74</x:f>
        <x:v>367.8648290264641</x:v>
      </x:c>
      <x:c r="AD191" t="n">
        <x:f>AX191*$AC191/$AW191</x:f>
        <x:v>387.7295297938932</x:v>
      </x:c>
      <x:c r="AE191" t="n">
        <x:f>AY191*$AC191/$AW191</x:f>
        <x:v>406.34054722400015</x:v>
      </x:c>
      <x:c r="AF191" t="n">
        <x:f>AZ191*$AC191/$AW191</x:f>
        <x:v>423.4068502074081</x:v>
      </x:c>
      <x:c r="AG191" t="n">
        <x:f>BA191*$AC191/$AW191</x:f>
        <x:v>438.6494968148749</x:v>
      </x:c>
      <x:c r="AH191" t="n">
        <x:f>BB191*$AC191/$AW191</x:f>
        <x:v>451.80898171932114</x:v>
      </x:c>
      <x:c r="AI191" t="n">
        <x:f>Y191*(1-'Assumptions'!$F$12)+AS191*'Assumptions'!$G$12-AS191*'APPF Model'!$B$65-(AS191-'Inputs'!$E$14)*'Assumptions'!$H$12-'Assumptions'!$I$12</x:f>
        <x:v>176.59719</x:v>
      </x:c>
      <x:c r="AJ191" t="n">
        <x:f>Z191*(1-'Assumptions'!$F$12)+AT191*'Assumptions'!$G$12-AT191*'APPF Model'!$C$65-(AT191-AS191)*'Assumptions'!$H$12-0</x:f>
        <x:v>201.37566240000007</x:v>
      </x:c>
      <x:c r="AK191" t="n">
        <x:f>AA191*(1-'Assumptions'!$F$12)+AU191*'Assumptions'!$G$12-AU191*'APPF Model'!$D$65-(AU191-AT191)*'Assumptions'!$H$12-0</x:f>
        <x:v>223.48060178400007</x:v>
      </x:c>
      <x:c r="AL191" t="n">
        <x:f>AB191*(1-'Assumptions'!$F$12)+AV191*'Assumptions'!$G$12-AV191*'APPF Model'!$E$65-(AV191-AU191)*'Assumptions'!$H$12-0</x:f>
        <x:v>247.51318150944007</x:v>
      </x:c>
      <x:c r="AM191" t="n">
        <x:f>AC191*(1-'Assumptions'!$F$12)+AW191*'Assumptions'!$G$12-AW191*'APPF Model'!$F$65-(AW191-AV191)*'Assumptions'!$H$12-0</x:f>
        <x:v>267.99455651775844</x:v>
      </x:c>
      <x:c r="AN191" t="n">
        <x:f>AD191*(1-'Assumptions'!$F$12)+AX191*'Assumptions'!$G$12-AX191*'APPF Model'!$G$65-(AX191-AW191)*'Assumptions'!$H$12-0</x:f>
        <x:v>282.8062223655063</x:v>
      </x:c>
      <x:c r="AO191" t="n">
        <x:f>AE191*(1-'Assumptions'!$F$12)+AY191*'Assumptions'!$G$12-AY191*'APPF Model'!$H$65-(AY191-AX191)*'Assumptions'!$H$12-0</x:f>
        <x:v>296.74127842258673</x:v>
      </x:c>
      <x:c r="AP191" t="n">
        <x:f>AF191*(1-'Assumptions'!$F$12)+AZ191*'Assumptions'!$G$12-AZ191*'APPF Model'!$I$65-(AZ191-AY191)*'Assumptions'!$H$12-0</x:f>
        <x:v>309.5842287985825</x:v>
      </x:c>
      <x:c r="AQ191" t="n">
        <x:f>AG191*(1-'Assumptions'!$F$12)+BA191*'Assumptions'!$G$12-BA191*'APPF Model'!$J$65-(BA191-AZ191)*'Assumptions'!$H$12-0</x:f>
        <x:v>321.12730891832643</x:v>
      </x:c>
      <x:c r="AR191" t="n">
        <x:f>AH191*(1-'Assumptions'!$F$12)+BB191*'Assumptions'!$G$12-BB191*'APPF Model'!$K$65-(BB191-BA191)*'Assumptions'!$H$12-0</x:f>
        <x:v>331.17589407995695</x:v>
      </x:c>
      <x:c r="AS191" t="n">
        <x:f>E191+O191</x:f>
        <x:v>1189.3200000000002</x:v>
      </x:c>
      <x:c r="AT191" t="n">
        <x:f>F191+P191</x:f>
        <x:v>1260.6792000000003</x:v>
      </x:c>
      <x:c r="AU191" t="n">
        <x:f>G191+Q191</x:f>
        <x:v>1336.3199520000003</x:v>
      </x:c>
      <x:c r="AV191" t="n">
        <x:f>H191+R191</x:f>
        <x:v>1416.4991491200003</x:v>
      </x:c>
      <x:c r="AW191" t="n">
        <x:f>I191+S191</x:f>
        <x:v>1501.4890980672005</x:v>
      </x:c>
      <x:c r="AX191" t="n">
        <x:f>J191+T191</x:f>
        <x:v>1582.5695093628294</x:v>
      </x:c>
      <x:c r="AY191" t="n">
        <x:f>K191+U191</x:f>
        <x:v>1658.5328458122453</x:v>
      </x:c>
      <x:c r="AZ191" t="n">
        <x:f>L191+V191</x:f>
        <x:v>1728.1912253363598</x:v>
      </x:c>
      <x:c r="BA191" t="n">
        <x:f>M191+W191</x:f>
        <x:v>1790.406109448469</x:v>
      </x:c>
      <x:c r="BB191" t="n">
        <x:f>N191+X191</x:f>
        <x:v>1844.118292731923</x:v>
      </x:c>
      <x:c r="BC191" t="n">
        <x:f>AS191/'Inputs'!$E$14-1</x:f>
        <x:v>0.06000000000000005</x:v>
      </x:c>
      <x:c r="BD191" t="n">
        <x:f>AT191/AS191-1</x:f>
        <x:v>0.06000000000000005</x:v>
      </x:c>
      <x:c r="BE191" t="n">
        <x:f>AU191/AT191-1</x:f>
        <x:v>0.06000000000000005</x:v>
      </x:c>
      <x:c r="BF191" t="n">
        <x:f>AV191/AU191-1</x:f>
        <x:v>0.06000000000000005</x:v>
      </x:c>
      <x:c r="BG191" t="n">
        <x:f>AW191/AV191-1</x:f>
        <x:v>0.06000000000000005</x:v>
      </x:c>
      <x:c r="BH191" t="n">
        <x:f>AX191/AW191-1</x:f>
        <x:v>0.05400000000000005</x:v>
      </x:c>
      <x:c r="BI191" t="n">
        <x:f>AY191/AX191-1</x:f>
        <x:v>0.04800000000000004</x:v>
      </x:c>
      <x:c r="BJ191" t="n">
        <x:f>AZ191/AY191-1</x:f>
        <x:v>0.04200000000000004</x:v>
      </x:c>
      <x:c r="BK191" t="n">
        <x:f>BA191/AZ191-1</x:f>
        <x:v>0.03600000000000003</x:v>
      </x:c>
      <x:c r="BL191" t="n">
        <x:f>BB191/BA191-1</x:f>
        <x:v>0.030000000000000027</x:v>
      </x:c>
      <x:c r="BM191" t="n">
        <x:f>AH191*(1-'Assumptions'!$F$12)*(1+'Assumptions'!$D$12)*(1-'Assumptions'!$D$12/'Assumptions'!$E$12)</x:f>
        <x:v>319.106229374332</x:v>
      </x:c>
      <x:c r="BN191" t="n">
        <x:f>SUMPRODUCT(AI191:AR191,'APPF Model'!$B$83:$K$83)+BM191/('Assumptions'!$C$12-'Assumptions'!$D$12)*'APPF Model'!$K$83</x:f>
        <x:v>3308.099886481983</x:v>
      </x:c>
      <x:c r="BO191" t="n">
        <x:f>'APPF Model'!$B$94</x:f>
        <x:v>171.685</x:v>
      </x:c>
      <x:c r="BP191" t="n">
        <x:f>'Inputs'!$E$8</x:f>
        <x:v>36</x:v>
      </x:c>
    </x:row>
    <x:row r="192">
      <x:c r="A192" t="str">
        <x:v>APPF</x:v>
      </x:c>
      <x:c r="B192" s="22" t="n">
        <x:v>0.07</x:v>
      </x:c>
      <x:c r="C192" s="42" t="n">
        <x:f>(BN192+BO192)/BP192</x:f>
        <x:v>101.8628882656682</x:v>
      </x:c>
      <x:c r="D192" s="22" t="n">
        <x:f>C192/'Inputs'!$E$5-1</x:f>
        <x:v>-0.5246271781516325</x:v>
      </x:c>
      <x:c r="E192" t="n">
        <x:f>'Inputs'!$E$14*(1+$B192)^1</x:f>
        <x:v>1200.54</x:v>
      </x:c>
      <x:c r="F192" t="n">
        <x:f>'Inputs'!$E$14*(1+$B192)^2</x:f>
        <x:v>1284.5778</x:v>
      </x:c>
      <x:c r="G192" t="n">
        <x:f>'Inputs'!$E$14*(1+$B192)^3</x:f>
        <x:v>1374.498246</x:v>
      </x:c>
      <x:c r="H192" t="n">
        <x:f>'Inputs'!$E$14*(1+$B192)^4</x:f>
        <x:v>1470.71312322</x:v>
      </x:c>
      <x:c r="I192" t="n">
        <x:f>'Inputs'!$E$14*(1+$B192)^5</x:f>
        <x:v>1573.6630418454001</x:v>
      </x:c>
      <x:c r="J192" t="n">
        <x:f>I192*(1+($BG192+('Assumptions'!$D$12-$BG192)*(6-5)/5))</x:f>
        <x:v>1671.2301504398151</x:v>
      </x:c>
      <x:c r="K192" t="n">
        <x:f>J192*(1+($BG192+('Assumptions'!$D$12-$BG192)*(7-5)/5))</x:f>
        <x:v>1761.4765785635652</x:v>
      </x:c>
      <x:c r="L192" t="n">
        <x:f>K192*(1+($BG192+('Assumptions'!$D$12-$BG192)*(8-5)/5))</x:f>
        <x:v>1842.5045011774894</x:v>
      </x:c>
      <x:c r="M192" t="n">
        <x:f>L192*(1+($BG192+('Assumptions'!$D$12-$BG192)*(9-5)/5))</x:f>
        <x:v>1912.519672222234</x:v>
      </x:c>
      <x:c r="N192" t="n">
        <x:f>M192*(1+($BG192+('Assumptions'!$D$12-$BG192)*(10-5)/5))</x:f>
        <x:v>1969.895262388901</x:v>
      </x:c>
      <x:c r="O192" t="n">
        <x:f>0</x:f>
        <x:v>0</x:v>
      </x:c>
      <x:c r="P192" t="n">
        <x:f>0</x:f>
        <x:v>0</x:v>
      </x:c>
      <x:c r="Q192" t="n">
        <x:f>0</x:f>
        <x:v>0</x:v>
      </x:c>
      <x:c r="R192" t="n">
        <x:f>0</x:f>
        <x:v>0</x:v>
      </x:c>
      <x:c r="S192" t="n">
        <x:f>0</x:f>
        <x:v>0</x:v>
      </x:c>
      <x:c r="T192" t="n">
        <x:f>S192*(1+($BG192+('Assumptions'!$D$12-$BG192)*(6-5)/5))</x:f>
        <x:v>0</x:v>
      </x:c>
      <x:c r="U192" t="n">
        <x:f>T192*(1+($BG192+('Assumptions'!$D$12-$BG192)*(7-5)/5))</x:f>
        <x:v>0</x:v>
      </x:c>
      <x:c r="V192" t="n">
        <x:f>U192*(1+($BG192+('Assumptions'!$D$12-$BG192)*(8-5)/5))</x:f>
        <x:v>0</x:v>
      </x:c>
      <x:c r="W192" t="n">
        <x:f>V192*(1+($BG192+('Assumptions'!$D$12-$BG192)*(9-5)/5))</x:f>
        <x:v>0</x:v>
      </x:c>
      <x:c r="X192" t="n">
        <x:f>W192*(1+($BG192+('Assumptions'!$D$12-$BG192)*(10-5)/5))</x:f>
        <x:v>0</x:v>
      </x:c>
      <x:c r="Y192" t="n">
        <x:f>E192*'APPF Model'!$B$62+O192*'APPF Model'!$B$63+'APPF Model'!$B$73+'APPF Model'!$B$74</x:f>
        <x:v>246.11069999999998</x:v>
      </x:c>
      <x:c r="Z192" t="n">
        <x:f>F192*'APPF Model'!$C$62+P192*'APPF Model'!$C$63+'APPF Model'!$C$73+'APPF Model'!$C$74</x:f>
        <x:v>282.607116</x:v>
      </x:c>
      <x:c r="AA192" t="n">
        <x:f>G192*'APPF Model'!$D$62+Q192*'APPF Model'!$D$63+'APPF Model'!$D$73+'APPF Model'!$D$74</x:f>
        <x:v>316.13459658000005</x:v>
      </x:c>
      <x:c r="AB192" t="n">
        <x:f>H192*'APPF Model'!$E$62+R192*'APPF Model'!$E$63+'APPF Model'!$E$73+'APPF Model'!$E$74</x:f>
        <x:v>352.97114957279996</x:v>
      </x:c>
      <x:c r="AC192" t="n">
        <x:f>I192*'APPF Model'!$F$62+S192*'APPF Model'!$F$63+'APPF Model'!$F$73+'APPF Model'!$F$74</x:f>
        <x:v>385.547445252123</x:v>
      </x:c>
      <x:c r="AD192" t="n">
        <x:f>AX192*$AC192/$AW192</x:f>
        <x:v>409.4513868577547</x:v>
      </x:c>
      <x:c r="AE192" t="n">
        <x:f>AY192*$AC192/$AW192</x:f>
        <x:v>431.5617617480734</x:v>
      </x:c>
      <x:c r="AF192" t="n">
        <x:f>AZ192*$AC192/$AW192</x:f>
        <x:v>451.4136027884848</x:v>
      </x:c>
      <x:c r="AG192" t="n">
        <x:f>BA192*$AC192/$AW192</x:f>
        <x:v>468.56731969444735</x:v>
      </x:c>
      <x:c r="AH192" t="n">
        <x:f>BB192*$AC192/$AW192</x:f>
        <x:v>482.6243392852807</x:v>
      </x:c>
      <x:c r="AI192" t="n">
        <x:f>Y192*(1-'Assumptions'!$F$12)+AS192*'Assumptions'!$G$12-AS192*'APPF Model'!$B$65-(AS192-'Inputs'!$E$14)*'Assumptions'!$H$12-'Assumptions'!$I$12</x:f>
        <x:v>177.83980499999998</x:v>
      </x:c>
      <x:c r="AJ192" t="n">
        <x:f>Z192*(1-'Assumptions'!$F$12)+AT192*'Assumptions'!$G$12-AT192*'APPF Model'!$C$65-(AT192-AS192)*'Assumptions'!$H$12-0</x:f>
        <x:v>204.74009160000003</x:v>
      </x:c>
      <x:c r="AK192" t="n">
        <x:f>AA192*(1-'Assumptions'!$F$12)+AU192*'Assumptions'!$G$12-AU192*'APPF Model'!$D$65-(AU192-AT192)*'Assumptions'!$H$12-0</x:f>
        <x:v>229.38063485700002</x:v>
      </x:c>
      <x:c r="AL192" t="n">
        <x:f>AB192*(1-'Assumptions'!$F$12)+AV192*'Assumptions'!$G$12-AV192*'APPF Model'!$E$65-(AV192-AU192)*'Assumptions'!$H$12-0</x:f>
        <x:v>256.46762772114</x:v>
      </x:c>
      <x:c r="AM192" t="n">
        <x:f>AC192*(1-'Assumptions'!$F$12)+AW192*'Assumptions'!$G$12-AW192*'APPF Model'!$F$65-(AW192-AV192)*'Assumptions'!$H$12-0</x:f>
        <x:v>280.3215980685401</x:v>
      </x:c>
      <x:c r="AN192" t="n">
        <x:f>AD192*(1-'Assumptions'!$F$12)+AX192*'Assumptions'!$G$12-AX192*'APPF Model'!$G$65-(AX192-AW192)*'Assumptions'!$H$12-0</x:f>
        <x:v>298.17216534822</x:v>
      </x:c>
      <x:c r="AO192" t="n">
        <x:f>AE192*(1-'Assumptions'!$F$12)+AY192*'Assumptions'!$G$12-AY192*'APPF Model'!$H$65-(AY192-AX192)*'Assumptions'!$H$12-0</x:f>
        <x:v>314.77703445041436</x:v>
      </x:c>
      <x:c r="AP192" t="n">
        <x:f>AF192*(1-'Assumptions'!$F$12)+AZ192*'Assumptions'!$G$12-AZ192*'APPF Model'!$I$65-(AZ192-AY192)*'Assumptions'!$H$12-0</x:f>
        <x:v>329.79157168327424</x:v>
      </x:c>
      <x:c r="AQ192" t="n">
        <x:f>AG192*(1-'Assumptions'!$F$12)+BA192*'Assumptions'!$G$12-BA192*'APPF Model'!$J$65-(BA192-AZ192)*'Assumptions'!$H$12-0</x:f>
        <x:v>342.88732391237903</x:v>
      </x:c>
      <x:c r="AR192" t="n">
        <x:f>AH192*(1-'Assumptions'!$F$12)+BB192*'Assumptions'!$G$12-BB192*'APPF Model'!$K$65-(BB192-BA192)*'Assumptions'!$H$12-0</x:f>
        <x:v>353.7635450701272</x:v>
      </x:c>
      <x:c r="AS192" t="n">
        <x:f>E192+O192</x:f>
        <x:v>1200.54</x:v>
      </x:c>
      <x:c r="AT192" t="n">
        <x:f>F192+P192</x:f>
        <x:v>1284.5778</x:v>
      </x:c>
      <x:c r="AU192" t="n">
        <x:f>G192+Q192</x:f>
        <x:v>1374.498246</x:v>
      </x:c>
      <x:c r="AV192" t="n">
        <x:f>H192+R192</x:f>
        <x:v>1470.71312322</x:v>
      </x:c>
      <x:c r="AW192" t="n">
        <x:f>I192+S192</x:f>
        <x:v>1573.6630418454001</x:v>
      </x:c>
      <x:c r="AX192" t="n">
        <x:f>J192+T192</x:f>
        <x:v>1671.2301504398151</x:v>
      </x:c>
      <x:c r="AY192" t="n">
        <x:f>K192+U192</x:f>
        <x:v>1761.4765785635652</x:v>
      </x:c>
      <x:c r="AZ192" t="n">
        <x:f>L192+V192</x:f>
        <x:v>1842.5045011774894</x:v>
      </x:c>
      <x:c r="BA192" t="n">
        <x:f>M192+W192</x:f>
        <x:v>1912.519672222234</x:v>
      </x:c>
      <x:c r="BB192" t="n">
        <x:f>N192+X192</x:f>
        <x:v>1969.895262388901</x:v>
      </x:c>
      <x:c r="BC192" t="n">
        <x:f>AS192/'Inputs'!$E$14-1</x:f>
        <x:v>0.07000000000000006</x:v>
      </x:c>
      <x:c r="BD192" t="n">
        <x:f>AT192/AS192-1</x:f>
        <x:v>0.07000000000000006</x:v>
      </x:c>
      <x:c r="BE192" t="n">
        <x:f>AU192/AT192-1</x:f>
        <x:v>0.07000000000000006</x:v>
      </x:c>
      <x:c r="BF192" t="n">
        <x:f>AV192/AU192-1</x:f>
        <x:v>0.06999999999999984</x:v>
      </x:c>
      <x:c r="BG192" t="n">
        <x:f>AW192/AV192-1</x:f>
        <x:v>0.07000000000000006</x:v>
      </x:c>
      <x:c r="BH192" t="n">
        <x:f>AX192/AW192-1</x:f>
        <x:v>0.062000000000000055</x:v>
      </x:c>
      <x:c r="BI192" t="n">
        <x:f>AY192/AX192-1</x:f>
        <x:v>0.05400000000000005</x:v>
      </x:c>
      <x:c r="BJ192" t="n">
        <x:f>AZ192/AY192-1</x:f>
        <x:v>0.04600000000000004</x:v>
      </x:c>
      <x:c r="BK192" t="n">
        <x:f>BA192/AZ192-1</x:f>
        <x:v>0.038000000000000034</x:v>
      </x:c>
      <x:c r="BL192" t="n">
        <x:f>BB192/BA192-1</x:f>
        <x:v>0.030000000000000027</x:v>
      </x:c>
      <x:c r="BM192" t="n">
        <x:f>AH192*(1-'Assumptions'!$F$12)*(1+'Assumptions'!$D$12)*(1-'Assumptions'!$D$12/'Assumptions'!$E$12)</x:f>
        <x:v>340.87067620377536</x:v>
      </x:c>
      <x:c r="BN192" t="n">
        <x:f>SUMPRODUCT(AI192:AR192,'APPF Model'!$B$83:$K$83)+BM192/('Assumptions'!$C$12-'Assumptions'!$D$12)*'APPF Model'!$K$83</x:f>
        <x:v>3495.3789775640553</x:v>
      </x:c>
      <x:c r="BO192" t="n">
        <x:f>'APPF Model'!$B$94</x:f>
        <x:v>171.685</x:v>
      </x:c>
      <x:c r="BP192" t="n">
        <x:f>'Inputs'!$E$8</x:f>
        <x:v>36</x:v>
      </x:c>
    </x:row>
    <x:row r="193">
      <x:c r="A193" t="str">
        <x:v>APPF</x:v>
      </x:c>
      <x:c r="B193" s="22" t="n">
        <x:v>0.08</x:v>
      </x:c>
      <x:c r="C193" s="42" t="n">
        <x:f>(BN193+BO193)/BP193</x:f>
        <x:v>107.3448676020573</x:v>
      </x:c>
      <x:c r="D193" s="22" t="n">
        <x:f>C193/'Inputs'!$E$5-1</x:f>
        <x:v>-0.4990439256950845</x:v>
      </x:c>
      <x:c r="E193" t="n">
        <x:f>'Inputs'!$E$14*(1+$B193)^1</x:f>
        <x:v>1211.76</x:v>
      </x:c>
      <x:c r="F193" t="n">
        <x:f>'Inputs'!$E$14*(1+$B193)^2</x:f>
        <x:v>1308.7008</x:v>
      </x:c>
      <x:c r="G193" t="n">
        <x:f>'Inputs'!$E$14*(1+$B193)^3</x:f>
        <x:v>1413.3968640000003</x:v>
      </x:c>
      <x:c r="H193" t="n">
        <x:f>'Inputs'!$E$14*(1+$B193)^4</x:f>
        <x:v>1526.4686131200003</x:v>
      </x:c>
      <x:c r="I193" t="n">
        <x:f>'Inputs'!$E$14*(1+$B193)^5</x:f>
        <x:v>1648.5861021696003</x:v>
      </x:c>
      <x:c r="J193" t="n">
        <x:f>I193*(1+($BG193+('Assumptions'!$D$12-$BG193)*(6-5)/5))</x:f>
        <x:v>1763.9871293214721</x:v>
      </x:c>
      <x:c r="K193" t="n">
        <x:f>J193*(1+($BG193+('Assumptions'!$D$12-$BG193)*(7-5)/5))</x:f>
        <x:v>1869.82635708076</x:v>
      </x:c>
      <x:c r="L193" t="n">
        <x:f>K193*(1+($BG193+('Assumptions'!$D$12-$BG193)*(8-5)/5))</x:f>
        <x:v>1963.317674934798</x:v>
      </x:c>
      <x:c r="M193" t="n">
        <x:f>L193*(1+($BG193+('Assumptions'!$D$12-$BG193)*(9-5)/5))</x:f>
        <x:v>2041.8503819321902</x:v>
      </x:c>
      <x:c r="N193" t="n">
        <x:f>M193*(1+($BG193+('Assumptions'!$D$12-$BG193)*(10-5)/5))</x:f>
        <x:v>2103.105893390156</x:v>
      </x:c>
      <x:c r="O193" t="n">
        <x:f>0</x:f>
        <x:v>0</x:v>
      </x:c>
      <x:c r="P193" t="n">
        <x:f>0</x:f>
        <x:v>0</x:v>
      </x:c>
      <x:c r="Q193" t="n">
        <x:f>0</x:f>
        <x:v>0</x:v>
      </x:c>
      <x:c r="R193" t="n">
        <x:f>0</x:f>
        <x:v>0</x:v>
      </x:c>
      <x:c r="S193" t="n">
        <x:f>0</x:f>
        <x:v>0</x:v>
      </x:c>
      <x:c r="T193" t="n">
        <x:f>S193*(1+($BG193+('Assumptions'!$D$12-$BG193)*(6-5)/5))</x:f>
        <x:v>0</x:v>
      </x:c>
      <x:c r="U193" t="n">
        <x:f>T193*(1+($BG193+('Assumptions'!$D$12-$BG193)*(7-5)/5))</x:f>
        <x:v>0</x:v>
      </x:c>
      <x:c r="V193" t="n">
        <x:f>U193*(1+($BG193+('Assumptions'!$D$12-$BG193)*(8-5)/5))</x:f>
        <x:v>0</x:v>
      </x:c>
      <x:c r="W193" t="n">
        <x:f>V193*(1+($BG193+('Assumptions'!$D$12-$BG193)*(9-5)/5))</x:f>
        <x:v>0</x:v>
      </x:c>
      <x:c r="X193" t="n">
        <x:f>W193*(1+($BG193+('Assumptions'!$D$12-$BG193)*(10-5)/5))</x:f>
        <x:v>0</x:v>
      </x:c>
      <x:c r="Y193" t="n">
        <x:f>E193*'APPF Model'!$B$62+O193*'APPF Model'!$B$63+'APPF Model'!$B$73+'APPF Model'!$B$74</x:f>
        <x:v>248.4108</x:v>
      </x:c>
      <x:c r="Z193" t="n">
        <x:f>F193*'APPF Model'!$C$62+P193*'APPF Model'!$C$63+'APPF Model'!$C$73+'APPF Model'!$C$74</x:f>
        <x:v>287.914176</x:v>
      </x:c>
      <x:c r="AA193" t="n">
        <x:f>G193*'APPF Model'!$D$62+Q193*'APPF Model'!$D$63+'APPF Model'!$D$73+'APPF Model'!$D$74</x:f>
        <x:v>325.08127872000006</x:v>
      </x:c>
      <x:c r="AB193" t="n">
        <x:f>H193*'APPF Model'!$E$62+R193*'APPF Model'!$E$63+'APPF Model'!$E$73+'APPF Model'!$E$74</x:f>
        <x:v>366.3524671488001</x:v>
      </x:c>
      <x:c r="AC193" t="n">
        <x:f>I193*'APPF Model'!$F$62+S193*'APPF Model'!$F$63+'APPF Model'!$F$73+'APPF Model'!$F$74</x:f>
        <x:v>403.9035950315521</x:v>
      </x:c>
      <x:c r="AD193" t="n">
        <x:f>AX193*$AC193/$AW193</x:f>
        <x:v>432.1768466837607</x:v>
      </x:c>
      <x:c r="AE193" t="n">
        <x:f>AY193*$AC193/$AW193</x:f>
        <x:v>458.1074574847862</x:v>
      </x:c>
      <x:c r="AF193" t="n">
        <x:f>AZ193*$AC193/$AW193</x:f>
        <x:v>481.0128303590255</x:v>
      </x:c>
      <x:c r="AG193" t="n">
        <x:f>BA193*$AC193/$AW193</x:f>
        <x:v>500.2533435733866</x:v>
      </x:c>
      <x:c r="AH193" t="n">
        <x:f>BB193*$AC193/$AW193</x:f>
        <x:v>515.2609438805882</x:v>
      </x:c>
      <x:c r="AI193" t="n">
        <x:f>Y193*(1-'Assumptions'!$F$12)+AS193*'Assumptions'!$G$12-AS193*'APPF Model'!$B$65-(AS193-'Inputs'!$E$14)*'Assumptions'!$H$12-'Assumptions'!$I$12</x:f>
        <x:v>179.08242</x:v>
      </x:c>
      <x:c r="AJ193" t="n">
        <x:f>Z193*(1-'Assumptions'!$F$12)+AT193*'Assumptions'!$G$12-AT193*'APPF Model'!$C$65-(AT193-AS193)*'Assumptions'!$H$12-0</x:f>
        <x:v>208.13189759999997</x:v>
      </x:c>
      <x:c r="AK193" t="n">
        <x:f>AA193*(1-'Assumptions'!$F$12)+AU193*'Assumptions'!$G$12-AU193*'APPF Model'!$D$65-(AU193-AT193)*'Assumptions'!$H$12-0</x:f>
        <x:v>235.38292588800007</x:v>
      </x:c>
      <x:c r="AL193" t="n">
        <x:f>AB193*(1-'Assumptions'!$F$12)+AV193*'Assumptions'!$G$12-AV193*'APPF Model'!$E$65-(AV193-AU193)*'Assumptions'!$H$12-0</x:f>
        <x:v>265.66207455744006</x:v>
      </x:c>
      <x:c r="AM193" t="n">
        <x:f>AC193*(1-'Assumptions'!$F$12)+AW193*'Assumptions'!$G$12-AW193*'APPF Model'!$F$65-(AW193-AV193)*'Assumptions'!$H$12-0</x:f>
        <x:v>293.0972384051713</x:v>
      </x:c>
      <x:c r="AN193" t="n">
        <x:f>AD193*(1-'Assumptions'!$F$12)+AX193*'Assumptions'!$G$12-AX193*'APPF Model'!$G$65-(AX193-AW193)*'Assumptions'!$H$12-0</x:f>
        <x:v>314.22463253878124</x:v>
      </x:c>
      <x:c r="AO193" t="n">
        <x:f>AE193*(1-'Assumptions'!$F$12)+AY193*'Assumptions'!$G$12-AY193*'APPF Model'!$H$65-(AY193-AX193)*'Assumptions'!$H$12-0</x:f>
        <x:v>333.7375449319759</x:v>
      </x:c>
      <x:c r="AP193" t="n">
        <x:f>AF193*(1-'Assumptions'!$F$12)+AZ193*'Assumptions'!$G$12-AZ193*'APPF Model'!$I$65-(AZ193-AY193)*'Assumptions'!$H$12-0</x:f>
        <x:v>351.13001703030324</x:v>
      </x:c>
      <x:c r="AQ193" t="n">
        <x:f>AG193*(1-'Assumptions'!$F$12)+BA193*'Assumptions'!$G$12-BA193*'APPF Model'!$J$65-(BA193-AZ193)*'Assumptions'!$H$12-0</x:f>
        <x:v>365.9231482543477</x:v>
      </x:c>
      <x:c r="AR193" t="n">
        <x:f>AH193*(1-'Assumptions'!$F$12)+BB193*'Assumptions'!$G$12-BB193*'APPF Model'!$K$65-(BB193-BA193)*'Assumptions'!$H$12-0</x:f>
        <x:v>377.68616977195205</x:v>
      </x:c>
      <x:c r="AS193" t="n">
        <x:f>E193+O193</x:f>
        <x:v>1211.76</x:v>
      </x:c>
      <x:c r="AT193" t="n">
        <x:f>F193+P193</x:f>
        <x:v>1308.7008</x:v>
      </x:c>
      <x:c r="AU193" t="n">
        <x:f>G193+Q193</x:f>
        <x:v>1413.3968640000003</x:v>
      </x:c>
      <x:c r="AV193" t="n">
        <x:f>H193+R193</x:f>
        <x:v>1526.4686131200003</x:v>
      </x:c>
      <x:c r="AW193" t="n">
        <x:f>I193+S193</x:f>
        <x:v>1648.5861021696003</x:v>
      </x:c>
      <x:c r="AX193" t="n">
        <x:f>J193+T193</x:f>
        <x:v>1763.9871293214721</x:v>
      </x:c>
      <x:c r="AY193" t="n">
        <x:f>K193+U193</x:f>
        <x:v>1869.82635708076</x:v>
      </x:c>
      <x:c r="AZ193" t="n">
        <x:f>L193+V193</x:f>
        <x:v>1963.317674934798</x:v>
      </x:c>
      <x:c r="BA193" t="n">
        <x:f>M193+W193</x:f>
        <x:v>2041.8503819321902</x:v>
      </x:c>
      <x:c r="BB193" t="n">
        <x:f>N193+X193</x:f>
        <x:v>2103.105893390156</x:v>
      </x:c>
      <x:c r="BC193" t="n">
        <x:f>AS193/'Inputs'!$E$14-1</x:f>
        <x:v>0.08000000000000007</x:v>
      </x:c>
      <x:c r="BD193" t="n">
        <x:f>AT193/AS193-1</x:f>
        <x:v>0.08000000000000007</x:v>
      </x:c>
      <x:c r="BE193" t="n">
        <x:f>AU193/AT193-1</x:f>
        <x:v>0.08000000000000007</x:v>
      </x:c>
      <x:c r="BF193" t="n">
        <x:f>AV193/AU193-1</x:f>
        <x:v>0.08000000000000007</x:v>
      </x:c>
      <x:c r="BG193" t="n">
        <x:f>AW193/AV193-1</x:f>
        <x:v>0.07999999999999985</x:v>
      </x:c>
      <x:c r="BH193" t="n">
        <x:f>AX193/AW193-1</x:f>
        <x:v>0.06999999999999984</x:v>
      </x:c>
      <x:c r="BI193" t="n">
        <x:f>AY193/AX193-1</x:f>
        <x:v>0.05999999999999983</x:v>
      </x:c>
      <x:c r="BJ193" t="n">
        <x:f>AZ193/AY193-1</x:f>
        <x:v>0.050000000000000044</x:v>
      </x:c>
      <x:c r="BK193" t="n">
        <x:f>BA193/AZ193-1</x:f>
        <x:v>0.040000000000000036</x:v>
      </x:c>
      <x:c r="BL193" t="n">
        <x:f>BB193/BA193-1</x:f>
        <x:v>0.030000000000000027</x:v>
      </x:c>
      <x:c r="BM193" t="n">
        <x:f>AH193*(1-'Assumptions'!$F$12)*(1+'Assumptions'!$D$12)*(1-'Assumptions'!$D$12/'Assumptions'!$E$12)</x:f>
        <x:v>363.9214437922326</x:v>
      </x:c>
      <x:c r="BN193" t="n">
        <x:f>SUMPRODUCT(AI193:AR193,'APPF Model'!$B$83:$K$83)+BM193/('Assumptions'!$C$12-'Assumptions'!$D$12)*'APPF Model'!$K$83</x:f>
        <x:v>3692.730233674063</x:v>
      </x:c>
      <x:c r="BO193" t="n">
        <x:f>'APPF Model'!$B$94</x:f>
        <x:v>171.685</x:v>
      </x:c>
      <x:c r="BP193" t="n">
        <x:f>'Inputs'!$E$8</x:f>
        <x:v>36</x:v>
      </x:c>
    </x:row>
    <x:row r="194">
      <x:c r="A194" t="str">
        <x:v>APPF</x:v>
      </x:c>
      <x:c r="B194" s="22" t="n">
        <x:v>0.09</x:v>
      </x:c>
      <x:c r="C194" s="42" t="n">
        <x:f>(BN194+BO194)/BP194</x:f>
        <x:v>113.11992431061745</x:v>
      </x:c>
      <x:c r="D194" s="22" t="n">
        <x:f>C194/'Inputs'!$E$5-1</x:f>
        <x:v>-0.4720929423622482</x:v>
      </x:c>
      <x:c r="E194" t="n">
        <x:f>'Inputs'!$E$14*(1+$B194)^1</x:f>
        <x:v>1222.98</x:v>
      </x:c>
      <x:c r="F194" t="n">
        <x:f>'Inputs'!$E$14*(1+$B194)^2</x:f>
        <x:v>1333.0482000000002</x:v>
      </x:c>
      <x:c r="G194" t="n">
        <x:f>'Inputs'!$E$14*(1+$B194)^3</x:f>
        <x:v>1453.0225380000002</x:v>
      </x:c>
      <x:c r="H194" t="n">
        <x:f>'Inputs'!$E$14*(1+$B194)^4</x:f>
        <x:v>1583.7945664200004</x:v>
      </x:c>
      <x:c r="I194" t="n">
        <x:f>'Inputs'!$E$14*(1+$B194)^5</x:f>
        <x:v>1726.3360773978006</x:v>
      </x:c>
      <x:c r="J194" t="n">
        <x:f>I194*(1+($BG194+('Assumptions'!$D$12-$BG194)*(6-5)/5))</x:f>
        <x:v>1860.9902914348293</x:v>
      </x:c>
      <x:c r="K194" t="n">
        <x:f>J194*(1+($BG194+('Assumptions'!$D$12-$BG194)*(7-5)/5))</x:f>
        <x:v>1983.8156506695282</x:v>
      </x:c>
      <x:c r="L194" t="n">
        <x:f>K194*(1+($BG194+('Assumptions'!$D$12-$BG194)*(8-5)/5))</x:f>
        <x:v>2090.9416958056827</x:v>
      </x:c>
      <x:c r="M194" t="n">
        <x:f>L194*(1+($BG194+('Assumptions'!$D$12-$BG194)*(9-5)/5))</x:f>
        <x:v>2178.7612470295217</x:v>
      </x:c>
      <x:c r="N194" t="n">
        <x:f>M194*(1+($BG194+('Assumptions'!$D$12-$BG194)*(10-5)/5))</x:f>
        <x:v>2244.1240844404074</x:v>
      </x:c>
      <x:c r="O194" t="n">
        <x:f>0</x:f>
        <x:v>0</x:v>
      </x:c>
      <x:c r="P194" t="n">
        <x:f>0</x:f>
        <x:v>0</x:v>
      </x:c>
      <x:c r="Q194" t="n">
        <x:f>0</x:f>
        <x:v>0</x:v>
      </x:c>
      <x:c r="R194" t="n">
        <x:f>0</x:f>
        <x:v>0</x:v>
      </x:c>
      <x:c r="S194" t="n">
        <x:f>0</x:f>
        <x:v>0</x:v>
      </x:c>
      <x:c r="T194" t="n">
        <x:f>S194*(1+($BG194+('Assumptions'!$D$12-$BG194)*(6-5)/5))</x:f>
        <x:v>0</x:v>
      </x:c>
      <x:c r="U194" t="n">
        <x:f>T194*(1+($BG194+('Assumptions'!$D$12-$BG194)*(7-5)/5))</x:f>
        <x:v>0</x:v>
      </x:c>
      <x:c r="V194" t="n">
        <x:f>U194*(1+($BG194+('Assumptions'!$D$12-$BG194)*(8-5)/5))</x:f>
        <x:v>0</x:v>
      </x:c>
      <x:c r="W194" t="n">
        <x:f>V194*(1+($BG194+('Assumptions'!$D$12-$BG194)*(9-5)/5))</x:f>
        <x:v>0</x:v>
      </x:c>
      <x:c r="X194" t="n">
        <x:f>W194*(1+($BG194+('Assumptions'!$D$12-$BG194)*(10-5)/5))</x:f>
        <x:v>0</x:v>
      </x:c>
      <x:c r="Y194" t="n">
        <x:f>E194*'APPF Model'!$B$62+O194*'APPF Model'!$B$63+'APPF Model'!$B$73+'APPF Model'!$B$74</x:f>
        <x:v>250.71089999999998</x:v>
      </x:c>
      <x:c r="Z194" t="n">
        <x:f>F194*'APPF Model'!$C$62+P194*'APPF Model'!$C$63+'APPF Model'!$C$73+'APPF Model'!$C$74</x:f>
        <x:v>293.27060400000005</x:v>
      </x:c>
      <x:c r="AA194" t="n">
        <x:f>G194*'APPF Model'!$D$62+Q194*'APPF Model'!$D$63+'APPF Model'!$D$73+'APPF Model'!$D$74</x:f>
        <x:v>334.19518374000006</x:v>
      </x:c>
      <x:c r="AB194" t="n">
        <x:f>H194*'APPF Model'!$E$62+R194*'APPF Model'!$E$63+'APPF Model'!$E$73+'APPF Model'!$E$74</x:f>
        <x:v>380.1106959408001</x:v>
      </x:c>
      <x:c r="AC194" t="n">
        <x:f>I194*'APPF Model'!$F$62+S194*'APPF Model'!$F$63+'APPF Model'!$F$73+'APPF Model'!$F$74</x:f>
        <x:v>422.95233896246117</x:v>
      </x:c>
      <x:c r="AD194" t="n">
        <x:f>AX194*$AC194/$AW194</x:f>
        <x:v>455.9426214015332</x:v>
      </x:c>
      <x:c r="AE194" t="n">
        <x:f>AY194*$AC194/$AW194</x:f>
        <x:v>486.03483441403444</x:v>
      </x:c>
      <x:c r="AF194" t="n">
        <x:f>AZ194*$AC194/$AW194</x:f>
        <x:v>512.2807154723923</x:v>
      </x:c>
      <x:c r="AG194" t="n">
        <x:f>BA194*$AC194/$AW194</x:f>
        <x:v>533.7965055222328</x:v>
      </x:c>
      <x:c r="AH194" t="n">
        <x:f>BB194*$AC194/$AW194</x:f>
        <x:v>549.8104006878998</x:v>
      </x:c>
      <x:c r="AI194" t="n">
        <x:f>Y194*(1-'Assumptions'!$F$12)+AS194*'Assumptions'!$G$12-AS194*'APPF Model'!$B$65-(AS194-'Inputs'!$E$14)*'Assumptions'!$H$12-'Assumptions'!$I$12</x:f>
        <x:v>180.32503499999999</x:v>
      </x:c>
      <x:c r="AJ194" t="n">
        <x:f>Z194*(1-'Assumptions'!$F$12)+AT194*'Assumptions'!$G$12-AT194*'APPF Model'!$C$65-(AT194-AS194)*'Assumptions'!$H$12-0</x:f>
        <x:v>211.55108040000005</x:v>
      </x:c>
      <x:c r="AK194" t="n">
        <x:f>AA194*(1-'Assumptions'!$F$12)+AU194*'Assumptions'!$G$12-AU194*'APPF Model'!$D$65-(AU194-AT194)*'Assumptions'!$H$12-0</x:f>
        <x:v>241.48834667100004</x:v>
      </x:c>
      <x:c r="AL194" t="n">
        <x:f>AB194*(1-'Assumptions'!$F$12)+AV194*'Assumptions'!$G$12-AV194*'APPF Model'!$E$65-(AV194-AU194)*'Assumptions'!$H$12-0</x:f>
        <x:v>275.1007571195401</x:v>
      </x:c>
      <x:c r="AM194" t="n">
        <x:f>AC194*(1-'Assumptions'!$F$12)+AW194*'Assumptions'!$G$12-AW194*'APPF Model'!$F$65-(AW194-AV194)*'Assumptions'!$H$12-0</x:f>
        <x:v>306.3335855505404</x:v>
      </x:c>
      <x:c r="AN194" t="n">
        <x:f>AD194*(1-'Assumptions'!$F$12)+AX194*'Assumptions'!$G$12-AX194*'APPF Model'!$G$65-(AX194-AW194)*'Assumptions'!$H$12-0</x:f>
        <x:v>330.98782661536427</x:v>
      </x:c>
      <x:c r="AO194" t="n">
        <x:f>AE194*(1-'Assumptions'!$F$12)+AY194*'Assumptions'!$G$12-AY194*'APPF Model'!$H$65-(AY194-AX194)*'Assumptions'!$H$12-0</x:f>
        <x:v>353.6616644891293</x:v>
      </x:c>
      <x:c r="AP194" t="n">
        <x:f>AF194*(1-'Assumptions'!$F$12)+AZ194*'Assumptions'!$G$12-AZ194*'APPF Model'!$I$65-(AZ194-AY194)*'Assumptions'!$H$12-0</x:f>
        <x:v>373.65266971143103</x:v>
      </x:c>
      <x:c r="AQ194" t="n">
        <x:f>AG194*(1-'Assumptions'!$F$12)+BA194*'Assumptions'!$G$12-BA194*'APPF Model'!$J$65-(BA194-AZ194)*'Assumptions'!$H$12-0</x:f>
        <x:v>390.2983133516325</x:v>
      </x:c>
      <x:c r="AR194" t="n">
        <x:f>AH194*(1-'Assumptions'!$F$12)+BB194*'Assumptions'!$G$12-BB194*'APPF Model'!$K$65-(BB194-BA194)*'Assumptions'!$H$12-0</x:f>
        <x:v>403.0109147661681</x:v>
      </x:c>
      <x:c r="AS194" t="n">
        <x:f>E194+O194</x:f>
        <x:v>1222.98</x:v>
      </x:c>
      <x:c r="AT194" t="n">
        <x:f>F194+P194</x:f>
        <x:v>1333.0482000000002</x:v>
      </x:c>
      <x:c r="AU194" t="n">
        <x:f>G194+Q194</x:f>
        <x:v>1453.0225380000002</x:v>
      </x:c>
      <x:c r="AV194" t="n">
        <x:f>H194+R194</x:f>
        <x:v>1583.7945664200004</x:v>
      </x:c>
      <x:c r="AW194" t="n">
        <x:f>I194+S194</x:f>
        <x:v>1726.3360773978006</x:v>
      </x:c>
      <x:c r="AX194" t="n">
        <x:f>J194+T194</x:f>
        <x:v>1860.9902914348293</x:v>
      </x:c>
      <x:c r="AY194" t="n">
        <x:f>K194+U194</x:f>
        <x:v>1983.8156506695282</x:v>
      </x:c>
      <x:c r="AZ194" t="n">
        <x:f>L194+V194</x:f>
        <x:v>2090.9416958056827</x:v>
      </x:c>
      <x:c r="BA194" t="n">
        <x:f>M194+W194</x:f>
        <x:v>2178.7612470295217</x:v>
      </x:c>
      <x:c r="BB194" t="n">
        <x:f>N194+X194</x:f>
        <x:v>2244.1240844404074</x:v>
      </x:c>
      <x:c r="BC194" t="n">
        <x:f>AS194/'Inputs'!$E$14-1</x:f>
        <x:v>0.09000000000000008</x:v>
      </x:c>
      <x:c r="BD194" t="n">
        <x:f>AT194/AS194-1</x:f>
        <x:v>0.09000000000000008</x:v>
      </x:c>
      <x:c r="BE194" t="n">
        <x:f>AU194/AT194-1</x:f>
        <x:v>0.09000000000000008</x:v>
      </x:c>
      <x:c r="BF194" t="n">
        <x:f>AV194/AU194-1</x:f>
        <x:v>0.09000000000000008</x:v>
      </x:c>
      <x:c r="BG194" t="n">
        <x:f>AW194/AV194-1</x:f>
        <x:v>0.09000000000000008</x:v>
      </x:c>
      <x:c r="BH194" t="n">
        <x:f>AX194/AW194-1</x:f>
        <x:v>0.07800000000000007</x:v>
      </x:c>
      <x:c r="BI194" t="n">
        <x:f>AY194/AX194-1</x:f>
        <x:v>0.06600000000000006</x:v>
      </x:c>
      <x:c r="BJ194" t="n">
        <x:f>AZ194/AY194-1</x:f>
        <x:v>0.05400000000000005</x:v>
      </x:c>
      <x:c r="BK194" t="n">
        <x:f>BA194/AZ194-1</x:f>
        <x:v>0.04200000000000004</x:v>
      </x:c>
      <x:c r="BL194" t="n">
        <x:f>BB194/BA194-1</x:f>
        <x:v>0.030000000000000027</x:v>
      </x:c>
      <x:c r="BM194" t="n">
        <x:f>AH194*(1-'Assumptions'!$F$12)*(1+'Assumptions'!$D$12)*(1-'Assumptions'!$D$12/'Assumptions'!$E$12)</x:f>
        <x:v>388.3232315715681</x:v>
      </x:c>
      <x:c r="BN194" t="n">
        <x:f>SUMPRODUCT(AI194:AR194,'APPF Model'!$B$83:$K$83)+BM194/('Assumptions'!$C$12-'Assumptions'!$D$12)*'APPF Model'!$K$83</x:f>
        <x:v>3900.632275182228</x:v>
      </x:c>
      <x:c r="BO194" t="n">
        <x:f>'APPF Model'!$B$94</x:f>
        <x:v>171.685</x:v>
      </x:c>
      <x:c r="BP194" t="n">
        <x:f>'Inputs'!$E$8</x:f>
        <x:v>36</x:v>
      </x:c>
    </x:row>
    <x:row r="195">
      <x:c r="A195" t="str">
        <x:v>APPF</x:v>
      </x:c>
      <x:c r="B195" s="22" t="n">
        <x:v>0.1</x:v>
      </x:c>
      <x:c r="C195" s="42" t="n">
        <x:f>(BN195+BO195)/BP195</x:f>
        <x:v>119.20188711009625</x:v>
      </x:c>
      <x:c r="D195" s="22" t="n">
        <x:f>C195/'Inputs'!$E$5-1</x:f>
        <x:v>-0.4437096924113485</x:v>
      </x:c>
      <x:c r="E195" t="n">
        <x:f>'Inputs'!$E$14*(1+$B195)^1</x:f>
        <x:v>1234.2</x:v>
      </x:c>
      <x:c r="F195" t="n">
        <x:f>'Inputs'!$E$14*(1+$B195)^2</x:f>
        <x:v>1357.6200000000001</x:v>
      </x:c>
      <x:c r="G195" t="n">
        <x:f>'Inputs'!$E$14*(1+$B195)^3</x:f>
        <x:v>1493.3820000000005</x:v>
      </x:c>
      <x:c r="H195" t="n">
        <x:f>'Inputs'!$E$14*(1+$B195)^4</x:f>
        <x:v>1642.7202000000004</x:v>
      </x:c>
      <x:c r="I195" t="n">
        <x:f>'Inputs'!$E$14*(1+$B195)^5</x:f>
        <x:v>1806.9922200000005</x:v>
      </x:c>
      <x:c r="J195" t="n">
        <x:f>I195*(1+($BG195+('Assumptions'!$D$12-$BG195)*(6-5)/5))</x:f>
        <x:v>1962.3935509200007</x:v>
      </x:c>
      <x:c r="K195" t="n">
        <x:f>J195*(1+($BG195+('Assumptions'!$D$12-$BG195)*(7-5)/5))</x:f>
        <x:v>2103.685886586241</x:v>
      </x:c>
      <x:c r="L195" t="n">
        <x:f>K195*(1+($BG195+('Assumptions'!$D$12-$BG195)*(8-5)/5))</x:f>
        <x:v>2225.699668008243</x:v>
      </x:c>
      <x:c r="M195" t="n">
        <x:f>L195*(1+($BG195+('Assumptions'!$D$12-$BG195)*(9-5)/5))</x:f>
        <x:v>2323.630453400606</x:v>
      </x:c>
      <x:c r="N195" t="n">
        <x:f>M195*(1+($BG195+('Assumptions'!$D$12-$BG195)*(10-5)/5))</x:f>
        <x:v>2393.339367002624</x:v>
      </x:c>
      <x:c r="O195" t="n">
        <x:f>0</x:f>
        <x:v>0</x:v>
      </x:c>
      <x:c r="P195" t="n">
        <x:f>0</x:f>
        <x:v>0</x:v>
      </x:c>
      <x:c r="Q195" t="n">
        <x:f>0</x:f>
        <x:v>0</x:v>
      </x:c>
      <x:c r="R195" t="n">
        <x:f>0</x:f>
        <x:v>0</x:v>
      </x:c>
      <x:c r="S195" t="n">
        <x:f>0</x:f>
        <x:v>0</x:v>
      </x:c>
      <x:c r="T195" t="n">
        <x:f>S195*(1+($BG195+('Assumptions'!$D$12-$BG195)*(6-5)/5))</x:f>
        <x:v>0</x:v>
      </x:c>
      <x:c r="U195" t="n">
        <x:f>T195*(1+($BG195+('Assumptions'!$D$12-$BG195)*(7-5)/5))</x:f>
        <x:v>0</x:v>
      </x:c>
      <x:c r="V195" t="n">
        <x:f>U195*(1+($BG195+('Assumptions'!$D$12-$BG195)*(8-5)/5))</x:f>
        <x:v>0</x:v>
      </x:c>
      <x:c r="W195" t="n">
        <x:f>V195*(1+($BG195+('Assumptions'!$D$12-$BG195)*(9-5)/5))</x:f>
        <x:v>0</x:v>
      </x:c>
      <x:c r="X195" t="n">
        <x:f>W195*(1+($BG195+('Assumptions'!$D$12-$BG195)*(10-5)/5))</x:f>
        <x:v>0</x:v>
      </x:c>
      <x:c r="Y195" t="n">
        <x:f>E195*'APPF Model'!$B$62+O195*'APPF Model'!$B$63+'APPF Model'!$B$73+'APPF Model'!$B$74</x:f>
        <x:v>253.011</x:v>
      </x:c>
      <x:c r="Z195" t="n">
        <x:f>F195*'APPF Model'!$C$62+P195*'APPF Model'!$C$63+'APPF Model'!$C$73+'APPF Model'!$C$74</x:f>
        <x:v>298.6764</x:v>
      </x:c>
      <x:c r="AA195" t="n">
        <x:f>G195*'APPF Model'!$D$62+Q195*'APPF Model'!$D$63+'APPF Model'!$D$73+'APPF Model'!$D$74</x:f>
        <x:v>343.47786000000013</x:v>
      </x:c>
      <x:c r="AB195" t="n">
        <x:f>H195*'APPF Model'!$E$62+R195*'APPF Model'!$E$63+'APPF Model'!$E$73+'APPF Model'!$E$74</x:f>
        <x:v>394.2528480000001</x:v>
      </x:c>
      <x:c r="AC195" t="n">
        <x:f>I195*'APPF Model'!$F$62+S195*'APPF Model'!$F$63+'APPF Model'!$F$73+'APPF Model'!$F$74</x:f>
        <x:v>442.7130939000001</x:v>
      </x:c>
      <x:c r="AD195" t="n">
        <x:f>AX195*$AC195/$AW195</x:f>
        <x:v>480.7864199754002</x:v>
      </x:c>
      <x:c r="AE195" t="n">
        <x:f>AY195*$AC195/$AW195</x:f>
        <x:v>515.4030422136291</x:v>
      </x:c>
      <x:c r="AF195" t="n">
        <x:f>AZ195*$AC195/$AW195</x:f>
        <x:v>545.2964186620195</x:v>
      </x:c>
      <x:c r="AG195" t="n">
        <x:f>BA195*$AC195/$AW195</x:f>
        <x:v>569.2894610831484</x:v>
      </x:c>
      <x:c r="AH195" t="n">
        <x:f>BB195*$AC195/$AW195</x:f>
        <x:v>586.3681449156428</x:v>
      </x:c>
      <x:c r="AI195" t="n">
        <x:f>Y195*(1-'Assumptions'!$F$12)+AS195*'Assumptions'!$G$12-AS195*'APPF Model'!$B$65-(AS195-'Inputs'!$E$14)*'Assumptions'!$H$12-'Assumptions'!$I$12</x:f>
        <x:v>181.56765</x:v>
      </x:c>
      <x:c r="AJ195" t="n">
        <x:f>Z195*(1-'Assumptions'!$F$12)+AT195*'Assumptions'!$G$12-AT195*'APPF Model'!$C$65-(AT195-AS195)*'Assumptions'!$H$12-0</x:f>
        <x:v>214.99764</x:v>
      </x:c>
      <x:c r="AK195" t="n">
        <x:f>AA195*(1-'Assumptions'!$F$12)+AU195*'Assumptions'!$G$12-AU195*'APPF Model'!$D$65-(AU195-AT195)*'Assumptions'!$H$12-0</x:f>
        <x:v>247.69776900000008</x:v>
      </x:c>
      <x:c r="AL195" t="n">
        <x:f>AB195*(1-'Assumptions'!$F$12)+AV195*'Assumptions'!$G$12-AV195*'APPF Model'!$E$65-(AV195-AU195)*'Assumptions'!$H$12-0</x:f>
        <x:v>284.78794740000006</x:v>
      </x:c>
      <x:c r="AM195" t="n">
        <x:f>AC195*(1-'Assumptions'!$F$12)+AW195*'Assumptions'!$G$12-AW195*'APPF Model'!$F$65-(AW195-AV195)*'Assumptions'!$H$12-0</x:f>
        <x:v>320.04296296500013</x:v>
      </x:c>
      <x:c r="AN195" t="n">
        <x:f>AD195*(1-'Assumptions'!$F$12)+AX195*'Assumptions'!$G$12-AX195*'APPF Model'!$G$65-(AX195-AW195)*'Assumptions'!$H$12-0</x:f>
        <x:v>348.48658109199016</x:v>
      </x:c>
      <x:c r="AO195" t="n">
        <x:f>AE195*(1-'Assumptions'!$F$12)+AY195*'Assumptions'!$G$12-AY195*'APPF Model'!$H$65-(AY195-AX195)*'Assumptions'!$H$12-0</x:f>
        <x:v>374.5895305738134</x:v>
      </x:c>
      <x:c r="AP195" t="n">
        <x:f>AF195*(1-'Assumptions'!$F$12)+AZ195*'Assumptions'!$G$12-AZ195*'APPF Model'!$I$65-(AZ195-AY195)*'Assumptions'!$H$12-0</x:f>
        <x:v>397.4146637356098</x:v>
      </x:c>
      <x:c r="AQ195" t="n">
        <x:f>AG195*(1-'Assumptions'!$F$12)+BA195*'Assumptions'!$G$12-BA195*'APPF Model'!$J$65-(BA195-AZ195)*'Assumptions'!$H$12-0</x:f>
        <x:v>416.07897303646496</x:v>
      </x:c>
      <x:c r="AR195" t="n">
        <x:f>AH195*(1-'Assumptions'!$F$12)+BB195*'Assumptions'!$G$12-BB195*'APPF Model'!$K$65-(BB195-BA195)*'Assumptions'!$H$12-0</x:f>
        <x:v>429.80773404164347</x:v>
      </x:c>
      <x:c r="AS195" t="n">
        <x:f>E195+O195</x:f>
        <x:v>1234.2</x:v>
      </x:c>
      <x:c r="AT195" t="n">
        <x:f>F195+P195</x:f>
        <x:v>1357.6200000000001</x:v>
      </x:c>
      <x:c r="AU195" t="n">
        <x:f>G195+Q195</x:f>
        <x:v>1493.3820000000005</x:v>
      </x:c>
      <x:c r="AV195" t="n">
        <x:f>H195+R195</x:f>
        <x:v>1642.7202000000004</x:v>
      </x:c>
      <x:c r="AW195" t="n">
        <x:f>I195+S195</x:f>
        <x:v>1806.9922200000005</x:v>
      </x:c>
      <x:c r="AX195" t="n">
        <x:f>J195+T195</x:f>
        <x:v>1962.3935509200007</x:v>
      </x:c>
      <x:c r="AY195" t="n">
        <x:f>K195+U195</x:f>
        <x:v>2103.685886586241</x:v>
      </x:c>
      <x:c r="AZ195" t="n">
        <x:f>L195+V195</x:f>
        <x:v>2225.699668008243</x:v>
      </x:c>
      <x:c r="BA195" t="n">
        <x:f>M195+W195</x:f>
        <x:v>2323.630453400606</x:v>
      </x:c>
      <x:c r="BB195" t="n">
        <x:f>N195+X195</x:f>
        <x:v>2393.339367002624</x:v>
      </x:c>
      <x:c r="BC195" t="n">
        <x:f>AS195/'Inputs'!$E$14-1</x:f>
        <x:v>0.10000000000000009</x:v>
      </x:c>
      <x:c r="BD195" t="n">
        <x:f>AT195/AS195-1</x:f>
        <x:v>0.10000000000000009</x:v>
      </x:c>
      <x:c r="BE195" t="n">
        <x:f>AU195/AT195-1</x:f>
        <x:v>0.10000000000000031</x:v>
      </x:c>
      <x:c r="BF195" t="n">
        <x:f>AV195/AU195-1</x:f>
        <x:v>0.09999999999999987</x:v>
      </x:c>
      <x:c r="BG195" t="n">
        <x:f>AW195/AV195-1</x:f>
        <x:v>0.10000000000000009</x:v>
      </x:c>
      <x:c r="BH195" t="n">
        <x:f>AX195/AW195-1</x:f>
        <x:v>0.08600000000000008</x:v>
      </x:c>
      <x:c r="BI195" t="n">
        <x:f>AY195/AX195-1</x:f>
        <x:v>0.07200000000000006</x:v>
      </x:c>
      <x:c r="BJ195" t="n">
        <x:f>AZ195/AY195-1</x:f>
        <x:v>0.05800000000000005</x:v>
      </x:c>
      <x:c r="BK195" t="n">
        <x:f>BA195/AZ195-1</x:f>
        <x:v>0.04400000000000004</x:v>
      </x:c>
      <x:c r="BL195" t="n">
        <x:f>BB195/BA195-1</x:f>
        <x:v>0.030000000000000027</x:v>
      </x:c>
      <x:c r="BM195" t="n">
        <x:f>AH195*(1-'Assumptions'!$F$12)*(1+'Assumptions'!$D$12)*(1-'Assumptions'!$D$12/'Assumptions'!$E$12)</x:f>
        <x:v>414.14344406613395</x:v>
      </x:c>
      <x:c r="BN195" t="n">
        <x:f>SUMPRODUCT(AI195:AR195,'APPF Model'!$B$83:$K$83)+BM195/('Assumptions'!$C$12-'Assumptions'!$D$12)*'APPF Model'!$K$83</x:f>
        <x:v>4119.5829359634645</x:v>
      </x:c>
      <x:c r="BO195" t="n">
        <x:f>'APPF Model'!$B$94</x:f>
        <x:v>171.685</x:v>
      </x:c>
      <x:c r="BP195" t="n">
        <x:f>'Inputs'!$E$8</x:f>
        <x:v>36</x:v>
      </x:c>
    </x:row>
    <x:row r="196">
      <x:c r="A196" t="str">
        <x:v>APPF</x:v>
      </x:c>
      <x:c r="B196" s="22" t="n">
        <x:v>0.11</x:v>
      </x:c>
      <x:c r="C196" s="42" t="n">
        <x:f>(BN196+BO196)/BP196</x:f>
        <x:v>125.60513582309078</x:v>
      </x:c>
      <x:c r="D196" s="22" t="n">
        <x:f>C196/'Inputs'!$E$5-1</x:f>
        <x:v>-0.4138270682140621</x:v>
      </x:c>
      <x:c r="E196" t="n">
        <x:f>'Inputs'!$E$14*(1+$B196)^1</x:f>
        <x:v>1245.42</x:v>
      </x:c>
      <x:c r="F196" t="n">
        <x:f>'Inputs'!$E$14*(1+$B196)^2</x:f>
        <x:v>1382.4162000000001</x:v>
      </x:c>
      <x:c r="G196" t="n">
        <x:f>'Inputs'!$E$14*(1+$B196)^3</x:f>
        <x:v>1534.4819820000002</x:v>
      </x:c>
      <x:c r="H196" t="n">
        <x:f>'Inputs'!$E$14*(1+$B196)^4</x:f>
        <x:v>1703.2750000200006</x:v>
      </x:c>
      <x:c r="I196" t="n">
        <x:f>'Inputs'!$E$14*(1+$B196)^5</x:f>
        <x:v>1890.6352500222006</x:v>
      </x:c>
      <x:c r="J196" t="n">
        <x:f>I196*(1+($BG196+('Assumptions'!$D$12-$BG196)*(6-5)/5))</x:f>
        <x:v>2068.354963524287</x:v>
      </x:c>
      <x:c r="K196" t="n">
        <x:f>J196*(1+($BG196+('Assumptions'!$D$12-$BG196)*(7-5)/5))</x:f>
        <x:v>2229.686650679181</x:v>
      </x:c>
      <x:c r="L196" t="n">
        <x:f>K196*(1+($BG196+('Assumptions'!$D$12-$BG196)*(8-5)/5))</x:f>
        <x:v>2367.9272230212905</x:v>
      </x:c>
      <x:c r="M196" t="n">
        <x:f>L196*(1+($BG196+('Assumptions'!$D$12-$BG196)*(9-5)/5))</x:f>
        <x:v>2476.85187528027</x:v>
      </x:c>
      <x:c r="N196" t="n">
        <x:f>M196*(1+($BG196+('Assumptions'!$D$12-$BG196)*(10-5)/5))</x:f>
        <x:v>2551.1574315386783</x:v>
      </x:c>
      <x:c r="O196" t="n">
        <x:f>0</x:f>
        <x:v>0</x:v>
      </x:c>
      <x:c r="P196" t="n">
        <x:f>0</x:f>
        <x:v>0</x:v>
      </x:c>
      <x:c r="Q196" t="n">
        <x:f>0</x:f>
        <x:v>0</x:v>
      </x:c>
      <x:c r="R196" t="n">
        <x:f>0</x:f>
        <x:v>0</x:v>
      </x:c>
      <x:c r="S196" t="n">
        <x:f>0</x:f>
        <x:v>0</x:v>
      </x:c>
      <x:c r="T196" t="n">
        <x:f>S196*(1+($BG196+('Assumptions'!$D$12-$BG196)*(6-5)/5))</x:f>
        <x:v>0</x:v>
      </x:c>
      <x:c r="U196" t="n">
        <x:f>T196*(1+($BG196+('Assumptions'!$D$12-$BG196)*(7-5)/5))</x:f>
        <x:v>0</x:v>
      </x:c>
      <x:c r="V196" t="n">
        <x:f>U196*(1+($BG196+('Assumptions'!$D$12-$BG196)*(8-5)/5))</x:f>
        <x:v>0</x:v>
      </x:c>
      <x:c r="W196" t="n">
        <x:f>V196*(1+($BG196+('Assumptions'!$D$12-$BG196)*(9-5)/5))</x:f>
        <x:v>0</x:v>
      </x:c>
      <x:c r="X196" t="n">
        <x:f>W196*(1+($BG196+('Assumptions'!$D$12-$BG196)*(10-5)/5))</x:f>
        <x:v>0</x:v>
      </x:c>
      <x:c r="Y196" t="n">
        <x:f>E196*'APPF Model'!$B$62+O196*'APPF Model'!$B$63+'APPF Model'!$B$73+'APPF Model'!$B$74</x:f>
        <x:v>255.3111</x:v>
      </x:c>
      <x:c r="Z196" t="n">
        <x:f>F196*'APPF Model'!$C$62+P196*'APPF Model'!$C$63+'APPF Model'!$C$73+'APPF Model'!$C$74</x:f>
        <x:v>304.131564</x:v>
      </x:c>
      <x:c r="AA196" t="n">
        <x:f>G196*'APPF Model'!$D$62+Q196*'APPF Model'!$D$63+'APPF Model'!$D$73+'APPF Model'!$D$74</x:f>
        <x:v>352.93085586000007</x:v>
      </x:c>
      <x:c r="AB196" t="n">
        <x:f>H196*'APPF Model'!$E$62+R196*'APPF Model'!$E$63+'APPF Model'!$E$73+'APPF Model'!$E$74</x:f>
        <x:v>408.78600000480014</x:v>
      </x:c>
      <x:c r="AC196" t="n">
        <x:f>I196*'APPF Model'!$F$62+S196*'APPF Model'!$F$63+'APPF Model'!$F$73+'APPF Model'!$F$74</x:f>
        <x:v>463.2056362554391</x:v>
      </x:c>
      <x:c r="AD196" t="n">
        <x:f>AX196*$AC196/$AW196</x:f>
        <x:v>506.74696606345026</x:v>
      </x:c>
      <x:c r="AE196" t="n">
        <x:f>AY196*$AC196/$AW196</x:f>
        <x:v>546.2732294163994</x:v>
      </x:c>
      <x:c r="AF196" t="n">
        <x:f>AZ196*$AC196/$AW196</x:f>
        <x:v>580.1421696402161</x:v>
      </x:c>
      <x:c r="AG196" t="n">
        <x:f>BA196*$AC196/$AW196</x:f>
        <x:v>606.8287094436662</x:v>
      </x:c>
      <x:c r="AH196" t="n">
        <x:f>BB196*$AC196/$AW196</x:f>
        <x:v>625.0335707269761</x:v>
      </x:c>
      <x:c r="AI196" t="n">
        <x:f>Y196*(1-'Assumptions'!$F$12)+AS196*'Assumptions'!$G$12-AS196*'APPF Model'!$B$65-(AS196-'Inputs'!$E$14)*'Assumptions'!$H$12-'Assumptions'!$I$12</x:f>
        <x:v>182.81026500000002</x:v>
      </x:c>
      <x:c r="AJ196" t="n">
        <x:f>Z196*(1-'Assumptions'!$F$12)+AT196*'Assumptions'!$G$12-AT196*'APPF Model'!$C$65-(AT196-AS196)*'Assumptions'!$H$12-0</x:f>
        <x:v>218.4715764</x:v>
      </x:c>
      <x:c r="AK196" t="n">
        <x:f>AA196*(1-'Assumptions'!$F$12)+AU196*'Assumptions'!$G$12-AU196*'APPF Model'!$D$65-(AU196-AT196)*'Assumptions'!$H$12-0</x:f>
        <x:v>254.012064669</x:v>
      </x:c>
      <x:c r="AL196" t="n">
        <x:f>AB196*(1-'Assumptions'!$F$12)+AV196*'Assumptions'!$G$12-AV196*'APPF Model'!$E$65-(AV196-AU196)*'Assumptions'!$H$12-0</x:f>
        <x:v>294.7279542827401</x:v>
      </x:c>
      <x:c r="AM196" t="n">
        <x:f>AC196*(1-'Assumptions'!$F$12)+AW196*'Assumptions'!$G$12-AW196*'APPF Model'!$F$65-(AW196-AV196)*'Assumptions'!$H$12-0</x:f>
        <x:v>334.2379114414247</x:v>
      </x:c>
      <x:c r="AN196" t="n">
        <x:f>AD196*(1-'Assumptions'!$F$12)+AX196*'Assumptions'!$G$12-AX196*'APPF Model'!$G$65-(AX196-AW196)*'Assumptions'!$H$12-0</x:f>
        <x:v>366.74637111693136</x:v>
      </x:c>
      <x:c r="AO196" t="n">
        <x:f>AE196*(1-'Assumptions'!$F$12)+AY196*'Assumptions'!$G$12-AY196*'APPF Model'!$H$65-(AY196-AX196)*'Assumptions'!$H$12-0</x:f>
        <x:v>396.56259462406626</x:v>
      </x:c>
      <x:c r="AP196" t="n">
        <x:f>AF196*(1-'Assumptions'!$F$12)+AZ196*'Assumptions'!$G$12-AZ196*'APPF Model'!$I$65-(AZ196-AY196)*'Assumptions'!$H$12-0</x:f>
        <x:v>422.4732226674139</x:v>
      </x:c>
      <x:c r="AQ196" t="n">
        <x:f>AG196*(1-'Assumptions'!$F$12)+BA196*'Assumptions'!$G$12-BA196*'APPF Model'!$J$65-(BA196-AZ196)*'Assumptions'!$H$12-0</x:f>
        <x:v>443.33399036654964</x:v>
      </x:c>
      <x:c r="AR196" t="n">
        <x:f>AH196*(1-'Assumptions'!$F$12)+BB196*'Assumptions'!$G$12-BB196*'APPF Model'!$K$65-(BB196-BA196)*'Assumptions'!$H$12-0</x:f>
        <x:v>458.1494835002798</x:v>
      </x:c>
      <x:c r="AS196" t="n">
        <x:f>E196+O196</x:f>
        <x:v>1245.42</x:v>
      </x:c>
      <x:c r="AT196" t="n">
        <x:f>F196+P196</x:f>
        <x:v>1382.4162000000001</x:v>
      </x:c>
      <x:c r="AU196" t="n">
        <x:f>G196+Q196</x:f>
        <x:v>1534.4819820000002</x:v>
      </x:c>
      <x:c r="AV196" t="n">
        <x:f>H196+R196</x:f>
        <x:v>1703.2750000200006</x:v>
      </x:c>
      <x:c r="AW196" t="n">
        <x:f>I196+S196</x:f>
        <x:v>1890.6352500222006</x:v>
      </x:c>
      <x:c r="AX196" t="n">
        <x:f>J196+T196</x:f>
        <x:v>2068.354963524287</x:v>
      </x:c>
      <x:c r="AY196" t="n">
        <x:f>K196+U196</x:f>
        <x:v>2229.686650679181</x:v>
      </x:c>
      <x:c r="AZ196" t="n">
        <x:f>L196+V196</x:f>
        <x:v>2367.9272230212905</x:v>
      </x:c>
      <x:c r="BA196" t="n">
        <x:f>M196+W196</x:f>
        <x:v>2476.85187528027</x:v>
      </x:c>
      <x:c r="BB196" t="n">
        <x:f>N196+X196</x:f>
        <x:v>2551.1574315386783</x:v>
      </x:c>
      <x:c r="BC196" t="n">
        <x:f>AS196/'Inputs'!$E$14-1</x:f>
        <x:v>0.1100000000000001</x:v>
      </x:c>
      <x:c r="BD196" t="n">
        <x:f>AT196/AS196-1</x:f>
        <x:v>0.1100000000000001</x:v>
      </x:c>
      <x:c r="BE196" t="n">
        <x:f>AU196/AT196-1</x:f>
        <x:v>0.1100000000000001</x:v>
      </x:c>
      <x:c r="BF196" t="n">
        <x:f>AV196/AU196-1</x:f>
        <x:v>0.1100000000000001</x:v>
      </x:c>
      <x:c r="BG196" t="n">
        <x:f>AW196/AV196-1</x:f>
        <x:v>0.10999999999999988</x:v>
      </x:c>
      <x:c r="BH196" t="n">
        <x:f>AX196/AW196-1</x:f>
        <x:v>0.09399999999999986</x:v>
      </x:c>
      <x:c r="BI196" t="n">
        <x:f>AY196/AX196-1</x:f>
        <x:v>0.07799999999999985</x:v>
      </x:c>
      <x:c r="BJ196" t="n">
        <x:f>AZ196/AY196-1</x:f>
        <x:v>0.062000000000000055</x:v>
      </x:c>
      <x:c r="BK196" t="n">
        <x:f>BA196/AZ196-1</x:f>
        <x:v>0.04600000000000004</x:v>
      </x:c>
      <x:c r="BL196" t="n">
        <x:f>BB196/BA196-1</x:f>
        <x:v>0.030000000000000027</x:v>
      </x:c>
      <x:c r="BM196" t="n">
        <x:f>AH196*(1-'Assumptions'!$F$12)*(1+'Assumptions'!$D$12)*(1-'Assumptions'!$D$12/'Assumptions'!$E$12)</x:f>
        <x:v>441.4522819534529</x:v>
      </x:c>
      <x:c r="BN196" t="n">
        <x:f>SUMPRODUCT(AI196:AR196,'APPF Model'!$B$83:$K$83)+BM196/('Assumptions'!$C$12-'Assumptions'!$D$12)*'APPF Model'!$K$83</x:f>
        <x:v>4350.099889631268</x:v>
      </x:c>
      <x:c r="BO196" t="n">
        <x:f>'APPF Model'!$B$94</x:f>
        <x:v>171.685</x:v>
      </x:c>
      <x:c r="BP196" t="n">
        <x:f>'Inputs'!$E$8</x:f>
        <x:v>36</x:v>
      </x:c>
    </x:row>
    <x:row r="197">
      <x:c r="A197" t="str">
        <x:v>APPF</x:v>
      </x:c>
      <x:c r="B197" s="22" t="n">
        <x:v>0.12</x:v>
      </x:c>
      <x:c r="C197" s="42" t="n">
        <x:f>(BN197+BO197)/BP197</x:f>
        <x:v>132.34461920963963</x:v>
      </x:c>
      <x:c r="D197" s="22" t="n">
        <x:f>C197/'Inputs'!$E$5-1</x:f>
        <x:v>-0.3823753070298692</x:v>
      </x:c>
      <x:c r="E197" t="n">
        <x:f>'Inputs'!$E$14*(1+$B197)^1</x:f>
        <x:v>1256.64</x:v>
      </x:c>
      <x:c r="F197" t="n">
        <x:f>'Inputs'!$E$14*(1+$B197)^2</x:f>
        <x:v>1407.4368000000002</x:v>
      </x:c>
      <x:c r="G197" t="n">
        <x:f>'Inputs'!$E$14*(1+$B197)^3</x:f>
        <x:v>1576.3292160000005</x:v>
      </x:c>
      <x:c r="H197" t="n">
        <x:f>'Inputs'!$E$14*(1+$B197)^4</x:f>
        <x:v>1765.4887219200004</x:v>
      </x:c>
      <x:c r="I197" t="n">
        <x:f>'Inputs'!$E$14*(1+$B197)^5</x:f>
        <x:v>1977.3473685504005</x:v>
      </x:c>
      <x:c r="J197" t="n">
        <x:f>I197*(1+($BG197+('Assumptions'!$D$12-$BG197)*(6-5)/5))</x:f>
        <x:v>2179.036800142541</x:v>
      </x:c>
      <x:c r="K197" t="n">
        <x:f>J197*(1+($BG197+('Assumptions'!$D$12-$BG197)*(7-5)/5))</x:f>
        <x:v>2362.075891354514</x:v>
      </x:c>
      <x:c r="L197" t="n">
        <x:f>K197*(1+($BG197+('Assumptions'!$D$12-$BG197)*(8-5)/5))</x:f>
        <x:v>2517.972900183912</x:v>
      </x:c>
      <x:c r="M197" t="n">
        <x:f>L197*(1+($BG197+('Assumptions'!$D$12-$BG197)*(9-5)/5))</x:f>
        <x:v>2638.83559939274</x:v>
      </x:c>
      <x:c r="N197" t="n">
        <x:f>M197*(1+($BG197+('Assumptions'!$D$12-$BG197)*(10-5)/5))</x:f>
        <x:v>2718.000667374522</x:v>
      </x:c>
      <x:c r="O197" t="n">
        <x:f>0</x:f>
        <x:v>0</x:v>
      </x:c>
      <x:c r="P197" t="n">
        <x:f>0</x:f>
        <x:v>0</x:v>
      </x:c>
      <x:c r="Q197" t="n">
        <x:f>0</x:f>
        <x:v>0</x:v>
      </x:c>
      <x:c r="R197" t="n">
        <x:f>0</x:f>
        <x:v>0</x:v>
      </x:c>
      <x:c r="S197" t="n">
        <x:f>0</x:f>
        <x:v>0</x:v>
      </x:c>
      <x:c r="T197" t="n">
        <x:f>S197*(1+($BG197+('Assumptions'!$D$12-$BG197)*(6-5)/5))</x:f>
        <x:v>0</x:v>
      </x:c>
      <x:c r="U197" t="n">
        <x:f>T197*(1+($BG197+('Assumptions'!$D$12-$BG197)*(7-5)/5))</x:f>
        <x:v>0</x:v>
      </x:c>
      <x:c r="V197" t="n">
        <x:f>U197*(1+($BG197+('Assumptions'!$D$12-$BG197)*(8-5)/5))</x:f>
        <x:v>0</x:v>
      </x:c>
      <x:c r="W197" t="n">
        <x:f>V197*(1+($BG197+('Assumptions'!$D$12-$BG197)*(9-5)/5))</x:f>
        <x:v>0</x:v>
      </x:c>
      <x:c r="X197" t="n">
        <x:f>W197*(1+($BG197+('Assumptions'!$D$12-$BG197)*(10-5)/5))</x:f>
        <x:v>0</x:v>
      </x:c>
      <x:c r="Y197" t="n">
        <x:f>E197*'APPF Model'!$B$62+O197*'APPF Model'!$B$63+'APPF Model'!$B$73+'APPF Model'!$B$74</x:f>
        <x:v>257.6112</x:v>
      </x:c>
      <x:c r="Z197" t="n">
        <x:f>F197*'APPF Model'!$C$62+P197*'APPF Model'!$C$63+'APPF Model'!$C$73+'APPF Model'!$C$74</x:f>
        <x:v>309.63609600000007</x:v>
      </x:c>
      <x:c r="AA197" t="n">
        <x:f>G197*'APPF Model'!$D$62+Q197*'APPF Model'!$D$63+'APPF Model'!$D$73+'APPF Model'!$D$74</x:f>
        <x:v>362.55571968000015</x:v>
      </x:c>
      <x:c r="AB197" t="n">
        <x:f>H197*'APPF Model'!$E$62+R197*'APPF Model'!$E$63+'APPF Model'!$E$73+'APPF Model'!$E$74</x:f>
        <x:v>423.7172932608001</x:v>
      </x:c>
      <x:c r="AC197" t="n">
        <x:f>I197*'APPF Model'!$F$62+S197*'APPF Model'!$F$63+'APPF Model'!$F$73+'APPF Model'!$F$74</x:f>
        <x:v>484.45010529484813</x:v>
      </x:c>
      <x:c r="AD197" t="n">
        <x:f>AX197*$AC197/$AW197</x:f>
        <x:v>533.8640160349225</x:v>
      </x:c>
      <x:c r="AE197" t="n">
        <x:f>AY197*$AC197/$AW197</x:f>
        <x:v>578.708593381856</x:v>
      </x:c>
      <x:c r="AF197" t="n">
        <x:f>AZ197*$AC197/$AW197</x:f>
        <x:v>616.9033605450584</x:v>
      </x:c>
      <x:c r="AG197" t="n">
        <x:f>BA197*$AC197/$AW197</x:f>
        <x:v>646.5147218512213</x:v>
      </x:c>
      <x:c r="AH197" t="n">
        <x:f>BB197*$AC197/$AW197</x:f>
        <x:v>665.9101635067578</x:v>
      </x:c>
      <x:c r="AI197" t="n">
        <x:f>Y197*(1-'Assumptions'!$F$12)+AS197*'Assumptions'!$G$12-AS197*'APPF Model'!$B$65-(AS197-'Inputs'!$E$14)*'Assumptions'!$H$12-'Assumptions'!$I$12</x:f>
        <x:v>184.05287999999996</x:v>
      </x:c>
      <x:c r="AJ197" t="n">
        <x:f>Z197*(1-'Assumptions'!$F$12)+AT197*'Assumptions'!$G$12-AT197*'APPF Model'!$C$65-(AT197-AS197)*'Assumptions'!$H$12-0</x:f>
        <x:v>221.97288960000006</x:v>
      </x:c>
      <x:c r="AK197" t="n">
        <x:f>AA197*(1-'Assumptions'!$F$12)+AU197*'Assumptions'!$G$12-AU197*'APPF Model'!$D$65-(AU197-AT197)*'Assumptions'!$H$12-0</x:f>
        <x:v>260.43210547200016</x:v>
      </x:c>
      <x:c r="AL197" t="n">
        <x:f>AB197*(1-'Assumptions'!$F$12)+AV197*'Assumptions'!$G$12-AV197*'APPF Model'!$E$65-(AV197-AU197)*'Assumptions'!$H$12-0</x:f>
        <x:v>304.9251235430401</x:v>
      </x:c>
      <x:c r="AM197" t="n">
        <x:f>AC197*(1-'Assumptions'!$F$12)+AW197*'Assumptions'!$G$12-AW197*'APPF Model'!$F$65-(AW197-AV197)*'Assumptions'!$H$12-0</x:f>
        <x:v>348.93119100026894</x:v>
      </x:c>
      <x:c r="AN197" t="n">
        <x:f>AD197*(1-'Assumptions'!$F$12)+AX197*'Assumptions'!$G$12-AX197*'APPF Model'!$G$65-(AX197-AW197)*'Assumptions'!$H$12-0</x:f>
        <x:v>385.7933243620787</x:v>
      </x:c>
      <x:c r="AO197" t="n">
        <x:f>AE197*(1-'Assumptions'!$F$12)+AY197*'Assumptions'!$G$12-AY197*'APPF Model'!$H$65-(AY197-AX197)*'Assumptions'!$H$12-0</x:f>
        <x:v>419.6236537138495</x:v>
      </x:c>
      <x:c r="AP197" t="n">
        <x:f>AF197*(1-'Assumptions'!$F$12)+AZ197*'Assumptions'!$G$12-AZ197*'APPF Model'!$I$65-(AZ197-AY197)*'Assumptions'!$H$12-0</x:f>
        <x:v>448.88772135506616</x:v>
      </x:c>
      <x:c r="AQ197" t="n">
        <x:f>AG197*(1-'Assumptions'!$F$12)+BA197*'Assumptions'!$G$12-BA197*'APPF Model'!$J$65-(BA197-AZ197)*'Assumptions'!$H$12-0</x:f>
        <x:v>472.13502662188466</x:v>
      </x:c>
      <x:c r="AR197" t="n">
        <x:f>AH197*(1-'Assumptions'!$F$12)+BB197*'Assumptions'!$G$12-BB197*'APPF Model'!$K$65-(BB197-BA197)*'Assumptions'!$H$12-0</x:f>
        <x:v>488.1120179086736</x:v>
      </x:c>
      <x:c r="AS197" t="n">
        <x:f>E197+O197</x:f>
        <x:v>1256.64</x:v>
      </x:c>
      <x:c r="AT197" t="n">
        <x:f>F197+P197</x:f>
        <x:v>1407.4368000000002</x:v>
      </x:c>
      <x:c r="AU197" t="n">
        <x:f>G197+Q197</x:f>
        <x:v>1576.3292160000005</x:v>
      </x:c>
      <x:c r="AV197" t="n">
        <x:f>H197+R197</x:f>
        <x:v>1765.4887219200004</x:v>
      </x:c>
      <x:c r="AW197" t="n">
        <x:f>I197+S197</x:f>
        <x:v>1977.3473685504005</x:v>
      </x:c>
      <x:c r="AX197" t="n">
        <x:f>J197+T197</x:f>
        <x:v>2179.036800142541</x:v>
      </x:c>
      <x:c r="AY197" t="n">
        <x:f>K197+U197</x:f>
        <x:v>2362.075891354514</x:v>
      </x:c>
      <x:c r="AZ197" t="n">
        <x:f>L197+V197</x:f>
        <x:v>2517.972900183912</x:v>
      </x:c>
      <x:c r="BA197" t="n">
        <x:f>M197+W197</x:f>
        <x:v>2638.83559939274</x:v>
      </x:c>
      <x:c r="BB197" t="n">
        <x:f>N197+X197</x:f>
        <x:v>2718.000667374522</x:v>
      </x:c>
      <x:c r="BC197" t="n">
        <x:f>AS197/'Inputs'!$E$14-1</x:f>
        <x:v>0.1200000000000001</x:v>
      </x:c>
      <x:c r="BD197" t="n">
        <x:f>AT197/AS197-1</x:f>
        <x:v>0.1200000000000001</x:v>
      </x:c>
      <x:c r="BE197" t="n">
        <x:f>AU197/AT197-1</x:f>
        <x:v>0.12000000000000033</x:v>
      </x:c>
      <x:c r="BF197" t="n">
        <x:f>AV197/AU197-1</x:f>
        <x:v>0.11999999999999988</x:v>
      </x:c>
      <x:c r="BG197" t="n">
        <x:f>AW197/AV197-1</x:f>
        <x:v>0.11999999999999988</x:v>
      </x:c>
      <x:c r="BH197" t="n">
        <x:f>AX197/AW197-1</x:f>
        <x:v>0.10199999999999987</x:v>
      </x:c>
      <x:c r="BI197" t="n">
        <x:f>AY197/AX197-1</x:f>
        <x:v>0.08399999999999985</x:v>
      </x:c>
      <x:c r="BJ197" t="n">
        <x:f>AZ197/AY197-1</x:f>
        <x:v>0.06599999999999984</x:v>
      </x:c>
      <x:c r="BK197" t="n">
        <x:f>BA197/AZ197-1</x:f>
        <x:v>0.04800000000000004</x:v>
      </x:c>
      <x:c r="BL197" t="n">
        <x:f>BB197/BA197-1</x:f>
        <x:v>0.030000000000000027</x:v>
      </x:c>
      <x:c r="BM197" t="n">
        <x:f>AH197*(1-'Assumptions'!$F$12)*(1+'Assumptions'!$D$12)*(1-'Assumptions'!$D$12/'Assumptions'!$E$12)</x:f>
        <x:v>470.32283548248733</x:v>
      </x:c>
      <x:c r="BN197" t="n">
        <x:f>SUMPRODUCT(AI197:AR197,'APPF Model'!$B$83:$K$83)+BM197/('Assumptions'!$C$12-'Assumptions'!$D$12)*'APPF Model'!$K$83</x:f>
        <x:v>4592.721291547026</x:v>
      </x:c>
      <x:c r="BO197" t="n">
        <x:f>'APPF Model'!$B$94</x:f>
        <x:v>171.685</x:v>
      </x:c>
      <x:c r="BP197" t="n">
        <x:f>'Inputs'!$E$8</x:f>
        <x:v>36</x:v>
      </x:c>
    </x:row>
    <x:row r="198">
      <x:c r="A198" t="str">
        <x:v>APPF</x:v>
      </x:c>
      <x:c r="B198" s="22" t="n">
        <x:v>0.13</x:v>
      </x:c>
      <x:c r="C198" s="42" t="n">
        <x:f>(BN198+BO198)/BP198</x:f>
        <x:v>139.43587324695244</x:v>
      </x:c>
      <x:c r="D198" s="22" t="n">
        <x:f>C198/'Inputs'!$E$5-1</x:f>
        <x:v>-0.3492819056983739</x:v>
      </x:c>
      <x:c r="E198" t="n">
        <x:f>'Inputs'!$E$14*(1+$B198)^1</x:f>
        <x:v>1267.86</x:v>
      </x:c>
      <x:c r="F198" t="n">
        <x:f>'Inputs'!$E$14*(1+$B198)^2</x:f>
        <x:v>1432.6817999999996</x:v>
      </x:c>
      <x:c r="G198" t="n">
        <x:f>'Inputs'!$E$14*(1+$B198)^3</x:f>
        <x:v>1618.9304339999994</x:v>
      </x:c>
      <x:c r="H198" t="n">
        <x:f>'Inputs'!$E$14*(1+$B198)^4</x:f>
        <x:v>1829.3913904199992</x:v>
      </x:c>
      <x:c r="I198" t="n">
        <x:f>'Inputs'!$E$14*(1+$B198)^5</x:f>
        <x:v>2067.2122711745988</x:v>
      </x:c>
      <x:c r="J198" t="n">
        <x:f>I198*(1+($BG198+('Assumptions'!$D$12-$BG198)*(6-5)/5))</x:f>
        <x:v>2294.6056210038046</x:v>
      </x:c>
      <x:c r="K198" t="n">
        <x:f>J198*(1+($BG198+('Assumptions'!$D$12-$BG198)*(7-5)/5))</x:f>
        <x:v>2501.120126894147</x:v>
      </x:c>
      <x:c r="L198" t="n">
        <x:f>K198*(1+($BG198+('Assumptions'!$D$12-$BG198)*(8-5)/5))</x:f>
        <x:v>2676.1985357767367</x:v>
      </x:c>
      <x:c r="M198" t="n">
        <x:f>L198*(1+($BG198+('Assumptions'!$D$12-$BG198)*(9-5)/5))</x:f>
        <x:v>2810.0084625655736</x:v>
      </x:c>
      <x:c r="N198" t="n">
        <x:f>M198*(1+($BG198+('Assumptions'!$D$12-$BG198)*(10-5)/5))</x:f>
        <x:v>2894.308716442541</x:v>
      </x:c>
      <x:c r="O198" t="n">
        <x:f>0</x:f>
        <x:v>0</x:v>
      </x:c>
      <x:c r="P198" t="n">
        <x:f>0</x:f>
        <x:v>0</x:v>
      </x:c>
      <x:c r="Q198" t="n">
        <x:f>0</x:f>
        <x:v>0</x:v>
      </x:c>
      <x:c r="R198" t="n">
        <x:f>0</x:f>
        <x:v>0</x:v>
      </x:c>
      <x:c r="S198" t="n">
        <x:f>0</x:f>
        <x:v>0</x:v>
      </x:c>
      <x:c r="T198" t="n">
        <x:f>S198*(1+($BG198+('Assumptions'!$D$12-$BG198)*(6-5)/5))</x:f>
        <x:v>0</x:v>
      </x:c>
      <x:c r="U198" t="n">
        <x:f>T198*(1+($BG198+('Assumptions'!$D$12-$BG198)*(7-5)/5))</x:f>
        <x:v>0</x:v>
      </x:c>
      <x:c r="V198" t="n">
        <x:f>U198*(1+($BG198+('Assumptions'!$D$12-$BG198)*(8-5)/5))</x:f>
        <x:v>0</x:v>
      </x:c>
      <x:c r="W198" t="n">
        <x:f>V198*(1+($BG198+('Assumptions'!$D$12-$BG198)*(9-5)/5))</x:f>
        <x:v>0</x:v>
      </x:c>
      <x:c r="X198" t="n">
        <x:f>W198*(1+($BG198+('Assumptions'!$D$12-$BG198)*(10-5)/5))</x:f>
        <x:v>0</x:v>
      </x:c>
      <x:c r="Y198" t="n">
        <x:f>E198*'APPF Model'!$B$62+O198*'APPF Model'!$B$63+'APPF Model'!$B$73+'APPF Model'!$B$74</x:f>
        <x:v>259.9113</x:v>
      </x:c>
      <x:c r="Z198" t="n">
        <x:f>F198*'APPF Model'!$C$62+P198*'APPF Model'!$C$63+'APPF Model'!$C$73+'APPF Model'!$C$74</x:f>
        <x:v>315.1899959999999</x:v>
      </x:c>
      <x:c r="AA198" t="n">
        <x:f>G198*'APPF Model'!$D$62+Q198*'APPF Model'!$D$63+'APPF Model'!$D$73+'APPF Model'!$D$74</x:f>
        <x:v>372.3539998199999</x:v>
      </x:c>
      <x:c r="AB198" t="n">
        <x:f>H198*'APPF Model'!$E$62+R198*'APPF Model'!$E$63+'APPF Model'!$E$73+'APPF Model'!$E$74</x:f>
        <x:v>439.0539337007998</x:v>
      </x:c>
      <x:c r="AC198" t="n">
        <x:f>I198*'APPF Model'!$F$62+S198*'APPF Model'!$F$63+'APPF Model'!$F$73+'APPF Model'!$F$74</x:f>
        <x:v>506.46700643777666</x:v>
      </x:c>
      <x:c r="AD198" t="n">
        <x:f>AX198*$AC198/$AW198</x:f>
        <x:v>562.178377145932</x:v>
      </x:c>
      <x:c r="AE198" t="n">
        <x:f>AY198*$AC198/$AW198</x:f>
        <x:v>612.774431089066</x:v>
      </x:c>
      <x:c r="AF198" t="n">
        <x:f>AZ198*$AC198/$AW198</x:f>
        <x:v>655.6686412653005</x:v>
      </x:c>
      <x:c r="AG198" t="n">
        <x:f>BA198*$AC198/$AW198</x:f>
        <x:v>688.4520733285655</x:v>
      </x:c>
      <x:c r="AH198" t="n">
        <x:f>BB198*$AC198/$AW198</x:f>
        <x:v>709.1056355284226</x:v>
      </x:c>
      <x:c r="AI198" t="n">
        <x:f>Y198*(1-'Assumptions'!$F$12)+AS198*'Assumptions'!$G$12-AS198*'APPF Model'!$B$65-(AS198-'Inputs'!$E$14)*'Assumptions'!$H$12-'Assumptions'!$I$12</x:f>
        <x:v>185.295495</x:v>
      </x:c>
      <x:c r="AJ198" t="n">
        <x:f>Z198*(1-'Assumptions'!$F$12)+AT198*'Assumptions'!$G$12-AT198*'APPF Model'!$C$65-(AT198-AS198)*'Assumptions'!$H$12-0</x:f>
        <x:v>225.50157959999993</x:v>
      </x:c>
      <x:c r="AK198" t="n">
        <x:f>AA198*(1-'Assumptions'!$F$12)+AU198*'Assumptions'!$G$12-AU198*'APPF Model'!$D$65-(AU198-AT198)*'Assumptions'!$H$12-0</x:f>
        <x:v>266.95876320299993</x:v>
      </x:c>
      <x:c r="AL198" t="n">
        <x:f>AB198*(1-'Assumptions'!$F$12)+AV198*'Assumptions'!$G$12-AV198*'APPF Model'!$E$65-(AV198-AU198)*'Assumptions'!$H$12-0</x:f>
        <x:v>315.38383784753984</x:v>
      </x:c>
      <x:c r="AM198" t="n">
        <x:f>AC198*(1-'Assumptions'!$F$12)+AW198*'Assumptions'!$G$12-AW198*'APPF Model'!$F$65-(AW198-AV198)*'Assumptions'!$H$12-0</x:f>
        <x:v>364.13578278462467</x:v>
      </x:c>
      <x:c r="AN198" t="n">
        <x:f>AD198*(1-'Assumptions'!$F$12)+AX198*'Assumptions'!$G$12-AX198*'APPF Model'!$G$65-(AX198-AW198)*'Assumptions'!$H$12-0</x:f>
        <x:v>405.6542320032694</x:v>
      </x:c>
      <x:c r="AO198" t="n">
        <x:f>AE198*(1-'Assumptions'!$F$12)+AY198*'Assumptions'!$G$12-AY198*'APPF Model'!$H$65-(AY198-AX198)*'Assumptions'!$H$12-0</x:f>
        <x:v>443.8168827005033</x:v>
      </x:c>
      <x:c r="AP198" t="n">
        <x:f>AF198*(1-'Assumptions'!$F$12)+AZ198*'Assumptions'!$G$12-AZ198*'APPF Model'!$I$65-(AZ198-AY198)*'Assumptions'!$H$12-0</x:f>
        <x:v>476.7197489863416</x:v>
      </x:c>
      <x:c r="AQ198" t="n">
        <x:f>AG198*(1-'Assumptions'!$F$12)+BA198*'Assumptions'!$G$12-BA198*'APPF Model'!$J$65-(BA198-AZ198)*'Assumptions'!$H$12-0</x:f>
        <x:v>502.556632537174</x:v>
      </x:c>
      <x:c r="AR198" t="n">
        <x:f>AH198*(1-'Assumptions'!$F$12)+BB198*'Assumptions'!$G$12-BB198*'APPF Model'!$K$65-(BB198-BA198)*'Assumptions'!$H$12-0</x:f>
        <x:v>519.7742903419106</x:v>
      </x:c>
      <x:c r="AS198" t="n">
        <x:f>E198+O198</x:f>
        <x:v>1267.86</x:v>
      </x:c>
      <x:c r="AT198" t="n">
        <x:f>F198+P198</x:f>
        <x:v>1432.6817999999996</x:v>
      </x:c>
      <x:c r="AU198" t="n">
        <x:f>G198+Q198</x:f>
        <x:v>1618.9304339999994</x:v>
      </x:c>
      <x:c r="AV198" t="n">
        <x:f>H198+R198</x:f>
        <x:v>1829.3913904199992</x:v>
      </x:c>
      <x:c r="AW198" t="n">
        <x:f>I198+S198</x:f>
        <x:v>2067.2122711745988</x:v>
      </x:c>
      <x:c r="AX198" t="n">
        <x:f>J198+T198</x:f>
        <x:v>2294.6056210038046</x:v>
      </x:c>
      <x:c r="AY198" t="n">
        <x:f>K198+U198</x:f>
        <x:v>2501.120126894147</x:v>
      </x:c>
      <x:c r="AZ198" t="n">
        <x:f>L198+V198</x:f>
        <x:v>2676.1985357767367</x:v>
      </x:c>
      <x:c r="BA198" t="n">
        <x:f>M198+W198</x:f>
        <x:v>2810.0084625655736</x:v>
      </x:c>
      <x:c r="BB198" t="n">
        <x:f>N198+X198</x:f>
        <x:v>2894.308716442541</x:v>
      </x:c>
      <x:c r="BC198" t="n">
        <x:f>AS198/'Inputs'!$E$14-1</x:f>
        <x:v>0.1299999999999999</x:v>
      </x:c>
      <x:c r="BD198" t="n">
        <x:f>AT198/AS198-1</x:f>
        <x:v>0.1299999999999999</x:v>
      </x:c>
      <x:c r="BE198" t="n">
        <x:f>AU198/AT198-1</x:f>
        <x:v>0.1299999999999999</x:v>
      </x:c>
      <x:c r="BF198" t="n">
        <x:f>AV198/AU198-1</x:f>
        <x:v>0.1299999999999999</x:v>
      </x:c>
      <x:c r="BG198" t="n">
        <x:f>AW198/AV198-1</x:f>
        <x:v>0.1299999999999999</x:v>
      </x:c>
      <x:c r="BH198" t="n">
        <x:f>AX198/AW198-1</x:f>
        <x:v>0.10999999999999988</x:v>
      </x:c>
      <x:c r="BI198" t="n">
        <x:f>AY198/AX198-1</x:f>
        <x:v>0.08999999999999986</x:v>
      </x:c>
      <x:c r="BJ198" t="n">
        <x:f>AZ198/AY198-1</x:f>
        <x:v>0.06999999999999984</x:v>
      </x:c>
      <x:c r="BK198" t="n">
        <x:f>BA198/AZ198-1</x:f>
        <x:v>0.050000000000000044</x:v>
      </x:c>
      <x:c r="BL198" t="n">
        <x:f>BB198/BA198-1</x:f>
        <x:v>0.030000000000000027</x:v>
      </x:c>
      <x:c r="BM198" t="n">
        <x:f>AH198*(1-'Assumptions'!$F$12)*(1+'Assumptions'!$D$12)*(1-'Assumptions'!$D$12/'Assumptions'!$E$12)</x:f>
        <x:v>500.83118029321724</x:v>
      </x:c>
      <x:c r="BN198" t="n">
        <x:f>SUMPRODUCT(AI198:AR198,'APPF Model'!$B$83:$K$83)+BM198/('Assumptions'!$C$12-'Assumptions'!$D$12)*'APPF Model'!$K$83</x:f>
        <x:v>4848.006436890288</x:v>
      </x:c>
      <x:c r="BO198" t="n">
        <x:f>'APPF Model'!$B$94</x:f>
        <x:v>171.685</x:v>
      </x:c>
      <x:c r="BP198" t="n">
        <x:f>'Inputs'!$E$8</x:f>
        <x:v>36</x:v>
      </x:c>
    </x:row>
    <x:row r="199">
      <x:c r="A199" t="str">
        <x:v>APPF</x:v>
      </x:c>
      <x:c r="B199" s="22" t="n">
        <x:v>0.14</x:v>
      </x:c>
      <x:c r="C199" s="42" t="n">
        <x:f>(BN199+BO199)/BP199</x:f>
        <x:v>146.89503986329703</x:v>
      </x:c>
      <x:c r="D199" s="22" t="n">
        <x:f>C199/'Inputs'!$E$5-1</x:f>
        <x:v>-0.31447153321216614</x:v>
      </x:c>
      <x:c r="E199" t="n">
        <x:f>'Inputs'!$E$14*(1+$B199)^1</x:f>
        <x:v>1279.0800000000002</x:v>
      </x:c>
      <x:c r="F199" t="n">
        <x:f>'Inputs'!$E$14*(1+$B199)^2</x:f>
        <x:v>1458.1512000000002</x:v>
      </x:c>
      <x:c r="G199" t="n">
        <x:f>'Inputs'!$E$14*(1+$B199)^3</x:f>
        <x:v>1662.2923680000006</x:v>
      </x:c>
      <x:c r="H199" t="n">
        <x:f>'Inputs'!$E$14*(1+$B199)^4</x:f>
        <x:v>1895.0132995200008</x:v>
      </x:c>
      <x:c r="I199" t="n">
        <x:f>'Inputs'!$E$14*(1+$B199)^5</x:f>
        <x:v>2160.315161452801</x:v>
      </x:c>
      <x:c r="J199" t="n">
        <x:f>I199*(1+($BG199+('Assumptions'!$D$12-$BG199)*(6-5)/5))</x:f>
        <x:v>2415.232350504232</x:v>
      </x:c>
      <x:c r="K199" t="n">
        <x:f>J199*(1+($BG199+('Assumptions'!$D$12-$BG199)*(7-5)/5))</x:f>
        <x:v>2647.0946561526384</x:v>
      </x:c>
      <x:c r="L199" t="n">
        <x:f>K199*(1+($BG199+('Assumptions'!$D$12-$BG199)*(8-5)/5))</x:f>
        <x:v>2842.979660707934</x:v>
      </x:c>
      <x:c r="M199" t="n">
        <x:f>L199*(1+($BG199+('Assumptions'!$D$12-$BG199)*(9-5)/5))</x:f>
        <x:v>2990.8146030647467</x:v>
      </x:c>
      <x:c r="N199" t="n">
        <x:f>M199*(1+($BG199+('Assumptions'!$D$12-$BG199)*(10-5)/5))</x:f>
        <x:v>3080.539041156689</x:v>
      </x:c>
      <x:c r="O199" t="n">
        <x:f>0</x:f>
        <x:v>0</x:v>
      </x:c>
      <x:c r="P199" t="n">
        <x:f>0</x:f>
        <x:v>0</x:v>
      </x:c>
      <x:c r="Q199" t="n">
        <x:f>0</x:f>
        <x:v>0</x:v>
      </x:c>
      <x:c r="R199" t="n">
        <x:f>0</x:f>
        <x:v>0</x:v>
      </x:c>
      <x:c r="S199" t="n">
        <x:f>0</x:f>
        <x:v>0</x:v>
      </x:c>
      <x:c r="T199" t="n">
        <x:f>S199*(1+($BG199+('Assumptions'!$D$12-$BG199)*(6-5)/5))</x:f>
        <x:v>0</x:v>
      </x:c>
      <x:c r="U199" t="n">
        <x:f>T199*(1+($BG199+('Assumptions'!$D$12-$BG199)*(7-5)/5))</x:f>
        <x:v>0</x:v>
      </x:c>
      <x:c r="V199" t="n">
        <x:f>U199*(1+($BG199+('Assumptions'!$D$12-$BG199)*(8-5)/5))</x:f>
        <x:v>0</x:v>
      </x:c>
      <x:c r="W199" t="n">
        <x:f>V199*(1+($BG199+('Assumptions'!$D$12-$BG199)*(9-5)/5))</x:f>
        <x:v>0</x:v>
      </x:c>
      <x:c r="X199" t="n">
        <x:f>W199*(1+($BG199+('Assumptions'!$D$12-$BG199)*(10-5)/5))</x:f>
        <x:v>0</x:v>
      </x:c>
      <x:c r="Y199" t="n">
        <x:f>E199*'APPF Model'!$B$62+O199*'APPF Model'!$B$63+'APPF Model'!$B$73+'APPF Model'!$B$74</x:f>
        <x:v>262.2114</x:v>
      </x:c>
      <x:c r="Z199" t="n">
        <x:f>F199*'APPF Model'!$C$62+P199*'APPF Model'!$C$63+'APPF Model'!$C$73+'APPF Model'!$C$74</x:f>
        <x:v>320.7932640000001</x:v>
      </x:c>
      <x:c r="AA199" t="n">
        <x:f>G199*'APPF Model'!$D$62+Q199*'APPF Model'!$D$63+'APPF Model'!$D$73+'APPF Model'!$D$74</x:f>
        <x:v>382.3272446400002</x:v>
      </x:c>
      <x:c r="AB199" t="n">
        <x:f>H199*'APPF Model'!$E$62+R199*'APPF Model'!$E$63+'APPF Model'!$E$73+'APPF Model'!$E$74</x:f>
        <x:v>454.8031918848002</x:v>
      </x:c>
      <x:c r="AC199" t="n">
        <x:f>I199*'APPF Model'!$F$62+S199*'APPF Model'!$F$63+'APPF Model'!$F$73+'APPF Model'!$F$74</x:f>
        <x:v>529.2772145559362</x:v>
      </x:c>
      <x:c r="AD199" t="n">
        <x:f>AX199*$AC199/$AW199</x:f>
        <x:v>591.7319258735367</x:v>
      </x:c>
      <x:c r="AE199" t="n">
        <x:f>AY199*$AC199/$AW199</x:f>
        <x:v>648.5381907573964</x:v>
      </x:c>
      <x:c r="AF199" t="n">
        <x:f>AZ199*$AC199/$AW199</x:f>
        <x:v>696.5300168734437</x:v>
      </x:c>
      <x:c r="AG199" t="n">
        <x:f>BA199*$AC199/$AW199</x:f>
        <x:v>732.749577750863</x:v>
      </x:c>
      <x:c r="AH199" t="n">
        <x:f>BB199*$AC199/$AW199</x:f>
        <x:v>754.7320650833888</x:v>
      </x:c>
      <x:c r="AI199" t="n">
        <x:f>Y199*(1-'Assumptions'!$F$12)+AS199*'Assumptions'!$G$12-AS199*'APPF Model'!$B$65-(AS199-'Inputs'!$E$14)*'Assumptions'!$H$12-'Assumptions'!$I$12</x:f>
        <x:v>186.53811000000002</x:v>
      </x:c>
      <x:c r="AJ199" t="n">
        <x:f>Z199*(1-'Assumptions'!$F$12)+AT199*'Assumptions'!$G$12-AT199*'APPF Model'!$C$65-(AT199-AS199)*'Assumptions'!$H$12-0</x:f>
        <x:v>229.05764640000004</x:v>
      </x:c>
      <x:c r="AK199" t="n">
        <x:f>AA199*(1-'Assumptions'!$F$12)+AU199*'Assumptions'!$G$12-AU199*'APPF Model'!$D$65-(AU199-AT199)*'Assumptions'!$H$12-0</x:f>
        <x:v>273.5929096560001</x:v>
      </x:c>
      <x:c r="AL199" t="n">
        <x:f>AB199*(1-'Assumptions'!$F$12)+AV199*'Assumptions'!$G$12-AV199*'APPF Model'!$E$65-(AV199-AU199)*'Assumptions'!$H$12-0</x:f>
        <x:v>326.10851675424016</x:v>
      </x:c>
      <x:c r="AM199" t="n">
        <x:f>AC199*(1-'Assumptions'!$F$12)+AW199*'Assumptions'!$G$12-AW199*'APPF Model'!$F$65-(AW199-AV199)*'Assumptions'!$H$12-0</x:f>
        <x:v>379.86489095528174</x:v>
      </x:c>
      <x:c r="AN199" t="n">
        <x:f>AD199*(1-'Assumptions'!$F$12)+AX199*'Assumptions'!$G$12-AX199*'APPF Model'!$G$65-(AX199-AW199)*'Assumptions'!$H$12-0</x:f>
        <x:v>426.35655979158264</x:v>
      </x:c>
      <x:c r="AO199" t="n">
        <x:f>AE199*(1-'Assumptions'!$F$12)+AY199*'Assumptions'!$G$12-AY199*'APPF Model'!$H$65-(AY199-AX199)*'Assumptions'!$H$12-0</x:f>
        <x:v>469.1878668736531</x:v>
      </x:c>
      <x:c r="AP199" t="n">
        <x:f>AF199*(1-'Assumptions'!$F$12)+AZ199*'Assumptions'!$G$12-AZ199*'APPF Model'!$I$65-(AZ199-AY199)*'Assumptions'!$H$12-0</x:f>
        <x:v>506.0331734907472</x:v>
      </x:c>
      <x:c r="AQ199" t="n">
        <x:f>AG199*(1-'Assumptions'!$F$12)+BA199*'Assumptions'!$G$12-BA199*'APPF Model'!$J$65-(BA199-AZ199)*'Assumptions'!$H$12-0</x:f>
        <x:v>534.6763418096805</x:v>
      </x:c>
      <x:c r="AR199" t="n">
        <x:f>AH199*(1-'Assumptions'!$F$12)+BB199*'Assumptions'!$G$12-BB199*'APPF Model'!$K$65-(BB199-BA199)*'Assumptions'!$H$12-0</x:f>
        <x:v>553.2184541653937</x:v>
      </x:c>
      <x:c r="AS199" t="n">
        <x:f>E199+O199</x:f>
        <x:v>1279.0800000000002</x:v>
      </x:c>
      <x:c r="AT199" t="n">
        <x:f>F199+P199</x:f>
        <x:v>1458.1512000000002</x:v>
      </x:c>
      <x:c r="AU199" t="n">
        <x:f>G199+Q199</x:f>
        <x:v>1662.2923680000006</x:v>
      </x:c>
      <x:c r="AV199" t="n">
        <x:f>H199+R199</x:f>
        <x:v>1895.0132995200008</x:v>
      </x:c>
      <x:c r="AW199" t="n">
        <x:f>I199+S199</x:f>
        <x:v>2160.315161452801</x:v>
      </x:c>
      <x:c r="AX199" t="n">
        <x:f>J199+T199</x:f>
        <x:v>2415.232350504232</x:v>
      </x:c>
      <x:c r="AY199" t="n">
        <x:f>K199+U199</x:f>
        <x:v>2647.0946561526384</x:v>
      </x:c>
      <x:c r="AZ199" t="n">
        <x:f>L199+V199</x:f>
        <x:v>2842.979660707934</x:v>
      </x:c>
      <x:c r="BA199" t="n">
        <x:f>M199+W199</x:f>
        <x:v>2990.8146030647467</x:v>
      </x:c>
      <x:c r="BB199" t="n">
        <x:f>N199+X199</x:f>
        <x:v>3080.539041156689</x:v>
      </x:c>
      <x:c r="BC199" t="n">
        <x:f>AS199/'Inputs'!$E$14-1</x:f>
        <x:v>0.14000000000000012</x:v>
      </x:c>
      <x:c r="BD199" t="n">
        <x:f>AT199/AS199-1</x:f>
        <x:v>0.14000000000000012</x:v>
      </x:c>
      <x:c r="BE199" t="n">
        <x:f>AU199/AT199-1</x:f>
        <x:v>0.14000000000000012</x:v>
      </x:c>
      <x:c r="BF199" t="n">
        <x:f>AV199/AU199-1</x:f>
        <x:v>0.14000000000000012</x:v>
      </x:c>
      <x:c r="BG199" t="n">
        <x:f>AW199/AV199-1</x:f>
        <x:v>0.14000000000000012</x:v>
      </x:c>
      <x:c r="BH199" t="n">
        <x:f>AX199/AW199-1</x:f>
        <x:v>0.1180000000000001</x:v>
      </x:c>
      <x:c r="BI199" t="n">
        <x:f>AY199/AX199-1</x:f>
        <x:v>0.09600000000000009</x:v>
      </x:c>
      <x:c r="BJ199" t="n">
        <x:f>AZ199/AY199-1</x:f>
        <x:v>0.07400000000000007</x:v>
      </x:c>
      <x:c r="BK199" t="n">
        <x:f>BA199/AZ199-1</x:f>
        <x:v>0.052000000000000046</x:v>
      </x:c>
      <x:c r="BL199" t="n">
        <x:f>BB199/BA199-1</x:f>
        <x:v>0.030000000000000027</x:v>
      </x:c>
      <x:c r="BM199" t="n">
        <x:f>AH199*(1-'Assumptions'!$F$12)*(1+'Assumptions'!$D$12)*(1-'Assumptions'!$D$12/'Assumptions'!$E$12)</x:f>
        <x:v>533.0564756817533</x:v>
      </x:c>
      <x:c r="BN199" t="n">
        <x:f>SUMPRODUCT(AI199:AR199,'APPF Model'!$B$83:$K$83)+BM199/('Assumptions'!$C$12-'Assumptions'!$D$12)*'APPF Model'!$K$83</x:f>
        <x:v>5116.536435078693</x:v>
      </x:c>
      <x:c r="BO199" t="n">
        <x:f>'APPF Model'!$B$94</x:f>
        <x:v>171.685</x:v>
      </x:c>
      <x:c r="BP199" t="n">
        <x:f>'Inputs'!$E$8</x:f>
        <x:v>36</x:v>
      </x:c>
    </x:row>
    <x:row r="200">
      <x:c r="A200" t="str">
        <x:v>APPF</x:v>
      </x:c>
      <x:c r="B200" s="22" t="n">
        <x:v>0.15</x:v>
      </x:c>
      <x:c r="C200" s="42" t="n">
        <x:f>(BN200+BO200)/BP200</x:f>
        <x:v>154.73888613415318</x:v>
      </x:c>
      <x:c r="D200" s="22" t="n">
        <x:f>C200/'Inputs'!$E$5-1</x:f>
        <x:v>-0.27786594113238205</x:v>
      </x:c>
      <x:c r="E200" t="n">
        <x:f>'Inputs'!$E$14*(1+$B200)^1</x:f>
        <x:v>1290.3</x:v>
      </x:c>
      <x:c r="F200" t="n">
        <x:f>'Inputs'!$E$14*(1+$B200)^2</x:f>
        <x:v>1483.8449999999998</x:v>
      </x:c>
      <x:c r="G200" t="n">
        <x:f>'Inputs'!$E$14*(1+$B200)^3</x:f>
        <x:v>1706.4217499999995</x:v>
      </x:c>
      <x:c r="H200" t="n">
        <x:f>'Inputs'!$E$14*(1+$B200)^4</x:f>
        <x:v>1962.3850124999994</x:v>
      </x:c>
      <x:c r="I200" t="n">
        <x:f>'Inputs'!$E$14*(1+$B200)^5</x:f>
        <x:v>2256.7427643749993</x:v>
      </x:c>
      <x:c r="J200" t="n">
        <x:f>I200*(1+($BG200+('Assumptions'!$D$12-$BG200)*(6-5)/5))</x:f>
        <x:v>2541.092352686249</x:v>
      </x:c>
      <x:c r="K200" t="n">
        <x:f>J200*(1+($BG200+('Assumptions'!$D$12-$BG200)*(7-5)/5))</x:f>
        <x:v>2800.283772660246</x:v>
      </x:c>
      <x:c r="L200" t="n">
        <x:f>K200*(1+($BG200+('Assumptions'!$D$12-$BG200)*(8-5)/5))</x:f>
        <x:v>3018.7059069277448</x:v>
      </x:c>
      <x:c r="M200" t="n">
        <x:f>L200*(1+($BG200+('Assumptions'!$D$12-$BG200)*(9-5)/5))</x:f>
        <x:v>3181.7160259018433</x:v>
      </x:c>
      <x:c r="N200" t="n">
        <x:f>M200*(1+($BG200+('Assumptions'!$D$12-$BG200)*(10-5)/5))</x:f>
        <x:v>3277.1675066788985</x:v>
      </x:c>
      <x:c r="O200" t="n">
        <x:f>0</x:f>
        <x:v>0</x:v>
      </x:c>
      <x:c r="P200" t="n">
        <x:f>0</x:f>
        <x:v>0</x:v>
      </x:c>
      <x:c r="Q200" t="n">
        <x:f>0</x:f>
        <x:v>0</x:v>
      </x:c>
      <x:c r="R200" t="n">
        <x:f>0</x:f>
        <x:v>0</x:v>
      </x:c>
      <x:c r="S200" t="n">
        <x:f>0</x:f>
        <x:v>0</x:v>
      </x:c>
      <x:c r="T200" t="n">
        <x:f>S200*(1+($BG200+('Assumptions'!$D$12-$BG200)*(6-5)/5))</x:f>
        <x:v>0</x:v>
      </x:c>
      <x:c r="U200" t="n">
        <x:f>T200*(1+($BG200+('Assumptions'!$D$12-$BG200)*(7-5)/5))</x:f>
        <x:v>0</x:v>
      </x:c>
      <x:c r="V200" t="n">
        <x:f>U200*(1+($BG200+('Assumptions'!$D$12-$BG200)*(8-5)/5))</x:f>
        <x:v>0</x:v>
      </x:c>
      <x:c r="W200" t="n">
        <x:f>V200*(1+($BG200+('Assumptions'!$D$12-$BG200)*(9-5)/5))</x:f>
        <x:v>0</x:v>
      </x:c>
      <x:c r="X200" t="n">
        <x:f>W200*(1+($BG200+('Assumptions'!$D$12-$BG200)*(10-5)/5))</x:f>
        <x:v>0</x:v>
      </x:c>
      <x:c r="Y200" t="n">
        <x:f>E200*'APPF Model'!$B$62+O200*'APPF Model'!$B$63+'APPF Model'!$B$73+'APPF Model'!$B$74</x:f>
        <x:v>264.51149999999996</x:v>
      </x:c>
      <x:c r="Z200" t="n">
        <x:f>F200*'APPF Model'!$C$62+P200*'APPF Model'!$C$63+'APPF Model'!$C$73+'APPF Model'!$C$74</x:f>
        <x:v>326.44589999999994</x:v>
      </x:c>
      <x:c r="AA200" t="n">
        <x:f>G200*'APPF Model'!$D$62+Q200*'APPF Model'!$D$63+'APPF Model'!$D$73+'APPF Model'!$D$74</x:f>
        <x:v>392.4770024999999</x:v>
      </x:c>
      <x:c r="AB200" t="n">
        <x:f>H200*'APPF Model'!$E$62+R200*'APPF Model'!$E$63+'APPF Model'!$E$73+'APPF Model'!$E$74</x:f>
        <x:v>470.9724029999999</x:v>
      </x:c>
      <x:c r="AC200" t="n">
        <x:f>I200*'APPF Model'!$F$62+S200*'APPF Model'!$F$63+'APPF Model'!$F$73+'APPF Model'!$F$74</x:f>
        <x:v>552.9019772718748</x:v>
      </x:c>
      <x:c r="AD200" t="n">
        <x:f>AX200*$AC200/$AW200</x:f>
        <x:v>622.5676264081309</x:v>
      </x:c>
      <x:c r="AE200" t="n">
        <x:f>AY200*$AC200/$AW200</x:f>
        <x:v>686.0695243017602</x:v>
      </x:c>
      <x:c r="AF200" t="n">
        <x:f>AZ200*$AC200/$AW200</x:f>
        <x:v>739.5829471972975</x:v>
      </x:c>
      <x:c r="AG200" t="n">
        <x:f>BA200*$AC200/$AW200</x:f>
        <x:v>779.5204263459516</x:v>
      </x:c>
      <x:c r="AH200" t="n">
        <x:f>BB200*$AC200/$AW200</x:f>
        <x:v>802.90603913633</x:v>
      </x:c>
      <x:c r="AI200" t="n">
        <x:f>Y200*(1-'Assumptions'!$F$12)+AS200*'Assumptions'!$G$12-AS200*'APPF Model'!$B$65-(AS200-'Inputs'!$E$14)*'Assumptions'!$H$12-'Assumptions'!$I$12</x:f>
        <x:v>187.78072499999996</x:v>
      </x:c>
      <x:c r="AJ200" t="n">
        <x:f>Z200*(1-'Assumptions'!$F$12)+AT200*'Assumptions'!$G$12-AT200*'APPF Model'!$C$65-(AT200-AS200)*'Assumptions'!$H$12-0</x:f>
        <x:v>232.64108999999993</x:v>
      </x:c>
      <x:c r="AK200" t="n">
        <x:f>AA200*(1-'Assumptions'!$F$12)+AU200*'Assumptions'!$G$12-AU200*'APPF Model'!$D$65-(AU200-AT200)*'Assumptions'!$H$12-0</x:f>
        <x:v>280.33541662499994</x:v>
      </x:c>
      <x:c r="AL200" t="n">
        <x:f>AB200*(1-'Assumptions'!$F$12)+AV200*'Assumptions'!$G$12-AV200*'APPF Model'!$E$65-(AV200-AU200)*'Assumptions'!$H$12-0</x:f>
        <x:v>337.1036167124999</x:v>
      </x:c>
      <x:c r="AM200" t="n">
        <x:f>AC200*(1-'Assumptions'!$F$12)+AW200*'Assumptions'!$G$12-AW200*'APPF Model'!$F$65-(AW200-AV200)*'Assumptions'!$H$12-0</x:f>
        <x:v>396.13194458578107</x:v>
      </x:c>
      <x:c r="AN200" t="n">
        <x:f>AD200*(1-'Assumptions'!$F$12)+AX200*'Assumptions'!$G$12-AX200*'APPF Model'!$G$65-(AX200-AW200)*'Assumptions'!$H$12-0</x:f>
        <x:v>447.92845921558944</x:v>
      </x:c>
      <x:c r="AO200" t="n">
        <x:f>AE200*(1-'Assumptions'!$F$12)+AY200*'Assumptions'!$G$12-AY200*'APPF Model'!$H$65-(AY200-AX200)*'Assumptions'!$H$12-0</x:f>
        <x:v>495.78363510937953</x:v>
      </x:c>
      <x:c r="AP200" t="n">
        <x:f>AF200*(1-'Assumptions'!$F$12)+AZ200*'Assumptions'!$G$12-AZ200*'APPF Model'!$I$65-(AZ200-AY200)*'Assumptions'!$H$12-0</x:f>
        <x:v>536.8942073064899</x:v>
      </x:c>
      <x:c r="AQ200" t="n">
        <x:f>AG200*(1-'Assumptions'!$F$12)+BA200*'Assumptions'!$G$12-BA200*'APPF Model'!$J$65-(BA200-AZ200)*'Assumptions'!$H$12-0</x:f>
        <x:v>568.5747669227941</x:v>
      </x:c>
      <x:c r="AR200" t="n">
        <x:f>AH200*(1-'Assumptions'!$F$12)+BB200*'Assumptions'!$G$12-BB200*'APPF Model'!$K$65-(BB200-BA200)*'Assumptions'!$H$12-0</x:f>
        <x:v>588.5299676011286</x:v>
      </x:c>
      <x:c r="AS200" t="n">
        <x:f>E200+O200</x:f>
        <x:v>1290.3</x:v>
      </x:c>
      <x:c r="AT200" t="n">
        <x:f>F200+P200</x:f>
        <x:v>1483.8449999999998</x:v>
      </x:c>
      <x:c r="AU200" t="n">
        <x:f>G200+Q200</x:f>
        <x:v>1706.4217499999995</x:v>
      </x:c>
      <x:c r="AV200" t="n">
        <x:f>H200+R200</x:f>
        <x:v>1962.3850124999994</x:v>
      </x:c>
      <x:c r="AW200" t="n">
        <x:f>I200+S200</x:f>
        <x:v>2256.7427643749993</x:v>
      </x:c>
      <x:c r="AX200" t="n">
        <x:f>J200+T200</x:f>
        <x:v>2541.092352686249</x:v>
      </x:c>
      <x:c r="AY200" t="n">
        <x:f>K200+U200</x:f>
        <x:v>2800.283772660246</x:v>
      </x:c>
      <x:c r="AZ200" t="n">
        <x:f>L200+V200</x:f>
        <x:v>3018.7059069277448</x:v>
      </x:c>
      <x:c r="BA200" t="n">
        <x:f>M200+W200</x:f>
        <x:v>3181.7160259018433</x:v>
      </x:c>
      <x:c r="BB200" t="n">
        <x:f>N200+X200</x:f>
        <x:v>3277.1675066788985</x:v>
      </x:c>
      <x:c r="BC200" t="n">
        <x:f>AS200/'Inputs'!$E$14-1</x:f>
        <x:v>0.1499999999999999</x:v>
      </x:c>
      <x:c r="BD200" t="n">
        <x:f>AT200/AS200-1</x:f>
        <x:v>0.1499999999999999</x:v>
      </x:c>
      <x:c r="BE200" t="n">
        <x:f>AU200/AT200-1</x:f>
        <x:v>0.1499999999999999</x:v>
      </x:c>
      <x:c r="BF200" t="n">
        <x:f>AV200/AU200-1</x:f>
        <x:v>0.1499999999999999</x:v>
      </x:c>
      <x:c r="BG200" t="n">
        <x:f>AW200/AV200-1</x:f>
        <x:v>0.1499999999999999</x:v>
      </x:c>
      <x:c r="BH200" t="n">
        <x:f>AX200/AW200-1</x:f>
        <x:v>0.1259999999999999</x:v>
      </x:c>
      <x:c r="BI200" t="n">
        <x:f>AY200/AX200-1</x:f>
        <x:v>0.10199999999999987</x:v>
      </x:c>
      <x:c r="BJ200" t="n">
        <x:f>AZ200/AY200-1</x:f>
        <x:v>0.07799999999999985</x:v>
      </x:c>
      <x:c r="BK200" t="n">
        <x:f>BA200/AZ200-1</x:f>
        <x:v>0.05400000000000005</x:v>
      </x:c>
      <x:c r="BL200" t="n">
        <x:f>BB200/BA200-1</x:f>
        <x:v>0.030000000000000027</x:v>
      </x:c>
      <x:c r="BM200" t="n">
        <x:f>AH200*(1-'Assumptions'!$F$12)*(1+'Assumptions'!$D$12)*(1-'Assumptions'!$D$12/'Assumptions'!$E$12)</x:f>
        <x:v>567.0810653557165</x:v>
      </x:c>
      <x:c r="BN200" t="n">
        <x:f>SUMPRODUCT(AI200:AR200,'APPF Model'!$B$83:$K$83)+BM200/('Assumptions'!$C$12-'Assumptions'!$D$12)*'APPF Model'!$K$83</x:f>
        <x:v>5398.9149008295135</x:v>
      </x:c>
      <x:c r="BO200" t="n">
        <x:f>'APPF Model'!$B$94</x:f>
        <x:v>171.685</x:v>
      </x:c>
      <x:c r="BP200" t="n">
        <x:f>'Inputs'!$E$8</x:f>
        <x:v>36</x:v>
      </x:c>
    </x:row>
    <x:row r="201">
      <x:c r="A201" t="str">
        <x:v>APPF</x:v>
      </x:c>
      <x:c r="B201" s="22" t="n">
        <x:v>0.16</x:v>
      </x:c>
      <x:c r="C201" s="42" t="n">
        <x:f>(BN201+BO201)/BP201</x:f>
        <x:v>162.98482394884178</x:v>
      </x:c>
      <x:c r="D201" s="22" t="n">
        <x:f>C201/'Inputs'!$E$5-1</x:f>
        <x:v>-0.23938387180865328</x:v>
      </x:c>
      <x:c r="E201" t="n">
        <x:f>'Inputs'!$E$14*(1+$B201)^1</x:f>
        <x:v>1301.52</x:v>
      </x:c>
      <x:c r="F201" t="n">
        <x:f>'Inputs'!$E$14*(1+$B201)^2</x:f>
        <x:v>1509.7631999999999</x:v>
      </x:c>
      <x:c r="G201" t="n">
        <x:f>'Inputs'!$E$14*(1+$B201)^3</x:f>
        <x:v>1751.3253119999997</x:v>
      </x:c>
      <x:c r="H201" t="n">
        <x:f>'Inputs'!$E$14*(1+$B201)^4</x:f>
        <x:v>2031.5373619199997</x:v>
      </x:c>
      <x:c r="I201" t="n">
        <x:f>'Inputs'!$E$14*(1+$B201)^5</x:f>
        <x:v>2356.5833398271993</x:v>
      </x:c>
      <x:c r="J201" t="n">
        <x:f>I201*(1+($BG201+('Assumptions'!$D$12-$BG201)*(6-5)/5))</x:f>
        <x:v>2672.365507364044</x:v>
      </x:c>
      <x:c r="K201" t="n">
        <x:f>J201*(1+($BG201+('Assumptions'!$D$12-$BG201)*(7-5)/5))</x:f>
        <x:v>2960.9809821593603</x:v>
      </x:c>
      <x:c r="L201" t="n">
        <x:f>K201*(1+($BG201+('Assumptions'!$D$12-$BG201)*(8-5)/5))</x:f>
        <x:v>3203.7814226964274</x:v>
      </x:c>
      <x:c r="M201" t="n">
        <x:f>L201*(1+($BG201+('Assumptions'!$D$12-$BG201)*(9-5)/5))</x:f>
        <x:v>3383.1931823674277</x:v>
      </x:c>
      <x:c r="N201" t="n">
        <x:f>M201*(1+($BG201+('Assumptions'!$D$12-$BG201)*(10-5)/5))</x:f>
        <x:v>3484.6889778384507</x:v>
      </x:c>
      <x:c r="O201" t="n">
        <x:f>0</x:f>
        <x:v>0</x:v>
      </x:c>
      <x:c r="P201" t="n">
        <x:f>0</x:f>
        <x:v>0</x:v>
      </x:c>
      <x:c r="Q201" t="n">
        <x:f>0</x:f>
        <x:v>0</x:v>
      </x:c>
      <x:c r="R201" t="n">
        <x:f>0</x:f>
        <x:v>0</x:v>
      </x:c>
      <x:c r="S201" t="n">
        <x:f>0</x:f>
        <x:v>0</x:v>
      </x:c>
      <x:c r="T201" t="n">
        <x:f>S201*(1+($BG201+('Assumptions'!$D$12-$BG201)*(6-5)/5))</x:f>
        <x:v>0</x:v>
      </x:c>
      <x:c r="U201" t="n">
        <x:f>T201*(1+($BG201+('Assumptions'!$D$12-$BG201)*(7-5)/5))</x:f>
        <x:v>0</x:v>
      </x:c>
      <x:c r="V201" t="n">
        <x:f>U201*(1+($BG201+('Assumptions'!$D$12-$BG201)*(8-5)/5))</x:f>
        <x:v>0</x:v>
      </x:c>
      <x:c r="W201" t="n">
        <x:f>V201*(1+($BG201+('Assumptions'!$D$12-$BG201)*(9-5)/5))</x:f>
        <x:v>0</x:v>
      </x:c>
      <x:c r="X201" t="n">
        <x:f>W201*(1+($BG201+('Assumptions'!$D$12-$BG201)*(10-5)/5))</x:f>
        <x:v>0</x:v>
      </x:c>
      <x:c r="Y201" t="n">
        <x:f>E201*'APPF Model'!$B$62+O201*'APPF Model'!$B$63+'APPF Model'!$B$73+'APPF Model'!$B$74</x:f>
        <x:v>266.8116</x:v>
      </x:c>
      <x:c r="Z201" t="n">
        <x:f>F201*'APPF Model'!$C$62+P201*'APPF Model'!$C$63+'APPF Model'!$C$73+'APPF Model'!$C$74</x:f>
        <x:v>332.147904</x:v>
      </x:c>
      <x:c r="AA201" t="n">
        <x:f>G201*'APPF Model'!$D$62+Q201*'APPF Model'!$D$63+'APPF Model'!$D$73+'APPF Model'!$D$74</x:f>
        <x:v>402.8048217599999</x:v>
      </x:c>
      <x:c r="AB201" t="n">
        <x:f>H201*'APPF Model'!$E$62+R201*'APPF Model'!$E$63+'APPF Model'!$E$73+'APPF Model'!$E$74</x:f>
        <x:v>487.56896686079995</x:v>
      </x:c>
      <x:c r="AC201" t="n">
        <x:f>I201*'APPF Model'!$F$62+S201*'APPF Model'!$F$63+'APPF Model'!$F$73+'APPF Model'!$F$74</x:f>
        <x:v>577.3629182576639</x:v>
      </x:c>
      <x:c r="AD201" t="n">
        <x:f>AX201*$AC201/$AW201</x:f>
        <x:v>654.7295493041908</x:v>
      </x:c>
      <x:c r="AE201" t="n">
        <x:f>AY201*$AC201/$AW201</x:f>
        <x:v>725.4403406290432</x:v>
      </x:c>
      <x:c r="AF201" t="n">
        <x:f>AZ201*$AC201/$AW201</x:f>
        <x:v>784.9264485606247</x:v>
      </x:c>
      <x:c r="AG201" t="n">
        <x:f>BA201*$AC201/$AW201</x:f>
        <x:v>828.8823296800198</x:v>
      </x:c>
      <x:c r="AH201" t="n">
        <x:f>BB201*$AC201/$AW201</x:f>
        <x:v>853.7487995704205</x:v>
      </x:c>
      <x:c r="AI201" t="n">
        <x:f>Y201*(1-'Assumptions'!$F$12)+AS201*'Assumptions'!$G$12-AS201*'APPF Model'!$B$65-(AS201-'Inputs'!$E$14)*'Assumptions'!$H$12-'Assumptions'!$I$12</x:f>
        <x:v>189.02334000000002</x:v>
      </x:c>
      <x:c r="AJ201" t="n">
        <x:f>Z201*(1-'Assumptions'!$F$12)+AT201*'Assumptions'!$G$12-AT201*'APPF Model'!$C$65-(AT201-AS201)*'Assumptions'!$H$12-0</x:f>
        <x:v>236.2519104</x:v>
      </x:c>
      <x:c r="AK201" t="n">
        <x:f>AA201*(1-'Assumptions'!$F$12)+AU201*'Assumptions'!$G$12-AU201*'APPF Model'!$D$65-(AU201-AT201)*'Assumptions'!$H$12-0</x:f>
        <x:v>287.187155904</x:v>
      </x:c>
      <x:c r="AL201" t="n">
        <x:f>AB201*(1-'Assumptions'!$F$12)+AV201*'Assumptions'!$G$12-AV201*'APPF Model'!$E$65-(AV201-AU201)*'Assumptions'!$H$12-0</x:f>
        <x:v>348.37363106303997</x:v>
      </x:c>
      <x:c r="AM201" t="n">
        <x:f>AC201*(1-'Assumptions'!$F$12)+AW201*'Assumptions'!$G$12-AW201*'APPF Model'!$F$65-(AW201-AV201)*'Assumptions'!$H$12-0</x:f>
        <x:v>412.9505995574783</x:v>
      </x:c>
      <x:c r="AN201" t="n">
        <x:f>AD201*(1-'Assumptions'!$F$12)+AX201*'Assumptions'!$G$12-AX201*'APPF Model'!$G$65-(AX201-AW201)*'Assumptions'!$H$12-0</x:f>
        <x:v>470.39877875457717</x:v>
      </x:c>
      <x:c r="AO201" t="n">
        <x:f>AE201*(1-'Assumptions'!$F$12)+AY201*'Assumptions'!$G$12-AY201*'APPF Model'!$H$65-(AY201-AX201)*'Assumptions'!$H$12-0</x:f>
        <x:v>523.6526935334917</x:v>
      </x:c>
      <x:c r="AP201" t="n">
        <x:f>AF201*(1-'Assumptions'!$F$12)+AZ201*'Assumptions'!$G$12-AZ201*'APPF Model'!$I$65-(AZ201-AY201)*'Assumptions'!$H$12-0</x:f>
        <x:v>569.3714745308966</x:v>
      </x:c>
      <x:c r="AQ201" t="n">
        <x:f>AG201*(1-'Assumptions'!$F$12)+BA201*'Assumptions'!$G$12-BA201*'APPF Model'!$J$65-(BA201-AZ201)*'Assumptions'!$H$12-0</x:f>
        <x:v>604.3356973260726</x:v>
      </x:c>
      <x:c r="AR201" t="n">
        <x:f>AH201*(1-'Assumptions'!$F$12)+BB201*'Assumptions'!$G$12-BB201*'APPF Model'!$K$65-(BB201-BA201)*'Assumptions'!$H$12-0</x:f>
        <x:v>625.797700925459</x:v>
      </x:c>
      <x:c r="AS201" t="n">
        <x:f>E201+O201</x:f>
        <x:v>1301.52</x:v>
      </x:c>
      <x:c r="AT201" t="n">
        <x:f>F201+P201</x:f>
        <x:v>1509.7631999999999</x:v>
      </x:c>
      <x:c r="AU201" t="n">
        <x:f>G201+Q201</x:f>
        <x:v>1751.3253119999997</x:v>
      </x:c>
      <x:c r="AV201" t="n">
        <x:f>H201+R201</x:f>
        <x:v>2031.5373619199997</x:v>
      </x:c>
      <x:c r="AW201" t="n">
        <x:f>I201+S201</x:f>
        <x:v>2356.5833398271993</x:v>
      </x:c>
      <x:c r="AX201" t="n">
        <x:f>J201+T201</x:f>
        <x:v>2672.365507364044</x:v>
      </x:c>
      <x:c r="AY201" t="n">
        <x:f>K201+U201</x:f>
        <x:v>2960.9809821593603</x:v>
      </x:c>
      <x:c r="AZ201" t="n">
        <x:f>L201+V201</x:f>
        <x:v>3203.7814226964274</x:v>
      </x:c>
      <x:c r="BA201" t="n">
        <x:f>M201+W201</x:f>
        <x:v>3383.1931823674277</x:v>
      </x:c>
      <x:c r="BB201" t="n">
        <x:f>N201+X201</x:f>
        <x:v>3484.6889778384507</x:v>
      </x:c>
      <x:c r="BC201" t="n">
        <x:f>AS201/'Inputs'!$E$14-1</x:f>
        <x:v>0.15999999999999992</x:v>
      </x:c>
      <x:c r="BD201" t="n">
        <x:f>AT201/AS201-1</x:f>
        <x:v>0.15999999999999992</x:v>
      </x:c>
      <x:c r="BE201" t="n">
        <x:f>AU201/AT201-1</x:f>
        <x:v>0.15999999999999992</x:v>
      </x:c>
      <x:c r="BF201" t="n">
        <x:f>AV201/AU201-1</x:f>
        <x:v>0.16000000000000014</x:v>
      </x:c>
      <x:c r="BG201" t="n">
        <x:f>AW201/AV201-1</x:f>
        <x:v>0.15999999999999992</x:v>
      </x:c>
      <x:c r="BH201" t="n">
        <x:f>AX201/AW201-1</x:f>
        <x:v>0.1339999999999999</x:v>
      </x:c>
      <x:c r="BI201" t="n">
        <x:f>AY201/AX201-1</x:f>
        <x:v>0.10799999999999987</x:v>
      </x:c>
      <x:c r="BJ201" t="n">
        <x:f>AZ201/AY201-1</x:f>
        <x:v>0.08199999999999985</x:v>
      </x:c>
      <x:c r="BK201" t="n">
        <x:f>BA201/AZ201-1</x:f>
        <x:v>0.05600000000000005</x:v>
      </x:c>
      <x:c r="BL201" t="n">
        <x:f>BB201/BA201-1</x:f>
        <x:v>0.030000000000000027</x:v>
      </x:c>
      <x:c r="BM201" t="n">
        <x:f>AH201*(1-'Assumptions'!$F$12)*(1+'Assumptions'!$D$12)*(1-'Assumptions'!$D$12/'Assumptions'!$E$12)</x:f>
        <x:v>602.9905807251655</x:v>
      </x:c>
      <x:c r="BN201" t="n">
        <x:f>SUMPRODUCT(AI201:AR201,'APPF Model'!$B$83:$K$83)+BM201/('Assumptions'!$C$12-'Assumptions'!$D$12)*'APPF Model'!$K$83</x:f>
        <x:v>5695.768662158303</x:v>
      </x:c>
      <x:c r="BO201" t="n">
        <x:f>'APPF Model'!$B$94</x:f>
        <x:v>171.685</x:v>
      </x:c>
      <x:c r="BP201" t="n">
        <x:f>'Inputs'!$E$8</x:f>
        <x:v>36</x:v>
      </x:c>
    </x:row>
    <x:row r="202">
      <x:c r="A202" t="str">
        <x:v>APPF</x:v>
      </x:c>
      <x:c r="B202" s="22" t="n">
        <x:v>0.17</x:v>
      </x:c>
      <x:c r="C202" s="42" t="n">
        <x:f>(BN202+BO202)/BP202</x:f>
        <x:v>171.6509301559167</x:v>
      </x:c>
      <x:c r="D202" s="22" t="n">
        <x:f>C202/'Inputs'!$E$5-1</x:f>
        <x:v>-0.1989409643647717</x:v>
      </x:c>
      <x:c r="E202" t="n">
        <x:f>'Inputs'!$E$14*(1+$B202)^1</x:f>
        <x:v>1312.74</x:v>
      </x:c>
      <x:c r="F202" t="n">
        <x:f>'Inputs'!$E$14*(1+$B202)^2</x:f>
        <x:v>1535.9057999999998</x:v>
      </x:c>
      <x:c r="G202" t="n">
        <x:f>'Inputs'!$E$14*(1+$B202)^3</x:f>
        <x:v>1797.0097859999996</x:v>
      </x:c>
      <x:c r="H202" t="n">
        <x:f>'Inputs'!$E$14*(1+$B202)^4</x:f>
        <x:v>2102.501449619999</x:v>
      </x:c>
      <x:c r="I202" t="n">
        <x:f>'Inputs'!$E$14*(1+$B202)^5</x:f>
        <x:v>2459.926696055399</x:v>
      </x:c>
      <x:c r="J202" t="n">
        <x:f>I202*(1+($BG202+('Assumptions'!$D$12-$BG202)*(6-5)/5))</x:f>
        <x:v>2809.2362868952655</x:v>
      </x:c>
      <x:c r="K202" t="n">
        <x:f>J202*(1+($BG202+('Assumptions'!$D$12-$BG202)*(7-5)/5))</x:f>
        <x:v>3129.489223601325</x:v>
      </x:c>
      <x:c r="L202" t="n">
        <x:f>K202*(1+($BG202+('Assumptions'!$D$12-$BG202)*(8-5)/5))</x:f>
        <x:v>3398.6252968310387</x:v>
      </x:c>
      <x:c r="M202" t="n">
        <x:f>L202*(1+($BG202+('Assumptions'!$D$12-$BG202)*(9-5)/5))</x:f>
        <x:v>3595.745564047239</x:v>
      </x:c>
      <x:c r="N202" t="n">
        <x:f>M202*(1+($BG202+('Assumptions'!$D$12-$BG202)*(10-5)/5))</x:f>
        <x:v>3703.6179309686563</x:v>
      </x:c>
      <x:c r="O202" t="n">
        <x:f>0</x:f>
        <x:v>0</x:v>
      </x:c>
      <x:c r="P202" t="n">
        <x:f>0</x:f>
        <x:v>0</x:v>
      </x:c>
      <x:c r="Q202" t="n">
        <x:f>0</x:f>
        <x:v>0</x:v>
      </x:c>
      <x:c r="R202" t="n">
        <x:f>0</x:f>
        <x:v>0</x:v>
      </x:c>
      <x:c r="S202" t="n">
        <x:f>0</x:f>
        <x:v>0</x:v>
      </x:c>
      <x:c r="T202" t="n">
        <x:f>S202*(1+($BG202+('Assumptions'!$D$12-$BG202)*(6-5)/5))</x:f>
        <x:v>0</x:v>
      </x:c>
      <x:c r="U202" t="n">
        <x:f>T202*(1+($BG202+('Assumptions'!$D$12-$BG202)*(7-5)/5))</x:f>
        <x:v>0</x:v>
      </x:c>
      <x:c r="V202" t="n">
        <x:f>U202*(1+($BG202+('Assumptions'!$D$12-$BG202)*(8-5)/5))</x:f>
        <x:v>0</x:v>
      </x:c>
      <x:c r="W202" t="n">
        <x:f>V202*(1+($BG202+('Assumptions'!$D$12-$BG202)*(9-5)/5))</x:f>
        <x:v>0</x:v>
      </x:c>
      <x:c r="X202" t="n">
        <x:f>W202*(1+($BG202+('Assumptions'!$D$12-$BG202)*(10-5)/5))</x:f>
        <x:v>0</x:v>
      </x:c>
      <x:c r="Y202" t="n">
        <x:f>E202*'APPF Model'!$B$62+O202*'APPF Model'!$B$63+'APPF Model'!$B$73+'APPF Model'!$B$74</x:f>
        <x:v>269.1117</x:v>
      </x:c>
      <x:c r="Z202" t="n">
        <x:f>F202*'APPF Model'!$C$62+P202*'APPF Model'!$C$63+'APPF Model'!$C$73+'APPF Model'!$C$74</x:f>
        <x:v>337.89927599999993</x:v>
      </x:c>
      <x:c r="AA202" t="n">
        <x:f>G202*'APPF Model'!$D$62+Q202*'APPF Model'!$D$63+'APPF Model'!$D$73+'APPF Model'!$D$74</x:f>
        <x:v>413.31225077999994</x:v>
      </x:c>
      <x:c r="AB202" t="n">
        <x:f>H202*'APPF Model'!$E$62+R202*'APPF Model'!$E$63+'APPF Model'!$E$73+'APPF Model'!$E$74</x:f>
        <x:v>504.6003479087998</x:v>
      </x:c>
      <x:c r="AC202" t="n">
        <x:f>I202*'APPF Model'!$F$62+S202*'APPF Model'!$F$63+'APPF Model'!$F$73+'APPF Model'!$F$74</x:f>
        <x:v>602.6820405335728</x:v>
      </x:c>
      <x:c r="AD202" t="n">
        <x:f>AX202*$AC202/$AW202</x:f>
        <x:v>688.26289028934</x:v>
      </x:c>
      <x:c r="AE202" t="n">
        <x:f>AY202*$AC202/$AW202</x:f>
        <x:v>766.7248597823248</x:v>
      </x:c>
      <x:c r="AF202" t="n">
        <x:f>AZ202*$AC202/$AW202</x:f>
        <x:v>832.6631977236045</x:v>
      </x:c>
      <x:c r="AG202" t="n">
        <x:f>BA202*$AC202/$AW202</x:f>
        <x:v>880.9576631915736</x:v>
      </x:c>
      <x:c r="AH202" t="n">
        <x:f>BB202*$AC202/$AW202</x:f>
        <x:v>907.3863930873208</x:v>
      </x:c>
      <x:c r="AI202" t="n">
        <x:f>Y202*(1-'Assumptions'!$F$12)+AS202*'Assumptions'!$G$12-AS202*'APPF Model'!$B$65-(AS202-'Inputs'!$E$14)*'Assumptions'!$H$12-'Assumptions'!$I$12</x:f>
        <x:v>190.265955</x:v>
      </x:c>
      <x:c r="AJ202" t="n">
        <x:f>Z202*(1-'Assumptions'!$F$12)+AT202*'Assumptions'!$G$12-AT202*'APPF Model'!$C$65-(AT202-AS202)*'Assumptions'!$H$12-0</x:f>
        <x:v>239.89010759999996</x:v>
      </x:c>
      <x:c r="AK202" t="n">
        <x:f>AA202*(1-'Assumptions'!$F$12)+AU202*'Assumptions'!$G$12-AU202*'APPF Model'!$D$65-(AU202-AT202)*'Assumptions'!$H$12-0</x:f>
        <x:v>294.1489992869999</x:v>
      </x:c>
      <x:c r="AL202" t="n">
        <x:f>AB202*(1-'Assumptions'!$F$12)+AV202*'Assumptions'!$G$12-AV202*'APPF Model'!$E$65-(AV202-AU202)*'Assumptions'!$H$12-0</x:f>
        <x:v>359.92309003793986</x:v>
      </x:c>
      <x:c r="AM202" t="n">
        <x:f>AC202*(1-'Assumptions'!$F$12)+AW202*'Assumptions'!$G$12-AW202*'APPF Model'!$F$65-(AW202-AV202)*'Assumptions'!$H$12-0</x:f>
        <x:v>430.3347404545974</x:v>
      </x:c>
      <x:c r="AN202" t="n">
        <x:f>AD202*(1-'Assumptions'!$F$12)+AX202*'Assumptions'!$G$12-AX202*'APPF Model'!$G$65-(AX202-AW202)*'Assumptions'!$H$12-0</x:f>
        <x:v>493.7970752227246</x:v>
      </x:c>
      <x:c r="AO202" t="n">
        <x:f>AE202*(1-'Assumptions'!$F$12)+AY202*'Assumptions'!$G$12-AY202*'APPF Model'!$H$65-(AY202-AX202)*'Assumptions'!$H$12-0</x:f>
        <x:v>552.8450596976973</x:v>
      </x:c>
      <x:c r="AP202" t="n">
        <x:f>AF202*(1-'Assumptions'!$F$12)+AZ202*'Assumptions'!$G$12-AZ202*'APPF Model'!$I$65-(AZ202-AY202)*'Assumptions'!$H$12-0</x:f>
        <x:v>603.5360794730217</x:v>
      </x:c>
      <x:c r="AQ202" t="n">
        <x:f>AG202*(1-'Assumptions'!$F$12)+BA202*'Assumptions'!$G$12-BA202*'APPF Model'!$J$65-(BA202-AZ202)*'Assumptions'!$H$12-0</x:f>
        <x:v>642.0462000128905</x:v>
      </x:c>
      <x:c r="AR202" t="n">
        <x:f>AH202*(1-'Assumptions'!$F$12)+BB202*'Assumptions'!$G$12-BB202*'APPF Model'!$K$65-(BB202-BA202)*'Assumptions'!$H$12-0</x:f>
        <x:v>665.114046345728</x:v>
      </x:c>
      <x:c r="AS202" t="n">
        <x:f>E202+O202</x:f>
        <x:v>1312.74</x:v>
      </x:c>
      <x:c r="AT202" t="n">
        <x:f>F202+P202</x:f>
        <x:v>1535.9057999999998</x:v>
      </x:c>
      <x:c r="AU202" t="n">
        <x:f>G202+Q202</x:f>
        <x:v>1797.0097859999996</x:v>
      </x:c>
      <x:c r="AV202" t="n">
        <x:f>H202+R202</x:f>
        <x:v>2102.501449619999</x:v>
      </x:c>
      <x:c r="AW202" t="n">
        <x:f>I202+S202</x:f>
        <x:v>2459.926696055399</x:v>
      </x:c>
      <x:c r="AX202" t="n">
        <x:f>J202+T202</x:f>
        <x:v>2809.2362868952655</x:v>
      </x:c>
      <x:c r="AY202" t="n">
        <x:f>K202+U202</x:f>
        <x:v>3129.489223601325</x:v>
      </x:c>
      <x:c r="AZ202" t="n">
        <x:f>L202+V202</x:f>
        <x:v>3398.6252968310387</x:v>
      </x:c>
      <x:c r="BA202" t="n">
        <x:f>M202+W202</x:f>
        <x:v>3595.745564047239</x:v>
      </x:c>
      <x:c r="BB202" t="n">
        <x:f>N202+X202</x:f>
        <x:v>3703.6179309686563</x:v>
      </x:c>
      <x:c r="BC202" t="n">
        <x:f>AS202/'Inputs'!$E$14-1</x:f>
        <x:v>0.16999999999999993</x:v>
      </x:c>
      <x:c r="BD202" t="n">
        <x:f>AT202/AS202-1</x:f>
        <x:v>0.16999999999999993</x:v>
      </x:c>
      <x:c r="BE202" t="n">
        <x:f>AU202/AT202-1</x:f>
        <x:v>0.16999999999999993</x:v>
      </x:c>
      <x:c r="BF202" t="n">
        <x:f>AV202/AU202-1</x:f>
        <x:v>0.1699999999999997</x:v>
      </x:c>
      <x:c r="BG202" t="n">
        <x:f>AW202/AV202-1</x:f>
        <x:v>0.16999999999999993</x:v>
      </x:c>
      <x:c r="BH202" t="n">
        <x:f>AX202/AW202-1</x:f>
        <x:v>0.1419999999999999</x:v>
      </x:c>
      <x:c r="BI202" t="n">
        <x:f>AY202/AX202-1</x:f>
        <x:v>0.11399999999999988</x:v>
      </x:c>
      <x:c r="BJ202" t="n">
        <x:f>AZ202/AY202-1</x:f>
        <x:v>0.08599999999999985</x:v>
      </x:c>
      <x:c r="BK202" t="n">
        <x:f>BA202/AZ202-1</x:f>
        <x:v>0.05800000000000005</x:v>
      </x:c>
      <x:c r="BL202" t="n">
        <x:f>BB202/BA202-1</x:f>
        <x:v>0.030000000000000027</x:v>
      </x:c>
      <x:c r="BM202" t="n">
        <x:f>AH202*(1-'Assumptions'!$F$12)*(1+'Assumptions'!$D$12)*(1-'Assumptions'!$D$12/'Assumptions'!$E$12)</x:f>
        <x:v>640.8740467748163</x:v>
      </x:c>
      <x:c r="BN202" t="n">
        <x:f>SUMPRODUCT(AI202:AR202,'APPF Model'!$B$83:$K$83)+BM202/('Assumptions'!$C$12-'Assumptions'!$D$12)*'APPF Model'!$K$83</x:f>
        <x:v>6007.748485613001</x:v>
      </x:c>
      <x:c r="BO202" t="n">
        <x:f>'APPF Model'!$B$94</x:f>
        <x:v>171.685</x:v>
      </x:c>
      <x:c r="BP202" t="n">
        <x:f>'Inputs'!$E$8</x:f>
        <x:v>36</x:v>
      </x:c>
    </x:row>
    <x:row r="203">
      <x:c r="A203" t="str">
        <x:v>APPF</x:v>
      </x:c>
      <x:c r="B203" s="22" t="n">
        <x:v>0.18</x:v>
      </x:c>
      <x:c r="C203" s="42" t="n">
        <x:f>(BN203+BO203)/BP203</x:f>
        <x:v>180.75596719571433</x:v>
      </x:c>
      <x:c r="D203" s="22" t="n">
        <x:f>C203/'Inputs'!$E$5-1</x:f>
        <x:v>-0.15644965841089076</x:v>
      </x:c>
      <x:c r="E203" t="n">
        <x:f>'Inputs'!$E$14*(1+$B203)^1</x:f>
        <x:v>1323.96</x:v>
      </x:c>
      <x:c r="F203" t="n">
        <x:f>'Inputs'!$E$14*(1+$B203)^2</x:f>
        <x:v>1562.2727999999997</x:v>
      </x:c>
      <x:c r="G203" t="n">
        <x:f>'Inputs'!$E$14*(1+$B203)^3</x:f>
        <x:v>1843.4819039999998</x:v>
      </x:c>
      <x:c r="H203" t="n">
        <x:f>'Inputs'!$E$14*(1+$B203)^4</x:f>
        <x:v>2175.3086467199996</x:v>
      </x:c>
      <x:c r="I203" t="n">
        <x:f>'Inputs'!$E$14*(1+$B203)^5</x:f>
        <x:v>2566.864203129599</x:v>
      </x:c>
      <x:c r="J203" t="n">
        <x:f>I203*(1+($BG203+('Assumptions'!$D$12-$BG203)*(6-5)/5))</x:f>
        <x:v>2951.893833599038</x:v>
      </x:c>
      <x:c r="K203" t="n">
        <x:f>J203*(1+($BG203+('Assumptions'!$D$12-$BG203)*(7-5)/5))</x:f>
        <x:v>3306.121093630922</x:v>
      </x:c>
      <x:c r="L203" t="n">
        <x:f>K203*(1+($BG203+('Assumptions'!$D$12-$BG203)*(8-5)/5))</x:f>
        <x:v>3603.6719920577048</x:v>
      </x:c>
      <x:c r="M203" t="n">
        <x:f>L203*(1+($BG203+('Assumptions'!$D$12-$BG203)*(9-5)/5))</x:f>
        <x:v>3819.892311581167</x:v>
      </x:c>
      <x:c r="N203" t="n">
        <x:f>M203*(1+($BG203+('Assumptions'!$D$12-$BG203)*(10-5)/5))</x:f>
        <x:v>3934.489080928602</x:v>
      </x:c>
      <x:c r="O203" t="n">
        <x:f>0</x:f>
        <x:v>0</x:v>
      </x:c>
      <x:c r="P203" t="n">
        <x:f>0</x:f>
        <x:v>0</x:v>
      </x:c>
      <x:c r="Q203" t="n">
        <x:f>0</x:f>
        <x:v>0</x:v>
      </x:c>
      <x:c r="R203" t="n">
        <x:f>0</x:f>
        <x:v>0</x:v>
      </x:c>
      <x:c r="S203" t="n">
        <x:f>0</x:f>
        <x:v>0</x:v>
      </x:c>
      <x:c r="T203" t="n">
        <x:f>S203*(1+($BG203+('Assumptions'!$D$12-$BG203)*(6-5)/5))</x:f>
        <x:v>0</x:v>
      </x:c>
      <x:c r="U203" t="n">
        <x:f>T203*(1+($BG203+('Assumptions'!$D$12-$BG203)*(7-5)/5))</x:f>
        <x:v>0</x:v>
      </x:c>
      <x:c r="V203" t="n">
        <x:f>U203*(1+($BG203+('Assumptions'!$D$12-$BG203)*(8-5)/5))</x:f>
        <x:v>0</x:v>
      </x:c>
      <x:c r="W203" t="n">
        <x:f>V203*(1+($BG203+('Assumptions'!$D$12-$BG203)*(9-5)/5))</x:f>
        <x:v>0</x:v>
      </x:c>
      <x:c r="X203" t="n">
        <x:f>W203*(1+($BG203+('Assumptions'!$D$12-$BG203)*(10-5)/5))</x:f>
        <x:v>0</x:v>
      </x:c>
      <x:c r="Y203" t="n">
        <x:f>E203*'APPF Model'!$B$62+O203*'APPF Model'!$B$63+'APPF Model'!$B$73+'APPF Model'!$B$74</x:f>
        <x:v>271.41179999999997</x:v>
      </x:c>
      <x:c r="Z203" t="n">
        <x:f>F203*'APPF Model'!$C$62+P203*'APPF Model'!$C$63+'APPF Model'!$C$73+'APPF Model'!$C$74</x:f>
        <x:v>343.70001599999995</x:v>
      </x:c>
      <x:c r="AA203" t="n">
        <x:f>G203*'APPF Model'!$D$62+Q203*'APPF Model'!$D$63+'APPF Model'!$D$73+'APPF Model'!$D$74</x:f>
        <x:v>424.00083792</x:v>
      </x:c>
      <x:c r="AB203" t="n">
        <x:f>H203*'APPF Model'!$E$62+R203*'APPF Model'!$E$63+'APPF Model'!$E$73+'APPF Model'!$E$74</x:f>
        <x:v>522.0740752127999</x:v>
      </x:c>
      <x:c r="AC203" t="n">
        <x:f>I203*'APPF Model'!$F$62+S203*'APPF Model'!$F$63+'APPF Model'!$F$73+'APPF Model'!$F$74</x:f>
        <x:v>628.8817297667517</x:v>
      </x:c>
      <x:c r="AD203" t="n">
        <x:f>AX203*$AC203/$AW203</x:f>
        <x:v>723.2139892317642</x:v>
      </x:c>
      <x:c r="AE203" t="n">
        <x:f>AY203*$AC203/$AW203</x:f>
        <x:v>809.9996679395758</x:v>
      </x:c>
      <x:c r="AF203" t="n">
        <x:f>AZ203*$AC203/$AW203</x:f>
        <x:v>882.8996380541377</x:v>
      </x:c>
      <x:c r="AG203" t="n">
        <x:f>BA203*$AC203/$AW203</x:f>
        <x:v>935.8736163373859</x:v>
      </x:c>
      <x:c r="AH203" t="n">
        <x:f>BB203*$AC203/$AW203</x:f>
        <x:v>963.9498248275075</x:v>
      </x:c>
      <x:c r="AI203" t="n">
        <x:f>Y203*(1-'Assumptions'!$F$12)+AS203*'Assumptions'!$G$12-AS203*'APPF Model'!$B$65-(AS203-'Inputs'!$E$14)*'Assumptions'!$H$12-'Assumptions'!$I$12</x:f>
        <x:v>191.50856999999996</x:v>
      </x:c>
      <x:c r="AJ203" t="n">
        <x:f>Z203*(1-'Assumptions'!$F$12)+AT203*'Assumptions'!$G$12-AT203*'APPF Model'!$C$65-(AT203-AS203)*'Assumptions'!$H$12-0</x:f>
        <x:v>243.55568159999993</x:v>
      </x:c>
      <x:c r="AK203" t="n">
        <x:f>AA203*(1-'Assumptions'!$F$12)+AU203*'Assumptions'!$G$12-AU203*'APPF Model'!$D$65-(AU203-AT203)*'Assumptions'!$H$12-0</x:f>
        <x:v>301.22181856800006</x:v>
      </x:c>
      <x:c r="AL203" t="n">
        <x:f>AB203*(1-'Assumptions'!$F$12)+AV203*'Assumptions'!$G$12-AV203*'APPF Model'!$E$65-(AV203-AU203)*'Assumptions'!$H$12-0</x:f>
        <x:v>371.7565607606399</x:v>
      </x:c>
      <x:c r="AM203" t="n">
        <x:f>AC203*(1-'Assumptions'!$F$12)+AW203*'Assumptions'!$G$12-AW203*'APPF Model'!$F$65-(AW203-AV203)*'Assumptions'!$H$12-0</x:f>
        <x:v>448.298482459291</x:v>
      </x:c>
      <x:c r="AN203" t="n">
        <x:f>AD203*(1-'Assumptions'!$F$12)+AX203*'Assumptions'!$G$12-AX203*'APPF Model'!$G$65-(AX203-AW203)*'Assumptions'!$H$12-0</x:f>
        <x:v>518.1536252042486</x:v>
      </x:c>
      <x:c r="AO203" t="n">
        <x:f>AE203*(1-'Assumptions'!$F$12)+AY203*'Assumptions'!$G$12-AY203*'APPF Model'!$H$65-(AY203-AX203)*'Assumptions'!$H$12-0</x:f>
        <x:v>583.4122972725137</x:v>
      </x:c>
      <x:c r="AP203" t="n">
        <x:f>AF203*(1-'Assumptions'!$F$12)+AZ203*'Assumptions'!$G$12-AZ203*'APPF Model'!$I$65-(AZ203-AY203)*'Assumptions'!$H$12-0</x:f>
        <x:v>639.4616766273588</x:v>
      </x:c>
      <x:c r="AQ203" t="n">
        <x:f>AG203*(1-'Assumptions'!$F$12)+BA203*'Assumptions'!$G$12-BA203*'APPF Model'!$J$65-(BA203-AZ203)*'Assumptions'!$H$12-0</x:f>
        <x:v>681.7967225373575</x:v>
      </x:c>
      <x:c r="AR203" t="n">
        <x:f>AH203*(1-'Assumptions'!$F$12)+BB203*'Assumptions'!$G$12-BB203*'APPF Model'!$K$65-(BB203-BA203)*'Assumptions'!$H$12-0</x:f>
        <x:v>706.5750306039474</x:v>
      </x:c>
      <x:c r="AS203" t="n">
        <x:f>E203+O203</x:f>
        <x:v>1323.96</x:v>
      </x:c>
      <x:c r="AT203" t="n">
        <x:f>F203+P203</x:f>
        <x:v>1562.2727999999997</x:v>
      </x:c>
      <x:c r="AU203" t="n">
        <x:f>G203+Q203</x:f>
        <x:v>1843.4819039999998</x:v>
      </x:c>
      <x:c r="AV203" t="n">
        <x:f>H203+R203</x:f>
        <x:v>2175.3086467199996</x:v>
      </x:c>
      <x:c r="AW203" t="n">
        <x:f>I203+S203</x:f>
        <x:v>2566.864203129599</x:v>
      </x:c>
      <x:c r="AX203" t="n">
        <x:f>J203+T203</x:f>
        <x:v>2951.893833599038</x:v>
      </x:c>
      <x:c r="AY203" t="n">
        <x:f>K203+U203</x:f>
        <x:v>3306.121093630922</x:v>
      </x:c>
      <x:c r="AZ203" t="n">
        <x:f>L203+V203</x:f>
        <x:v>3603.6719920577048</x:v>
      </x:c>
      <x:c r="BA203" t="n">
        <x:f>M203+W203</x:f>
        <x:v>3819.892311581167</x:v>
      </x:c>
      <x:c r="BB203" t="n">
        <x:f>N203+X203</x:f>
        <x:v>3934.489080928602</x:v>
      </x:c>
      <x:c r="BC203" t="n">
        <x:f>AS203/'Inputs'!$E$14-1</x:f>
        <x:v>0.17999999999999994</x:v>
      </x:c>
      <x:c r="BD203" t="n">
        <x:f>AT203/AS203-1</x:f>
        <x:v>0.17999999999999972</x:v>
      </x:c>
      <x:c r="BE203" t="n">
        <x:f>AU203/AT203-1</x:f>
        <x:v>0.17999999999999994</x:v>
      </x:c>
      <x:c r="BF203" t="n">
        <x:f>AV203/AU203-1</x:f>
        <x:v>0.17999999999999994</x:v>
      </x:c>
      <x:c r="BG203" t="n">
        <x:f>AW203/AV203-1</x:f>
        <x:v>0.17999999999999972</x:v>
      </x:c>
      <x:c r="BH203" t="n">
        <x:f>AX203/AW203-1</x:f>
        <x:v>0.1499999999999997</x:v>
      </x:c>
      <x:c r="BI203" t="n">
        <x:f>AY203/AX203-1</x:f>
        <x:v>0.11999999999999988</x:v>
      </x:c>
      <x:c r="BJ203" t="n">
        <x:f>AZ203/AY203-1</x:f>
        <x:v>0.08999999999999986</x:v>
      </x:c>
      <x:c r="BK203" t="n">
        <x:f>BA203/AZ203-1</x:f>
        <x:v>0.06000000000000005</x:v>
      </x:c>
      <x:c r="BL203" t="n">
        <x:f>BB203/BA203-1</x:f>
        <x:v>0.030000000000000027</x:v>
      </x:c>
      <x:c r="BM203" t="n">
        <x:f>AH203*(1-'Assumptions'!$F$12)*(1+'Assumptions'!$D$12)*(1-'Assumptions'!$D$12/'Assumptions'!$E$12)</x:f>
        <x:v>680.8239905638853</x:v>
      </x:c>
      <x:c r="BN203" t="n">
        <x:f>SUMPRODUCT(AI203:AR203,'APPF Model'!$B$83:$K$83)+BM203/('Assumptions'!$C$12-'Assumptions'!$D$12)*'APPF Model'!$K$83</x:f>
        <x:v>6335.529819045716</x:v>
      </x:c>
      <x:c r="BO203" t="n">
        <x:f>'APPF Model'!$B$94</x:f>
        <x:v>171.685</x:v>
      </x:c>
      <x:c r="BP203" t="n">
        <x:f>'Inputs'!$E$8</x:f>
        <x:v>36</x:v>
      </x:c>
    </x:row>
    <x:row r="204">
      <x:c r="A204" t="str">
        <x:v>APPF</x:v>
      </x:c>
      <x:c r="B204" s="22" t="n">
        <x:v>0.19</x:v>
      </x:c>
      <x:c r="C204" s="42" t="n">
        <x:f>(BN204+BO204)/BP204</x:f>
        <x:v>190.31940422853674</x:v>
      </x:c>
      <x:c r="D204" s="22" t="n">
        <x:f>C204/'Inputs'!$E$5-1</x:f>
        <x:v>-0.11181909544270707</x:v>
      </x:c>
      <x:c r="E204" t="n">
        <x:f>'Inputs'!$E$14*(1+$B204)^1</x:f>
        <x:v>1335.1799999999998</x:v>
      </x:c>
      <x:c r="F204" t="n">
        <x:f>'Inputs'!$E$14*(1+$B204)^2</x:f>
        <x:v>1588.8642</x:v>
      </x:c>
      <x:c r="G204" t="n">
        <x:f>'Inputs'!$E$14*(1+$B204)^3</x:f>
        <x:v>1890.7483979999997</x:v>
      </x:c>
      <x:c r="H204" t="n">
        <x:f>'Inputs'!$E$14*(1+$B204)^4</x:f>
        <x:v>2249.99059362</x:v>
      </x:c>
      <x:c r="I204" t="n">
        <x:f>'Inputs'!$E$14*(1+$B204)^5</x:f>
        <x:v>2677.4888064077995</x:v>
      </x:c>
      <x:c r="J204" t="n">
        <x:f>I204*(1+($BG204+('Assumptions'!$D$12-$BG204)*(6-5)/5))</x:f>
        <x:v>3100.532037820232</x:v>
      </x:c>
      <x:c r="K204" t="n">
        <x:f>J204*(1+($BG204+('Assumptions'!$D$12-$BG204)*(7-5)/5))</x:f>
        <x:v>3491.1990745855805</x:v>
      </x:c>
      <x:c r="L204" t="n">
        <x:f>K204*(1+($BG204+('Assumptions'!$D$12-$BG204)*(8-5)/5))</x:f>
        <x:v>3819.3717875966245</x:v>
      </x:c>
      <x:c r="M204" t="n">
        <x:f>L204*(1+($BG204+('Assumptions'!$D$12-$BG204)*(9-5)/5))</x:f>
        <x:v>4056.1728384276153</x:v>
      </x:c>
      <x:c r="N204" t="n">
        <x:f>M204*(1+($BG204+('Assumptions'!$D$12-$BG204)*(10-5)/5))</x:f>
        <x:v>4177.858023580444</x:v>
      </x:c>
      <x:c r="O204" t="n">
        <x:f>0</x:f>
        <x:v>0</x:v>
      </x:c>
      <x:c r="P204" t="n">
        <x:f>0</x:f>
        <x:v>0</x:v>
      </x:c>
      <x:c r="Q204" t="n">
        <x:f>0</x:f>
        <x:v>0</x:v>
      </x:c>
      <x:c r="R204" t="n">
        <x:f>0</x:f>
        <x:v>0</x:v>
      </x:c>
      <x:c r="S204" t="n">
        <x:f>0</x:f>
        <x:v>0</x:v>
      </x:c>
      <x:c r="T204" t="n">
        <x:f>S204*(1+($BG204+('Assumptions'!$D$12-$BG204)*(6-5)/5))</x:f>
        <x:v>0</x:v>
      </x:c>
      <x:c r="U204" t="n">
        <x:f>T204*(1+($BG204+('Assumptions'!$D$12-$BG204)*(7-5)/5))</x:f>
        <x:v>0</x:v>
      </x:c>
      <x:c r="V204" t="n">
        <x:f>U204*(1+($BG204+('Assumptions'!$D$12-$BG204)*(8-5)/5))</x:f>
        <x:v>0</x:v>
      </x:c>
      <x:c r="W204" t="n">
        <x:f>V204*(1+($BG204+('Assumptions'!$D$12-$BG204)*(9-5)/5))</x:f>
        <x:v>0</x:v>
      </x:c>
      <x:c r="X204" t="n">
        <x:f>W204*(1+($BG204+('Assumptions'!$D$12-$BG204)*(10-5)/5))</x:f>
        <x:v>0</x:v>
      </x:c>
      <x:c r="Y204" t="n">
        <x:f>E204*'APPF Model'!$B$62+O204*'APPF Model'!$B$63+'APPF Model'!$B$73+'APPF Model'!$B$74</x:f>
        <x:v>273.71189999999996</x:v>
      </x:c>
      <x:c r="Z204" t="n">
        <x:f>F204*'APPF Model'!$C$62+P204*'APPF Model'!$C$63+'APPF Model'!$C$73+'APPF Model'!$C$74</x:f>
        <x:v>349.550124</x:v>
      </x:c>
      <x:c r="AA204" t="n">
        <x:f>G204*'APPF Model'!$D$62+Q204*'APPF Model'!$D$63+'APPF Model'!$D$73+'APPF Model'!$D$74</x:f>
        <x:v>434.87213153999994</x:v>
      </x:c>
      <x:c r="AB204" t="n">
        <x:f>H204*'APPF Model'!$E$62+R204*'APPF Model'!$E$63+'APPF Model'!$E$73+'APPF Model'!$E$74</x:f>
        <x:v>539.9977424688</x:v>
      </x:c>
      <x:c r="AC204" t="n">
        <x:f>I204*'APPF Model'!$F$62+S204*'APPF Model'!$F$63+'APPF Model'!$F$73+'APPF Model'!$F$74</x:f>
        <x:v>655.9847575699109</x:v>
      </x:c>
      <x:c r="AD204" t="n">
        <x:f>AX204*$AC204/$AW204</x:f>
        <x:v>759.6303492659569</x:v>
      </x:c>
      <x:c r="AE204" t="n">
        <x:f>AY204*$AC204/$AW204</x:f>
        <x:v>855.3437732734674</x:v>
      </x:c>
      <x:c r="AF204" t="n">
        <x:f>AZ204*$AC204/$AW204</x:f>
        <x:v>935.7460879611731</x:v>
      </x:c>
      <x:c r="AG204" t="n">
        <x:f>BA204*$AC204/$AW204</x:f>
        <x:v>993.7623454147658</x:v>
      </x:c>
      <x:c r="AH204" t="n">
        <x:f>BB204*$AC204/$AW204</x:f>
        <x:v>1023.5752157772089</x:v>
      </x:c>
      <x:c r="AI204" t="n">
        <x:f>Y204*(1-'Assumptions'!$F$12)+AS204*'Assumptions'!$G$12-AS204*'APPF Model'!$B$65-(AS204-'Inputs'!$E$14)*'Assumptions'!$H$12-'Assumptions'!$I$12</x:f>
        <x:v>192.75118499999996</x:v>
      </x:c>
      <x:c r="AJ204" t="n">
        <x:f>Z204*(1-'Assumptions'!$F$12)+AT204*'Assumptions'!$G$12-AT204*'APPF Model'!$C$65-(AT204-AS204)*'Assumptions'!$H$12-0</x:f>
        <x:v>247.2486324</x:v>
      </x:c>
      <x:c r="AK204" t="n">
        <x:f>AA204*(1-'Assumptions'!$F$12)+AU204*'Assumptions'!$G$12-AU204*'APPF Model'!$D$65-(AU204-AT204)*'Assumptions'!$H$12-0</x:f>
        <x:v>308.40648554099994</x:v>
      </x:c>
      <x:c r="AL204" t="n">
        <x:f>AB204*(1-'Assumptions'!$F$12)+AV204*'Assumptions'!$G$12-AV204*'APPF Model'!$E$65-(AV204-AU204)*'Assumptions'!$H$12-0</x:f>
        <x:v>383.87864724593993</x:v>
      </x:c>
      <x:c r="AM204" t="n">
        <x:f>AC204*(1-'Assumptions'!$F$12)+AW204*'Assumptions'!$G$12-AW204*'APPF Model'!$F$65-(AW204-AV204)*'Assumptions'!$H$12-0</x:f>
        <x:v>466.85617324669784</x:v>
      </x:c>
      <x:c r="AN204" t="n">
        <x:f>AD204*(1-'Assumptions'!$F$12)+AX204*'Assumptions'!$G$12-AX204*'APPF Model'!$G$65-(AX204-AW204)*'Assumptions'!$H$12-0</x:f>
        <x:v>543.4994365795097</x:v>
      </x:c>
      <x:c r="AO204" t="n">
        <x:f>AE204*(1-'Assumptions'!$F$12)+AY204*'Assumptions'!$G$12-AY204*'APPF Model'!$H$65-(AY204-AX204)*'Assumptions'!$H$12-0</x:f>
        <x:v>615.4075512607299</x:v>
      </x:c>
      <x:c r="AP204" t="n">
        <x:f>AF204*(1-'Assumptions'!$F$12)+AZ204*'Assumptions'!$G$12-AZ204*'APPF Model'!$I$65-(AZ204-AY204)*'Assumptions'!$H$12-0</x:f>
        <x:v>677.2245420876483</x:v>
      </x:c>
      <x:c r="AQ204" t="n">
        <x:f>AG204*(1-'Assumptions'!$F$12)+BA204*'Assumptions'!$G$12-BA204*'APPF Model'!$J$65-(BA204-AZ204)*'Assumptions'!$H$12-0</x:f>
        <x:v>723.6811985125519</x:v>
      </x:c>
      <x:c r="AR204" t="n">
        <x:f>AH204*(1-'Assumptions'!$F$12)+BB204*'Assumptions'!$G$12-BB204*'APPF Model'!$K$65-(BB204-BA204)*'Assumptions'!$H$12-0</x:f>
        <x:v>750.2804303560522</x:v>
      </x:c>
      <x:c r="AS204" t="n">
        <x:f>E204+O204</x:f>
        <x:v>1335.1799999999998</x:v>
      </x:c>
      <x:c r="AT204" t="n">
        <x:f>F204+P204</x:f>
        <x:v>1588.8642</x:v>
      </x:c>
      <x:c r="AU204" t="n">
        <x:f>G204+Q204</x:f>
        <x:v>1890.7483979999997</x:v>
      </x:c>
      <x:c r="AV204" t="n">
        <x:f>H204+R204</x:f>
        <x:v>2249.99059362</x:v>
      </x:c>
      <x:c r="AW204" t="n">
        <x:f>I204+S204</x:f>
        <x:v>2677.4888064077995</x:v>
      </x:c>
      <x:c r="AX204" t="n">
        <x:f>J204+T204</x:f>
        <x:v>3100.532037820232</x:v>
      </x:c>
      <x:c r="AY204" t="n">
        <x:f>K204+U204</x:f>
        <x:v>3491.1990745855805</x:v>
      </x:c>
      <x:c r="AZ204" t="n">
        <x:f>L204+V204</x:f>
        <x:v>3819.3717875966245</x:v>
      </x:c>
      <x:c r="BA204" t="n">
        <x:f>M204+W204</x:f>
        <x:v>4056.1728384276153</x:v>
      </x:c>
      <x:c r="BB204" t="n">
        <x:f>N204+X204</x:f>
        <x:v>4177.858023580444</x:v>
      </x:c>
      <x:c r="BC204" t="n">
        <x:f>AS204/'Inputs'!$E$14-1</x:f>
        <x:v>0.18999999999999995</x:v>
      </x:c>
      <x:c r="BD204" t="n">
        <x:f>AT204/AS204-1</x:f>
        <x:v>0.19000000000000017</x:v>
      </x:c>
      <x:c r="BE204" t="n">
        <x:f>AU204/AT204-1</x:f>
        <x:v>0.18999999999999995</x:v>
      </x:c>
      <x:c r="BF204" t="n">
        <x:f>AV204/AU204-1</x:f>
        <x:v>0.19000000000000017</x:v>
      </x:c>
      <x:c r="BG204" t="n">
        <x:f>AW204/AV204-1</x:f>
        <x:v>0.18999999999999995</x:v>
      </x:c>
      <x:c r="BH204" t="n">
        <x:f>AX204/AW204-1</x:f>
        <x:v>0.15799999999999992</x:v>
      </x:c>
      <x:c r="BI204" t="n">
        <x:f>AY204/AX204-1</x:f>
        <x:v>0.1259999999999999</x:v>
      </x:c>
      <x:c r="BJ204" t="n">
        <x:f>AZ204/AY204-1</x:f>
        <x:v>0.09399999999999986</x:v>
      </x:c>
      <x:c r="BK204" t="n">
        <x:f>BA204/AZ204-1</x:f>
        <x:v>0.062000000000000055</x:v>
      </x:c>
      <x:c r="BL204" t="n">
        <x:f>BB204/BA204-1</x:f>
        <x:v>0.030000000000000027</x:v>
      </x:c>
      <x:c r="BM204" t="n">
        <x:f>AH204*(1-'Assumptions'!$F$12)*(1+'Assumptions'!$D$12)*(1-'Assumptions'!$D$12/'Assumptions'!$E$12)</x:f>
        <x:v>722.9365524003601</x:v>
      </x:c>
      <x:c r="BN204" t="n">
        <x:f>SUMPRODUCT(AI204:AR204,'APPF Model'!$B$83:$K$83)+BM204/('Assumptions'!$C$12-'Assumptions'!$D$12)*'APPF Model'!$K$83</x:f>
        <x:v>6679.813552227322</x:v>
      </x:c>
      <x:c r="BO204" t="n">
        <x:f>'APPF Model'!$B$94</x:f>
        <x:v>171.685</x:v>
      </x:c>
      <x:c r="BP204" t="n">
        <x:f>'Inputs'!$E$8</x:f>
        <x:v>36</x:v>
      </x:c>
    </x:row>
    <x:row r="205">
      <x:c r="A205" t="str">
        <x:v>APPF</x:v>
      </x:c>
      <x:c r="B205" s="22" t="n">
        <x:v>0.2</x:v>
      </x:c>
      <x:c r="C205" s="42" t="n">
        <x:f>(BN205+BO205)/BP205</x:f>
        <x:v>200.36143876704466</x:v>
      </x:c>
      <x:c r="D205" s="22" t="n">
        <x:f>C205/'Inputs'!$E$5-1</x:f>
        <x:v>-0.06495501788760194</x:v>
      </x:c>
      <x:c r="E205" t="n">
        <x:f>'Inputs'!$E$14*(1+$B205)^1</x:f>
        <x:v>1346.3999999999999</x:v>
      </x:c>
      <x:c r="F205" t="n">
        <x:f>'Inputs'!$E$14*(1+$B205)^2</x:f>
        <x:v>1615.6799999999998</x:v>
      </x:c>
      <x:c r="G205" t="n">
        <x:f>'Inputs'!$E$14*(1+$B205)^3</x:f>
        <x:v>1938.816</x:v>
      </x:c>
      <x:c r="H205" t="n">
        <x:f>'Inputs'!$E$14*(1+$B205)^4</x:f>
        <x:v>2326.5791999999997</x:v>
      </x:c>
      <x:c r="I205" t="n">
        <x:f>'Inputs'!$E$14*(1+$B205)^5</x:f>
        <x:v>2791.89504</x:v>
      </x:c>
      <x:c r="J205" t="n">
        <x:f>I205*(1+($BG205+('Assumptions'!$D$12-$BG205)*(6-5)/5))</x:f>
        <x:v>3255.3496166400005</x:v>
      </x:c>
      <x:c r="K205" t="n">
        <x:f>J205*(1+($BG205+('Assumptions'!$D$12-$BG205)*(7-5)/5))</x:f>
        <x:v>3685.055766036481</x:v>
      </x:c>
      <x:c r="L205" t="n">
        <x:f>K205*(1+($BG205+('Assumptions'!$D$12-$BG205)*(8-5)/5))</x:f>
        <x:v>4046.1912311080564</x:v>
      </x:c>
      <x:c r="M205" t="n">
        <x:f>L205*(1+($BG205+('Assumptions'!$D$12-$BG205)*(9-5)/5))</x:f>
        <x:v>4305.147469898972</x:v>
      </x:c>
      <x:c r="N205" t="n">
        <x:f>M205*(1+($BG205+('Assumptions'!$D$12-$BG205)*(10-5)/5))</x:f>
        <x:v>4434.301893995942</x:v>
      </x:c>
      <x:c r="O205" t="n">
        <x:f>0</x:f>
        <x:v>0</x:v>
      </x:c>
      <x:c r="P205" t="n">
        <x:f>0</x:f>
        <x:v>0</x:v>
      </x:c>
      <x:c r="Q205" t="n">
        <x:f>0</x:f>
        <x:v>0</x:v>
      </x:c>
      <x:c r="R205" t="n">
        <x:f>0</x:f>
        <x:v>0</x:v>
      </x:c>
      <x:c r="S205" t="n">
        <x:f>0</x:f>
        <x:v>0</x:v>
      </x:c>
      <x:c r="T205" t="n">
        <x:f>S205*(1+($BG205+('Assumptions'!$D$12-$BG205)*(6-5)/5))</x:f>
        <x:v>0</x:v>
      </x:c>
      <x:c r="U205" t="n">
        <x:f>T205*(1+($BG205+('Assumptions'!$D$12-$BG205)*(7-5)/5))</x:f>
        <x:v>0</x:v>
      </x:c>
      <x:c r="V205" t="n">
        <x:f>U205*(1+($BG205+('Assumptions'!$D$12-$BG205)*(8-5)/5))</x:f>
        <x:v>0</x:v>
      </x:c>
      <x:c r="W205" t="n">
        <x:f>V205*(1+($BG205+('Assumptions'!$D$12-$BG205)*(9-5)/5))</x:f>
        <x:v>0</x:v>
      </x:c>
      <x:c r="X205" t="n">
        <x:f>W205*(1+($BG205+('Assumptions'!$D$12-$BG205)*(10-5)/5))</x:f>
        <x:v>0</x:v>
      </x:c>
      <x:c r="Y205" t="n">
        <x:f>E205*'APPF Model'!$B$62+O205*'APPF Model'!$B$63+'APPF Model'!$B$73+'APPF Model'!$B$74</x:f>
        <x:v>276.01199999999994</x:v>
      </x:c>
      <x:c r="Z205" t="n">
        <x:f>F205*'APPF Model'!$C$62+P205*'APPF Model'!$C$63+'APPF Model'!$C$73+'APPF Model'!$C$74</x:f>
        <x:v>355.4496</x:v>
      </x:c>
      <x:c r="AA205" t="n">
        <x:f>G205*'APPF Model'!$D$62+Q205*'APPF Model'!$D$63+'APPF Model'!$D$73+'APPF Model'!$D$74</x:f>
        <x:v>445.92768</x:v>
      </x:c>
      <x:c r="AB205" t="n">
        <x:f>H205*'APPF Model'!$E$62+R205*'APPF Model'!$E$63+'APPF Model'!$E$73+'APPF Model'!$E$74</x:f>
        <x:v>558.3790079999999</x:v>
      </x:c>
      <x:c r="AC205" t="n">
        <x:f>I205*'APPF Model'!$F$62+S205*'APPF Model'!$F$63+'APPF Model'!$F$73+'APPF Model'!$F$74</x:f>
        <x:v>684.0142847999999</x:v>
      </x:c>
      <x:c r="AD205" t="n">
        <x:f>AX205*$AC205/$AW205</x:f>
        <x:v>797.5606560768</x:v>
      </x:c>
      <x:c r="AE205" t="n">
        <x:f>AY205*$AC205/$AW205</x:f>
        <x:v>902.8386626789378</x:v>
      </x:c>
      <x:c r="AF205" t="n">
        <x:f>AZ205*$AC205/$AW205</x:f>
        <x:v>991.3168516214738</x:v>
      </x:c>
      <x:c r="AG205" t="n">
        <x:f>BA205*$AC205/$AW205</x:f>
        <x:v>1054.7611301252482</x:v>
      </x:c>
      <x:c r="AH205" t="n">
        <x:f>BB205*$AC205/$AW205</x:f>
        <x:v>1086.4039640290057</x:v>
      </x:c>
      <x:c r="AI205" t="n">
        <x:f>Y205*(1-'Assumptions'!$F$12)+AS205*'Assumptions'!$G$12-AS205*'APPF Model'!$B$65-(AS205-'Inputs'!$E$14)*'Assumptions'!$H$12-'Assumptions'!$I$12</x:f>
        <x:v>193.99379999999996</x:v>
      </x:c>
      <x:c r="AJ205" t="n">
        <x:f>Z205*(1-'Assumptions'!$F$12)+AT205*'Assumptions'!$G$12-AT205*'APPF Model'!$C$65-(AT205-AS205)*'Assumptions'!$H$12-0</x:f>
        <x:v>250.96896</x:v>
      </x:c>
      <x:c r="AK205" t="n">
        <x:f>AA205*(1-'Assumptions'!$F$12)+AU205*'Assumptions'!$G$12-AU205*'APPF Model'!$D$65-(AU205-AT205)*'Assumptions'!$H$12-0</x:f>
        <x:v>315.70387199999993</x:v>
      </x:c>
      <x:c r="AL205" t="n">
        <x:f>AB205*(1-'Assumptions'!$F$12)+AV205*'Assumptions'!$G$12-AV205*'APPF Model'!$E$65-(AV205-AU205)*'Assumptions'!$H$12-0</x:f>
        <x:v>396.2939903999999</x:v>
      </x:c>
      <x:c r="AM205" t="n">
        <x:f>AC205*(1-'Assumptions'!$F$12)+AW205*'Assumptions'!$G$12-AW205*'APPF Model'!$F$65-(AW205-AV205)*'Assumptions'!$H$12-0</x:f>
        <x:v>486.02239488</x:v>
      </x:c>
      <x:c r="AN205" t="n">
        <x:f>AD205*(1-'Assumptions'!$F$12)+AX205*'Assumptions'!$G$12-AX205*'APPF Model'!$G$65-(AX205-AW205)*'Assumptions'!$H$12-0</x:f>
        <x:v>569.8662601420799</x:v>
      </x:c>
      <x:c r="AO205" t="n">
        <x:f>AE205*(1-'Assumptions'!$F$12)+AY205*'Assumptions'!$G$12-AY205*'APPF Model'!$H$65-(AY205-AX205)*'Assumptions'!$H$12-0</x:f>
        <x:v>648.8855837352346</x:v>
      </x:c>
      <x:c r="AP205" t="n">
        <x:f>AF205*(1-'Assumptions'!$F$12)+AZ205*'Assumptions'!$G$12-AZ205*'APPF Model'!$I$65-(AZ205-AY205)*'Assumptions'!$H$12-0</x:f>
        <x:v>716.9036464199181</x:v>
      </x:c>
      <x:c r="AQ205" t="n">
        <x:f>AG205*(1-'Assumptions'!$F$12)+BA205*'Assumptions'!$G$12-BA205*'APPF Model'!$J$65-(BA205-AZ205)*'Assumptions'!$H$12-0</x:f>
        <x:v>767.7971556326025</x:v>
      </x:c>
      <x:c r="AR205" t="n">
        <x:f>AH205*(1-'Assumptions'!$F$12)+BB205*'Assumptions'!$G$12-BB205*'APPF Model'!$K$65-(BB205-BA205)*'Assumptions'!$H$12-0</x:f>
        <x:v>796.3338903758877</x:v>
      </x:c>
      <x:c r="AS205" t="n">
        <x:f>E205+O205</x:f>
        <x:v>1346.3999999999999</x:v>
      </x:c>
      <x:c r="AT205" t="n">
        <x:f>F205+P205</x:f>
        <x:v>1615.6799999999998</x:v>
      </x:c>
      <x:c r="AU205" t="n">
        <x:f>G205+Q205</x:f>
        <x:v>1938.816</x:v>
      </x:c>
      <x:c r="AV205" t="n">
        <x:f>H205+R205</x:f>
        <x:v>2326.5791999999997</x:v>
      </x:c>
      <x:c r="AW205" t="n">
        <x:f>I205+S205</x:f>
        <x:v>2791.89504</x:v>
      </x:c>
      <x:c r="AX205" t="n">
        <x:f>J205+T205</x:f>
        <x:v>3255.3496166400005</x:v>
      </x:c>
      <x:c r="AY205" t="n">
        <x:f>K205+U205</x:f>
        <x:v>3685.055766036481</x:v>
      </x:c>
      <x:c r="AZ205" t="n">
        <x:f>L205+V205</x:f>
        <x:v>4046.1912311080564</x:v>
      </x:c>
      <x:c r="BA205" t="n">
        <x:f>M205+W205</x:f>
        <x:v>4305.147469898972</x:v>
      </x:c>
      <x:c r="BB205" t="n">
        <x:f>N205+X205</x:f>
        <x:v>4434.301893995942</x:v>
      </x:c>
      <x:c r="BC205" t="n">
        <x:f>AS205/'Inputs'!$E$14-1</x:f>
        <x:v>0.19999999999999996</x:v>
      </x:c>
      <x:c r="BD205" t="n">
        <x:f>AT205/AS205-1</x:f>
        <x:v>0.19999999999999996</x:v>
      </x:c>
      <x:c r="BE205" t="n">
        <x:f>AU205/AT205-1</x:f>
        <x:v>0.20000000000000018</x:v>
      </x:c>
      <x:c r="BF205" t="n">
        <x:f>AV205/AU205-1</x:f>
        <x:v>0.19999999999999973</x:v>
      </x:c>
      <x:c r="BG205" t="n">
        <x:f>AW205/AV205-1</x:f>
        <x:v>0.20000000000000018</x:v>
      </x:c>
      <x:c r="BH205" t="n">
        <x:f>AX205/AW205-1</x:f>
        <x:v>0.16600000000000015</x:v>
      </x:c>
      <x:c r="BI205" t="n">
        <x:f>AY205/AX205-1</x:f>
        <x:v>0.13200000000000012</x:v>
      </x:c>
      <x:c r="BJ205" t="n">
        <x:f>AZ205/AY205-1</x:f>
        <x:v>0.09800000000000009</x:v>
      </x:c>
      <x:c r="BK205" t="n">
        <x:f>BA205/AZ205-1</x:f>
        <x:v>0.06400000000000006</x:v>
      </x:c>
      <x:c r="BL205" t="n">
        <x:f>BB205/BA205-1</x:f>
        <x:v>0.030000000000000027</x:v>
      </x:c>
      <x:c r="BM205" t="n">
        <x:f>AH205*(1-'Assumptions'!$F$12)*(1+'Assumptions'!$D$12)*(1-'Assumptions'!$D$12/'Assumptions'!$E$12)</x:f>
        <x:v>767.3115997370578</x:v>
      </x:c>
      <x:c r="BN205" t="n">
        <x:f>SUMPRODUCT(AI205:AR205,'APPF Model'!$B$83:$K$83)+BM205/('Assumptions'!$C$12-'Assumptions'!$D$12)*'APPF Model'!$K$83</x:f>
        <x:v>7041.326795613608</x:v>
      </x:c>
      <x:c r="BO205" t="n">
        <x:f>'APPF Model'!$B$94</x:f>
        <x:v>171.685</x:v>
      </x:c>
      <x:c r="BP205" t="n">
        <x:f>'Inputs'!$E$8</x:f>
        <x:v>36</x:v>
      </x:c>
    </x:row>
    <x:row r="206">
      <x:c r="A206" t="str">
        <x:v>APPF</x:v>
      </x:c>
      <x:c r="B206" s="22" t="n">
        <x:v>0.21</x:v>
      </x:c>
      <x:c r="C206" s="42" t="n">
        <x:f>(BN206+BO206)/BP206</x:f>
        <x:v>210.90301882152872</x:v>
      </x:c>
      <x:c r="D206" s="22" t="n">
        <x:f>C206/'Inputs'!$E$5-1</x:f>
        <x:v>-0.015759665757286156</x:v>
      </x:c>
      <x:c r="E206" t="n">
        <x:f>'Inputs'!$E$14*(1+$B206)^1</x:f>
        <x:v>1357.62</x:v>
      </x:c>
      <x:c r="F206" t="n">
        <x:f>'Inputs'!$E$14*(1+$B206)^2</x:f>
        <x:v>1642.7202</x:v>
      </x:c>
      <x:c r="G206" t="n">
        <x:f>'Inputs'!$E$14*(1+$B206)^3</x:f>
        <x:v>1987.6914419999998</x:v>
      </x:c>
      <x:c r="H206" t="n">
        <x:f>'Inputs'!$E$14*(1+$B206)^4</x:f>
        <x:v>2405.10664482</x:v>
      </x:c>
      <x:c r="I206" t="n">
        <x:f>'Inputs'!$E$14*(1+$B206)^5</x:f>
        <x:v>2910.1790402321994</x:v>
      </x:c>
      <x:c r="J206" t="n">
        <x:f>I206*(1+($BG206+('Assumptions'!$D$12-$BG206)*(6-5)/5))</x:f>
        <x:v>3416.5501932326015</x:v>
      </x:c>
      <x:c r="K206" t="n">
        <x:f>J206*(1+($BG206+('Assumptions'!$D$12-$BG206)*(7-5)/5))</x:f>
        <x:v>3888.0341198987003</x:v>
      </x:c>
      <x:c r="L206" t="n">
        <x:f>K206*(1+($BG206+('Assumptions'!$D$12-$BG206)*(8-5)/5))</x:f>
        <x:v>4284.613600128368</x:v>
      </x:c>
      <x:c r="M206" t="n">
        <x:f>L206*(1+($BG206+('Assumptions'!$D$12-$BG206)*(9-5)/5))</x:f>
        <x:v>4567.398097736839</x:v>
      </x:c>
      <x:c r="N206" t="n">
        <x:f>M206*(1+($BG206+('Assumptions'!$D$12-$BG206)*(10-5)/5))</x:f>
        <x:v>4704.420040668944</x:v>
      </x:c>
      <x:c r="O206" t="n">
        <x:f>0</x:f>
        <x:v>0</x:v>
      </x:c>
      <x:c r="P206" t="n">
        <x:f>0</x:f>
        <x:v>0</x:v>
      </x:c>
      <x:c r="Q206" t="n">
        <x:f>0</x:f>
        <x:v>0</x:v>
      </x:c>
      <x:c r="R206" t="n">
        <x:f>0</x:f>
        <x:v>0</x:v>
      </x:c>
      <x:c r="S206" t="n">
        <x:f>0</x:f>
        <x:v>0</x:v>
      </x:c>
      <x:c r="T206" t="n">
        <x:f>S206*(1+($BG206+('Assumptions'!$D$12-$BG206)*(6-5)/5))</x:f>
        <x:v>0</x:v>
      </x:c>
      <x:c r="U206" t="n">
        <x:f>T206*(1+($BG206+('Assumptions'!$D$12-$BG206)*(7-5)/5))</x:f>
        <x:v>0</x:v>
      </x:c>
      <x:c r="V206" t="n">
        <x:f>U206*(1+($BG206+('Assumptions'!$D$12-$BG206)*(8-5)/5))</x:f>
        <x:v>0</x:v>
      </x:c>
      <x:c r="W206" t="n">
        <x:f>V206*(1+($BG206+('Assumptions'!$D$12-$BG206)*(9-5)/5))</x:f>
        <x:v>0</x:v>
      </x:c>
      <x:c r="X206" t="n">
        <x:f>W206*(1+($BG206+('Assumptions'!$D$12-$BG206)*(10-5)/5))</x:f>
        <x:v>0</x:v>
      </x:c>
      <x:c r="Y206" t="n">
        <x:f>E206*'APPF Model'!$B$62+O206*'APPF Model'!$B$63+'APPF Model'!$B$73+'APPF Model'!$B$74</x:f>
        <x:v>278.3121</x:v>
      </x:c>
      <x:c r="Z206" t="n">
        <x:f>F206*'APPF Model'!$C$62+P206*'APPF Model'!$C$63+'APPF Model'!$C$73+'APPF Model'!$C$74</x:f>
        <x:v>361.398444</x:v>
      </x:c>
      <x:c r="AA206" t="n">
        <x:f>G206*'APPF Model'!$D$62+Q206*'APPF Model'!$D$63+'APPF Model'!$D$73+'APPF Model'!$D$74</x:f>
        <x:v>457.16903166</x:v>
      </x:c>
      <x:c r="AB206" t="n">
        <x:f>H206*'APPF Model'!$E$62+R206*'APPF Model'!$E$63+'APPF Model'!$E$73+'APPF Model'!$E$74</x:f>
        <x:v>577.2255947568</x:v>
      </x:c>
      <x:c r="AC206" t="n">
        <x:f>I206*'APPF Model'!$F$62+S206*'APPF Model'!$F$63+'APPF Model'!$F$73+'APPF Model'!$F$74</x:f>
        <x:v>712.9938648568889</x:v>
      </x:c>
      <x:c r="AD206" t="n">
        <x:f>AX206*$AC206/$AW206</x:f>
        <x:v>837.0547973419873</x:v>
      </x:c>
      <x:c r="AE206" t="n">
        <x:f>AY206*$AC206/$AW206</x:f>
        <x:v>952.5683593751816</x:v>
      </x:c>
      <x:c r="AF206" t="n">
        <x:f>AZ206*$AC206/$AW206</x:f>
        <x:v>1049.73033203145</x:v>
      </x:c>
      <x:c r="AG206" t="n">
        <x:f>BA206*$AC206/$AW206</x:f>
        <x:v>1119.0125339455258</x:v>
      </x:c>
      <x:c r="AH206" t="n">
        <x:f>BB206*$AC206/$AW206</x:f>
        <x:v>1152.5829099638913</x:v>
      </x:c>
      <x:c r="AI206" t="n">
        <x:f>Y206*(1-'Assumptions'!$F$12)+AS206*'Assumptions'!$G$12-AS206*'APPF Model'!$B$65-(AS206-'Inputs'!$E$14)*'Assumptions'!$H$12-'Assumptions'!$I$12</x:f>
        <x:v>195.236415</x:v>
      </x:c>
      <x:c r="AJ206" t="n">
        <x:f>Z206*(1-'Assumptions'!$F$12)+AT206*'Assumptions'!$G$12-AT206*'APPF Model'!$C$65-(AT206-AS206)*'Assumptions'!$H$12-0</x:f>
        <x:v>254.71666439999998</x:v>
      </x:c>
      <x:c r="AK206" t="n">
        <x:f>AA206*(1-'Assumptions'!$F$12)+AU206*'Assumptions'!$G$12-AU206*'APPF Model'!$D$65-(AU206-AT206)*'Assumptions'!$H$12-0</x:f>
        <x:v>323.11484973899996</x:v>
      </x:c>
      <x:c r="AL206" t="n">
        <x:f>AB206*(1-'Assumptions'!$F$12)+AV206*'Assumptions'!$G$12-AV206*'APPF Model'!$E$65-(AV206-AU206)*'Assumptions'!$H$12-0</x:f>
        <x:v>409.00726802033995</x:v>
      </x:c>
      <x:c r="AM206" t="n">
        <x:f>AC206*(1-'Assumptions'!$F$12)+AW206*'Assumptions'!$G$12-AW206*'APPF Model'!$F$65-(AW206-AV206)*'Assumptions'!$H$12-0</x:f>
        <x:v>505.8119657054822</x:v>
      </x:c>
      <x:c r="AN206" t="n">
        <x:f>AD206*(1-'Assumptions'!$F$12)+AX206*'Assumptions'!$G$12-AX206*'APPF Model'!$G$65-(AX206-AW206)*'Assumptions'!$H$12-0</x:f>
        <x:v>597.2866013067767</x:v>
      </x:c>
      <x:c r="AO206" t="n">
        <x:f>AE206*(1-'Assumptions'!$F$12)+AY206*'Assumptions'!$G$12-AY206*'APPF Model'!$H$65-(AY206-AX206)*'Assumptions'!$H$12-0</x:f>
        <x:v>683.9028101050461</x:v>
      </x:c>
      <x:c r="AP206" t="n">
        <x:f>AF206*(1-'Assumptions'!$F$12)+AZ206*'Assumptions'!$G$12-AZ206*'APPF Model'!$I$65-(AZ206-AY206)*'Assumptions'!$H$12-0</x:f>
        <x:v>758.5807290140158</x:v>
      </x:c>
      <x:c r="AQ206" t="n">
        <x:f>AG206*(1-'Assumptions'!$F$12)+BA206*'Assumptions'!$G$12-BA206*'APPF Model'!$J$65-(BA206-AZ206)*'Assumptions'!$H$12-0</x:f>
        <x:v>814.245826261595</x:v>
      </x:c>
      <x:c r="AR206" t="n">
        <x:f>AH206*(1-'Assumptions'!$F$12)+BB206*'Assumptions'!$G$12-BB206*'APPF Model'!$K$65-(BB206-BA206)*'Assumptions'!$H$12-0</x:f>
        <x:v>844.8430446336274</x:v>
      </x:c>
      <x:c r="AS206" t="n">
        <x:f>E206+O206</x:f>
        <x:v>1357.62</x:v>
      </x:c>
      <x:c r="AT206" t="n">
        <x:f>F206+P206</x:f>
        <x:v>1642.7202</x:v>
      </x:c>
      <x:c r="AU206" t="n">
        <x:f>G206+Q206</x:f>
        <x:v>1987.6914419999998</x:v>
      </x:c>
      <x:c r="AV206" t="n">
        <x:f>H206+R206</x:f>
        <x:v>2405.10664482</x:v>
      </x:c>
      <x:c r="AW206" t="n">
        <x:f>I206+S206</x:f>
        <x:v>2910.1790402321994</x:v>
      </x:c>
      <x:c r="AX206" t="n">
        <x:f>J206+T206</x:f>
        <x:v>3416.5501932326015</x:v>
      </x:c>
      <x:c r="AY206" t="n">
        <x:f>K206+U206</x:f>
        <x:v>3888.0341198987003</x:v>
      </x:c>
      <x:c r="AZ206" t="n">
        <x:f>L206+V206</x:f>
        <x:v>4284.613600128368</x:v>
      </x:c>
      <x:c r="BA206" t="n">
        <x:f>M206+W206</x:f>
        <x:v>4567.398097736839</x:v>
      </x:c>
      <x:c r="BB206" t="n">
        <x:f>N206+X206</x:f>
        <x:v>4704.420040668944</x:v>
      </x:c>
      <x:c r="BC206" t="n">
        <x:f>AS206/'Inputs'!$E$14-1</x:f>
        <x:v>0.20999999999999996</x:v>
      </x:c>
      <x:c r="BD206" t="n">
        <x:f>AT206/AS206-1</x:f>
        <x:v>0.2100000000000002</x:v>
      </x:c>
      <x:c r="BE206" t="n">
        <x:f>AU206/AT206-1</x:f>
        <x:v>0.20999999999999996</x:v>
      </x:c>
      <x:c r="BF206" t="n">
        <x:f>AV206/AU206-1</x:f>
        <x:v>0.20999999999999996</x:v>
      </x:c>
      <x:c r="BG206" t="n">
        <x:f>AW206/AV206-1</x:f>
        <x:v>0.20999999999999974</x:v>
      </x:c>
      <x:c r="BH206" t="n">
        <x:f>AX206/AW206-1</x:f>
        <x:v>0.1739999999999997</x:v>
      </x:c>
      <x:c r="BI206" t="n">
        <x:f>AY206/AX206-1</x:f>
        <x:v>0.1379999999999999</x:v>
      </x:c>
      <x:c r="BJ206" t="n">
        <x:f>AZ206/AY206-1</x:f>
        <x:v>0.10199999999999987</x:v>
      </x:c>
      <x:c r="BK206" t="n">
        <x:f>BA206/AZ206-1</x:f>
        <x:v>0.06599999999999984</x:v>
      </x:c>
      <x:c r="BL206" t="n">
        <x:f>BB206/BA206-1</x:f>
        <x:v>0.030000000000000027</x:v>
      </x:c>
      <x:c r="BM206" t="n">
        <x:f>AH206*(1-'Assumptions'!$F$12)*(1+'Assumptions'!$D$12)*(1-'Assumptions'!$D$12/'Assumptions'!$E$12)</x:f>
        <x:v>814.0528438373541</x:v>
      </x:c>
      <x:c r="BN206" t="n">
        <x:f>SUMPRODUCT(AI206:AR206,'APPF Model'!$B$83:$K$83)+BM206/('Assumptions'!$C$12-'Assumptions'!$D$12)*'APPF Model'!$K$83</x:f>
        <x:v>7420.823677575034</x:v>
      </x:c>
      <x:c r="BO206" t="n">
        <x:f>'APPF Model'!$B$94</x:f>
        <x:v>171.685</x:v>
      </x:c>
      <x:c r="BP206" t="n">
        <x:f>'Inputs'!$E$8</x:f>
        <x:v>36</x:v>
      </x:c>
    </x:row>
    <x:row r="207">
      <x:c r="A207" t="str">
        <x:v>APPF</x:v>
      </x:c>
      <x:c r="B207" s="22" t="n">
        <x:v>0.22</x:v>
      </x:c>
      <x:c r="C207" s="42" t="n">
        <x:f>(BN207+BO207)/BP207</x:f>
        <x:v>221.96586556682155</x:v>
      </x:c>
      <x:c r="D207" s="22" t="n">
        <x:f>C207/'Inputs'!$E$5-1</x:f>
        <x:v>0.03586832913394411</x:v>
      </x:c>
      <x:c r="E207" t="n">
        <x:f>'Inputs'!$E$14*(1+$B207)^1</x:f>
        <x:v>1368.84</x:v>
      </x:c>
      <x:c r="F207" t="n">
        <x:f>'Inputs'!$E$14*(1+$B207)^2</x:f>
        <x:v>1669.9848</x:v>
      </x:c>
      <x:c r="G207" t="n">
        <x:f>'Inputs'!$E$14*(1+$B207)^3</x:f>
        <x:v>2037.3814559999998</x:v>
      </x:c>
      <x:c r="H207" t="n">
        <x:f>'Inputs'!$E$14*(1+$B207)^4</x:f>
        <x:v>2485.60537632</x:v>
      </x:c>
      <x:c r="I207" t="n">
        <x:f>'Inputs'!$E$14*(1+$B207)^5</x:f>
        <x:v>3032.4385591103996</x:v>
      </x:c>
      <x:c r="J207" t="n">
        <x:f>I207*(1+($BG207+('Assumptions'!$D$12-$BG207)*(6-5)/5))</x:f>
        <x:v>3584.342376868492</x:v>
      </x:c>
      <x:c r="K207" t="n">
        <x:f>J207*(1+($BG207+('Assumptions'!$D$12-$BG207)*(7-5)/5))</x:f>
        <x:v>4100.487679137555</x:v>
      </x:c>
      <x:c r="L207" t="n">
        <x:f>K207*(1+($BG207+('Assumptions'!$D$12-$BG207)*(8-5)/5))</x:f>
        <x:v>4535.139373126135</x:v>
      </x:c>
      <x:c r="M207" t="n">
        <x:f>L207*(1+($BG207+('Assumptions'!$D$12-$BG207)*(9-5)/5))</x:f>
        <x:v>4843.528850498713</x:v>
      </x:c>
      <x:c r="N207" t="n">
        <x:f>M207*(1+($BG207+('Assumptions'!$D$12-$BG207)*(10-5)/5))</x:f>
        <x:v>4988.834716013675</x:v>
      </x:c>
      <x:c r="O207" t="n">
        <x:f>0</x:f>
        <x:v>0</x:v>
      </x:c>
      <x:c r="P207" t="n">
        <x:f>0</x:f>
        <x:v>0</x:v>
      </x:c>
      <x:c r="Q207" t="n">
        <x:f>0</x:f>
        <x:v>0</x:v>
      </x:c>
      <x:c r="R207" t="n">
        <x:f>0</x:f>
        <x:v>0</x:v>
      </x:c>
      <x:c r="S207" t="n">
        <x:f>0</x:f>
        <x:v>0</x:v>
      </x:c>
      <x:c r="T207" t="n">
        <x:f>S207*(1+($BG207+('Assumptions'!$D$12-$BG207)*(6-5)/5))</x:f>
        <x:v>0</x:v>
      </x:c>
      <x:c r="U207" t="n">
        <x:f>T207*(1+($BG207+('Assumptions'!$D$12-$BG207)*(7-5)/5))</x:f>
        <x:v>0</x:v>
      </x:c>
      <x:c r="V207" t="n">
        <x:f>U207*(1+($BG207+('Assumptions'!$D$12-$BG207)*(8-5)/5))</x:f>
        <x:v>0</x:v>
      </x:c>
      <x:c r="W207" t="n">
        <x:f>V207*(1+($BG207+('Assumptions'!$D$12-$BG207)*(9-5)/5))</x:f>
        <x:v>0</x:v>
      </x:c>
      <x:c r="X207" t="n">
        <x:f>W207*(1+($BG207+('Assumptions'!$D$12-$BG207)*(10-5)/5))</x:f>
        <x:v>0</x:v>
      </x:c>
      <x:c r="Y207" t="n">
        <x:f>E207*'APPF Model'!$B$62+O207*'APPF Model'!$B$63+'APPF Model'!$B$73+'APPF Model'!$B$74</x:f>
        <x:v>280.6122</x:v>
      </x:c>
      <x:c r="Z207" t="n">
        <x:f>F207*'APPF Model'!$C$62+P207*'APPF Model'!$C$63+'APPF Model'!$C$73+'APPF Model'!$C$74</x:f>
        <x:v>367.396656</x:v>
      </x:c>
      <x:c r="AA207" t="n">
        <x:f>G207*'APPF Model'!$D$62+Q207*'APPF Model'!$D$63+'APPF Model'!$D$73+'APPF Model'!$D$74</x:f>
        <x:v>468.59773487999996</x:v>
      </x:c>
      <x:c r="AB207" t="n">
        <x:f>H207*'APPF Model'!$E$62+R207*'APPF Model'!$E$63+'APPF Model'!$E$73+'APPF Model'!$E$74</x:f>
        <x:v>596.5452903167999</x:v>
      </x:c>
      <x:c r="AC207" t="n">
        <x:f>I207*'APPF Model'!$F$62+S207*'APPF Model'!$F$63+'APPF Model'!$F$73+'APPF Model'!$F$74</x:f>
        <x:v>742.947446982048</x:v>
      </x:c>
      <x:c r="AD207" t="n">
        <x:f>AX207*$AC207/$AW207</x:f>
        <x:v>878.1638823327806</x:v>
      </x:c>
      <x:c r="AE207" t="n">
        <x:f>AY207*$AC207/$AW207</x:f>
        <x:v>1004.6194813887009</x:v>
      </x:c>
      <x:c r="AF207" t="n">
        <x:f>AZ207*$AC207/$AW207</x:f>
        <x:v>1111.1091464159033</x:v>
      </x:c>
      <x:c r="AG207" t="n">
        <x:f>BA207*$AC207/$AW207</x:f>
        <x:v>1186.6645683721847</x:v>
      </x:c>
      <x:c r="AH207" t="n">
        <x:f>BB207*$AC207/$AW207</x:f>
        <x:v>1222.2645054233503</x:v>
      </x:c>
      <x:c r="AI207" t="n">
        <x:f>Y207*(1-'Assumptions'!$F$12)+AS207*'Assumptions'!$G$12-AS207*'APPF Model'!$B$65-(AS207-'Inputs'!$E$14)*'Assumptions'!$H$12-'Assumptions'!$I$12</x:f>
        <x:v>196.47902999999997</x:v>
      </x:c>
      <x:c r="AJ207" t="n">
        <x:f>Z207*(1-'Assumptions'!$F$12)+AT207*'Assumptions'!$G$12-AT207*'APPF Model'!$C$65-(AT207-AS207)*'Assumptions'!$H$12-0</x:f>
        <x:v>258.4917456</x:v>
      </x:c>
      <x:c r="AK207" t="n">
        <x:f>AA207*(1-'Assumptions'!$F$12)+AU207*'Assumptions'!$G$12-AU207*'APPF Model'!$D$65-(AU207-AT207)*'Assumptions'!$H$12-0</x:f>
        <x:v>330.640290552</x:v>
      </x:c>
      <x:c r="AL207" t="n">
        <x:f>AB207*(1-'Assumptions'!$F$12)+AV207*'Assumptions'!$G$12-AV207*'APPF Model'!$E$65-(AV207-AU207)*'Assumptions'!$H$12-0</x:f>
        <x:v>422.02319479583997</x:v>
      </x:c>
      <x:c r="AM207" t="n">
        <x:f>AC207*(1-'Assumptions'!$F$12)+AW207*'Assumptions'!$G$12-AW207*'APPF Model'!$F$65-(AW207-AV207)*'Assumptions'!$H$12-0</x:f>
        <x:v>526.2399422475888</x:v>
      </x:c>
      <x:c r="AN207" t="n">
        <x:f>AD207*(1-'Assumptions'!$F$12)+AX207*'Assumptions'!$G$12-AX207*'APPF Model'!$G$65-(AX207-AW207)*'Assumptions'!$H$12-0</x:f>
        <x:v>625.7937319086564</x:v>
      </x:c>
      <x:c r="AO207" t="n">
        <x:f>AE207*(1-'Assumptions'!$F$12)+AY207*'Assumptions'!$G$12-AY207*'APPF Model'!$H$65-(AY207-AX207)*'Assumptions'!$H$12-0</x:f>
        <x:v>720.5173359133505</x:v>
      </x:c>
      <x:c r="AP207" t="n">
        <x:f>AF207*(1-'Assumptions'!$F$12)+AZ207*'Assumptions'!$G$12-AZ207*'APPF Model'!$I$65-(AZ207-AY207)*'Assumptions'!$H$12-0</x:f>
        <x:v>802.3403739330058</x:v>
      </x:c>
      <x:c r="AQ207" t="n">
        <x:f>AG207*(1-'Assumptions'!$F$12)+BA207*'Assumptions'!$G$12-BA207*'APPF Model'!$J$65-(BA207-AZ207)*'Assumptions'!$H$12-0</x:f>
        <x:v>863.1322606327393</x:v>
      </x:c>
      <x:c r="AR207" t="n">
        <x:f>AH207*(1-'Assumptions'!$F$12)+BB207*'Assumptions'!$G$12-BB207*'APPF Model'!$K$65-(BB207-BA207)*'Assumptions'!$H$12-0</x:f>
        <x:v>895.9196402988732</x:v>
      </x:c>
      <x:c r="AS207" t="n">
        <x:f>E207+O207</x:f>
        <x:v>1368.84</x:v>
      </x:c>
      <x:c r="AT207" t="n">
        <x:f>F207+P207</x:f>
        <x:v>1669.9848</x:v>
      </x:c>
      <x:c r="AU207" t="n">
        <x:f>G207+Q207</x:f>
        <x:v>2037.3814559999998</x:v>
      </x:c>
      <x:c r="AV207" t="n">
        <x:f>H207+R207</x:f>
        <x:v>2485.60537632</x:v>
      </x:c>
      <x:c r="AW207" t="n">
        <x:f>I207+S207</x:f>
        <x:v>3032.4385591103996</x:v>
      </x:c>
      <x:c r="AX207" t="n">
        <x:f>J207+T207</x:f>
        <x:v>3584.342376868492</x:v>
      </x:c>
      <x:c r="AY207" t="n">
        <x:f>K207+U207</x:f>
        <x:v>4100.487679137555</x:v>
      </x:c>
      <x:c r="AZ207" t="n">
        <x:f>L207+V207</x:f>
        <x:v>4535.139373126135</x:v>
      </x:c>
      <x:c r="BA207" t="n">
        <x:f>M207+W207</x:f>
        <x:v>4843.528850498713</x:v>
      </x:c>
      <x:c r="BB207" t="n">
        <x:f>N207+X207</x:f>
        <x:v>4988.834716013675</x:v>
      </x:c>
      <x:c r="BC207" t="n">
        <x:f>AS207/'Inputs'!$E$14-1</x:f>
        <x:v>0.21999999999999997</x:v>
      </x:c>
      <x:c r="BD207" t="n">
        <x:f>AT207/AS207-1</x:f>
        <x:v>0.21999999999999997</x:v>
      </x:c>
      <x:c r="BE207" t="n">
        <x:f>AU207/AT207-1</x:f>
        <x:v>0.21999999999999997</x:v>
      </x:c>
      <x:c r="BF207" t="n">
        <x:f>AV207/AU207-1</x:f>
        <x:v>0.21999999999999997</x:v>
      </x:c>
      <x:c r="BG207" t="n">
        <x:f>AW207/AV207-1</x:f>
        <x:v>0.21999999999999997</x:v>
      </x:c>
      <x:c r="BH207" t="n">
        <x:f>AX207/AW207-1</x:f>
        <x:v>0.18199999999999994</x:v>
      </x:c>
      <x:c r="BI207" t="n">
        <x:f>AY207/AX207-1</x:f>
        <x:v>0.1439999999999999</x:v>
      </x:c>
      <x:c r="BJ207" t="n">
        <x:f>AZ207/AY207-1</x:f>
        <x:v>0.10599999999999987</x:v>
      </x:c>
      <x:c r="BK207" t="n">
        <x:f>BA207/AZ207-1</x:f>
        <x:v>0.06800000000000006</x:v>
      </x:c>
      <x:c r="BL207" t="n">
        <x:f>BB207/BA207-1</x:f>
        <x:v>0.030000000000000027</x:v>
      </x:c>
      <x:c r="BM207" t="n">
        <x:f>AH207*(1-'Assumptions'!$F$12)*(1+'Assumptions'!$D$12)*(1-'Assumptions'!$D$12/'Assumptions'!$E$12)</x:f>
        <x:v>863.2679592590063</x:v>
      </x:c>
      <x:c r="BN207" t="n">
        <x:f>SUMPRODUCT(AI207:AR207,'APPF Model'!$B$83:$K$83)+BM207/('Assumptions'!$C$12-'Assumptions'!$D$12)*'APPF Model'!$K$83</x:f>
        <x:v>7819.086160405575</x:v>
      </x:c>
      <x:c r="BO207" t="n">
        <x:f>'APPF Model'!$B$94</x:f>
        <x:v>171.685</x:v>
      </x:c>
      <x:c r="BP207" t="n">
        <x:f>'Inputs'!$E$8</x:f>
        <x:v>36</x:v>
      </x:c>
    </x:row>
    <x:row r="208">
      <x:c r="A208" t="str">
        <x:v>APPF</x:v>
      </x:c>
      <x:c r="B208" s="22" t="n">
        <x:v>0.23</x:v>
      </x:c>
      <x:c r="C208" s="42" t="n">
        <x:f>(BN208+BO208)/BP208</x:f>
        <x:v>233.5724965397066</x:v>
      </x:c>
      <x:c r="D208" s="22" t="n">
        <x:f>C208/'Inputs'!$E$5-1</x:f>
        <x:v>0.09003405142666887</x:v>
      </x:c>
      <x:c r="E208" t="n">
        <x:f>'Inputs'!$E$14*(1+$B208)^1</x:f>
        <x:v>1380.06</x:v>
      </x:c>
      <x:c r="F208" t="n">
        <x:f>'Inputs'!$E$14*(1+$B208)^2</x:f>
        <x:v>1697.4738</x:v>
      </x:c>
      <x:c r="G208" t="n">
        <x:f>'Inputs'!$E$14*(1+$B208)^3</x:f>
        <x:v>2087.892774</x:v>
      </x:c>
      <x:c r="H208" t="n">
        <x:f>'Inputs'!$E$14*(1+$B208)^4</x:f>
        <x:v>2568.1081120199997</x:v>
      </x:c>
      <x:c r="I208" t="n">
        <x:f>'Inputs'!$E$14*(1+$B208)^5</x:f>
        <x:v>3158.7729777846</x:v>
      </x:c>
      <x:c r="J208" t="n">
        <x:f>I208*(1+($BG208+('Assumptions'!$D$12-$BG208)*(6-5)/5))</x:f>
        <x:v>3758.9398435636735</x:v>
      </x:c>
      <x:c r="K208" t="n">
        <x:f>J208*(1+($BG208+('Assumptions'!$D$12-$BG208)*(7-5)/5))</x:f>
        <x:v>4322.7808200982245</x:v>
      </x:c>
      <x:c r="L208" t="n">
        <x:f>K208*(1+($BG208+('Assumptions'!$D$12-$BG208)*(8-5)/5))</x:f>
        <x:v>4798.286710309028</x:v>
      </x:c>
      <x:c r="M208" t="n">
        <x:f>L208*(1+($BG208+('Assumptions'!$D$12-$BG208)*(9-5)/5))</x:f>
        <x:v>5134.16678003066</x:v>
      </x:c>
      <x:c r="N208" t="n">
        <x:f>M208*(1+($BG208+('Assumptions'!$D$12-$BG208)*(10-5)/5))</x:f>
        <x:v>5288.19178343158</x:v>
      </x:c>
      <x:c r="O208" t="n">
        <x:f>0</x:f>
        <x:v>0</x:v>
      </x:c>
      <x:c r="P208" t="n">
        <x:f>0</x:f>
        <x:v>0</x:v>
      </x:c>
      <x:c r="Q208" t="n">
        <x:f>0</x:f>
        <x:v>0</x:v>
      </x:c>
      <x:c r="R208" t="n">
        <x:f>0</x:f>
        <x:v>0</x:v>
      </x:c>
      <x:c r="S208" t="n">
        <x:f>0</x:f>
        <x:v>0</x:v>
      </x:c>
      <x:c r="T208" t="n">
        <x:f>S208*(1+($BG208+('Assumptions'!$D$12-$BG208)*(6-5)/5))</x:f>
        <x:v>0</x:v>
      </x:c>
      <x:c r="U208" t="n">
        <x:f>T208*(1+($BG208+('Assumptions'!$D$12-$BG208)*(7-5)/5))</x:f>
        <x:v>0</x:v>
      </x:c>
      <x:c r="V208" t="n">
        <x:f>U208*(1+($BG208+('Assumptions'!$D$12-$BG208)*(8-5)/5))</x:f>
        <x:v>0</x:v>
      </x:c>
      <x:c r="W208" t="n">
        <x:f>V208*(1+($BG208+('Assumptions'!$D$12-$BG208)*(9-5)/5))</x:f>
        <x:v>0</x:v>
      </x:c>
      <x:c r="X208" t="n">
        <x:f>W208*(1+($BG208+('Assumptions'!$D$12-$BG208)*(10-5)/5))</x:f>
        <x:v>0</x:v>
      </x:c>
      <x:c r="Y208" t="n">
        <x:f>E208*'APPF Model'!$B$62+O208*'APPF Model'!$B$63+'APPF Model'!$B$73+'APPF Model'!$B$74</x:f>
        <x:v>282.91229999999996</x:v>
      </x:c>
      <x:c r="Z208" t="n">
        <x:f>F208*'APPF Model'!$C$62+P208*'APPF Model'!$C$63+'APPF Model'!$C$73+'APPF Model'!$C$74</x:f>
        <x:v>373.444236</x:v>
      </x:c>
      <x:c r="AA208" t="n">
        <x:f>G208*'APPF Model'!$D$62+Q208*'APPF Model'!$D$63+'APPF Model'!$D$73+'APPF Model'!$D$74</x:f>
        <x:v>480.21533802</x:v>
      </x:c>
      <x:c r="AB208" t="n">
        <x:f>H208*'APPF Model'!$E$62+R208*'APPF Model'!$E$63+'APPF Model'!$E$73+'APPF Model'!$E$74</x:f>
        <x:v>616.3459468847999</x:v>
      </x:c>
      <x:c r="AC208" t="n">
        <x:f>I208*'APPF Model'!$F$62+S208*'APPF Model'!$F$63+'APPF Model'!$F$73+'APPF Model'!$F$74</x:f>
        <x:v>773.8993795572269</x:v>
      </x:c>
      <x:c r="AD208" t="n">
        <x:f>AX208*$AC208/$AW208</x:f>
        <x:v>920.9402616730999</x:v>
      </x:c>
      <x:c r="AE208" t="n">
        <x:f>AY208*$AC208/$AW208</x:f>
        <x:v>1059.0813009240649</x:v>
      </x:c>
      <x:c r="AF208" t="n">
        <x:f>AZ208*$AC208/$AW208</x:f>
        <x:v>1175.5802440257119</x:v>
      </x:c>
      <x:c r="AG208" t="n">
        <x:f>BA208*$AC208/$AW208</x:f>
        <x:v>1257.8708611075117</x:v>
      </x:c>
      <x:c r="AH208" t="n">
        <x:f>BB208*$AC208/$AW208</x:f>
        <x:v>1295.606986940737</x:v>
      </x:c>
      <x:c r="AI208" t="n">
        <x:f>Y208*(1-'Assumptions'!$F$12)+AS208*'Assumptions'!$G$12-AS208*'APPF Model'!$B$65-(AS208-'Inputs'!$E$14)*'Assumptions'!$H$12-'Assumptions'!$I$12</x:f>
        <x:v>197.721645</x:v>
      </x:c>
      <x:c r="AJ208" t="n">
        <x:f>Z208*(1-'Assumptions'!$F$12)+AT208*'Assumptions'!$G$12-AT208*'APPF Model'!$C$65-(AT208-AS208)*'Assumptions'!$H$12-0</x:f>
        <x:v>262.2942036</x:v>
      </x:c>
      <x:c r="AK208" t="n">
        <x:f>AA208*(1-'Assumptions'!$F$12)+AU208*'Assumptions'!$G$12-AU208*'APPF Model'!$D$65-(AU208-AT208)*'Assumptions'!$H$12-0</x:f>
        <x:v>338.28106623300005</x:v>
      </x:c>
      <x:c r="AL208" t="n">
        <x:f>AB208*(1-'Assumptions'!$F$12)+AV208*'Assumptions'!$G$12-AV208*'APPF Model'!$E$65-(AV208-AU208)*'Assumptions'!$H$12-0</x:f>
        <x:v>435.3465223067399</x:v>
      </x:c>
      <x:c r="AM208" t="n">
        <x:f>AC208*(1-'Assumptions'!$F$12)+AW208*'Assumptions'!$G$12-AW208*'APPF Model'!$F$65-(AW208-AV208)*'Assumptions'!$H$12-0</x:f>
        <x:v>547.3216211039824</x:v>
      </x:c>
      <x:c r="AN208" t="n">
        <x:f>AD208*(1-'Assumptions'!$F$12)+AX208*'Assumptions'!$G$12-AX208*'APPF Model'!$G$65-(AX208-AW208)*'Assumptions'!$H$12-0</x:f>
        <x:v>655.421702092971</x:v>
      </x:c>
      <x:c r="AO208" t="n">
        <x:f>AE208*(1-'Assumptions'!$F$12)+AY208*'Assumptions'!$G$12-AY208*'APPF Model'!$H$65-(AY208-AX208)*'Assumptions'!$H$12-0</x:f>
        <x:v>758.788994171372</x:v>
      </x:c>
      <x:c r="AP208" t="n">
        <x:f>AF208*(1-'Assumptions'!$F$12)+AZ208*'Assumptions'!$G$12-AZ208*'APPF Model'!$I$65-(AZ208-AY208)*'Assumptions'!$H$12-0</x:f>
        <x:v>848.2700872799247</x:v>
      </x:c>
      <x:c r="AQ208" t="n">
        <x:f>AG208*(1-'Assumptions'!$F$12)+BA208*'Assumptions'!$G$12-BA208*'APPF Model'!$J$65-(BA208-AZ208)*'Assumptions'!$H$12-0</x:f>
        <x:v>914.5654427016766</x:v>
      </x:c>
      <x:c r="AR208" t="n">
        <x:f>AH208*(1-'Assumptions'!$F$12)+BB208*'Assumptions'!$G$12-BB208*'APPF Model'!$K$65-(BB208-BA208)*'Assumptions'!$H$12-0</x:f>
        <x:v>949.6796647192213</x:v>
      </x:c>
      <x:c r="AS208" t="n">
        <x:f>E208+O208</x:f>
        <x:v>1380.06</x:v>
      </x:c>
      <x:c r="AT208" t="n">
        <x:f>F208+P208</x:f>
        <x:v>1697.4738</x:v>
      </x:c>
      <x:c r="AU208" t="n">
        <x:f>G208+Q208</x:f>
        <x:v>2087.892774</x:v>
      </x:c>
      <x:c r="AV208" t="n">
        <x:f>H208+R208</x:f>
        <x:v>2568.1081120199997</x:v>
      </x:c>
      <x:c r="AW208" t="n">
        <x:f>I208+S208</x:f>
        <x:v>3158.7729777846</x:v>
      </x:c>
      <x:c r="AX208" t="n">
        <x:f>J208+T208</x:f>
        <x:v>3758.9398435636735</x:v>
      </x:c>
      <x:c r="AY208" t="n">
        <x:f>K208+U208</x:f>
        <x:v>4322.7808200982245</x:v>
      </x:c>
      <x:c r="AZ208" t="n">
        <x:f>L208+V208</x:f>
        <x:v>4798.286710309028</x:v>
      </x:c>
      <x:c r="BA208" t="n">
        <x:f>M208+W208</x:f>
        <x:v>5134.16678003066</x:v>
      </x:c>
      <x:c r="BB208" t="n">
        <x:f>N208+X208</x:f>
        <x:v>5288.19178343158</x:v>
      </x:c>
      <x:c r="BC208" t="n">
        <x:f>AS208/'Inputs'!$E$14-1</x:f>
        <x:v>0.22999999999999998</x:v>
      </x:c>
      <x:c r="BD208" t="n">
        <x:f>AT208/AS208-1</x:f>
        <x:v>0.22999999999999998</x:v>
      </x:c>
      <x:c r="BE208" t="n">
        <x:f>AU208/AT208-1</x:f>
        <x:v>0.22999999999999998</x:v>
      </x:c>
      <x:c r="BF208" t="n">
        <x:f>AV208/AU208-1</x:f>
        <x:v>0.22999999999999998</x:v>
      </x:c>
      <x:c r="BG208" t="n">
        <x:f>AW208/AV208-1</x:f>
        <x:v>0.22999999999999998</x:v>
      </x:c>
      <x:c r="BH208" t="n">
        <x:f>AX208/AW208-1</x:f>
        <x:v>0.18999999999999995</x:v>
      </x:c>
      <x:c r="BI208" t="n">
        <x:f>AY208/AX208-1</x:f>
        <x:v>0.1499999999999999</x:v>
      </x:c>
      <x:c r="BJ208" t="n">
        <x:f>AZ208/AY208-1</x:f>
        <x:v>0.10999999999999988</x:v>
      </x:c>
      <x:c r="BK208" t="n">
        <x:f>BA208/AZ208-1</x:f>
        <x:v>0.07000000000000006</x:v>
      </x:c>
      <x:c r="BL208" t="n">
        <x:f>BB208/BA208-1</x:f>
        <x:v>0.030000000000000027</x:v>
      </x:c>
      <x:c r="BM208" t="n">
        <x:f>AH208*(1-'Assumptions'!$F$12)*(1+'Assumptions'!$D$12)*(1-'Assumptions'!$D$12/'Assumptions'!$E$12)</x:f>
        <x:v>915.0687062050006</x:v>
      </x:c>
      <x:c r="BN208" t="n">
        <x:f>SUMPRODUCT(AI208:AR208,'APPF Model'!$B$83:$K$83)+BM208/('Assumptions'!$C$12-'Assumptions'!$D$12)*'APPF Model'!$K$83</x:f>
        <x:v>8236.924875429439</x:v>
      </x:c>
      <x:c r="BO208" t="n">
        <x:f>'APPF Model'!$B$94</x:f>
        <x:v>171.685</x:v>
      </x:c>
      <x:c r="BP208" t="n">
        <x:f>'Inputs'!$E$8</x:f>
        <x:v>36</x:v>
      </x:c>
    </x:row>
    <x:row r="209">
      <x:c r="A209" t="str">
        <x:v>APPF</x:v>
      </x:c>
      <x:c r="B209" s="22" t="n">
        <x:v>0.24</x:v>
      </x:c>
      <x:c r="C209" s="42" t="n">
        <x:f>(BN209+BO209)/BP209</x:f>
        <x:v>245.74624937578108</x:v>
      </x:c>
      <x:c r="D209" s="22" t="n">
        <x:f>C209/'Inputs'!$E$5-1</x:f>
        <x:v>0.14684641299132473</x:v>
      </x:c>
      <x:c r="E209" t="n">
        <x:f>'Inputs'!$E$14*(1+$B209)^1</x:f>
        <x:v>1391.28</x:v>
      </x:c>
      <x:c r="F209" t="n">
        <x:f>'Inputs'!$E$14*(1+$B209)^2</x:f>
        <x:v>1725.1872</x:v>
      </x:c>
      <x:c r="G209" t="n">
        <x:f>'Inputs'!$E$14*(1+$B209)^3</x:f>
        <x:v>2139.232128</x:v>
      </x:c>
      <x:c r="H209" t="n">
        <x:f>'Inputs'!$E$14*(1+$B209)^4</x:f>
        <x:v>2652.64783872</x:v>
      </x:c>
      <x:c r="I209" t="n">
        <x:f>'Inputs'!$E$14*(1+$B209)^5</x:f>
        <x:v>3289.2833200128002</x:v>
      </x:c>
      <x:c r="J209" t="n">
        <x:f>I209*(1+($BG209+('Assumptions'!$D$12-$BG209)*(6-5)/5))</x:f>
        <x:v>3940.5614173753347</x:v>
      </x:c>
      <x:c r="K209" t="n">
        <x:f>J209*(1+($BG209+('Assumptions'!$D$12-$BG209)*(7-5)/5))</x:f>
        <x:v>4555.288998485887</x:v>
      </x:c>
      <x:c r="L209" t="n">
        <x:f>K209*(1+($BG209+('Assumptions'!$D$12-$BG209)*(8-5)/5))</x:f>
        <x:v>5074.591944313277</x:v>
      </x:c>
      <x:c r="M209" t="n">
        <x:f>L209*(1+($BG209+('Assumptions'!$D$12-$BG209)*(9-5)/5))</x:f>
        <x:v>5439.9625643038335</x:v>
      </x:c>
      <x:c r="N209" t="n">
        <x:f>M209*(1+($BG209+('Assumptions'!$D$12-$BG209)*(10-5)/5))</x:f>
        <x:v>5603.161441232948</x:v>
      </x:c>
      <x:c r="O209" t="n">
        <x:f>0</x:f>
        <x:v>0</x:v>
      </x:c>
      <x:c r="P209" t="n">
        <x:f>0</x:f>
        <x:v>0</x:v>
      </x:c>
      <x:c r="Q209" t="n">
        <x:f>0</x:f>
        <x:v>0</x:v>
      </x:c>
      <x:c r="R209" t="n">
        <x:f>0</x:f>
        <x:v>0</x:v>
      </x:c>
      <x:c r="S209" t="n">
        <x:f>0</x:f>
        <x:v>0</x:v>
      </x:c>
      <x:c r="T209" t="n">
        <x:f>S209*(1+($BG209+('Assumptions'!$D$12-$BG209)*(6-5)/5))</x:f>
        <x:v>0</x:v>
      </x:c>
      <x:c r="U209" t="n">
        <x:f>T209*(1+($BG209+('Assumptions'!$D$12-$BG209)*(7-5)/5))</x:f>
        <x:v>0</x:v>
      </x:c>
      <x:c r="V209" t="n">
        <x:f>U209*(1+($BG209+('Assumptions'!$D$12-$BG209)*(8-5)/5))</x:f>
        <x:v>0</x:v>
      </x:c>
      <x:c r="W209" t="n">
        <x:f>V209*(1+($BG209+('Assumptions'!$D$12-$BG209)*(9-5)/5))</x:f>
        <x:v>0</x:v>
      </x:c>
      <x:c r="X209" t="n">
        <x:f>W209*(1+($BG209+('Assumptions'!$D$12-$BG209)*(10-5)/5))</x:f>
        <x:v>0</x:v>
      </x:c>
      <x:c r="Y209" t="n">
        <x:f>E209*'APPF Model'!$B$62+O209*'APPF Model'!$B$63+'APPF Model'!$B$73+'APPF Model'!$B$74</x:f>
        <x:v>285.2124</x:v>
      </x:c>
      <x:c r="Z209" t="n">
        <x:f>F209*'APPF Model'!$C$62+P209*'APPF Model'!$C$63+'APPF Model'!$C$73+'APPF Model'!$C$74</x:f>
        <x:v>379.54118400000004</x:v>
      </x:c>
      <x:c r="AA209" t="n">
        <x:f>G209*'APPF Model'!$D$62+Q209*'APPF Model'!$D$63+'APPF Model'!$D$73+'APPF Model'!$D$74</x:f>
        <x:v>492.02338944</x:v>
      </x:c>
      <x:c r="AB209" t="n">
        <x:f>H209*'APPF Model'!$E$62+R209*'APPF Model'!$E$63+'APPF Model'!$E$73+'APPF Model'!$E$74</x:f>
        <x:v>636.6354812928</x:v>
      </x:c>
      <x:c r="AC209" t="n">
        <x:f>I209*'APPF Model'!$F$62+S209*'APPF Model'!$F$63+'APPF Model'!$F$73+'APPF Model'!$F$74</x:f>
        <x:v>805.874413403136</x:v>
      </x:c>
      <x:c r="AD209" t="n">
        <x:f>AX209*$AC209/$AW209</x:f>
        <x:v>965.4375472569569</x:v>
      </x:c>
      <x:c r="AE209" t="n">
        <x:f>AY209*$AC209/$AW209</x:f>
        <x:v>1116.0458046290423</x:v>
      </x:c>
      <x:c r="AF209" t="n">
        <x:f>AZ209*$AC209/$AW209</x:f>
        <x:v>1243.2750263567527</x:v>
      </x:c>
      <x:c r="AG209" t="n">
        <x:f>BA209*$AC209/$AW209</x:f>
        <x:v>1332.7908282544392</x:v>
      </x:c>
      <x:c r="AH209" t="n">
        <x:f>BB209*$AC209/$AW209</x:f>
        <x:v>1372.774553102072</x:v>
      </x:c>
      <x:c r="AI209" t="n">
        <x:f>Y209*(1-'Assumptions'!$F$12)+AS209*'Assumptions'!$G$12-AS209*'APPF Model'!$B$65-(AS209-'Inputs'!$E$14)*'Assumptions'!$H$12-'Assumptions'!$I$12</x:f>
        <x:v>198.96426</x:v>
      </x:c>
      <x:c r="AJ209" t="n">
        <x:f>Z209*(1-'Assumptions'!$F$12)+AT209*'Assumptions'!$G$12-AT209*'APPF Model'!$C$65-(AT209-AS209)*'Assumptions'!$H$12-0</x:f>
        <x:v>266.12403839999996</x:v>
      </x:c>
      <x:c r="AK209" t="n">
        <x:f>AA209*(1-'Assumptions'!$F$12)+AU209*'Assumptions'!$G$12-AU209*'APPF Model'!$D$65-(AU209-AT209)*'Assumptions'!$H$12-0</x:f>
        <x:v>346.038048576</x:v>
      </x:c>
      <x:c r="AL209" t="n">
        <x:f>AB209*(1-'Assumptions'!$F$12)+AV209*'Assumptions'!$G$12-AV209*'APPF Model'!$E$65-(AV209-AU209)*'Assumptions'!$H$12-0</x:f>
        <x:v>448.98203902464</x:v>
      </x:c>
      <x:c r="AM209" t="n">
        <x:f>AC209*(1-'Assumptions'!$F$12)+AW209*'Assumptions'!$G$12-AW209*'APPF Model'!$F$65-(AW209-AV209)*'Assumptions'!$H$12-0</x:f>
        <x:v>569.0725408406017</x:v>
      </x:c>
      <x:c r="AN209" t="n">
        <x:f>AD209*(1-'Assumptions'!$F$12)+AX209*'Assumptions'!$G$12-AX209*'APPF Model'!$G$65-(AX209-AW209)*'Assumptions'!$H$12-0</x:f>
        <x:v>686.2053522960903</x:v>
      </x:c>
      <x:c r="AO209" t="n">
        <x:f>AE209*(1-'Assumptions'!$F$12)+AY209*'Assumptions'!$G$12-AY209*'APPF Model'!$H$65-(AY209-AX209)*'Assumptions'!$H$12-0</x:f>
        <x:v>798.779383231902</x:v>
      </x:c>
      <x:c r="AP209" t="n">
        <x:f>AF209*(1-'Assumptions'!$F$12)+AZ209*'Assumptions'!$G$12-AZ209*'APPF Model'!$I$65-(AZ209-AY209)*'Assumptions'!$H$12-0</x:f>
        <x:v>896.460376101529</x:v>
      </x:c>
      <x:c r="AQ209" t="n">
        <x:f>AG209*(1-'Assumptions'!$F$12)+BA209*'Assumptions'!$G$12-BA209*'APPF Model'!$J$65-(BA209-AZ209)*'Assumptions'!$H$12-0</x:f>
        <x:v>968.6584086982956</x:v>
      </x:c>
      <x:c r="AR209" t="n">
        <x:f>AH209*(1-'Assumptions'!$F$12)+BB209*'Assumptions'!$G$12-BB209*'APPF Model'!$K$65-(BB209-BA209)*'Assumptions'!$H$12-0</x:f>
        <x:v>1006.2434754256906</x:v>
      </x:c>
      <x:c r="AS209" t="n">
        <x:f>E209+O209</x:f>
        <x:v>1391.28</x:v>
      </x:c>
      <x:c r="AT209" t="n">
        <x:f>F209+P209</x:f>
        <x:v>1725.1872</x:v>
      </x:c>
      <x:c r="AU209" t="n">
        <x:f>G209+Q209</x:f>
        <x:v>2139.232128</x:v>
      </x:c>
      <x:c r="AV209" t="n">
        <x:f>H209+R209</x:f>
        <x:v>2652.64783872</x:v>
      </x:c>
      <x:c r="AW209" t="n">
        <x:f>I209+S209</x:f>
        <x:v>3289.2833200128002</x:v>
      </x:c>
      <x:c r="AX209" t="n">
        <x:f>J209+T209</x:f>
        <x:v>3940.5614173753347</x:v>
      </x:c>
      <x:c r="AY209" t="n">
        <x:f>K209+U209</x:f>
        <x:v>4555.288998485887</x:v>
      </x:c>
      <x:c r="AZ209" t="n">
        <x:f>L209+V209</x:f>
        <x:v>5074.591944313277</x:v>
      </x:c>
      <x:c r="BA209" t="n">
        <x:f>M209+W209</x:f>
        <x:v>5439.9625643038335</x:v>
      </x:c>
      <x:c r="BB209" t="n">
        <x:f>N209+X209</x:f>
        <x:v>5603.161441232948</x:v>
      </x:c>
      <x:c r="BC209" t="n">
        <x:f>AS209/'Inputs'!$E$14-1</x:f>
        <x:v>0.24</x:v>
      </x:c>
      <x:c r="BD209" t="n">
        <x:f>AT209/AS209-1</x:f>
        <x:v>0.24</x:v>
      </x:c>
      <x:c r="BE209" t="n">
        <x:f>AU209/AT209-1</x:f>
        <x:v>0.24</x:v>
      </x:c>
      <x:c r="BF209" t="n">
        <x:f>AV209/AU209-1</x:f>
        <x:v>0.24</x:v>
      </x:c>
      <x:c r="BG209" t="n">
        <x:f>AW209/AV209-1</x:f>
        <x:v>0.24</x:v>
      </x:c>
      <x:c r="BH209" t="n">
        <x:f>AX209/AW209-1</x:f>
        <x:v>0.19799999999999995</x:v>
      </x:c>
      <x:c r="BI209" t="n">
        <x:f>AY209/AX209-1</x:f>
        <x:v>0.15599999999999992</x:v>
      </x:c>
      <x:c r="BJ209" t="n">
        <x:f>AZ209/AY209-1</x:f>
        <x:v>0.11399999999999988</x:v>
      </x:c>
      <x:c r="BK209" t="n">
        <x:f>BA209/AZ209-1</x:f>
        <x:v>0.07200000000000006</x:v>
      </x:c>
      <x:c r="BL209" t="n">
        <x:f>BB209/BA209-1</x:f>
        <x:v>0.030000000000000027</x:v>
      </x:c>
      <x:c r="BM209" t="n">
        <x:f>AH209*(1-'Assumptions'!$F$12)*(1+'Assumptions'!$D$12)*(1-'Assumptions'!$D$12/'Assumptions'!$E$12)</x:f>
        <x:v>969.5710557909493</x:v>
      </x:c>
      <x:c r="BN209" t="n">
        <x:f>SUMPRODUCT(AI209:AR209,'APPF Model'!$B$83:$K$83)+BM209/('Assumptions'!$C$12-'Assumptions'!$D$12)*'APPF Model'!$K$83</x:f>
        <x:v>8675.17997752812</x:v>
      </x:c>
      <x:c r="BO209" t="n">
        <x:f>'APPF Model'!$B$94</x:f>
        <x:v>171.685</x:v>
      </x:c>
      <x:c r="BP209" t="n">
        <x:f>'Inputs'!$E$8</x:f>
        <x:v>36</x:v>
      </x:c>
    </x:row>
    <x:row r="210">
      <x:c r="A210" t="str">
        <x:v>APPF</x:v>
      </x:c>
      <x:c r="B210" s="22" t="n">
        <x:v>0.25</x:v>
      </x:c>
      <x:c r="C210" s="42" t="n">
        <x:f>(BN210+BO210)/BP210</x:f>
        <x:v>258.5113060948175</x:v>
      </x:c>
      <x:c r="D210" s="22" t="n">
        <x:f>C210/'Inputs'!$E$5-1</x:f>
        <x:v>0.20641826626291526</x:v>
      </x:c>
      <x:c r="E210" t="n">
        <x:f>'Inputs'!$E$14*(1+$B210)^1</x:f>
        <x:v>1402.5</x:v>
      </x:c>
      <x:c r="F210" t="n">
        <x:f>'Inputs'!$E$14*(1+$B210)^2</x:f>
        <x:v>1753.125</x:v>
      </x:c>
      <x:c r="G210" t="n">
        <x:f>'Inputs'!$E$14*(1+$B210)^3</x:f>
        <x:v>2191.40625</x:v>
      </x:c>
      <x:c r="H210" t="n">
        <x:f>'Inputs'!$E$14*(1+$B210)^4</x:f>
        <x:v>2739.2578125</x:v>
      </x:c>
      <x:c r="I210" t="n">
        <x:f>'Inputs'!$E$14*(1+$B210)^5</x:f>
        <x:v>3424.072265625</x:v>
      </x:c>
      <x:c r="J210" t="n">
        <x:f>I210*(1+($BG210+('Assumptions'!$D$12-$BG210)*(6-5)/5))</x:f>
        <x:v>4129.43115234375</x:v>
      </x:c>
      <x:c r="K210" t="n">
        <x:f>J210*(1+($BG210+('Assumptions'!$D$12-$BG210)*(7-5)/5))</x:f>
        <x:v>4798.398999023437</x:v>
      </x:c>
      <x:c r="L210" t="n">
        <x:f>K210*(1+($BG210+('Assumptions'!$D$12-$BG210)*(8-5)/5))</x:f>
        <x:v>5364.610080908202</x:v>
      </x:c>
      <x:c r="M210" t="n">
        <x:f>L210*(1+($BG210+('Assumptions'!$D$12-$BG210)*(9-5)/5))</x:f>
        <x:v>5761.591226895409</x:v>
      </x:c>
      <x:c r="N210" t="n">
        <x:f>M210*(1+($BG210+('Assumptions'!$D$12-$BG210)*(10-5)/5))</x:f>
        <x:v>5934.438963702271</x:v>
      </x:c>
      <x:c r="O210" t="n">
        <x:f>0</x:f>
        <x:v>0</x:v>
      </x:c>
      <x:c r="P210" t="n">
        <x:f>0</x:f>
        <x:v>0</x:v>
      </x:c>
      <x:c r="Q210" t="n">
        <x:f>0</x:f>
        <x:v>0</x:v>
      </x:c>
      <x:c r="R210" t="n">
        <x:f>0</x:f>
        <x:v>0</x:v>
      </x:c>
      <x:c r="S210" t="n">
        <x:f>0</x:f>
        <x:v>0</x:v>
      </x:c>
      <x:c r="T210" t="n">
        <x:f>S210*(1+($BG210+('Assumptions'!$D$12-$BG210)*(6-5)/5))</x:f>
        <x:v>0</x:v>
      </x:c>
      <x:c r="U210" t="n">
        <x:f>T210*(1+($BG210+('Assumptions'!$D$12-$BG210)*(7-5)/5))</x:f>
        <x:v>0</x:v>
      </x:c>
      <x:c r="V210" t="n">
        <x:f>U210*(1+($BG210+('Assumptions'!$D$12-$BG210)*(8-5)/5))</x:f>
        <x:v>0</x:v>
      </x:c>
      <x:c r="W210" t="n">
        <x:f>V210*(1+($BG210+('Assumptions'!$D$12-$BG210)*(9-5)/5))</x:f>
        <x:v>0</x:v>
      </x:c>
      <x:c r="X210" t="n">
        <x:f>W210*(1+($BG210+('Assumptions'!$D$12-$BG210)*(10-5)/5))</x:f>
        <x:v>0</x:v>
      </x:c>
      <x:c r="Y210" t="n">
        <x:f>E210*'APPF Model'!$B$62+O210*'APPF Model'!$B$63+'APPF Model'!$B$73+'APPF Model'!$B$74</x:f>
        <x:v>287.5125</x:v>
      </x:c>
      <x:c r="Z210" t="n">
        <x:f>F210*'APPF Model'!$C$62+P210*'APPF Model'!$C$63+'APPF Model'!$C$73+'APPF Model'!$C$74</x:f>
        <x:v>385.6875</x:v>
      </x:c>
      <x:c r="AA210" t="n">
        <x:f>G210*'APPF Model'!$D$62+Q210*'APPF Model'!$D$63+'APPF Model'!$D$73+'APPF Model'!$D$74</x:f>
        <x:v>504.0234375</x:v>
      </x:c>
      <x:c r="AB210" t="n">
        <x:f>H210*'APPF Model'!$E$62+R210*'APPF Model'!$E$63+'APPF Model'!$E$73+'APPF Model'!$E$74</x:f>
        <x:v>657.421875</x:v>
      </x:c>
      <x:c r="AC210" t="n">
        <x:f>I210*'APPF Model'!$F$62+S210*'APPF Model'!$F$63+'APPF Model'!$F$73+'APPF Model'!$F$74</x:f>
        <x:v>838.897705078125</x:v>
      </x:c>
      <x:c r="AD210" t="n">
        <x:f>AX210*$AC210/$AW210</x:f>
        <x:v>1011.7106323242188</x:v>
      </x:c>
      <x:c r="AE210" t="n">
        <x:f>AY210*$AC210/$AW210</x:f>
        <x:v>1175.607754760742</x:v>
      </x:c>
      <x:c r="AF210" t="n">
        <x:f>AZ210*$AC210/$AW210</x:f>
        <x:v>1314.3294698225095</x:v>
      </x:c>
      <x:c r="AG210" t="n">
        <x:f>BA210*$AC210/$AW210</x:f>
        <x:v>1411.5898505893751</x:v>
      </x:c>
      <x:c r="AH210" t="n">
        <x:f>BB210*$AC210/$AW210</x:f>
        <x:v>1453.9375461070565</x:v>
      </x:c>
      <x:c r="AI210" t="n">
        <x:f>Y210*(1-'Assumptions'!$F$12)+AS210*'Assumptions'!$G$12-AS210*'APPF Model'!$B$65-(AS210-'Inputs'!$E$14)*'Assumptions'!$H$12-'Assumptions'!$I$12</x:f>
        <x:v>200.206875</x:v>
      </x:c>
      <x:c r="AJ210" t="n">
        <x:f>Z210*(1-'Assumptions'!$F$12)+AT210*'Assumptions'!$G$12-AT210*'APPF Model'!$C$65-(AT210-AS210)*'Assumptions'!$H$12-0</x:f>
        <x:v>269.98125000000005</x:v>
      </x:c>
      <x:c r="AK210" t="n">
        <x:f>AA210*(1-'Assumptions'!$F$12)+AU210*'Assumptions'!$G$12-AU210*'APPF Model'!$D$65-(AU210-AT210)*'Assumptions'!$H$12-0</x:f>
        <x:v>353.912109375</x:v>
      </x:c>
      <x:c r="AL210" t="n">
        <x:f>AB210*(1-'Assumptions'!$F$12)+AV210*'Assumptions'!$G$12-AV210*'APPF Model'!$E$65-(AV210-AU210)*'Assumptions'!$H$12-0</x:f>
        <x:v>462.9345703125</x:v>
      </x:c>
      <x:c r="AM210" t="n">
        <x:f>AC210*(1-'Assumptions'!$F$12)+AW210*'Assumptions'!$G$12-AW210*'APPF Model'!$F$65-(AW210-AV210)*'Assumptions'!$H$12-0</x:f>
        <x:v>591.5084838867188</x:v>
      </x:c>
      <x:c r="AN210" t="n">
        <x:f>AD210*(1-'Assumptions'!$F$12)+AX210*'Assumptions'!$G$12-AX210*'APPF Model'!$G$65-(AX210-AW210)*'Assumptions'!$H$12-0</x:f>
        <x:v>718.1803253173828</x:v>
      </x:c>
      <x:c r="AO210" t="n">
        <x:f>AE210*(1-'Assumptions'!$F$12)+AY210*'Assumptions'!$G$12-AY210*'APPF Model'!$H$65-(AY210-AX210)*'Assumptions'!$H$12-0</x:f>
        <x:v>840.5519052062987</x:v>
      </x:c>
      <x:c r="AP210" t="n">
        <x:f>AF210*(1-'Assumptions'!$F$12)+AZ210*'Assumptions'!$G$12-AZ210*'APPF Model'!$I$65-(AZ210-AY210)*'Assumptions'!$H$12-0</x:f>
        <x:v>947.004828848767</x:v>
      </x:c>
      <x:c r="AQ210" t="n">
        <x:f>AG210*(1-'Assumptions'!$F$12)+BA210*'Assumptions'!$G$12-BA210*'APPF Model'!$J$65-(BA210-AZ210)*'Assumptions'!$H$12-0</x:f>
        <x:v>1025.528368421857</x:v>
      </x:c>
      <x:c r="AR210" t="n">
        <x:f>AH210*(1-'Assumptions'!$F$12)+BB210*'Assumptions'!$G$12-BB210*'APPF Model'!$K$65-(BB210-BA210)*'Assumptions'!$H$12-0</x:f>
        <x:v>1065.735933216911</x:v>
      </x:c>
      <x:c r="AS210" t="n">
        <x:f>E210+O210</x:f>
        <x:v>1402.5</x:v>
      </x:c>
      <x:c r="AT210" t="n">
        <x:f>F210+P210</x:f>
        <x:v>1753.125</x:v>
      </x:c>
      <x:c r="AU210" t="n">
        <x:f>G210+Q210</x:f>
        <x:v>2191.40625</x:v>
      </x:c>
      <x:c r="AV210" t="n">
        <x:f>H210+R210</x:f>
        <x:v>2739.2578125</x:v>
      </x:c>
      <x:c r="AW210" t="n">
        <x:f>I210+S210</x:f>
        <x:v>3424.072265625</x:v>
      </x:c>
      <x:c r="AX210" t="n">
        <x:f>J210+T210</x:f>
        <x:v>4129.43115234375</x:v>
      </x:c>
      <x:c r="AY210" t="n">
        <x:f>K210+U210</x:f>
        <x:v>4798.398999023437</x:v>
      </x:c>
      <x:c r="AZ210" t="n">
        <x:f>L210+V210</x:f>
        <x:v>5364.610080908202</x:v>
      </x:c>
      <x:c r="BA210" t="n">
        <x:f>M210+W210</x:f>
        <x:v>5761.591226895409</x:v>
      </x:c>
      <x:c r="BB210" t="n">
        <x:f>N210+X210</x:f>
        <x:v>5934.438963702271</x:v>
      </x:c>
      <x:c r="BC210" t="n">
        <x:f>AS210/'Inputs'!$E$14-1</x:f>
        <x:v>0.25</x:v>
      </x:c>
      <x:c r="BD210" t="n">
        <x:f>AT210/AS210-1</x:f>
        <x:v>0.25</x:v>
      </x:c>
      <x:c r="BE210" t="n">
        <x:f>AU210/AT210-1</x:f>
        <x:v>0.25</x:v>
      </x:c>
      <x:c r="BF210" t="n">
        <x:f>AV210/AU210-1</x:f>
        <x:v>0.25</x:v>
      </x:c>
      <x:c r="BG210" t="n">
        <x:f>AW210/AV210-1</x:f>
        <x:v>0.25</x:v>
      </x:c>
      <x:c r="BH210" t="n">
        <x:f>AX210/AW210-1</x:f>
        <x:v>0.20599999999999996</x:v>
      </x:c>
      <x:c r="BI210" t="n">
        <x:f>AY210/AX210-1</x:f>
        <x:v>0.16199999999999992</x:v>
      </x:c>
      <x:c r="BJ210" t="n">
        <x:f>AZ210/AY210-1</x:f>
        <x:v>0.11799999999999988</x:v>
      </x:c>
      <x:c r="BK210" t="n">
        <x:f>BA210/AZ210-1</x:f>
        <x:v>0.07400000000000007</x:v>
      </x:c>
      <x:c r="BL210" t="n">
        <x:f>BB210/BA210-1</x:f>
        <x:v>0.030000000000000027</x:v>
      </x:c>
      <x:c r="BM210" t="n">
        <x:f>AH210*(1-'Assumptions'!$F$12)*(1+'Assumptions'!$D$12)*(1-'Assumptions'!$D$12/'Assumptions'!$E$12)</x:f>
        <x:v>1026.895318279041</x:v>
      </x:c>
      <x:c r="BN210" t="n">
        <x:f>SUMPRODUCT(AI210:AR210,'APPF Model'!$B$83:$K$83)+BM210/('Assumptions'!$C$12-'Assumptions'!$D$12)*'APPF Model'!$K$83</x:f>
        <x:v>9134.72201941343</x:v>
      </x:c>
      <x:c r="BO210" t="n">
        <x:f>'APPF Model'!$B$94</x:f>
        <x:v>171.685</x:v>
      </x:c>
      <x:c r="BP210" t="n">
        <x:f>'Inputs'!$E$8</x:f>
        <x:v>36</x:v>
      </x:c>
    </x:row>
    <x:row r="211">
      <x:c r="A211" t="str">
        <x:v>APPF</x:v>
      </x:c>
      <x:c r="B211" s="22" t="n">
        <x:v>0.26</x:v>
      </x:c>
      <x:c r="C211" s="42" t="n">
        <x:f>(BN211+BO211)/BP211</x:f>
        <x:v>271.89271794377305</x:v>
      </x:c>
      <x:c r="D211" s="22" t="n">
        <x:f>C211/'Inputs'!$E$5-1</x:f>
        <x:v>0.2688665201781457</x:v>
      </x:c>
      <x:c r="E211" t="n">
        <x:f>'Inputs'!$E$14*(1+$B211)^1</x:f>
        <x:v>1413.72</x:v>
      </x:c>
      <x:c r="F211" t="n">
        <x:f>'Inputs'!$E$14*(1+$B211)^2</x:f>
        <x:v>1781.2872000000002</x:v>
      </x:c>
      <x:c r="G211" t="n">
        <x:f>'Inputs'!$E$14*(1+$B211)^3</x:f>
        <x:v>2244.4218720000003</x:v>
      </x:c>
      <x:c r="H211" t="n">
        <x:f>'Inputs'!$E$14*(1+$B211)^4</x:f>
        <x:v>2827.9715587200003</x:v>
      </x:c>
      <x:c r="I211" t="n">
        <x:f>'Inputs'!$E$14*(1+$B211)^5</x:f>
        <x:v>3563.2441639872004</x:v>
      </x:c>
      <x:c r="J211" t="n">
        <x:f>I211*(1+($BG211+('Assumptions'!$D$12-$BG211)*(6-5)/5))</x:f>
        <x:v>4325.778415080461</x:v>
      </x:c>
      <x:c r="K211" t="n">
        <x:f>J211*(1+($BG211+('Assumptions'!$D$12-$BG211)*(7-5)/5))</x:f>
        <x:v>5052.509188813978</x:v>
      </x:c>
      <x:c r="L211" t="n">
        <x:f>K211*(1+($BG211+('Assumptions'!$D$12-$BG211)*(8-5)/5))</x:f>
        <x:v>5668.9153098492825</x:v>
      </x:c>
      <x:c r="M211" t="n">
        <x:f>L211*(1+($BG211+('Assumptions'!$D$12-$BG211)*(9-5)/5))</x:f>
        <x:v>6099.752873397828</x:v>
      </x:c>
      <x:c r="N211" t="n">
        <x:f>M211*(1+($BG211+('Assumptions'!$D$12-$BG211)*(10-5)/5))</x:f>
        <x:v>6282.745459599763</x:v>
      </x:c>
      <x:c r="O211" t="n">
        <x:f>0</x:f>
        <x:v>0</x:v>
      </x:c>
      <x:c r="P211" t="n">
        <x:f>0</x:f>
        <x:v>0</x:v>
      </x:c>
      <x:c r="Q211" t="n">
        <x:f>0</x:f>
        <x:v>0</x:v>
      </x:c>
      <x:c r="R211" t="n">
        <x:f>0</x:f>
        <x:v>0</x:v>
      </x:c>
      <x:c r="S211" t="n">
        <x:f>0</x:f>
        <x:v>0</x:v>
      </x:c>
      <x:c r="T211" t="n">
        <x:f>S211*(1+($BG211+('Assumptions'!$D$12-$BG211)*(6-5)/5))</x:f>
        <x:v>0</x:v>
      </x:c>
      <x:c r="U211" t="n">
        <x:f>T211*(1+($BG211+('Assumptions'!$D$12-$BG211)*(7-5)/5))</x:f>
        <x:v>0</x:v>
      </x:c>
      <x:c r="V211" t="n">
        <x:f>U211*(1+($BG211+('Assumptions'!$D$12-$BG211)*(8-5)/5))</x:f>
        <x:v>0</x:v>
      </x:c>
      <x:c r="W211" t="n">
        <x:f>V211*(1+($BG211+('Assumptions'!$D$12-$BG211)*(9-5)/5))</x:f>
        <x:v>0</x:v>
      </x:c>
      <x:c r="X211" t="n">
        <x:f>W211*(1+($BG211+('Assumptions'!$D$12-$BG211)*(10-5)/5))</x:f>
        <x:v>0</x:v>
      </x:c>
      <x:c r="Y211" t="n">
        <x:f>E211*'APPF Model'!$B$62+O211*'APPF Model'!$B$63+'APPF Model'!$B$73+'APPF Model'!$B$74</x:f>
        <x:v>289.8126</x:v>
      </x:c>
      <x:c r="Z211" t="n">
        <x:f>F211*'APPF Model'!$C$62+P211*'APPF Model'!$C$63+'APPF Model'!$C$73+'APPF Model'!$C$74</x:f>
        <x:v>391.883184</x:v>
      </x:c>
      <x:c r="AA211" t="n">
        <x:f>G211*'APPF Model'!$D$62+Q211*'APPF Model'!$D$63+'APPF Model'!$D$73+'APPF Model'!$D$74</x:f>
        <x:v>516.2170305600001</x:v>
      </x:c>
      <x:c r="AB211" t="n">
        <x:f>H211*'APPF Model'!$E$62+R211*'APPF Model'!$E$63+'APPF Model'!$E$73+'APPF Model'!$E$74</x:f>
        <x:v>678.7131740928</x:v>
      </x:c>
      <x:c r="AC211" t="n">
        <x:f>I211*'APPF Model'!$F$62+S211*'APPF Model'!$F$63+'APPF Model'!$F$73+'APPF Model'!$F$74</x:f>
        <x:v>872.9948201768641</x:v>
      </x:c>
      <x:c r="AD211" t="n">
        <x:f>AX211*$AC211/$AW211</x:f>
        <x:v>1059.815711694713</x:v>
      </x:c>
      <x:c r="AE211" t="n">
        <x:f>AY211*$AC211/$AW211</x:f>
        <x:v>1237.8647512594246</x:v>
      </x:c>
      <x:c r="AF211" t="n">
        <x:f>AZ211*$AC211/$AW211</x:f>
        <x:v>1388.8842509130743</x:v>
      </x:c>
      <x:c r="AG211" t="n">
        <x:f>BA211*$AC211/$AW211</x:f>
        <x:v>1494.4394539824677</x:v>
      </x:c>
      <x:c r="AH211" t="n">
        <x:f>BB211*$AC211/$AW211</x:f>
        <x:v>1539.272637601942</x:v>
      </x:c>
      <x:c r="AI211" t="n">
        <x:f>Y211*(1-'Assumptions'!$F$12)+AS211*'Assumptions'!$G$12-AS211*'APPF Model'!$B$65-(AS211-'Inputs'!$E$14)*'Assumptions'!$H$12-'Assumptions'!$I$12</x:f>
        <x:v>201.44948999999997</x:v>
      </x:c>
      <x:c r="AJ211" t="n">
        <x:f>Z211*(1-'Assumptions'!$F$12)+AT211*'Assumptions'!$G$12-AT211*'APPF Model'!$C$65-(AT211-AS211)*'Assumptions'!$H$12-0</x:f>
        <x:v>273.8658384</x:v>
      </x:c>
      <x:c r="AK211" t="n">
        <x:f>AA211*(1-'Assumptions'!$F$12)+AU211*'Assumptions'!$G$12-AU211*'APPF Model'!$D$65-(AU211-AT211)*'Assumptions'!$H$12-0</x:f>
        <x:v>361.90412042400004</x:v>
      </x:c>
      <x:c r="AL211" t="n">
        <x:f>AB211*(1-'Assumptions'!$F$12)+AV211*'Assumptions'!$G$12-AV211*'APPF Model'!$E$65-(AV211-AU211)*'Assumptions'!$H$12-0</x:f>
        <x:v>477.2089784246401</x:v>
      </x:c>
      <x:c r="AM211" t="n">
        <x:f>AC211*(1-'Assumptions'!$F$12)+AW211*'Assumptions'!$G$12-AW211*'APPF Model'!$F$65-(AW211-AV211)*'Assumptions'!$H$12-0</x:f>
        <x:v>614.6454784299984</x:v>
      </x:c>
      <x:c r="AN211" t="n">
        <x:f>AD211*(1-'Assumptions'!$F$12)+AX211*'Assumptions'!$G$12-AX211*'APPF Model'!$G$65-(AX211-AW211)*'Assumptions'!$H$12-0</x:f>
        <x:v>751.383078482063</x:v>
      </x:c>
      <x:c r="AO211" t="n">
        <x:f>AE211*(1-'Assumptions'!$F$12)+AY211*'Assumptions'!$G$12-AY211*'APPF Model'!$H$65-(AY211-AX211)*'Assumptions'!$H$12-0</x:f>
        <x:v>884.1718049287858</x:v>
      </x:c>
      <x:c r="AP211" t="n">
        <x:f>AF211*(1-'Assumptions'!$F$12)+AZ211*'Assumptions'!$G$12-AZ211*'APPF Model'!$I$65-(AZ211-AY211)*'Assumptions'!$H$12-0</x:f>
        <x:v>1000.0001974138456</x:v>
      </x:c>
      <x:c r="AQ211" t="n">
        <x:f>AG211*(1-'Assumptions'!$F$12)+BA211*'Assumptions'!$G$12-BA211*'APPF Model'!$J$65-(BA211-AZ211)*'Assumptions'!$H$12-0</x:f>
        <x:v>1085.2968293247154</x:v>
      </x:c>
      <x:c r="AR211" t="n">
        <x:f>AH211*(1-'Assumptions'!$F$12)+BB211*'Assumptions'!$G$12-BB211*'APPF Model'!$K$65-(BB211-BA211)*'Assumptions'!$H$12-0</x:f>
        <x:v>1128.28653837458</x:v>
      </x:c>
      <x:c r="AS211" t="n">
        <x:f>E211+O211</x:f>
        <x:v>1413.72</x:v>
      </x:c>
      <x:c r="AT211" t="n">
        <x:f>F211+P211</x:f>
        <x:v>1781.2872000000002</x:v>
      </x:c>
      <x:c r="AU211" t="n">
        <x:f>G211+Q211</x:f>
        <x:v>2244.4218720000003</x:v>
      </x:c>
      <x:c r="AV211" t="n">
        <x:f>H211+R211</x:f>
        <x:v>2827.9715587200003</x:v>
      </x:c>
      <x:c r="AW211" t="n">
        <x:f>I211+S211</x:f>
        <x:v>3563.2441639872004</x:v>
      </x:c>
      <x:c r="AX211" t="n">
        <x:f>J211+T211</x:f>
        <x:v>4325.778415080461</x:v>
      </x:c>
      <x:c r="AY211" t="n">
        <x:f>K211+U211</x:f>
        <x:v>5052.509188813978</x:v>
      </x:c>
      <x:c r="AZ211" t="n">
        <x:f>L211+V211</x:f>
        <x:v>5668.9153098492825</x:v>
      </x:c>
      <x:c r="BA211" t="n">
        <x:f>M211+W211</x:f>
        <x:v>6099.752873397828</x:v>
      </x:c>
      <x:c r="BB211" t="n">
        <x:f>N211+X211</x:f>
        <x:v>6282.745459599763</x:v>
      </x:c>
      <x:c r="BC211" t="n">
        <x:f>AS211/'Inputs'!$E$14-1</x:f>
        <x:v>0.26</x:v>
      </x:c>
      <x:c r="BD211" t="n">
        <x:f>AT211/AS211-1</x:f>
        <x:v>0.26000000000000023</x:v>
      </x:c>
      <x:c r="BE211" t="n">
        <x:f>AU211/AT211-1</x:f>
        <x:v>0.26</x:v>
      </x:c>
      <x:c r="BF211" t="n">
        <x:f>AV211/AU211-1</x:f>
        <x:v>0.26</x:v>
      </x:c>
      <x:c r="BG211" t="n">
        <x:f>AW211/AV211-1</x:f>
        <x:v>0.26</x:v>
      </x:c>
      <x:c r="BH211" t="n">
        <x:f>AX211/AW211-1</x:f>
        <x:v>0.21399999999999997</x:v>
      </x:c>
      <x:c r="BI211" t="n">
        <x:f>AY211/AX211-1</x:f>
        <x:v>0.16799999999999993</x:v>
      </x:c>
      <x:c r="BJ211" t="n">
        <x:f>AZ211/AY211-1</x:f>
        <x:v>0.12199999999999989</x:v>
      </x:c>
      <x:c r="BK211" t="n">
        <x:f>BA211/AZ211-1</x:f>
        <x:v>0.07600000000000007</x:v>
      </x:c>
      <x:c r="BL211" t="n">
        <x:f>BB211/BA211-1</x:f>
        <x:v>0.030000000000000027</x:v>
      </x:c>
      <x:c r="BM211" t="n">
        <x:f>AH211*(1-'Assumptions'!$F$12)*(1+'Assumptions'!$D$12)*(1-'Assumptions'!$D$12/'Assumptions'!$E$12)</x:f>
        <x:v>1087.166274329143</x:v>
      </x:c>
      <x:c r="BN211" t="n">
        <x:f>SUMPRODUCT(AI211:AR211,'APPF Model'!$B$83:$K$83)+BM211/('Assumptions'!$C$12-'Assumptions'!$D$12)*'APPF Model'!$K$83</x:f>
        <x:v>9616.452845975831</x:v>
      </x:c>
      <x:c r="BO211" t="n">
        <x:f>'APPF Model'!$B$94</x:f>
        <x:v>171.685</x:v>
      </x:c>
      <x:c r="BP211" t="n">
        <x:f>'Inputs'!$E$8</x:f>
        <x:v>36</x:v>
      </x:c>
    </x:row>
    <x:row r="212">
      <x:c r="A212" t="str">
        <x:v>APPF</x:v>
      </x:c>
      <x:c r="B212" s="22" t="n">
        <x:v>0.27</x:v>
      </x:c>
      <x:c r="C212" s="42" t="n">
        <x:f>(BN212+BO212)/BP212</x:f>
        <x:v>285.91643080668746</x:v>
      </x:c>
      <x:c r="D212" s="22" t="n">
        <x:f>C212/'Inputs'!$E$5-1</x:f>
        <x:v>0.33431225875810844</x:v>
      </x:c>
      <x:c r="E212" t="n">
        <x:f>'Inputs'!$E$14*(1+$B212)^1</x:f>
        <x:v>1424.94</x:v>
      </x:c>
      <x:c r="F212" t="n">
        <x:f>'Inputs'!$E$14*(1+$B212)^2</x:f>
        <x:v>1809.6738</x:v>
      </x:c>
      <x:c r="G212" t="n">
        <x:f>'Inputs'!$E$14*(1+$B212)^3</x:f>
        <x:v>2298.2857259999996</x:v>
      </x:c>
      <x:c r="H212" t="n">
        <x:f>'Inputs'!$E$14*(1+$B212)^4</x:f>
        <x:v>2918.82287202</x:v>
      </x:c>
      <x:c r="I212" t="n">
        <x:f>'Inputs'!$E$14*(1+$B212)^5</x:f>
        <x:v>3706.9050474653995</x:v>
      </x:c>
      <x:c r="J212" t="n">
        <x:f>I212*(1+($BG212+('Assumptions'!$D$12-$BG212)*(6-5)/5))</x:f>
        <x:v>4529.837968002717</x:v>
      </x:c>
      <x:c r="K212" t="n">
        <x:f>J212*(1+($BG212+('Assumptions'!$D$12-$BG212)*(7-5)/5))</x:f>
        <x:v>5318.02977443519</x:v>
      </x:c>
      <x:c r="L212" t="n">
        <x:f>K212*(1+($BG212+('Assumptions'!$D$12-$BG212)*(8-5)/5))</x:f>
        <x:v>5988.101526014024</x:v>
      </x:c>
      <x:c r="M212" t="n">
        <x:f>L212*(1+($BG212+('Assumptions'!$D$12-$BG212)*(9-5)/5))</x:f>
        <x:v>6455.173445043117</x:v>
      </x:c>
      <x:c r="N212" t="n">
        <x:f>M212*(1+($BG212+('Assumptions'!$D$12-$BG212)*(10-5)/5))</x:f>
        <x:v>6648.82864839441</x:v>
      </x:c>
      <x:c r="O212" t="n">
        <x:f>0</x:f>
        <x:v>0</x:v>
      </x:c>
      <x:c r="P212" t="n">
        <x:f>0</x:f>
        <x:v>0</x:v>
      </x:c>
      <x:c r="Q212" t="n">
        <x:f>0</x:f>
        <x:v>0</x:v>
      </x:c>
      <x:c r="R212" t="n">
        <x:f>0</x:f>
        <x:v>0</x:v>
      </x:c>
      <x:c r="S212" t="n">
        <x:f>0</x:f>
        <x:v>0</x:v>
      </x:c>
      <x:c r="T212" t="n">
        <x:f>S212*(1+($BG212+('Assumptions'!$D$12-$BG212)*(6-5)/5))</x:f>
        <x:v>0</x:v>
      </x:c>
      <x:c r="U212" t="n">
        <x:f>T212*(1+($BG212+('Assumptions'!$D$12-$BG212)*(7-5)/5))</x:f>
        <x:v>0</x:v>
      </x:c>
      <x:c r="V212" t="n">
        <x:f>U212*(1+($BG212+('Assumptions'!$D$12-$BG212)*(8-5)/5))</x:f>
        <x:v>0</x:v>
      </x:c>
      <x:c r="W212" t="n">
        <x:f>V212*(1+($BG212+('Assumptions'!$D$12-$BG212)*(9-5)/5))</x:f>
        <x:v>0</x:v>
      </x:c>
      <x:c r="X212" t="n">
        <x:f>W212*(1+($BG212+('Assumptions'!$D$12-$BG212)*(10-5)/5))</x:f>
        <x:v>0</x:v>
      </x:c>
      <x:c r="Y212" t="n">
        <x:f>E212*'APPF Model'!$B$62+O212*'APPF Model'!$B$63+'APPF Model'!$B$73+'APPF Model'!$B$74</x:f>
        <x:v>292.1127</x:v>
      </x:c>
      <x:c r="Z212" t="n">
        <x:f>F212*'APPF Model'!$C$62+P212*'APPF Model'!$C$63+'APPF Model'!$C$73+'APPF Model'!$C$74</x:f>
        <x:v>398.128236</x:v>
      </x:c>
      <x:c r="AA212" t="n">
        <x:f>G212*'APPF Model'!$D$62+Q212*'APPF Model'!$D$63+'APPF Model'!$D$73+'APPF Model'!$D$74</x:f>
        <x:v>528.6057169799999</x:v>
      </x:c>
      <x:c r="AB212" t="n">
        <x:f>H212*'APPF Model'!$E$62+R212*'APPF Model'!$E$63+'APPF Model'!$E$73+'APPF Model'!$E$74</x:f>
        <x:v>700.5174892847999</x:v>
      </x:c>
      <x:c r="AC212" t="n">
        <x:f>I212*'APPF Model'!$F$62+S212*'APPF Model'!$F$63+'APPF Model'!$F$73+'APPF Model'!$F$74</x:f>
        <x:v>908.1917366290229</x:v>
      </x:c>
      <x:c r="AD212" t="n">
        <x:f>AX212*$AC212/$AW212</x:f>
        <x:v>1109.8103021606657</x:v>
      </x:c>
      <x:c r="AE212" t="n">
        <x:f>AY212*$AC212/$AW212</x:f>
        <x:v>1302.9172947366217</x:v>
      </x:c>
      <x:c r="AF212" t="n">
        <x:f>AZ212*$AC212/$AW212</x:f>
        <x:v>1467.084873873436</x:v>
      </x:c>
      <x:c r="AG212" t="n">
        <x:f>BA212*$AC212/$AW212</x:f>
        <x:v>1581.5174940355637</x:v>
      </x:c>
      <x:c r="AH212" t="n">
        <x:f>BB212*$AC212/$AW212</x:f>
        <x:v>1628.9630188566305</x:v>
      </x:c>
      <x:c r="AI212" t="n">
        <x:f>Y212*(1-'Assumptions'!$F$12)+AS212*'Assumptions'!$G$12-AS212*'APPF Model'!$B$65-(AS212-'Inputs'!$E$14)*'Assumptions'!$H$12-'Assumptions'!$I$12</x:f>
        <x:v>202.692105</x:v>
      </x:c>
      <x:c r="AJ212" t="n">
        <x:f>Z212*(1-'Assumptions'!$F$12)+AT212*'Assumptions'!$G$12-AT212*'APPF Model'!$C$65-(AT212-AS212)*'Assumptions'!$H$12-0</x:f>
        <x:v>277.7778036</x:v>
      </x:c>
      <x:c r="AK212" t="n">
        <x:f>AA212*(1-'Assumptions'!$F$12)+AU212*'Assumptions'!$G$12-AU212*'APPF Model'!$D$65-(AU212-AT212)*'Assumptions'!$H$12-0</x:f>
        <x:v>370.0149535169999</x:v>
      </x:c>
      <x:c r="AL212" t="n">
        <x:f>AB212*(1-'Assumptions'!$F$12)+AV212*'Assumptions'!$G$12-AV212*'APPF Model'!$E$65-(AV212-AU212)*'Assumptions'!$H$12-0</x:f>
        <x:v>491.81016250674</x:v>
      </x:c>
      <x:c r="AM212" t="n">
        <x:f>AC212*(1-'Assumptions'!$F$12)+AW212*'Assumptions'!$G$12-AW212*'APPF Model'!$F$65-(AW212-AV212)*'Assumptions'!$H$12-0</x:f>
        <x:v>638.4998003115551</x:v>
      </x:c>
      <x:c r="AN212" t="n">
        <x:f>AD212*(1-'Assumptions'!$F$12)+AX212*'Assumptions'!$G$12-AX212*'APPF Model'!$G$65-(AX212-AW212)*'Assumptions'!$H$12-0</x:f>
        <x:v>785.8508958949985</x:v>
      </x:c>
      <x:c r="AO212" t="n">
        <x:f>AE212*(1-'Assumptions'!$F$12)+AY212*'Assumptions'!$G$12-AY212*'APPF Model'!$H$65-(AY212-AX212)*'Assumptions'!$H$12-0</x:f>
        <x:v>929.7062094718619</x:v>
      </x:c>
      <x:c r="AP212" t="n">
        <x:f>AF212*(1-'Assumptions'!$F$12)+AZ212*'Assumptions'!$G$12-AZ212*'APPF Model'!$I$65-(AZ212-AY212)*'Assumptions'!$H$12-0</x:f>
        <x:v>1055.5464807638816</x:v>
      </x:c>
      <x:c r="AQ212" t="n">
        <x:f>AG212*(1-'Assumptions'!$F$12)+BA212*'Assumptions'!$G$12-BA212*'APPF Model'!$J$65-(BA212-AZ212)*'Assumptions'!$H$12-0</x:f>
        <x:v>1148.0897234303798</x:v>
      </x:c>
      <x:c r="AR212" t="n">
        <x:f>AH212*(1-'Assumptions'!$F$12)+BB212*'Assumptions'!$G$12-BB212*'APPF Model'!$K$65-(BB212-BA212)*'Assumptions'!$H$12-0</x:f>
        <x:v>1194.0295700632378</x:v>
      </x:c>
      <x:c r="AS212" t="n">
        <x:f>E212+O212</x:f>
        <x:v>1424.94</x:v>
      </x:c>
      <x:c r="AT212" t="n">
        <x:f>F212+P212</x:f>
        <x:v>1809.6738</x:v>
      </x:c>
      <x:c r="AU212" t="n">
        <x:f>G212+Q212</x:f>
        <x:v>2298.2857259999996</x:v>
      </x:c>
      <x:c r="AV212" t="n">
        <x:f>H212+R212</x:f>
        <x:v>2918.82287202</x:v>
      </x:c>
      <x:c r="AW212" t="n">
        <x:f>I212+S212</x:f>
        <x:v>3706.9050474653995</x:v>
      </x:c>
      <x:c r="AX212" t="n">
        <x:f>J212+T212</x:f>
        <x:v>4529.837968002717</x:v>
      </x:c>
      <x:c r="AY212" t="n">
        <x:f>K212+U212</x:f>
        <x:v>5318.02977443519</x:v>
      </x:c>
      <x:c r="AZ212" t="n">
        <x:f>L212+V212</x:f>
        <x:v>5988.101526014024</x:v>
      </x:c>
      <x:c r="BA212" t="n">
        <x:f>M212+W212</x:f>
        <x:v>6455.173445043117</x:v>
      </x:c>
      <x:c r="BB212" t="n">
        <x:f>N212+X212</x:f>
        <x:v>6648.82864839441</x:v>
      </x:c>
      <x:c r="BC212" t="n">
        <x:f>AS212/'Inputs'!$E$14-1</x:f>
        <x:v>0.27</x:v>
      </x:c>
      <x:c r="BD212" t="n">
        <x:f>AT212/AS212-1</x:f>
        <x:v>0.27</x:v>
      </x:c>
      <x:c r="BE212" t="n">
        <x:f>AU212/AT212-1</x:f>
        <x:v>0.2699999999999998</x:v>
      </x:c>
      <x:c r="BF212" t="n">
        <x:f>AV212/AU212-1</x:f>
        <x:v>0.27000000000000024</x:v>
      </x:c>
      <x:c r="BG212" t="n">
        <x:f>AW212/AV212-1</x:f>
        <x:v>0.2699999999999998</x:v>
      </x:c>
      <x:c r="BH212" t="n">
        <x:f>AX212/AW212-1</x:f>
        <x:v>0.22199999999999975</x:v>
      </x:c>
      <x:c r="BI212" t="n">
        <x:f>AY212/AX212-1</x:f>
        <x:v>0.17399999999999993</x:v>
      </x:c>
      <x:c r="BJ212" t="n">
        <x:f>AZ212/AY212-1</x:f>
        <x:v>0.1259999999999999</x:v>
      </x:c>
      <x:c r="BK212" t="n">
        <x:f>BA212/AZ212-1</x:f>
        <x:v>0.07799999999999985</x:v>
      </x:c>
      <x:c r="BL212" t="n">
        <x:f>BB212/BA212-1</x:f>
        <x:v>0.030000000000000027</x:v>
      </x:c>
      <x:c r="BM212" t="n">
        <x:f>AH212*(1-'Assumptions'!$F$12)*(1+'Assumptions'!$D$12)*(1-'Assumptions'!$D$12/'Assumptions'!$E$12)</x:f>
        <x:v>1150.5133093181687</x:v>
      </x:c>
      <x:c r="BN212" t="n">
        <x:f>SUMPRODUCT(AI212:AR212,'APPF Model'!$B$83:$K$83)+BM212/('Assumptions'!$C$12-'Assumptions'!$D$12)*'APPF Model'!$K$83</x:f>
        <x:v>10121.306509040749</x:v>
      </x:c>
      <x:c r="BO212" t="n">
        <x:f>'APPF Model'!$B$94</x:f>
        <x:v>171.685</x:v>
      </x:c>
      <x:c r="BP212" t="n">
        <x:f>'Inputs'!$E$8</x:f>
        <x:v>36</x:v>
      </x:c>
    </x:row>
    <x:row r="213">
      <x:c r="A213" t="str">
        <x:v>APPF</x:v>
      </x:c>
      <x:c r="B213" s="22" t="n">
        <x:v>0.28</x:v>
      </x:c>
      <x:c r="C213" s="42" t="n">
        <x:f>(BN213+BO213)/BP213</x:f>
        <x:v>300.6093111908103</x:v>
      </x:c>
      <x:c r="D213" s="22" t="n">
        <x:f>C213/'Inputs'!$E$5-1</x:f>
        <x:v>0.40288086238011145</x:v>
      </x:c>
      <x:c r="E213" t="n">
        <x:f>'Inputs'!$E$14*(1+$B213)^1</x:f>
        <x:v>1436.16</x:v>
      </x:c>
      <x:c r="F213" t="n">
        <x:f>'Inputs'!$E$14*(1+$B213)^2</x:f>
        <x:v>1838.2848000000001</x:v>
      </x:c>
      <x:c r="G213" t="n">
        <x:f>'Inputs'!$E$14*(1+$B213)^3</x:f>
        <x:v>2353.0045440000004</x:v>
      </x:c>
      <x:c r="H213" t="n">
        <x:f>'Inputs'!$E$14*(1+$B213)^4</x:f>
        <x:v>3011.8458163200003</x:v>
      </x:c>
      <x:c r="I213" t="n">
        <x:f>'Inputs'!$E$14*(1+$B213)^5</x:f>
        <x:v>3855.1626448896</x:v>
      </x:c>
      <x:c r="J213" t="n">
        <x:f>I213*(1+($BG213+('Assumptions'!$D$12-$BG213)*(6-5)/5))</x:f>
        <x:v>4741.850053214207</x:v>
      </x:c>
      <x:c r="K213" t="n">
        <x:f>J213*(1+($BG213+('Assumptions'!$D$12-$BG213)*(7-5)/5))</x:f>
        <x:v>5595.383062792764</x:v>
      </x:c>
      <x:c r="L213" t="n">
        <x:f>K213*(1+($BG213+('Assumptions'!$D$12-$BG213)*(8-5)/5))</x:f>
        <x:v>6322.782860955823</x:v>
      </x:c>
      <x:c r="M213" t="n">
        <x:f>L213*(1+($BG213+('Assumptions'!$D$12-$BG213)*(9-5)/5))</x:f>
        <x:v>6828.605489832289</x:v>
      </x:c>
      <x:c r="N213" t="n">
        <x:f>M213*(1+($BG213+('Assumptions'!$D$12-$BG213)*(10-5)/5))</x:f>
        <x:v>7033.463654527258</x:v>
      </x:c>
      <x:c r="O213" t="n">
        <x:f>0</x:f>
        <x:v>0</x:v>
      </x:c>
      <x:c r="P213" t="n">
        <x:f>0</x:f>
        <x:v>0</x:v>
      </x:c>
      <x:c r="Q213" t="n">
        <x:f>0</x:f>
        <x:v>0</x:v>
      </x:c>
      <x:c r="R213" t="n">
        <x:f>0</x:f>
        <x:v>0</x:v>
      </x:c>
      <x:c r="S213" t="n">
        <x:f>0</x:f>
        <x:v>0</x:v>
      </x:c>
      <x:c r="T213" t="n">
        <x:f>S213*(1+($BG213+('Assumptions'!$D$12-$BG213)*(6-5)/5))</x:f>
        <x:v>0</x:v>
      </x:c>
      <x:c r="U213" t="n">
        <x:f>T213*(1+($BG213+('Assumptions'!$D$12-$BG213)*(7-5)/5))</x:f>
        <x:v>0</x:v>
      </x:c>
      <x:c r="V213" t="n">
        <x:f>U213*(1+($BG213+('Assumptions'!$D$12-$BG213)*(8-5)/5))</x:f>
        <x:v>0</x:v>
      </x:c>
      <x:c r="W213" t="n">
        <x:f>V213*(1+($BG213+('Assumptions'!$D$12-$BG213)*(9-5)/5))</x:f>
        <x:v>0</x:v>
      </x:c>
      <x:c r="X213" t="n">
        <x:f>W213*(1+($BG213+('Assumptions'!$D$12-$BG213)*(10-5)/5))</x:f>
        <x:v>0</x:v>
      </x:c>
      <x:c r="Y213" t="n">
        <x:f>E213*'APPF Model'!$B$62+O213*'APPF Model'!$B$63+'APPF Model'!$B$73+'APPF Model'!$B$74</x:f>
        <x:v>294.4128</x:v>
      </x:c>
      <x:c r="Z213" t="n">
        <x:f>F213*'APPF Model'!$C$62+P213*'APPF Model'!$C$63+'APPF Model'!$C$73+'APPF Model'!$C$74</x:f>
        <x:v>404.422656</x:v>
      </x:c>
      <x:c r="AA213" t="n">
        <x:f>G213*'APPF Model'!$D$62+Q213*'APPF Model'!$D$63+'APPF Model'!$D$73+'APPF Model'!$D$74</x:f>
        <x:v>541.1910451200001</x:v>
      </x:c>
      <x:c r="AB213" t="n">
        <x:f>H213*'APPF Model'!$E$62+R213*'APPF Model'!$E$63+'APPF Model'!$E$73+'APPF Model'!$E$74</x:f>
        <x:v>722.8429959168001</x:v>
      </x:c>
      <x:c r="AC213" t="n">
        <x:f>I213*'APPF Model'!$F$62+S213*'APPF Model'!$F$63+'APPF Model'!$F$73+'APPF Model'!$F$74</x:f>
        <x:v>944.514847997952</x:v>
      </x:c>
      <x:c r="AD213" t="n">
        <x:f>AX213*$AC213/$AW213</x:f>
        <x:v>1161.7532630374808</x:v>
      </x:c>
      <x:c r="AE213" t="n">
        <x:f>AY213*$AC213/$AW213</x:f>
        <x:v>1370.868850384227</x:v>
      </x:c>
      <x:c r="AF213" t="n">
        <x:f>AZ213*$AC213/$AW213</x:f>
        <x:v>1549.0818009341765</x:v>
      </x:c>
      <x:c r="AG213" t="n">
        <x:f>BA213*$AC213/$AW213</x:f>
        <x:v>1673.0083450089107</x:v>
      </x:c>
      <x:c r="AH213" t="n">
        <x:f>BB213*$AC213/$AW213</x:f>
        <x:v>1723.1985953591782</x:v>
      </x:c>
      <x:c r="AI213" t="n">
        <x:f>Y213*(1-'Assumptions'!$F$12)+AS213*'Assumptions'!$G$12-AS213*'APPF Model'!$B$65-(AS213-'Inputs'!$E$14)*'Assumptions'!$H$12-'Assumptions'!$I$12</x:f>
        <x:v>203.93472</x:v>
      </x:c>
      <x:c r="AJ213" t="n">
        <x:f>Z213*(1-'Assumptions'!$F$12)+AT213*'Assumptions'!$G$12-AT213*'APPF Model'!$C$65-(AT213-AS213)*'Assumptions'!$H$12-0</x:f>
        <x:v>281.71714560000004</x:v>
      </x:c>
      <x:c r="AK213" t="n">
        <x:f>AA213*(1-'Assumptions'!$F$12)+AU213*'Assumptions'!$G$12-AU213*'APPF Model'!$D$65-(AU213-AT213)*'Assumptions'!$H$12-0</x:f>
        <x:v>378.2454804480001</x:v>
      </x:c>
      <x:c r="AL213" t="n">
        <x:f>AB213*(1-'Assumptions'!$F$12)+AV213*'Assumptions'!$G$12-AV213*'APPF Model'!$E$65-(AV213-AU213)*'Assumptions'!$H$12-0</x:f>
        <x:v>506.74305859584007</x:v>
      </x:c>
      <x:c r="AM213" t="n">
        <x:f>AC213*(1-'Assumptions'!$F$12)+AW213*'Assumptions'!$G$12-AW213*'APPF Model'!$F$65-(AW213-AV213)*'Assumptions'!$H$12-0</x:f>
        <x:v>663.0879749210112</x:v>
      </x:c>
      <x:c r="AN213" t="n">
        <x:f>AD213*(1-'Assumptions'!$F$12)+AX213*'Assumptions'!$G$12-AX213*'APPF Model'!$G$65-(AX213-AW213)*'Assumptions'!$H$12-0</x:f>
        <x:v>821.6219007854836</x:v>
      </x:c>
      <x:c r="AO213" t="n">
        <x:f>AE213*(1-'Assumptions'!$F$12)+AY213*'Assumptions'!$G$12-AY213*'APPF Model'!$H$65-(AY213-AX213)*'Assumptions'!$H$12-0</x:f>
        <x:v>977.2241682166499</x:v>
      </x:c>
      <x:c r="AP213" t="n">
        <x:f>AF213*(1-'Assumptions'!$F$12)+AZ213*'Assumptions'!$G$12-AZ213*'APPF Model'!$I$65-(AZ213-AY213)*'Assumptions'!$H$12-0</x:f>
        <x:v>1113.7470101912425</x:v>
      </x:c>
      <x:c r="AQ213" t="n">
        <x:f>AG213*(1-'Assumptions'!$F$12)+BA213*'Assumptions'!$G$12-BA213*'APPF Model'!$J$65-(BA213-AZ213)*'Assumptions'!$H$12-0</x:f>
        <x:v>1214.0375371321275</x:v>
      </x:c>
      <x:c r="AR213" t="n">
        <x:f>AH213*(1-'Assumptions'!$F$12)+BB213*'Assumptions'!$G$12-BB213*'APPF Model'!$K$65-(BB213-BA213)*'Assumptions'!$H$12-0</x:f>
        <x:v>1263.104228968003</x:v>
      </x:c>
      <x:c r="AS213" t="n">
        <x:f>E213+O213</x:f>
        <x:v>1436.16</x:v>
      </x:c>
      <x:c r="AT213" t="n">
        <x:f>F213+P213</x:f>
        <x:v>1838.2848000000001</x:v>
      </x:c>
      <x:c r="AU213" t="n">
        <x:f>G213+Q213</x:f>
        <x:v>2353.0045440000004</x:v>
      </x:c>
      <x:c r="AV213" t="n">
        <x:f>H213+R213</x:f>
        <x:v>3011.8458163200003</x:v>
      </x:c>
      <x:c r="AW213" t="n">
        <x:f>I213+S213</x:f>
        <x:v>3855.1626448896</x:v>
      </x:c>
      <x:c r="AX213" t="n">
        <x:f>J213+T213</x:f>
        <x:v>4741.850053214207</x:v>
      </x:c>
      <x:c r="AY213" t="n">
        <x:f>K213+U213</x:f>
        <x:v>5595.383062792764</x:v>
      </x:c>
      <x:c r="AZ213" t="n">
        <x:f>L213+V213</x:f>
        <x:v>6322.782860955823</x:v>
      </x:c>
      <x:c r="BA213" t="n">
        <x:f>M213+W213</x:f>
        <x:v>6828.605489832289</x:v>
      </x:c>
      <x:c r="BB213" t="n">
        <x:f>N213+X213</x:f>
        <x:v>7033.463654527258</x:v>
      </x:c>
      <x:c r="BC213" t="n">
        <x:f>AS213/'Inputs'!$E$14-1</x:f>
        <x:v>0.28</x:v>
      </x:c>
      <x:c r="BD213" t="n">
        <x:f>AT213/AS213-1</x:f>
        <x:v>0.28</x:v>
      </x:c>
      <x:c r="BE213" t="n">
        <x:f>AU213/AT213-1</x:f>
        <x:v>0.28</x:v>
      </x:c>
      <x:c r="BF213" t="n">
        <x:f>AV213/AU213-1</x:f>
        <x:v>0.28</x:v>
      </x:c>
      <x:c r="BG213" t="n">
        <x:f>AW213/AV213-1</x:f>
        <x:v>0.2799999999999998</x:v>
      </x:c>
      <x:c r="BH213" t="n">
        <x:f>AX213/AW213-1</x:f>
        <x:v>0.22999999999999976</x:v>
      </x:c>
      <x:c r="BI213" t="n">
        <x:f>AY213/AX213-1</x:f>
        <x:v>0.17999999999999994</x:v>
      </x:c>
      <x:c r="BJ213" t="n">
        <x:f>AZ213/AY213-1</x:f>
        <x:v>0.1299999999999999</x:v>
      </x:c>
      <x:c r="BK213" t="n">
        <x:f>BA213/AZ213-1</x:f>
        <x:v>0.08000000000000007</x:v>
      </x:c>
      <x:c r="BL213" t="n">
        <x:f>BB213/BA213-1</x:f>
        <x:v>0.030000000000000027</x:v>
      </x:c>
      <x:c r="BM213" t="n">
        <x:f>AH213*(1-'Assumptions'!$F$12)*(1+'Assumptions'!$D$12)*(1-'Assumptions'!$D$12/'Assumptions'!$E$12)</x:f>
        <x:v>1217.0705507793966</x:v>
      </x:c>
      <x:c r="BN213" t="n">
        <x:f>SUMPRODUCT(AI213:AR213,'APPF Model'!$B$83:$K$83)+BM213/('Assumptions'!$C$12-'Assumptions'!$D$12)*'APPF Model'!$K$83</x:f>
        <x:v>10650.25020286917</x:v>
      </x:c>
      <x:c r="BO213" t="n">
        <x:f>'APPF Model'!$B$94</x:f>
        <x:v>171.685</x:v>
      </x:c>
      <x:c r="BP213" t="n">
        <x:f>'Inputs'!$E$8</x:f>
        <x:v>36</x:v>
      </x:c>
    </x:row>
    <x:row r="214">
      <x:c r="A214" t="str">
        <x:v>APPF</x:v>
      </x:c>
      <x:c r="B214" s="22" t="n">
        <x:v>0.29</x:v>
      </x:c>
      <x:c r="C214" s="42" t="n">
        <x:f>(BN214+BO214)/BP214</x:f>
        <x:v>315.9991727983936</x:v>
      </x:c>
      <x:c r="D214" s="22" t="n">
        <x:f>C214/'Inputs'!$E$5-1</x:f>
        <x:v>0.4747021317826843</x:v>
      </x:c>
      <x:c r="E214" t="n">
        <x:f>'Inputs'!$E$14*(1+$B214)^1</x:f>
        <x:v>1447.38</x:v>
      </x:c>
      <x:c r="F214" t="n">
        <x:f>'Inputs'!$E$14*(1+$B214)^2</x:f>
        <x:v>1867.1202</x:v>
      </x:c>
      <x:c r="G214" t="n">
        <x:f>'Inputs'!$E$14*(1+$B214)^3</x:f>
        <x:v>2408.585058</x:v>
      </x:c>
      <x:c r="H214" t="n">
        <x:f>'Inputs'!$E$14*(1+$B214)^4</x:f>
        <x:v>3107.0747248200005</x:v>
      </x:c>
      <x:c r="I214" t="n">
        <x:f>'Inputs'!$E$14*(1+$B214)^5</x:f>
        <x:v>4008.126395017801</x:v>
      </x:c>
      <x:c r="J214" t="n">
        <x:f>I214*(1+($BG214+('Assumptions'!$D$12-$BG214)*(6-5)/5))</x:f>
        <x:v>4962.060477032038</x:v>
      </x:c>
      <x:c r="K214" t="n">
        <x:f>J214*(1+($BG214+('Assumptions'!$D$12-$BG214)*(7-5)/5))</x:f>
        <x:v>5885.003725759997</x:v>
      </x:c>
      <x:c r="L214" t="n">
        <x:f>K214*(1+($BG214+('Assumptions'!$D$12-$BG214)*(8-5)/5))</x:f>
        <x:v>6673.594225011837</x:v>
      </x:c>
      <x:c r="M214" t="n">
        <x:f>L214*(1+($BG214+('Assumptions'!$D$12-$BG214)*(9-5)/5))</x:f>
        <x:v>7220.828951462808</x:v>
      </x:c>
      <x:c r="N214" t="n">
        <x:f>M214*(1+($BG214+('Assumptions'!$D$12-$BG214)*(10-5)/5))</x:f>
        <x:v>7437.453820006692</x:v>
      </x:c>
      <x:c r="O214" t="n">
        <x:f>0</x:f>
        <x:v>0</x:v>
      </x:c>
      <x:c r="P214" t="n">
        <x:f>0</x:f>
        <x:v>0</x:v>
      </x:c>
      <x:c r="Q214" t="n">
        <x:f>0</x:f>
        <x:v>0</x:v>
      </x:c>
      <x:c r="R214" t="n">
        <x:f>0</x:f>
        <x:v>0</x:v>
      </x:c>
      <x:c r="S214" t="n">
        <x:f>0</x:f>
        <x:v>0</x:v>
      </x:c>
      <x:c r="T214" t="n">
        <x:f>S214*(1+($BG214+('Assumptions'!$D$12-$BG214)*(6-5)/5))</x:f>
        <x:v>0</x:v>
      </x:c>
      <x:c r="U214" t="n">
        <x:f>T214*(1+($BG214+('Assumptions'!$D$12-$BG214)*(7-5)/5))</x:f>
        <x:v>0</x:v>
      </x:c>
      <x:c r="V214" t="n">
        <x:f>U214*(1+($BG214+('Assumptions'!$D$12-$BG214)*(8-5)/5))</x:f>
        <x:v>0</x:v>
      </x:c>
      <x:c r="W214" t="n">
        <x:f>V214*(1+($BG214+('Assumptions'!$D$12-$BG214)*(9-5)/5))</x:f>
        <x:v>0</x:v>
      </x:c>
      <x:c r="X214" t="n">
        <x:f>W214*(1+($BG214+('Assumptions'!$D$12-$BG214)*(10-5)/5))</x:f>
        <x:v>0</x:v>
      </x:c>
      <x:c r="Y214" t="n">
        <x:f>E214*'APPF Model'!$B$62+O214*'APPF Model'!$B$63+'APPF Model'!$B$73+'APPF Model'!$B$74</x:f>
        <x:v>296.7129</x:v>
      </x:c>
      <x:c r="Z214" t="n">
        <x:f>F214*'APPF Model'!$C$62+P214*'APPF Model'!$C$63+'APPF Model'!$C$73+'APPF Model'!$C$74</x:f>
        <x:v>410.76644400000004</x:v>
      </x:c>
      <x:c r="AA214" t="n">
        <x:f>G214*'APPF Model'!$D$62+Q214*'APPF Model'!$D$63+'APPF Model'!$D$73+'APPF Model'!$D$74</x:f>
        <x:v>553.97456334</x:v>
      </x:c>
      <x:c r="AB214" t="n">
        <x:f>H214*'APPF Model'!$E$62+R214*'APPF Model'!$E$63+'APPF Model'!$E$73+'APPF Model'!$E$74</x:f>
        <x:v>745.6979339568001</x:v>
      </x:c>
      <x:c r="AC214" t="n">
        <x:f>I214*'APPF Model'!$F$62+S214*'APPF Model'!$F$63+'APPF Model'!$F$73+'APPF Model'!$F$74</x:f>
        <x:v>981.9909667793612</x:v>
      </x:c>
      <x:c r="AD214" t="n">
        <x:f>AX214*$AC214/$AW214</x:f>
        <x:v>1215.7048168728493</x:v>
      </x:c>
      <x:c r="AE214" t="n">
        <x:f>AY214*$AC214/$AW214</x:f>
        <x:v>1441.8259128111993</x:v>
      </x:c>
      <x:c r="AF214" t="n">
        <x:f>AZ214*$AC214/$AW214</x:f>
        <x:v>1635.0305851279002</x:v>
      </x:c>
      <x:c r="AG214" t="n">
        <x:f>BA214*$AC214/$AW214</x:f>
        <x:v>1769.1030931083878</x:v>
      </x:c>
      <x:c r="AH214" t="n">
        <x:f>BB214*$AC214/$AW214</x:f>
        <x:v>1822.1761859016394</x:v>
      </x:c>
      <x:c r="AI214" t="n">
        <x:f>Y214*(1-'Assumptions'!$F$12)+AS214*'Assumptions'!$G$12-AS214*'APPF Model'!$B$65-(AS214-'Inputs'!$E$14)*'Assumptions'!$H$12-'Assumptions'!$I$12</x:f>
        <x:v>205.177335</x:v>
      </x:c>
      <x:c r="AJ214" t="n">
        <x:f>Z214*(1-'Assumptions'!$F$12)+AT214*'Assumptions'!$G$12-AT214*'APPF Model'!$C$65-(AT214-AS214)*'Assumptions'!$H$12-0</x:f>
        <x:v>285.68386440000006</x:v>
      </x:c>
      <x:c r="AK214" t="n">
        <x:f>AA214*(1-'Assumptions'!$F$12)+AU214*'Assumptions'!$G$12-AU214*'APPF Model'!$D$65-(AU214-AT214)*'Assumptions'!$H$12-0</x:f>
        <x:v>386.59657301100003</x:v>
      </x:c>
      <x:c r="AL214" t="n">
        <x:f>AB214*(1-'Assumptions'!$F$12)+AV214*'Assumptions'!$G$12-AV214*'APPF Model'!$E$65-(AV214-AU214)*'Assumptions'!$H$12-0</x:f>
        <x:v>522.01263962034</x:v>
      </x:c>
      <x:c r="AM214" t="n">
        <x:f>AC214*(1-'Assumptions'!$F$12)+AW214*'Assumptions'!$G$12-AW214*'APPF Model'!$F$65-(AW214-AV214)*'Assumptions'!$H$12-0</x:f>
        <x:v>688.4267790915554</x:v>
      </x:c>
      <x:c r="AN214" t="n">
        <x:f>AD214*(1-'Assumptions'!$F$12)+AX214*'Assumptions'!$G$12-AX214*'APPF Model'!$G$65-(AX214-AW214)*'Assumptions'!$H$12-0</x:f>
        <x:v>858.7350679429713</x:v>
      </x:c>
      <x:c r="AO214" t="n">
        <x:f>AE214*(1-'Assumptions'!$F$12)+AY214*'Assumptions'!$G$12-AY214*'APPF Model'!$H$65-(AY214-AX214)*'Assumptions'!$H$12-0</x:f>
        <x:v>1026.796693482001</x:v>
      </x:c>
      <x:c r="AP214" t="n">
        <x:f>AF214*(1-'Assumptions'!$F$12)+AZ214*'Assumptions'!$G$12-AZ214*'APPF Model'!$I$65-(AZ214-AY214)*'Assumptions'!$H$12-0</x:f>
        <x:v>1174.7085362008158</x:v>
      </x:c>
      <x:c r="AQ214" t="n">
        <x:f>AG214*(1-'Assumptions'!$F$12)+BA214*'Assumptions'!$G$12-BA214*'APPF Model'!$J$65-(BA214-AZ214)*'Assumptions'!$H$12-0</x:f>
        <x:v>1283.2754439188636</x:v>
      </x:c>
      <x:c r="AR214" t="n">
        <x:f>AH214*(1-'Assumptions'!$F$12)+BB214*'Assumptions'!$G$12-BB214*'APPF Model'!$K$65-(BB214-BA214)*'Assumptions'!$H$12-0</x:f>
        <x:v>1335.6547832244541</x:v>
      </x:c>
      <x:c r="AS214" t="n">
        <x:f>E214+O214</x:f>
        <x:v>1447.38</x:v>
      </x:c>
      <x:c r="AT214" t="n">
        <x:f>F214+P214</x:f>
        <x:v>1867.1202</x:v>
      </x:c>
      <x:c r="AU214" t="n">
        <x:f>G214+Q214</x:f>
        <x:v>2408.585058</x:v>
      </x:c>
      <x:c r="AV214" t="n">
        <x:f>H214+R214</x:f>
        <x:v>3107.0747248200005</x:v>
      </x:c>
      <x:c r="AW214" t="n">
        <x:f>I214+S214</x:f>
        <x:v>4008.126395017801</x:v>
      </x:c>
      <x:c r="AX214" t="n">
        <x:f>J214+T214</x:f>
        <x:v>4962.060477032038</x:v>
      </x:c>
      <x:c r="AY214" t="n">
        <x:f>K214+U214</x:f>
        <x:v>5885.003725759997</x:v>
      </x:c>
      <x:c r="AZ214" t="n">
        <x:f>L214+V214</x:f>
        <x:v>6673.594225011837</x:v>
      </x:c>
      <x:c r="BA214" t="n">
        <x:f>M214+W214</x:f>
        <x:v>7220.828951462808</x:v>
      </x:c>
      <x:c r="BB214" t="n">
        <x:f>N214+X214</x:f>
        <x:v>7437.453820006692</x:v>
      </x:c>
      <x:c r="BC214" t="n">
        <x:f>AS214/'Inputs'!$E$14-1</x:f>
        <x:v>0.29000000000000004</x:v>
      </x:c>
      <x:c r="BD214" t="n">
        <x:f>AT214/AS214-1</x:f>
        <x:v>0.29000000000000004</x:v>
      </x:c>
      <x:c r="BE214" t="n">
        <x:f>AU214/AT214-1</x:f>
        <x:v>0.29000000000000004</x:v>
      </x:c>
      <x:c r="BF214" t="n">
        <x:f>AV214/AU214-1</x:f>
        <x:v>0.29000000000000004</x:v>
      </x:c>
      <x:c r="BG214" t="n">
        <x:f>AW214/AV214-1</x:f>
        <x:v>0.29000000000000004</x:v>
      </x:c>
      <x:c r="BH214" t="n">
        <x:f>AX214/AW214-1</x:f>
        <x:v>0.238</x:v>
      </x:c>
      <x:c r="BI214" t="n">
        <x:f>AY214/AX214-1</x:f>
        <x:v>0.18599999999999994</x:v>
      </x:c>
      <x:c r="BJ214" t="n">
        <x:f>AZ214/AY214-1</x:f>
        <x:v>0.13400000000000012</x:v>
      </x:c>
      <x:c r="BK214" t="n">
        <x:f>BA214/AZ214-1</x:f>
        <x:v>0.08200000000000007</x:v>
      </x:c>
      <x:c r="BL214" t="n">
        <x:f>BB214/BA214-1</x:f>
        <x:v>0.030000000000000027</x:v>
      </x:c>
      <x:c r="BM214" t="n">
        <x:f>AH214*(1-'Assumptions'!$F$12)*(1+'Assumptions'!$D$12)*(1-'Assumptions'!$D$12/'Assumptions'!$E$12)</x:f>
        <x:v>1286.977009013958</x:v>
      </x:c>
      <x:c r="BN214" t="n">
        <x:f>SUMPRODUCT(AI214:AR214,'APPF Model'!$B$83:$K$83)+BM214/('Assumptions'!$C$12-'Assumptions'!$D$12)*'APPF Model'!$K$83</x:f>
        <x:v>11204.285220742171</x:v>
      </x:c>
      <x:c r="BO214" t="n">
        <x:f>'APPF Model'!$B$94</x:f>
        <x:v>171.685</x:v>
      </x:c>
      <x:c r="BP214" t="n">
        <x:f>'Inputs'!$E$8</x:f>
        <x:v>36</x:v>
      </x:c>
    </x:row>
    <x:row r="215">
      <x:c r="A215" t="str">
        <x:v>APPF</x:v>
      </x:c>
      <x:c r="B215" s="22" t="n">
        <x:v>0.3</x:v>
      </x:c>
      <x:c r="C215" s="42" t="n">
        <x:f>(BN215+BO215)/BP215</x:f>
        <x:v>332.11480369368905</x:v>
      </x:c>
      <x:c r="D215" s="22" t="n">
        <x:f>C215/'Inputs'!$E$5-1</x:f>
        <x:v>0.5499104148482783</x:v>
      </x:c>
      <x:c r="E215" t="n">
        <x:f>'Inputs'!$E$14*(1+$B215)^1</x:f>
        <x:v>1458.6000000000001</x:v>
      </x:c>
      <x:c r="F215" t="n">
        <x:f>'Inputs'!$E$14*(1+$B215)^2</x:f>
        <x:v>1896.1800000000003</x:v>
      </x:c>
      <x:c r="G215" t="n">
        <x:f>'Inputs'!$E$14*(1+$B215)^3</x:f>
        <x:v>2465.0340000000006</x:v>
      </x:c>
      <x:c r="H215" t="n">
        <x:f>'Inputs'!$E$14*(1+$B215)^4</x:f>
        <x:v>3204.5442000000007</x:v>
      </x:c>
      <x:c r="I215" t="n">
        <x:f>'Inputs'!$E$14*(1+$B215)^5</x:f>
        <x:v>4165.907460000001</x:v>
      </x:c>
      <x:c r="J215" t="n">
        <x:f>I215*(1+($BG215+('Assumptions'!$D$12-$BG215)*(6-5)/5))</x:f>
        <x:v>5190.720695160002</x:v>
      </x:c>
      <x:c r="K215" t="n">
        <x:f>J215*(1+($BG215+('Assumptions'!$D$12-$BG215)*(7-5)/5))</x:f>
        <x:v>6187.339068630722</x:v>
      </x:c>
      <x:c r="L215" t="n">
        <x:f>K215*(1+($BG215+('Assumptions'!$D$12-$BG215)*(8-5)/5))</x:f>
        <x:v>7041.191860101762</x:v>
      </x:c>
      <x:c r="M215" t="n">
        <x:f>L215*(1+($BG215+('Assumptions'!$D$12-$BG215)*(9-5)/5))</x:f>
        <x:v>7632.651976350311</x:v>
      </x:c>
      <x:c r="N215" t="n">
        <x:f>M215*(1+($BG215+('Assumptions'!$D$12-$BG215)*(10-5)/5))</x:f>
        <x:v>7861.63153564082</x:v>
      </x:c>
      <x:c r="O215" t="n">
        <x:f>0</x:f>
        <x:v>0</x:v>
      </x:c>
      <x:c r="P215" t="n">
        <x:f>0</x:f>
        <x:v>0</x:v>
      </x:c>
      <x:c r="Q215" t="n">
        <x:f>0</x:f>
        <x:v>0</x:v>
      </x:c>
      <x:c r="R215" t="n">
        <x:f>0</x:f>
        <x:v>0</x:v>
      </x:c>
      <x:c r="S215" t="n">
        <x:f>0</x:f>
        <x:v>0</x:v>
      </x:c>
      <x:c r="T215" t="n">
        <x:f>S215*(1+($BG215+('Assumptions'!$D$12-$BG215)*(6-5)/5))</x:f>
        <x:v>0</x:v>
      </x:c>
      <x:c r="U215" t="n">
        <x:f>T215*(1+($BG215+('Assumptions'!$D$12-$BG215)*(7-5)/5))</x:f>
        <x:v>0</x:v>
      </x:c>
      <x:c r="V215" t="n">
        <x:f>U215*(1+($BG215+('Assumptions'!$D$12-$BG215)*(8-5)/5))</x:f>
        <x:v>0</x:v>
      </x:c>
      <x:c r="W215" t="n">
        <x:f>V215*(1+($BG215+('Assumptions'!$D$12-$BG215)*(9-5)/5))</x:f>
        <x:v>0</x:v>
      </x:c>
      <x:c r="X215" t="n">
        <x:f>W215*(1+($BG215+('Assumptions'!$D$12-$BG215)*(10-5)/5))</x:f>
        <x:v>0</x:v>
      </x:c>
      <x:c r="Y215" t="n">
        <x:f>E215*'APPF Model'!$B$62+O215*'APPF Model'!$B$63+'APPF Model'!$B$73+'APPF Model'!$B$74</x:f>
        <x:v>299.01300000000003</x:v>
      </x:c>
      <x:c r="Z215" t="n">
        <x:f>F215*'APPF Model'!$C$62+P215*'APPF Model'!$C$63+'APPF Model'!$C$73+'APPF Model'!$C$74</x:f>
        <x:v>417.15960000000007</x:v>
      </x:c>
      <x:c r="AA215" t="n">
        <x:f>G215*'APPF Model'!$D$62+Q215*'APPF Model'!$D$63+'APPF Model'!$D$73+'APPF Model'!$D$74</x:f>
        <x:v>566.9578200000002</x:v>
      </x:c>
      <x:c r="AB215" t="n">
        <x:f>H215*'APPF Model'!$E$62+R215*'APPF Model'!$E$63+'APPF Model'!$E$73+'APPF Model'!$E$74</x:f>
        <x:v>769.0906080000002</x:v>
      </x:c>
      <x:c r="AC215" t="n">
        <x:f>I215*'APPF Model'!$F$62+S215*'APPF Model'!$F$63+'APPF Model'!$F$73+'APPF Model'!$F$74</x:f>
        <x:v>1020.6473277000003</x:v>
      </x:c>
      <x:c r="AD215" t="n">
        <x:f>AX215*$AC215/$AW215</x:f>
        <x:v>1271.7265703142007</x:v>
      </x:c>
      <x:c r="AE215" t="n">
        <x:f>AY215*$AC215/$AW215</x:f>
        <x:v>1515.8980718145272</x:v>
      </x:c>
      <x:c r="AF215" t="n">
        <x:f>AZ215*$AC215/$AW215</x:f>
        <x:v>1725.0920057249318</x:v>
      </x:c>
      <x:c r="AG215" t="n">
        <x:f>BA215*$AC215/$AW215</x:f>
        <x:v>1869.9997342058261</x:v>
      </x:c>
      <x:c r="AH215" t="n">
        <x:f>BB215*$AC215/$AW215</x:f>
        <x:v>1926.099726232001</x:v>
      </x:c>
      <x:c r="AI215" t="n">
        <x:f>Y215*(1-'Assumptions'!$F$12)+AS215*'Assumptions'!$G$12-AS215*'APPF Model'!$B$65-(AS215-'Inputs'!$E$14)*'Assumptions'!$H$12-'Assumptions'!$I$12</x:f>
        <x:v>206.41995000000003</x:v>
      </x:c>
      <x:c r="AJ215" t="n">
        <x:f>Z215*(1-'Assumptions'!$F$12)+AT215*'Assumptions'!$G$12-AT215*'APPF Model'!$C$65-(AT215-AS215)*'Assumptions'!$H$12-0</x:f>
        <x:v>289.6779600000001</x:v>
      </x:c>
      <x:c r="AK215" t="n">
        <x:f>AA215*(1-'Assumptions'!$F$12)+AU215*'Assumptions'!$G$12-AU215*'APPF Model'!$D$65-(AU215-AT215)*'Assumptions'!$H$12-0</x:f>
        <x:v>395.0691030000002</x:v>
      </x:c>
      <x:c r="AL215" t="n">
        <x:f>AB215*(1-'Assumptions'!$F$12)+AV215*'Assumptions'!$G$12-AV215*'APPF Model'!$E$65-(AV215-AU215)*'Assumptions'!$H$12-0</x:f>
        <x:v>537.6239154000001</x:v>
      </x:c>
      <x:c r="AM215" t="n">
        <x:f>AC215*(1-'Assumptions'!$F$12)+AW215*'Assumptions'!$G$12-AW215*'APPF Model'!$F$65-(AW215-AV215)*'Assumptions'!$H$12-0</x:f>
        <x:v>714.5332429950001</x:v>
      </x:c>
      <x:c r="AN215" t="n">
        <x:f>AD215*(1-'Assumptions'!$F$12)+AX215*'Assumptions'!$G$12-AX215*'APPF Model'!$G$65-(AX215-AW215)*'Assumptions'!$H$12-0</x:f>
        <x:v>897.2302362437706</x:v>
      </x:c>
      <x:c r="AO215" t="n">
        <x:f>AE215*(1-'Assumptions'!$F$12)+AY215*'Assumptions'!$G$12-AY215*'APPF Model'!$H$65-(AY215-AX215)*'Assumptions'!$H$12-0</x:f>
        <x:v>1078.4968017161746</x:v>
      </x:c>
      <x:c r="AP215" t="n">
        <x:f>AF215*(1-'Assumptions'!$F$12)+AZ215*'Assumptions'!$G$12-AZ215*'APPF Model'!$I$65-(AZ215-AY215)*'Assumptions'!$H$12-0</x:f>
        <x:v>1238.5413170545519</x:v>
      </x:c>
      <x:c r="AQ215" t="n">
        <x:f>AG215*(1-'Assumptions'!$F$12)+BA215*'Assumptions'!$G$12-BA215*'APPF Model'!$J$65-(BA215-AZ215)*'Assumptions'!$H$12-0</x:f>
        <x:v>1355.9434400753767</x:v>
      </x:c>
      <x:c r="AR215" t="n">
        <x:f>AH215*(1-'Assumptions'!$F$12)+BB215*'Assumptions'!$G$12-BB215*'APPF Model'!$K$65-(BB215-BA215)*'Assumptions'!$H$12-0</x:f>
        <x:v>1411.8307176954581</x:v>
      </x:c>
      <x:c r="AS215" t="n">
        <x:f>E215+O215</x:f>
        <x:v>1458.6000000000001</x:v>
      </x:c>
      <x:c r="AT215" t="n">
        <x:f>F215+P215</x:f>
        <x:v>1896.1800000000003</x:v>
      </x:c>
      <x:c r="AU215" t="n">
        <x:f>G215+Q215</x:f>
        <x:v>2465.0340000000006</x:v>
      </x:c>
      <x:c r="AV215" t="n">
        <x:f>H215+R215</x:f>
        <x:v>3204.5442000000007</x:v>
      </x:c>
      <x:c r="AW215" t="n">
        <x:f>I215+S215</x:f>
        <x:v>4165.907460000001</x:v>
      </x:c>
      <x:c r="AX215" t="n">
        <x:f>J215+T215</x:f>
        <x:v>5190.720695160002</x:v>
      </x:c>
      <x:c r="AY215" t="n">
        <x:f>K215+U215</x:f>
        <x:v>6187.339068630722</x:v>
      </x:c>
      <x:c r="AZ215" t="n">
        <x:f>L215+V215</x:f>
        <x:v>7041.191860101762</x:v>
      </x:c>
      <x:c r="BA215" t="n">
        <x:f>M215+W215</x:f>
        <x:v>7632.651976350311</x:v>
      </x:c>
      <x:c r="BB215" t="n">
        <x:f>N215+X215</x:f>
        <x:v>7861.63153564082</x:v>
      </x:c>
      <x:c r="BC215" t="n">
        <x:f>AS215/'Inputs'!$E$14-1</x:f>
        <x:v>0.30000000000000004</x:v>
      </x:c>
      <x:c r="BD215" t="n">
        <x:f>AT215/AS215-1</x:f>
        <x:v>0.30000000000000004</x:v>
      </x:c>
      <x:c r="BE215" t="n">
        <x:f>AU215/AT215-1</x:f>
        <x:v>0.30000000000000004</x:v>
      </x:c>
      <x:c r="BF215" t="n">
        <x:f>AV215/AU215-1</x:f>
        <x:v>0.30000000000000004</x:v>
      </x:c>
      <x:c r="BG215" t="n">
        <x:f>AW215/AV215-1</x:f>
        <x:v>0.30000000000000004</x:v>
      </x:c>
      <x:c r="BH215" t="n">
        <x:f>AX215/AW215-1</x:f>
        <x:v>0.246</x:v>
      </x:c>
      <x:c r="BI215" t="n">
        <x:f>AY215/AX215-1</x:f>
        <x:v>0.19199999999999995</x:v>
      </x:c>
      <x:c r="BJ215" t="n">
        <x:f>AZ215/AY215-1</x:f>
        <x:v>0.13800000000000012</x:v>
      </x:c>
      <x:c r="BK215" t="n">
        <x:f>BA215/AZ215-1</x:f>
        <x:v>0.08400000000000007</x:v>
      </x:c>
      <x:c r="BL215" t="n">
        <x:f>BB215/BA215-1</x:f>
        <x:v>0.030000000000000027</x:v>
      </x:c>
      <x:c r="BM215" t="n">
        <x:f>AH215*(1-'Assumptions'!$F$12)*(1+'Assumptions'!$D$12)*(1-'Assumptions'!$D$12/'Assumptions'!$E$12)</x:f>
        <x:v>1360.3767209272876</x:v>
      </x:c>
      <x:c r="BN215" t="n">
        <x:f>SUMPRODUCT(AI215:AR215,'APPF Model'!$B$83:$K$83)+BM215/('Assumptions'!$C$12-'Assumptions'!$D$12)*'APPF Model'!$K$83</x:f>
        <x:v>11784.447932972806</x:v>
      </x:c>
      <x:c r="BO215" t="n">
        <x:f>'APPF Model'!$B$94</x:f>
        <x:v>171.685</x:v>
      </x:c>
      <x:c r="BP215" t="n">
        <x:f>'Inputs'!$E$8</x:f>
        <x:v>36</x:v>
      </x:c>
    </x:row>
    <x:row r="216">
      <x:c r="A216" t="str">
        <x:v>APPF</x:v>
      </x:c>
      <x:c r="B216" s="22" t="n">
        <x:v>0.31</x:v>
      </x:c>
      <x:c r="C216" s="42" t="n">
        <x:f>(BN216+BO216)/BP216</x:f>
        <x:v>348.9859940747824</x:v>
      </x:c>
      <x:c r="D216" s="22" t="n">
        <x:f>C216/'Inputs'!$E$5-1</x:f>
        <x:v>0.6286447362086167</x:v>
      </x:c>
      <x:c r="E216" t="n">
        <x:f>'Inputs'!$E$14*(1+$B216)^1</x:f>
        <x:v>1469.8200000000002</x:v>
      </x:c>
      <x:c r="F216" t="n">
        <x:f>'Inputs'!$E$14*(1+$B216)^2</x:f>
        <x:v>1925.4642000000001</x:v>
      </x:c>
      <x:c r="G216" t="n">
        <x:f>'Inputs'!$E$14*(1+$B216)^3</x:f>
        <x:v>2522.3581020000006</x:v>
      </x:c>
      <x:c r="H216" t="n">
        <x:f>'Inputs'!$E$14*(1+$B216)^4</x:f>
        <x:v>3304.2891136200005</x:v>
      </x:c>
      <x:c r="I216" t="n">
        <x:f>'Inputs'!$E$14*(1+$B216)^5</x:f>
        <x:v>4328.618738842201</x:v>
      </x:c>
      <x:c r="J216" t="n">
        <x:f>I216*(1+($BG216+('Assumptions'!$D$12-$BG216)*(6-5)/5))</x:f>
        <x:v>5428.087898508122</x:v>
      </x:c>
      <x:c r="K216" t="n">
        <x:f>J216*(1+($BG216+('Assumptions'!$D$12-$BG216)*(7-5)/5))</x:f>
        <x:v>6502.849302412731</x:v>
      </x:c>
      <x:c r="L216" t="n">
        <x:f>K216*(1+($BG216+('Assumptions'!$D$12-$BG216)*(8-5)/5))</x:f>
        <x:v>7426.253903355339</x:v>
      </x:c>
      <x:c r="M216" t="n">
        <x:f>L216*(1+($BG216+('Assumptions'!$D$12-$BG216)*(9-5)/5))</x:f>
        <x:v>8064.911739043899</x:v>
      </x:c>
      <x:c r="N216" t="n">
        <x:f>M216*(1+($BG216+('Assumptions'!$D$12-$BG216)*(10-5)/5))</x:f>
        <x:v>8306.859091215216</x:v>
      </x:c>
      <x:c r="O216" t="n">
        <x:f>0</x:f>
        <x:v>0</x:v>
      </x:c>
      <x:c r="P216" t="n">
        <x:f>0</x:f>
        <x:v>0</x:v>
      </x:c>
      <x:c r="Q216" t="n">
        <x:f>0</x:f>
        <x:v>0</x:v>
      </x:c>
      <x:c r="R216" t="n">
        <x:f>0</x:f>
        <x:v>0</x:v>
      </x:c>
      <x:c r="S216" t="n">
        <x:f>0</x:f>
        <x:v>0</x:v>
      </x:c>
      <x:c r="T216" t="n">
        <x:f>S216*(1+($BG216+('Assumptions'!$D$12-$BG216)*(6-5)/5))</x:f>
        <x:v>0</x:v>
      </x:c>
      <x:c r="U216" t="n">
        <x:f>T216*(1+($BG216+('Assumptions'!$D$12-$BG216)*(7-5)/5))</x:f>
        <x:v>0</x:v>
      </x:c>
      <x:c r="V216" t="n">
        <x:f>U216*(1+($BG216+('Assumptions'!$D$12-$BG216)*(8-5)/5))</x:f>
        <x:v>0</x:v>
      </x:c>
      <x:c r="W216" t="n">
        <x:f>V216*(1+($BG216+('Assumptions'!$D$12-$BG216)*(9-5)/5))</x:f>
        <x:v>0</x:v>
      </x:c>
      <x:c r="X216" t="n">
        <x:f>W216*(1+($BG216+('Assumptions'!$D$12-$BG216)*(10-5)/5))</x:f>
        <x:v>0</x:v>
      </x:c>
      <x:c r="Y216" t="n">
        <x:f>E216*'APPF Model'!$B$62+O216*'APPF Model'!$B$63+'APPF Model'!$B$73+'APPF Model'!$B$74</x:f>
        <x:v>301.3131</x:v>
      </x:c>
      <x:c r="Z216" t="n">
        <x:f>F216*'APPF Model'!$C$62+P216*'APPF Model'!$C$63+'APPF Model'!$C$73+'APPF Model'!$C$74</x:f>
        <x:v>423.602124</x:v>
      </x:c>
      <x:c r="AA216" t="n">
        <x:f>G216*'APPF Model'!$D$62+Q216*'APPF Model'!$D$63+'APPF Model'!$D$73+'APPF Model'!$D$74</x:f>
        <x:v>580.1423634600002</x:v>
      </x:c>
      <x:c r="AB216" t="n">
        <x:f>H216*'APPF Model'!$E$62+R216*'APPF Model'!$E$63+'APPF Model'!$E$73+'APPF Model'!$E$74</x:f>
        <x:v>793.0293872688001</x:v>
      </x:c>
      <x:c r="AC216" t="n">
        <x:f>I216*'APPF Model'!$F$62+S216*'APPF Model'!$F$63+'APPF Model'!$F$73+'APPF Model'!$F$74</x:f>
        <x:v>1060.5115910163393</x:v>
      </x:c>
      <x:c r="AD216" t="n">
        <x:f>AX216*$AC216/$AW216</x:f>
        <x:v>1329.8815351344897</x:v>
      </x:c>
      <x:c r="AE216" t="n">
        <x:f>AY216*$AC216/$AW216</x:f>
        <x:v>1593.198079091119</x:v>
      </x:c>
      <x:c r="AF216" t="n">
        <x:f>AZ216*$AC216/$AW216</x:f>
        <x:v>1819.4322063220582</x:v>
      </x:c>
      <x:c r="AG216" t="n">
        <x:f>BA216*$AC216/$AW216</x:f>
        <x:v>1975.903376065755</x:v>
      </x:c>
      <x:c r="AH216" t="n">
        <x:f>BB216*$AC216/$AW216</x:f>
        <x:v>2035.1804773477277</x:v>
      </x:c>
      <x:c r="AI216" t="n">
        <x:f>Y216*(1-'Assumptions'!$F$12)+AS216*'Assumptions'!$G$12-AS216*'APPF Model'!$B$65-(AS216-'Inputs'!$E$14)*'Assumptions'!$H$12-'Assumptions'!$I$12</x:f>
        <x:v>207.662565</x:v>
      </x:c>
      <x:c r="AJ216" t="n">
        <x:f>Z216*(1-'Assumptions'!$F$12)+AT216*'Assumptions'!$G$12-AT216*'APPF Model'!$C$65-(AT216-AS216)*'Assumptions'!$H$12-0</x:f>
        <x:v>293.6994324</x:v>
      </x:c>
      <x:c r="AK216" t="n">
        <x:f>AA216*(1-'Assumptions'!$F$12)+AU216*'Assumptions'!$G$12-AU216*'APPF Model'!$D$65-(AU216-AT216)*'Assumptions'!$H$12-0</x:f>
        <x:v>403.6639422090001</x:v>
      </x:c>
      <x:c r="AL216" t="n">
        <x:f>AB216*(1-'Assumptions'!$F$12)+AV216*'Assumptions'!$G$12-AV216*'APPF Model'!$E$65-(AV216-AU216)*'Assumptions'!$H$12-0</x:f>
        <x:v>553.5819326459401</x:v>
      </x:c>
      <x:c r="AM216" t="n">
        <x:f>AC216*(1-'Assumptions'!$F$12)+AW216*'Assumptions'!$G$12-AW216*'APPF Model'!$F$65-(AW216-AV216)*'Assumptions'!$H$12-0</x:f>
        <x:v>741.4246520368398</x:v>
      </x:c>
      <x:c r="AN216" t="n">
        <x:f>AD216*(1-'Assumptions'!$F$12)+AX216*'Assumptions'!$G$12-AX216*'APPF Model'!$G$65-(AX216-AW216)*'Assumptions'!$H$12-0</x:f>
        <x:v>937.148121268706</x:v>
      </x:c>
      <x:c r="AO216" t="n">
        <x:f>AE216*(1-'Assumptions'!$F$12)+AY216*'Assumptions'!$G$12-AY216*'APPF Model'!$H$65-(AY216-AX216)*'Assumptions'!$H$12-0</x:f>
        <x:v>1132.3995552549168</x:v>
      </x:c>
      <x:c r="AP216" t="n">
        <x:f>AF216*(1-'Assumptions'!$F$12)+AZ216*'Assumptions'!$G$12-AZ216*'APPF Model'!$I$65-(AZ216-AY216)*'Assumptions'!$H$12-0</x:f>
        <x:v>1305.3592089937733</x:v>
      </x:c>
      <x:c r="AQ216" t="n">
        <x:f>AG216*(1-'Assumptions'!$F$12)+BA216*'Assumptions'!$G$12-BA216*'APPF Model'!$J$65-(BA216-AZ216)*'Assumptions'!$H$12-0</x:f>
        <x:v>1432.1864834046423</x:v>
      </x:c>
      <x:c r="AR216" t="n">
        <x:f>AH216*(1-'Assumptions'!$F$12)+BB216*'Assumptions'!$G$12-BB216*'APPF Model'!$K$65-(BB216-BA216)*'Assumptions'!$H$12-0</x:f>
        <x:v>1491.7868866502977</x:v>
      </x:c>
      <x:c r="AS216" t="n">
        <x:f>E216+O216</x:f>
        <x:v>1469.8200000000002</x:v>
      </x:c>
      <x:c r="AT216" t="n">
        <x:f>F216+P216</x:f>
        <x:v>1925.4642000000001</x:v>
      </x:c>
      <x:c r="AU216" t="n">
        <x:f>G216+Q216</x:f>
        <x:v>2522.3581020000006</x:v>
      </x:c>
      <x:c r="AV216" t="n">
        <x:f>H216+R216</x:f>
        <x:v>3304.2891136200005</x:v>
      </x:c>
      <x:c r="AW216" t="n">
        <x:f>I216+S216</x:f>
        <x:v>4328.618738842201</x:v>
      </x:c>
      <x:c r="AX216" t="n">
        <x:f>J216+T216</x:f>
        <x:v>5428.087898508122</x:v>
      </x:c>
      <x:c r="AY216" t="n">
        <x:f>K216+U216</x:f>
        <x:v>6502.849302412731</x:v>
      </x:c>
      <x:c r="AZ216" t="n">
        <x:f>L216+V216</x:f>
        <x:v>7426.253903355339</x:v>
      </x:c>
      <x:c r="BA216" t="n">
        <x:f>M216+W216</x:f>
        <x:v>8064.911739043899</x:v>
      </x:c>
      <x:c r="BB216" t="n">
        <x:f>N216+X216</x:f>
        <x:v>8306.859091215216</x:v>
      </x:c>
      <x:c r="BC216" t="n">
        <x:f>AS216/'Inputs'!$E$14-1</x:f>
        <x:v>0.31000000000000005</x:v>
      </x:c>
      <x:c r="BD216" t="n">
        <x:f>AT216/AS216-1</x:f>
        <x:v>0.30999999999999983</x:v>
      </x:c>
      <x:c r="BE216" t="n">
        <x:f>AU216/AT216-1</x:f>
        <x:v>0.3100000000000003</x:v>
      </x:c>
      <x:c r="BF216" t="n">
        <x:f>AV216/AU216-1</x:f>
        <x:v>0.30999999999999983</x:v>
      </x:c>
      <x:c r="BG216" t="n">
        <x:f>AW216/AV216-1</x:f>
        <x:v>0.3100000000000003</x:v>
      </x:c>
      <x:c r="BH216" t="n">
        <x:f>AX216/AW216-1</x:f>
        <x:v>0.2540000000000002</x:v>
      </x:c>
      <x:c r="BI216" t="n">
        <x:f>AY216/AX216-1</x:f>
        <x:v>0.19800000000000018</x:v>
      </x:c>
      <x:c r="BJ216" t="n">
        <x:f>AZ216/AY216-1</x:f>
        <x:v>0.14200000000000013</x:v>
      </x:c>
      <x:c r="BK216" t="n">
        <x:f>BA216/AZ216-1</x:f>
        <x:v>0.08600000000000008</x:v>
      </x:c>
      <x:c r="BL216" t="n">
        <x:f>BB216/BA216-1</x:f>
        <x:v>0.030000000000000027</x:v>
      </x:c>
      <x:c r="BM216" t="n">
        <x:f>AH216*(1-'Assumptions'!$F$12)*(1+'Assumptions'!$D$12)*(1-'Assumptions'!$D$12/'Assumptions'!$E$12)</x:f>
        <x:v>1437.4188971438807</x:v>
      </x:c>
      <x:c r="BN216" t="n">
        <x:f>SUMPRODUCT(AI216:AR216,'APPF Model'!$B$83:$K$83)+BM216/('Assumptions'!$C$12-'Assumptions'!$D$12)*'APPF Model'!$K$83</x:f>
        <x:v>12391.810786692167</x:v>
      </x:c>
      <x:c r="BO216" t="n">
        <x:f>'APPF Model'!$B$94</x:f>
        <x:v>171.685</x:v>
      </x:c>
      <x:c r="BP216" t="n">
        <x:f>'Inputs'!$E$8</x:f>
        <x:v>36</x:v>
      </x:c>
    </x:row>
    <x:row r="217">
      <x:c r="A217" t="str">
        <x:v>APPF</x:v>
      </x:c>
      <x:c r="B217" s="22" t="n">
        <x:v>0.32</x:v>
      </x:c>
      <x:c r="C217" s="42" t="n">
        <x:f>(BN217+BO217)/BP217</x:f>
        <x:v>366.6435646600002</x:v>
      </x:c>
      <x:c r="D217" s="22" t="n">
        <x:f>C217/'Inputs'!$E$5-1</x:f>
        <x:v>0.7110489297181268</x:v>
      </x:c>
      <x:c r="E217" t="n">
        <x:f>'Inputs'!$E$14*(1+$B217)^1</x:f>
        <x:v>1481.04</x:v>
      </x:c>
      <x:c r="F217" t="n">
        <x:f>'Inputs'!$E$14*(1+$B217)^2</x:f>
        <x:v>1954.9728000000002</x:v>
      </x:c>
      <x:c r="G217" t="n">
        <x:f>'Inputs'!$E$14*(1+$B217)^3</x:f>
        <x:v>2580.564096</x:v>
      </x:c>
      <x:c r="H217" t="n">
        <x:f>'Inputs'!$E$14*(1+$B217)^4</x:f>
        <x:v>3406.3446067200007</x:v>
      </x:c>
      <x:c r="I217" t="n">
        <x:f>'Inputs'!$E$14*(1+$B217)^5</x:f>
        <x:v>4496.374880870401</x:v>
      </x:c>
      <x:c r="J217" t="n">
        <x:f>I217*(1+($BG217+('Assumptions'!$D$12-$BG217)*(6-5)/5))</x:f>
        <x:v>5674.425099658446</x:v>
      </x:c>
      <x:c r="K217" t="n">
        <x:f>J217*(1+($BG217+('Assumptions'!$D$12-$BG217)*(7-5)/5))</x:f>
        <x:v>6832.0078199887685</x:v>
      </x:c>
      <x:c r="L217" t="n">
        <x:f>K217*(1+($BG217+('Assumptions'!$D$12-$BG217)*(8-5)/5))</x:f>
        <x:v>7829.48096170713</x:v>
      </x:c>
      <x:c r="M217" t="n">
        <x:f>L217*(1+($BG217+('Assumptions'!$D$12-$BG217)*(9-5)/5))</x:f>
        <x:v>8518.475286337358</x:v>
      </x:c>
      <x:c r="N217" t="n">
        <x:f>M217*(1+($BG217+('Assumptions'!$D$12-$BG217)*(10-5)/5))</x:f>
        <x:v>8774.029544927478</x:v>
      </x:c>
      <x:c r="O217" t="n">
        <x:f>0</x:f>
        <x:v>0</x:v>
      </x:c>
      <x:c r="P217" t="n">
        <x:f>0</x:f>
        <x:v>0</x:v>
      </x:c>
      <x:c r="Q217" t="n">
        <x:f>0</x:f>
        <x:v>0</x:v>
      </x:c>
      <x:c r="R217" t="n">
        <x:f>0</x:f>
        <x:v>0</x:v>
      </x:c>
      <x:c r="S217" t="n">
        <x:f>0</x:f>
        <x:v>0</x:v>
      </x:c>
      <x:c r="T217" t="n">
        <x:f>S217*(1+($BG217+('Assumptions'!$D$12-$BG217)*(6-5)/5))</x:f>
        <x:v>0</x:v>
      </x:c>
      <x:c r="U217" t="n">
        <x:f>T217*(1+($BG217+('Assumptions'!$D$12-$BG217)*(7-5)/5))</x:f>
        <x:v>0</x:v>
      </x:c>
      <x:c r="V217" t="n">
        <x:f>U217*(1+($BG217+('Assumptions'!$D$12-$BG217)*(8-5)/5))</x:f>
        <x:v>0</x:v>
      </x:c>
      <x:c r="W217" t="n">
        <x:f>V217*(1+($BG217+('Assumptions'!$D$12-$BG217)*(9-5)/5))</x:f>
        <x:v>0</x:v>
      </x:c>
      <x:c r="X217" t="n">
        <x:f>W217*(1+($BG217+('Assumptions'!$D$12-$BG217)*(10-5)/5))</x:f>
        <x:v>0</x:v>
      </x:c>
      <x:c r="Y217" t="n">
        <x:f>E217*'APPF Model'!$B$62+O217*'APPF Model'!$B$63+'APPF Model'!$B$73+'APPF Model'!$B$74</x:f>
        <x:v>303.61319999999995</x:v>
      </x:c>
      <x:c r="Z217" t="n">
        <x:f>F217*'APPF Model'!$C$62+P217*'APPF Model'!$C$63+'APPF Model'!$C$73+'APPF Model'!$C$74</x:f>
        <x:v>430.09401600000007</x:v>
      </x:c>
      <x:c r="AA217" t="n">
        <x:f>G217*'APPF Model'!$D$62+Q217*'APPF Model'!$D$63+'APPF Model'!$D$73+'APPF Model'!$D$74</x:f>
        <x:v>593.52974208</x:v>
      </x:c>
      <x:c r="AB217" t="n">
        <x:f>H217*'APPF Model'!$E$62+R217*'APPF Model'!$E$63+'APPF Model'!$E$73+'APPF Model'!$E$74</x:f>
        <x:v>817.5227056128001</x:v>
      </x:c>
      <x:c r="AC217" t="n">
        <x:f>I217*'APPF Model'!$F$62+S217*'APPF Model'!$F$63+'APPF Model'!$F$73+'APPF Model'!$F$74</x:f>
        <x:v>1101.6118458132482</x:v>
      </x:c>
      <x:c r="AD217" t="n">
        <x:f>AX217*$AC217/$AW217</x:f>
        <x:v>1390.2341494163193</x:v>
      </x:c>
      <x:c r="AE217" t="n">
        <x:f>AY217*$AC217/$AW217</x:f>
        <x:v>1673.841915897248</x:v>
      </x:c>
      <x:c r="AF217" t="n">
        <x:f>AZ217*$AC217/$AW217</x:f>
        <x:v>1918.2228356182466</x:v>
      </x:c>
      <x:c r="AG217" t="n">
        <x:f>BA217*$AC217/$AW217</x:f>
        <x:v>2087.0264451526523</x:v>
      </x:c>
      <x:c r="AH217" t="n">
        <x:f>BB217*$AC217/$AW217</x:f>
        <x:v>2149.637238507232</x:v>
      </x:c>
      <x:c r="AI217" t="n">
        <x:f>Y217*(1-'Assumptions'!$F$12)+AS217*'Assumptions'!$G$12-AS217*'APPF Model'!$B$65-(AS217-'Inputs'!$E$14)*'Assumptions'!$H$12-'Assumptions'!$I$12</x:f>
        <x:v>208.90517999999994</x:v>
      </x:c>
      <x:c r="AJ217" t="n">
        <x:f>Z217*(1-'Assumptions'!$F$12)+AT217*'Assumptions'!$G$12-AT217*'APPF Model'!$C$65-(AT217-AS217)*'Assumptions'!$H$12-0</x:f>
        <x:v>297.7482816000001</x:v>
      </x:c>
      <x:c r="AK217" t="n">
        <x:f>AA217*(1-'Assumptions'!$F$12)+AU217*'Assumptions'!$G$12-AU217*'APPF Model'!$D$65-(AU217-AT217)*'Assumptions'!$H$12-0</x:f>
        <x:v>412.38196243199997</x:v>
      </x:c>
      <x:c r="AL217" t="n">
        <x:f>AB217*(1-'Assumptions'!$F$12)+AV217*'Assumptions'!$G$12-AV217*'APPF Model'!$E$65-(AV217-AU217)*'Assumptions'!$H$12-0</x:f>
        <x:v>569.8917749606401</x:v>
      </x:c>
      <x:c r="AM217" t="n">
        <x:f>AC217*(1-'Assumptions'!$F$12)+AW217*'Assumptions'!$G$12-AW217*'APPF Model'!$F$65-(AW217-AV217)*'Assumptions'!$H$12-0</x:f>
        <x:v>769.1185487513089</x:v>
      </x:c>
      <x:c r="AN217" t="n">
        <x:f>AD217*(1-'Assumptions'!$F$12)+AX217*'Assumptions'!$G$12-AX217*'APPF Model'!$G$65-(AX217-AW217)*'Assumptions'!$H$12-0</x:f>
        <x:v>978.5303280117424</x:v>
      </x:c>
      <x:c r="AO217" t="n">
        <x:f>AE217*(1-'Assumptions'!$F$12)+AY217*'Assumptions'!$G$12-AY217*'APPF Model'!$H$65-(AY217-AX217)*'Assumptions'!$H$12-0</x:f>
        <x:v>1188.5821046497567</x:v>
      </x:c>
      <x:c r="AP217" t="n">
        <x:f>AF217*(1-'Assumptions'!$F$12)+AZ217*'Assumptions'!$G$12-AZ217*'APPF Model'!$I$65-(AZ217-AY217)*'Assumptions'!$H$12-0</x:f>
        <x:v>1375.2797581598293</x:v>
      </x:c>
      <x:c r="AQ217" t="n">
        <x:f>AG217*(1-'Assumptions'!$F$12)+BA217*'Assumptions'!$G$12-BA217*'APPF Model'!$J$65-(BA217-AZ217)*'Assumptions'!$H$12-0</x:f>
        <x:v>1512.154635020268</x:v>
      </x:c>
      <x:c r="AR217" t="n">
        <x:f>AH217*(1-'Assumptions'!$F$12)+BB217*'Assumptions'!$G$12-BB217*'APPF Model'!$K$65-(BB217-BA217)*'Assumptions'!$H$12-0</x:f>
        <x:v>1575.6836699020366</x:v>
      </x:c>
      <x:c r="AS217" t="n">
        <x:f>E217+O217</x:f>
        <x:v>1481.04</x:v>
      </x:c>
      <x:c r="AT217" t="n">
        <x:f>F217+P217</x:f>
        <x:v>1954.9728000000002</x:v>
      </x:c>
      <x:c r="AU217" t="n">
        <x:f>G217+Q217</x:f>
        <x:v>2580.564096</x:v>
      </x:c>
      <x:c r="AV217" t="n">
        <x:f>H217+R217</x:f>
        <x:v>3406.3446067200007</x:v>
      </x:c>
      <x:c r="AW217" t="n">
        <x:f>I217+S217</x:f>
        <x:v>4496.374880870401</x:v>
      </x:c>
      <x:c r="AX217" t="n">
        <x:f>J217+T217</x:f>
        <x:v>5674.425099658446</x:v>
      </x:c>
      <x:c r="AY217" t="n">
        <x:f>K217+U217</x:f>
        <x:v>6832.0078199887685</x:v>
      </x:c>
      <x:c r="AZ217" t="n">
        <x:f>L217+V217</x:f>
        <x:v>7829.48096170713</x:v>
      </x:c>
      <x:c r="BA217" t="n">
        <x:f>M217+W217</x:f>
        <x:v>8518.475286337358</x:v>
      </x:c>
      <x:c r="BB217" t="n">
        <x:f>N217+X217</x:f>
        <x:v>8774.029544927478</x:v>
      </x:c>
      <x:c r="BC217" t="n">
        <x:f>AS217/'Inputs'!$E$14-1</x:f>
        <x:v>0.32000000000000006</x:v>
      </x:c>
      <x:c r="BD217" t="n">
        <x:f>AT217/AS217-1</x:f>
        <x:v>0.3200000000000003</x:v>
      </x:c>
      <x:c r="BE217" t="n">
        <x:f>AU217/AT217-1</x:f>
        <x:v>0.31999999999999984</x:v>
      </x:c>
      <x:c r="BF217" t="n">
        <x:f>AV217/AU217-1</x:f>
        <x:v>0.3200000000000003</x:v>
      </x:c>
      <x:c r="BG217" t="n">
        <x:f>AW217/AV217-1</x:f>
        <x:v>0.32000000000000006</x:v>
      </x:c>
      <x:c r="BH217" t="n">
        <x:f>AX217/AW217-1</x:f>
        <x:v>0.262</x:v>
      </x:c>
      <x:c r="BI217" t="n">
        <x:f>AY217/AX217-1</x:f>
        <x:v>0.20399999999999996</x:v>
      </x:c>
      <x:c r="BJ217" t="n">
        <x:f>AZ217/AY217-1</x:f>
        <x:v>0.14600000000000013</x:v>
      </x:c>
      <x:c r="BK217" t="n">
        <x:f>BA217/AZ217-1</x:f>
        <x:v>0.08800000000000008</x:v>
      </x:c>
      <x:c r="BL217" t="n">
        <x:f>BB217/BA217-1</x:f>
        <x:v>0.030000000000000027</x:v>
      </x:c>
      <x:c r="BM217" t="n">
        <x:f>AH217*(1-'Assumptions'!$F$12)*(1+'Assumptions'!$D$12)*(1-'Assumptions'!$D$12/'Assumptions'!$E$12)</x:f>
        <x:v>1518.2580724542504</x:v>
      </x:c>
      <x:c r="BN217" t="n">
        <x:f>SUMPRODUCT(AI217:AR217,'APPF Model'!$B$83:$K$83)+BM217/('Assumptions'!$C$12-'Assumptions'!$D$12)*'APPF Model'!$K$83</x:f>
        <x:v>13027.483327760008</x:v>
      </x:c>
      <x:c r="BO217" t="n">
        <x:f>'APPF Model'!$B$94</x:f>
        <x:v>171.685</x:v>
      </x:c>
      <x:c r="BP217" t="n">
        <x:f>'Inputs'!$E$8</x:f>
        <x:v>36</x:v>
      </x:c>
    </x:row>
    <x:row r="218">
      <x:c r="A218" t="str">
        <x:v>APPF</x:v>
      </x:c>
      <x:c r="B218" s="22" t="n">
        <x:v>0.33</x:v>
      </x:c>
      <x:c r="C218" s="42" t="n">
        <x:f>(BN218+BO218)/BP218</x:f>
        <x:v>385.119395698724</x:v>
      </x:c>
      <x:c r="D218" s="22" t="n">
        <x:f>C218/'Inputs'!$E$5-1</x:f>
        <x:v>0.797271773841348</x:v>
      </x:c>
      <x:c r="E218" t="n">
        <x:f>'Inputs'!$E$14*(1+$B218)^1</x:f>
        <x:v>1492.26</x:v>
      </x:c>
      <x:c r="F218" t="n">
        <x:f>'Inputs'!$E$14*(1+$B218)^2</x:f>
        <x:v>1984.7058000000002</x:v>
      </x:c>
      <x:c r="G218" t="n">
        <x:f>'Inputs'!$E$14*(1+$B218)^3</x:f>
        <x:v>2639.658714</x:v>
      </x:c>
      <x:c r="H218" t="n">
        <x:f>'Inputs'!$E$14*(1+$B218)^4</x:f>
        <x:v>3510.7460896200005</x:v>
      </x:c>
      <x:c r="I218" t="n">
        <x:f>'Inputs'!$E$14*(1+$B218)^5</x:f>
        <x:v>4669.292299194602</x:v>
      </x:c>
      <x:c r="J218" t="n">
        <x:f>I218*(1+($BG218+('Assumptions'!$D$12-$BG218)*(6-5)/5))</x:f>
        <x:v>5930.001219977145</x:v>
      </x:c>
      <x:c r="K218" t="n">
        <x:f>J218*(1+($BG218+('Assumptions'!$D$12-$BG218)*(7-5)/5))</x:f>
        <x:v>7175.301476172347</x:v>
      </x:c>
      <x:c r="L218" t="n">
        <x:f>K218*(1+($BG218+('Assumptions'!$D$12-$BG218)*(8-5)/5))</x:f>
        <x:v>8251.596697598201</x:v>
      </x:c>
      <x:c r="M218" t="n">
        <x:f>L218*(1+($BG218+('Assumptions'!$D$12-$BG218)*(9-5)/5))</x:f>
        <x:v>8994.24040038204</x:v>
      </x:c>
      <x:c r="N218" t="n">
        <x:f>M218*(1+($BG218+('Assumptions'!$D$12-$BG218)*(10-5)/5))</x:f>
        <x:v>9264.0676123935</x:v>
      </x:c>
      <x:c r="O218" t="n">
        <x:f>0</x:f>
        <x:v>0</x:v>
      </x:c>
      <x:c r="P218" t="n">
        <x:f>0</x:f>
        <x:v>0</x:v>
      </x:c>
      <x:c r="Q218" t="n">
        <x:f>0</x:f>
        <x:v>0</x:v>
      </x:c>
      <x:c r="R218" t="n">
        <x:f>0</x:f>
        <x:v>0</x:v>
      </x:c>
      <x:c r="S218" t="n">
        <x:f>0</x:f>
        <x:v>0</x:v>
      </x:c>
      <x:c r="T218" t="n">
        <x:f>S218*(1+($BG218+('Assumptions'!$D$12-$BG218)*(6-5)/5))</x:f>
        <x:v>0</x:v>
      </x:c>
      <x:c r="U218" t="n">
        <x:f>T218*(1+($BG218+('Assumptions'!$D$12-$BG218)*(7-5)/5))</x:f>
        <x:v>0</x:v>
      </x:c>
      <x:c r="V218" t="n">
        <x:f>U218*(1+($BG218+('Assumptions'!$D$12-$BG218)*(8-5)/5))</x:f>
        <x:v>0</x:v>
      </x:c>
      <x:c r="W218" t="n">
        <x:f>V218*(1+($BG218+('Assumptions'!$D$12-$BG218)*(9-5)/5))</x:f>
        <x:v>0</x:v>
      </x:c>
      <x:c r="X218" t="n">
        <x:f>W218*(1+($BG218+('Assumptions'!$D$12-$BG218)*(10-5)/5))</x:f>
        <x:v>0</x:v>
      </x:c>
      <x:c r="Y218" t="n">
        <x:f>E218*'APPF Model'!$B$62+O218*'APPF Model'!$B$63+'APPF Model'!$B$73+'APPF Model'!$B$74</x:f>
        <x:v>305.9133</x:v>
      </x:c>
      <x:c r="Z218" t="n">
        <x:f>F218*'APPF Model'!$C$62+P218*'APPF Model'!$C$63+'APPF Model'!$C$73+'APPF Model'!$C$74</x:f>
        <x:v>436.63527600000003</x:v>
      </x:c>
      <x:c r="AA218" t="n">
        <x:f>G218*'APPF Model'!$D$62+Q218*'APPF Model'!$D$63+'APPF Model'!$D$73+'APPF Model'!$D$74</x:f>
        <x:v>607.12150422</x:v>
      </x:c>
      <x:c r="AB218" t="n">
        <x:f>H218*'APPF Model'!$E$62+R218*'APPF Model'!$E$63+'APPF Model'!$E$73+'APPF Model'!$E$74</x:f>
        <x:v>842.5790615088001</x:v>
      </x:c>
      <x:c r="AC218" t="n">
        <x:f>I218*'APPF Model'!$F$62+S218*'APPF Model'!$F$63+'APPF Model'!$F$73+'APPF Model'!$F$74</x:f>
        <x:v>1143.9766133026774</x:v>
      </x:c>
      <x:c r="AD218" t="n">
        <x:f>AX218*$AC218/$AW218</x:f>
        <x:v>1452.8502988944006</x:v>
      </x:c>
      <x:c r="AE218" t="n">
        <x:f>AY218*$AC218/$AW218</x:f>
        <x:v>1757.948861662225</x:v>
      </x:c>
      <x:c r="AF218" t="n">
        <x:f>AZ218*$AC218/$AW218</x:f>
        <x:v>2021.6411909115593</x:v>
      </x:c>
      <x:c r="AG218" t="n">
        <x:f>BA218*$AC218/$AW218</x:f>
        <x:v>2203.5888980935997</x:v>
      </x:c>
      <x:c r="AH218" t="n">
        <x:f>BB218*$AC218/$AW218</x:f>
        <x:v>2269.6965650364077</x:v>
      </x:c>
      <x:c r="AI218" t="n">
        <x:f>Y218*(1-'Assumptions'!$F$12)+AS218*'Assumptions'!$G$12-AS218*'APPF Model'!$B$65-(AS218-'Inputs'!$E$14)*'Assumptions'!$H$12-'Assumptions'!$I$12</x:f>
        <x:v>210.147795</x:v>
      </x:c>
      <x:c r="AJ218" t="n">
        <x:f>Z218*(1-'Assumptions'!$F$12)+AT218*'Assumptions'!$G$12-AT218*'APPF Model'!$C$65-(AT218-AS218)*'Assumptions'!$H$12-0</x:f>
        <x:v>301.82450760000006</x:v>
      </x:c>
      <x:c r="AK218" t="n">
        <x:f>AA218*(1-'Assumptions'!$F$12)+AU218*'Assumptions'!$G$12-AU218*'APPF Model'!$D$65-(AU218-AT218)*'Assumptions'!$H$12-0</x:f>
        <x:v>421.224035463</x:v>
      </x:c>
      <x:c r="AL218" t="n">
        <x:f>AB218*(1-'Assumptions'!$F$12)+AV218*'Assumptions'!$G$12-AV218*'APPF Model'!$E$65-(AV218-AU218)*'Assumptions'!$H$12-0</x:f>
        <x:v>586.55856283794</x:v>
      </x:c>
      <x:c r="AM218" t="n">
        <x:f>AC218*(1-'Assumptions'!$F$12)+AW218*'Assumptions'!$G$12-AW218*'APPF Model'!$F$65-(AW218-AV218)*'Assumptions'!$H$12-0</x:f>
        <x:v>797.6327346964401</x:v>
      </x:c>
      <x:c r="AN218" t="n">
        <x:f>AD218*(1-'Assumptions'!$F$12)+AX218*'Assumptions'!$G$12-AX218*'APPF Model'!$G$65-(AX218-AW218)*'Assumptions'!$H$12-0</x:f>
        <x:v>1021.4193636795674</x:v>
      </x:c>
      <x:c r="AO218" t="n">
        <x:f>AE218*(1-'Assumptions'!$F$12)+AY218*'Assumptions'!$G$12-AY218*'APPF Model'!$H$65-(AY218-AX218)*'Assumptions'!$H$12-0</x:f>
        <x:v>1247.1237315703436</x:v>
      </x:c>
      <x:c r="AP218" t="n">
        <x:f>AF218*(1-'Assumptions'!$F$12)+AZ218*'Assumptions'!$G$12-AZ218*'APPF Model'!$I$65-(AZ218-AY218)*'Assumptions'!$H$12-0</x:f>
        <x:v>1448.4242942338408</x:v>
      </x:c>
      <x:c r="AQ218" t="n">
        <x:f>AG218*(1-'Assumptions'!$F$12)+BA218*'Assumptions'!$G$12-BA218*'APPF Model'!$J$65-(BA218-AZ218)*'Assumptions'!$H$12-0</x:f>
        <x:v>1596.0032042577</x:v>
      </x:c>
      <x:c r="AR218" t="n">
        <x:f>AH218*(1-'Assumptions'!$F$12)+BB218*'Assumptions'!$G$12-BB218*'APPF Model'!$K$65-(BB218-BA218)*'Assumptions'!$H$12-0</x:f>
        <x:v>1663.687132459667</x:v>
      </x:c>
      <x:c r="AS218" t="n">
        <x:f>E218+O218</x:f>
        <x:v>1492.26</x:v>
      </x:c>
      <x:c r="AT218" t="n">
        <x:f>F218+P218</x:f>
        <x:v>1984.7058000000002</x:v>
      </x:c>
      <x:c r="AU218" t="n">
        <x:f>G218+Q218</x:f>
        <x:v>2639.658714</x:v>
      </x:c>
      <x:c r="AV218" t="n">
        <x:f>H218+R218</x:f>
        <x:v>3510.7460896200005</x:v>
      </x:c>
      <x:c r="AW218" t="n">
        <x:f>I218+S218</x:f>
        <x:v>4669.292299194602</x:v>
      </x:c>
      <x:c r="AX218" t="n">
        <x:f>J218+T218</x:f>
        <x:v>5930.001219977145</x:v>
      </x:c>
      <x:c r="AY218" t="n">
        <x:f>K218+U218</x:f>
        <x:v>7175.301476172347</x:v>
      </x:c>
      <x:c r="AZ218" t="n">
        <x:f>L218+V218</x:f>
        <x:v>8251.596697598201</x:v>
      </x:c>
      <x:c r="BA218" t="n">
        <x:f>M218+W218</x:f>
        <x:v>8994.24040038204</x:v>
      </x:c>
      <x:c r="BB218" t="n">
        <x:f>N218+X218</x:f>
        <x:v>9264.0676123935</x:v>
      </x:c>
      <x:c r="BC218" t="n">
        <x:f>AS218/'Inputs'!$E$14-1</x:f>
        <x:v>0.33000000000000007</x:v>
      </x:c>
      <x:c r="BD218" t="n">
        <x:f>AT218/AS218-1</x:f>
        <x:v>0.33000000000000007</x:v>
      </x:c>
      <x:c r="BE218" t="n">
        <x:f>AU218/AT218-1</x:f>
        <x:v>0.32999999999999985</x:v>
      </x:c>
      <x:c r="BF218" t="n">
        <x:f>AV218/AU218-1</x:f>
        <x:v>0.33000000000000007</x:v>
      </x:c>
      <x:c r="BG218" t="n">
        <x:f>AW218/AV218-1</x:f>
        <x:v>0.3300000000000003</x:v>
      </x:c>
      <x:c r="BH218" t="n">
        <x:f>AX218/AW218-1</x:f>
        <x:v>0.27000000000000024</x:v>
      </x:c>
      <x:c r="BI218" t="n">
        <x:f>AY218/AX218-1</x:f>
        <x:v>0.2100000000000002</x:v>
      </x:c>
      <x:c r="BJ218" t="n">
        <x:f>AZ218/AY218-1</x:f>
        <x:v>0.15000000000000036</x:v>
      </x:c>
      <x:c r="BK218" t="n">
        <x:f>BA218/AZ218-1</x:f>
        <x:v>0.09000000000000008</x:v>
      </x:c>
      <x:c r="BL218" t="n">
        <x:f>BB218/BA218-1</x:f>
        <x:v>0.030000000000000027</x:v>
      </x:c>
      <x:c r="BM218" t="n">
        <x:f>AH218*(1-'Assumptions'!$F$12)*(1+'Assumptions'!$D$12)*(1-'Assumptions'!$D$12/'Assumptions'!$E$12)</x:f>
        <x:v>1603.0542596485714</x:v>
      </x:c>
      <x:c r="BN218" t="n">
        <x:f>SUMPRODUCT(AI218:AR218,'APPF Model'!$B$83:$K$83)+BM218/('Assumptions'!$C$12-'Assumptions'!$D$12)*'APPF Model'!$K$83</x:f>
        <x:v>13692.613245154065</x:v>
      </x:c>
      <x:c r="BO218" t="n">
        <x:f>'APPF Model'!$B$94</x:f>
        <x:v>171.685</x:v>
      </x:c>
      <x:c r="BP218" t="n">
        <x:f>'Inputs'!$E$8</x:f>
        <x:v>36</x:v>
      </x:c>
    </x:row>
    <x:row r="219">
      <x:c r="A219" t="str">
        <x:v>APPF</x:v>
      </x:c>
      <x:c r="B219" s="22" t="n">
        <x:v>0.34</x:v>
      </x:c>
      <x:c r="C219" s="42" t="n">
        <x:f>(BN219+BO219)/BP219</x:f>
        <x:v>404.4464566165421</x:v>
      </x:c>
      <x:c r="D219" s="22" t="n">
        <x:f>C219/'Inputs'!$E$5-1</x:f>
        <x:v>0.8874671300006631</x:v>
      </x:c>
      <x:c r="E219" t="n">
        <x:f>'Inputs'!$E$14*(1+$B219)^1</x:f>
        <x:v>1503.48</x:v>
      </x:c>
      <x:c r="F219" t="n">
        <x:f>'Inputs'!$E$14*(1+$B219)^2</x:f>
        <x:v>2014.6632000000004</x:v>
      </x:c>
      <x:c r="G219" t="n">
        <x:f>'Inputs'!$E$14*(1+$B219)^3</x:f>
        <x:v>2699.6486880000007</x:v>
      </x:c>
      <x:c r="H219" t="n">
        <x:f>'Inputs'!$E$14*(1+$B219)^4</x:f>
        <x:v>3617.5292419200014</x:v>
      </x:c>
      <x:c r="I219" t="n">
        <x:f>'Inputs'!$E$14*(1+$B219)^5</x:f>
        <x:v>4847.489184172802</x:v>
      </x:c>
      <x:c r="J219" t="n">
        <x:f>I219*(1+($BG219+('Assumptions'!$D$12-$BG219)*(6-5)/5))</x:f>
        <x:v>6195.091177372841</x:v>
      </x:c>
      <x:c r="K219" t="n">
        <x:f>J219*(1+($BG219+('Assumptions'!$D$12-$BG219)*(7-5)/5))</x:f>
        <x:v>7533.230871685375</x:v>
      </x:c>
      <x:c r="L219" t="n">
        <x:f>K219*(1+($BG219+('Assumptions'!$D$12-$BG219)*(8-5)/5))</x:f>
        <x:v>8693.348425924924</x:v>
      </x:c>
      <x:c r="M219" t="n">
        <x:f>L219*(1+($BG219+('Assumptions'!$D$12-$BG219)*(9-5)/5))</x:f>
        <x:v>9493.136481110017</x:v>
      </x:c>
      <x:c r="N219" t="n">
        <x:f>M219*(1+($BG219+('Assumptions'!$D$12-$BG219)*(10-5)/5))</x:f>
        <x:v>9777.930575543318</x:v>
      </x:c>
      <x:c r="O219" t="n">
        <x:f>0</x:f>
        <x:v>0</x:v>
      </x:c>
      <x:c r="P219" t="n">
        <x:f>0</x:f>
        <x:v>0</x:v>
      </x:c>
      <x:c r="Q219" t="n">
        <x:f>0</x:f>
        <x:v>0</x:v>
      </x:c>
      <x:c r="R219" t="n">
        <x:f>0</x:f>
        <x:v>0</x:v>
      </x:c>
      <x:c r="S219" t="n">
        <x:f>0</x:f>
        <x:v>0</x:v>
      </x:c>
      <x:c r="T219" t="n">
        <x:f>S219*(1+($BG219+('Assumptions'!$D$12-$BG219)*(6-5)/5))</x:f>
        <x:v>0</x:v>
      </x:c>
      <x:c r="U219" t="n">
        <x:f>T219*(1+($BG219+('Assumptions'!$D$12-$BG219)*(7-5)/5))</x:f>
        <x:v>0</x:v>
      </x:c>
      <x:c r="V219" t="n">
        <x:f>U219*(1+($BG219+('Assumptions'!$D$12-$BG219)*(8-5)/5))</x:f>
        <x:v>0</x:v>
      </x:c>
      <x:c r="W219" t="n">
        <x:f>V219*(1+($BG219+('Assumptions'!$D$12-$BG219)*(9-5)/5))</x:f>
        <x:v>0</x:v>
      </x:c>
      <x:c r="X219" t="n">
        <x:f>W219*(1+($BG219+('Assumptions'!$D$12-$BG219)*(10-5)/5))</x:f>
        <x:v>0</x:v>
      </x:c>
      <x:c r="Y219" t="n">
        <x:f>E219*'APPF Model'!$B$62+O219*'APPF Model'!$B$63+'APPF Model'!$B$73+'APPF Model'!$B$74</x:f>
        <x:v>308.2134</x:v>
      </x:c>
      <x:c r="Z219" t="n">
        <x:f>F219*'APPF Model'!$C$62+P219*'APPF Model'!$C$63+'APPF Model'!$C$73+'APPF Model'!$C$74</x:f>
        <x:v>443.22590400000007</x:v>
      </x:c>
      <x:c r="AA219" t="n">
        <x:f>G219*'APPF Model'!$D$62+Q219*'APPF Model'!$D$63+'APPF Model'!$D$73+'APPF Model'!$D$74</x:f>
        <x:v>620.9191982400001</x:v>
      </x:c>
      <x:c r="AB219" t="n">
        <x:f>H219*'APPF Model'!$E$62+R219*'APPF Model'!$E$63+'APPF Model'!$E$73+'APPF Model'!$E$74</x:f>
        <x:v>868.2070180608004</x:v>
      </x:c>
      <x:c r="AC219" t="n">
        <x:f>I219*'APPF Model'!$F$62+S219*'APPF Model'!$F$63+'APPF Model'!$F$73+'APPF Model'!$F$74</x:f>
        <x:v>1187.6348501223365</x:v>
      </x:c>
      <x:c r="AD219" t="n">
        <x:f>AX219*$AC219/$AW219</x:f>
        <x:v>1517.7973384563459</x:v>
      </x:c>
      <x:c r="AE219" t="n">
        <x:f>AY219*$AC219/$AW219</x:f>
        <x:v>1845.6415635629169</x:v>
      </x:c>
      <x:c r="AF219" t="n">
        <x:f>AZ219*$AC219/$AW219</x:f>
        <x:v>2129.870364351606</x:v>
      </x:c>
      <x:c r="AG219" t="n">
        <x:f>BA219*$AC219/$AW219</x:f>
        <x:v>2325.8184378719543</x:v>
      </x:c>
      <x:c r="AH219" t="n">
        <x:f>BB219*$AC219/$AW219</x:f>
        <x:v>2395.592991008113</x:v>
      </x:c>
      <x:c r="AI219" t="n">
        <x:f>Y219*(1-'Assumptions'!$F$12)+AS219*'Assumptions'!$G$12-AS219*'APPF Model'!$B$65-(AS219-'Inputs'!$E$14)*'Assumptions'!$H$12-'Assumptions'!$I$12</x:f>
        <x:v>211.39041</x:v>
      </x:c>
      <x:c r="AJ219" t="n">
        <x:f>Z219*(1-'Assumptions'!$F$12)+AT219*'Assumptions'!$G$12-AT219*'APPF Model'!$C$65-(AT219-AS219)*'Assumptions'!$H$12-0</x:f>
        <x:v>305.92811040000004</x:v>
      </x:c>
      <x:c r="AK219" t="n">
        <x:f>AA219*(1-'Assumptions'!$F$12)+AU219*'Assumptions'!$G$12-AU219*'APPF Model'!$D$65-(AU219-AT219)*'Assumptions'!$H$12-0</x:f>
        <x:v>430.19103309600007</x:v>
      </x:c>
      <x:c r="AL219" t="n">
        <x:f>AB219*(1-'Assumptions'!$F$12)+AV219*'Assumptions'!$G$12-AV219*'APPF Model'!$E$65-(AV219-AU219)*'Assumptions'!$H$12-0</x:f>
        <x:v>603.5874536630403</x:v>
      </x:c>
      <x:c r="AM219" t="n">
        <x:f>AC219*(1-'Assumptions'!$F$12)+AW219*'Assumptions'!$G$12-AW219*'APPF Model'!$F$65-(AW219-AV219)*'Assumptions'!$H$12-0</x:f>
        <x:v>826.9852723491219</x:v>
      </x:c>
      <x:c r="AN219" t="n">
        <x:f>AD219*(1-'Assumptions'!$F$12)+AX219*'Assumptions'!$G$12-AX219*'APPF Model'!$G$65-(AX219-AW219)*'Assumptions'!$H$12-0</x:f>
        <x:v>1065.8586505821395</x:v>
      </x:c>
      <x:c r="AO219" t="n">
        <x:f>AE219*(1-'Assumptions'!$F$12)+AY219*'Assumptions'!$G$12-AY219*'APPF Model'!$H$65-(AY219-AX219)*'Assumptions'!$H$12-0</x:f>
        <x:v>1308.1058922846305</x:v>
      </x:c>
      <x:c r="AP219" t="n">
        <x:f>AF219*(1-'Assumptions'!$F$12)+AZ219*'Assumptions'!$G$12-AZ219*'APPF Model'!$I$65-(AZ219-AY219)*'Assumptions'!$H$12-0</x:f>
        <x:v>1524.918025816348</x:v>
      </x:c>
      <x:c r="AQ219" t="n">
        <x:f>AG219*(1-'Assumptions'!$F$12)+BA219*'Assumptions'!$G$12-BA219*'APPF Model'!$J$65-(BA219-AZ219)*'Assumptions'!$H$12-0</x:f>
        <x:v>1683.892896753232</x:v>
      </x:c>
      <x:c r="AR219" t="n">
        <x:f>AH219*(1-'Assumptions'!$F$12)+BB219*'Assumptions'!$G$12-BB219*'APPF Model'!$K$65-(BB219-BA219)*'Assumptions'!$H$12-0</x:f>
        <x:v>1755.969187752123</x:v>
      </x:c>
      <x:c r="AS219" t="n">
        <x:f>E219+O219</x:f>
        <x:v>1503.48</x:v>
      </x:c>
      <x:c r="AT219" t="n">
        <x:f>F219+P219</x:f>
        <x:v>2014.6632000000004</x:v>
      </x:c>
      <x:c r="AU219" t="n">
        <x:f>G219+Q219</x:f>
        <x:v>2699.6486880000007</x:v>
      </x:c>
      <x:c r="AV219" t="n">
        <x:f>H219+R219</x:f>
        <x:v>3617.5292419200014</x:v>
      </x:c>
      <x:c r="AW219" t="n">
        <x:f>I219+S219</x:f>
        <x:v>4847.489184172802</x:v>
      </x:c>
      <x:c r="AX219" t="n">
        <x:f>J219+T219</x:f>
        <x:v>6195.091177372841</x:v>
      </x:c>
      <x:c r="AY219" t="n">
        <x:f>K219+U219</x:f>
        <x:v>7533.230871685375</x:v>
      </x:c>
      <x:c r="AZ219" t="n">
        <x:f>L219+V219</x:f>
        <x:v>8693.348425924924</x:v>
      </x:c>
      <x:c r="BA219" t="n">
        <x:f>M219+W219</x:f>
        <x:v>9493.136481110017</x:v>
      </x:c>
      <x:c r="BB219" t="n">
        <x:f>N219+X219</x:f>
        <x:v>9777.930575543318</x:v>
      </x:c>
      <x:c r="BC219" t="n">
        <x:f>AS219/'Inputs'!$E$14-1</x:f>
        <x:v>0.3400000000000001</x:v>
      </x:c>
      <x:c r="BD219" t="n">
        <x:f>AT219/AS219-1</x:f>
        <x:v>0.3400000000000003</x:v>
      </x:c>
      <x:c r="BE219" t="n">
        <x:f>AU219/AT219-1</x:f>
        <x:v>0.3400000000000001</x:v>
      </x:c>
      <x:c r="BF219" t="n">
        <x:f>AV219/AU219-1</x:f>
        <x:v>0.3400000000000001</x:v>
      </x:c>
      <x:c r="BG219" t="n">
        <x:f>AW219/AV219-1</x:f>
        <x:v>0.3400000000000001</x:v>
      </x:c>
      <x:c r="BH219" t="n">
        <x:f>AX219/AW219-1</x:f>
        <x:v>0.278</x:v>
      </x:c>
      <x:c r="BI219" t="n">
        <x:f>AY219/AX219-1</x:f>
        <x:v>0.21599999999999997</x:v>
      </x:c>
      <x:c r="BJ219" t="n">
        <x:f>AZ219/AY219-1</x:f>
        <x:v>0.15400000000000014</x:v>
      </x:c>
      <x:c r="BK219" t="n">
        <x:f>BA219/AZ219-1</x:f>
        <x:v>0.09200000000000008</x:v>
      </x:c>
      <x:c r="BL219" t="n">
        <x:f>BB219/BA219-1</x:f>
        <x:v>0.030000000000000027</x:v>
      </x:c>
      <x:c r="BM219" t="n">
        <x:f>AH219*(1-'Assumptions'!$F$12)*(1+'Assumptions'!$D$12)*(1-'Assumptions'!$D$12/'Assumptions'!$E$12)</x:f>
        <x:v>1691.9731067920159</x:v>
      </x:c>
      <x:c r="BN219" t="n">
        <x:f>SUMPRODUCT(AI219:AR219,'APPF Model'!$B$83:$K$83)+BM219/('Assumptions'!$C$12-'Assumptions'!$D$12)*'APPF Model'!$K$83</x:f>
        <x:v>14388.387438195516</x:v>
      </x:c>
      <x:c r="BO219" t="n">
        <x:f>'APPF Model'!$B$94</x:f>
        <x:v>171.685</x:v>
      </x:c>
      <x:c r="BP219" t="n">
        <x:f>'Inputs'!$E$8</x:f>
        <x:v>36</x:v>
      </x:c>
    </x:row>
    <x:row r="220">
      <x:c r="A220" t="str">
        <x:v>APPF</x:v>
      </x:c>
      <x:c r="B220" s="22" t="n">
        <x:v>0.35</x:v>
      </x:c>
      <x:c r="C220" s="42" t="n">
        <x:f>(BN220+BO220)/BP220</x:f>
        <x:v>424.65883630478316</x:v>
      </x:c>
      <x:c r="D220" s="22" t="n">
        <x:f>C220/'Inputs'!$E$5-1</x:f>
        <x:v>0.9817940839312262</x:v>
      </x:c>
      <x:c r="E220" t="n">
        <x:f>'Inputs'!$E$14*(1+$B220)^1</x:f>
        <x:v>1514.7</x:v>
      </x:c>
      <x:c r="F220" t="n">
        <x:f>'Inputs'!$E$14*(1+$B220)^2</x:f>
        <x:v>2044.8450000000003</x:v>
      </x:c>
      <x:c r="G220" t="n">
        <x:f>'Inputs'!$E$14*(1+$B220)^3</x:f>
        <x:v>2760.5407500000006</x:v>
      </x:c>
      <x:c r="H220" t="n">
        <x:f>'Inputs'!$E$14*(1+$B220)^4</x:f>
        <x:v>3726.730012500001</x:v>
      </x:c>
      <x:c r="I220" t="n">
        <x:f>'Inputs'!$E$14*(1+$B220)^5</x:f>
        <x:v>5031.085516875002</x:v>
      </x:c>
      <x:c r="J220" t="n">
        <x:f>I220*(1+($BG220+('Assumptions'!$D$12-$BG220)*(6-5)/5))</x:f>
        <x:v>6469.975974701254</x:v>
      </x:c>
      <x:c r="K220" t="n">
        <x:f>J220*(1+($BG220+('Assumptions'!$D$12-$BG220)*(7-5)/5))</x:f>
        <x:v>7906.310641084934</x:v>
      </x:c>
      <x:c r="L220" t="n">
        <x:f>K220*(1+($BG220+('Assumptions'!$D$12-$BG220)*(8-5)/5))</x:f>
        <x:v>9155.507722376355</x:v>
      </x:c>
      <x:c r="M220" t="n">
        <x:f>L220*(1+($BG220+('Assumptions'!$D$12-$BG220)*(9-5)/5))</x:f>
        <x:v>10016.125448279732</x:v>
      </x:c>
      <x:c r="N220" t="n">
        <x:f>M220*(1+($BG220+('Assumptions'!$D$12-$BG220)*(10-5)/5))</x:f>
        <x:v>10316.609211728124</x:v>
      </x:c>
      <x:c r="O220" t="n">
        <x:f>0</x:f>
        <x:v>0</x:v>
      </x:c>
      <x:c r="P220" t="n">
        <x:f>0</x:f>
        <x:v>0</x:v>
      </x:c>
      <x:c r="Q220" t="n">
        <x:f>0</x:f>
        <x:v>0</x:v>
      </x:c>
      <x:c r="R220" t="n">
        <x:f>0</x:f>
        <x:v>0</x:v>
      </x:c>
      <x:c r="S220" t="n">
        <x:f>0</x:f>
        <x:v>0</x:v>
      </x:c>
      <x:c r="T220" t="n">
        <x:f>S220*(1+($BG220+('Assumptions'!$D$12-$BG220)*(6-5)/5))</x:f>
        <x:v>0</x:v>
      </x:c>
      <x:c r="U220" t="n">
        <x:f>T220*(1+($BG220+('Assumptions'!$D$12-$BG220)*(7-5)/5))</x:f>
        <x:v>0</x:v>
      </x:c>
      <x:c r="V220" t="n">
        <x:f>U220*(1+($BG220+('Assumptions'!$D$12-$BG220)*(8-5)/5))</x:f>
        <x:v>0</x:v>
      </x:c>
      <x:c r="W220" t="n">
        <x:f>V220*(1+($BG220+('Assumptions'!$D$12-$BG220)*(9-5)/5))</x:f>
        <x:v>0</x:v>
      </x:c>
      <x:c r="X220" t="n">
        <x:f>W220*(1+($BG220+('Assumptions'!$D$12-$BG220)*(10-5)/5))</x:f>
        <x:v>0</x:v>
      </x:c>
      <x:c r="Y220" t="n">
        <x:f>E220*'APPF Model'!$B$62+O220*'APPF Model'!$B$63+'APPF Model'!$B$73+'APPF Model'!$B$74</x:f>
        <x:v>310.51349999999996</x:v>
      </x:c>
      <x:c r="Z220" t="n">
        <x:f>F220*'APPF Model'!$C$62+P220*'APPF Model'!$C$63+'APPF Model'!$C$73+'APPF Model'!$C$74</x:f>
        <x:v>449.86590000000007</x:v>
      </x:c>
      <x:c r="AA220" t="n">
        <x:f>G220*'APPF Model'!$D$62+Q220*'APPF Model'!$D$63+'APPF Model'!$D$73+'APPF Model'!$D$74</x:f>
        <x:v>634.9243725000001</x:v>
      </x:c>
      <x:c r="AB220" t="n">
        <x:f>H220*'APPF Model'!$E$62+R220*'APPF Model'!$E$63+'APPF Model'!$E$73+'APPF Model'!$E$74</x:f>
        <x:v>894.4152030000002</x:v>
      </x:c>
      <x:c r="AC220" t="n">
        <x:f>I220*'APPF Model'!$F$62+S220*'APPF Model'!$F$63+'APPF Model'!$F$73+'APPF Model'!$F$74</x:f>
        <x:v>1232.6159516343755</x:v>
      </x:c>
      <x:c r="AD220" t="n">
        <x:f>AX220*$AC220/$AW220</x:f>
        <x:v>1585.1441138018072</x:v>
      </x:c>
      <x:c r="AE220" t="n">
        <x:f>AY220*$AC220/$AW220</x:f>
        <x:v>1937.0461070658087</x:v>
      </x:c>
      <x:c r="AF220" t="n">
        <x:f>AZ220*$AC220/$AW220</x:f>
        <x:v>2243.0993919822067</x:v>
      </x:c>
      <x:c r="AG220" t="n">
        <x:f>BA220*$AC220/$AW220</x:f>
        <x:v>2453.950734828534</x:v>
      </x:c>
      <x:c r="AH220" t="n">
        <x:f>BB220*$AC220/$AW220</x:f>
        <x:v>2527.5692568733903</x:v>
      </x:c>
      <x:c r="AI220" t="n">
        <x:f>Y220*(1-'Assumptions'!$F$12)+AS220*'Assumptions'!$G$12-AS220*'APPF Model'!$B$65-(AS220-'Inputs'!$E$14)*'Assumptions'!$H$12-'Assumptions'!$I$12</x:f>
        <x:v>212.63302499999995</x:v>
      </x:c>
      <x:c r="AJ220" t="n">
        <x:f>Z220*(1-'Assumptions'!$F$12)+AT220*'Assumptions'!$G$12-AT220*'APPF Model'!$C$65-(AT220-AS220)*'Assumptions'!$H$12-0</x:f>
        <x:v>310.05909</x:v>
      </x:c>
      <x:c r="AK220" t="n">
        <x:f>AA220*(1-'Assumptions'!$F$12)+AU220*'Assumptions'!$G$12-AU220*'APPF Model'!$D$65-(AU220-AT220)*'Assumptions'!$H$12-0</x:f>
        <x:v>439.2838271250001</x:v>
      </x:c>
      <x:c r="AL220" t="n">
        <x:f>AB220*(1-'Assumptions'!$F$12)+AV220*'Assumptions'!$G$12-AV220*'APPF Model'!$E$65-(AV220-AU220)*'Assumptions'!$H$12-0</x:f>
        <x:v>620.9836417125001</x:v>
      </x:c>
      <x:c r="AM220" t="n">
        <x:f>AC220*(1-'Assumptions'!$F$12)+AW220*'Assumptions'!$G$12-AW220*'APPF Model'!$F$65-(AW220-AV220)*'Assumptions'!$H$12-0</x:f>
        <x:v>857.1944870001565</x:v>
      </x:c>
      <x:c r="AN220" t="n">
        <x:f>AD220*(1-'Assumptions'!$F$12)+AX220*'Assumptions'!$G$12-AX220*'APPF Model'!$G$65-(AX220-AW220)*'Assumptions'!$H$12-0</x:f>
        <x:v>1111.8925391142018</x:v>
      </x:c>
      <x:c r="AO220" t="n">
        <x:f>AE220*(1-'Assumptions'!$F$12)+AY220*'Assumptions'!$G$12-AY220*'APPF Model'!$H$65-(AY220-AX220)*'Assumptions'!$H$12-0</x:f>
        <x:v>1371.6122617207545</x:v>
      </x:c>
      <x:c r="AP220" t="n">
        <x:f>AF220*(1-'Assumptions'!$F$12)+AZ220*'Assumptions'!$G$12-AZ220*'APPF Model'!$I$65-(AZ220-AY220)*'Assumptions'!$H$12-0</x:f>
        <x:v>1604.8901375678693</x:v>
      </x:c>
      <x:c r="AQ220" t="n">
        <x:f>AG220*(1-'Assumptions'!$F$12)+BA220*'Assumptions'!$G$12-BA220*'APPF Model'!$J$65-(BA220-AZ220)*'Assumptions'!$H$12-0</x:f>
        <x:v>1775.9899657404264</x:v>
      </x:c>
      <x:c r="AR220" t="n">
        <x:f>AH220*(1-'Assumptions'!$F$12)+BB220*'Assumptions'!$G$12-BB220*'APPF Model'!$K$65-(BB220-BA220)*'Assumptions'!$H$12-0</x:f>
        <x:v>1852.7077644819226</x:v>
      </x:c>
      <x:c r="AS220" t="n">
        <x:f>E220+O220</x:f>
        <x:v>1514.7</x:v>
      </x:c>
      <x:c r="AT220" t="n">
        <x:f>F220+P220</x:f>
        <x:v>2044.8450000000003</x:v>
      </x:c>
      <x:c r="AU220" t="n">
        <x:f>G220+Q220</x:f>
        <x:v>2760.5407500000006</x:v>
      </x:c>
      <x:c r="AV220" t="n">
        <x:f>H220+R220</x:f>
        <x:v>3726.730012500001</x:v>
      </x:c>
      <x:c r="AW220" t="n">
        <x:f>I220+S220</x:f>
        <x:v>5031.085516875002</x:v>
      </x:c>
      <x:c r="AX220" t="n">
        <x:f>J220+T220</x:f>
        <x:v>6469.975974701254</x:v>
      </x:c>
      <x:c r="AY220" t="n">
        <x:f>K220+U220</x:f>
        <x:v>7906.310641084934</x:v>
      </x:c>
      <x:c r="AZ220" t="n">
        <x:f>L220+V220</x:f>
        <x:v>9155.507722376355</x:v>
      </x:c>
      <x:c r="BA220" t="n">
        <x:f>M220+W220</x:f>
        <x:v>10016.125448279732</x:v>
      </x:c>
      <x:c r="BB220" t="n">
        <x:f>N220+X220</x:f>
        <x:v>10316.609211728124</x:v>
      </x:c>
      <x:c r="BC220" t="n">
        <x:f>AS220/'Inputs'!$E$14-1</x:f>
        <x:v>0.3500000000000001</x:v>
      </x:c>
      <x:c r="BD220" t="n">
        <x:f>AT220/AS220-1</x:f>
        <x:v>0.3500000000000001</x:v>
      </x:c>
      <x:c r="BE220" t="n">
        <x:f>AU220/AT220-1</x:f>
        <x:v>0.3500000000000001</x:v>
      </x:c>
      <x:c r="BF220" t="n">
        <x:f>AV220/AU220-1</x:f>
        <x:v>0.3500000000000001</x:v>
      </x:c>
      <x:c r="BG220" t="n">
        <x:f>AW220/AV220-1</x:f>
        <x:v>0.3500000000000003</x:v>
      </x:c>
      <x:c r="BH220" t="n">
        <x:f>AX220/AW220-1</x:f>
        <x:v>0.28600000000000025</x:v>
      </x:c>
      <x:c r="BI220" t="n">
        <x:f>AY220/AX220-1</x:f>
        <x:v>0.2220000000000002</x:v>
      </x:c>
      <x:c r="BJ220" t="n">
        <x:f>AZ220/AY220-1</x:f>
        <x:v>0.15800000000000014</x:v>
      </x:c>
      <x:c r="BK220" t="n">
        <x:f>BA220/AZ220-1</x:f>
        <x:v>0.09400000000000008</x:v>
      </x:c>
      <x:c r="BL220" t="n">
        <x:f>BB220/BA220-1</x:f>
        <x:v>0.030000000000000027</x:v>
      </x:c>
      <x:c r="BM220" t="n">
        <x:f>AH220*(1-'Assumptions'!$F$12)*(1+'Assumptions'!$D$12)*(1-'Assumptions'!$D$12/'Assumptions'!$E$12)</x:f>
        <x:v>1785.1860579974343</x:v>
      </x:c>
      <x:c r="BN220" t="n">
        <x:f>SUMPRODUCT(AI220:AR220,'APPF Model'!$B$83:$K$83)+BM220/('Assumptions'!$C$12-'Assumptions'!$D$12)*'APPF Model'!$K$83</x:f>
        <x:v>15116.033106972194</x:v>
      </x:c>
      <x:c r="BO220" t="n">
        <x:f>'APPF Model'!$B$94</x:f>
        <x:v>171.685</x:v>
      </x:c>
      <x:c r="BP220" t="n">
        <x:f>'Inputs'!$E$8</x:f>
        <x:v>36</x:v>
      </x:c>
    </x:row>
    <x:row r="221">
      <x:c r="A221" t="str">
        <x:v>APPF</x:v>
      </x:c>
      <x:c r="B221" s="22" t="n">
        <x:v>0.36</x:v>
      </x:c>
      <x:c r="C221" s="42" t="n">
        <x:f>(BN221+BO221)/BP221</x:f>
        <x:v>445.7917740645569</x:v>
      </x:c>
      <x:c r="D221" s="22" t="n">
        <x:f>C221/'Inputs'!$E$5-1</x:f>
        <x:v>1.0804170900903345</x:v>
      </x:c>
      <x:c r="E221" t="n">
        <x:f>'Inputs'!$E$14*(1+$B221)^1</x:f>
        <x:v>1525.9199999999998</x:v>
      </x:c>
      <x:c r="F221" t="n">
        <x:f>'Inputs'!$E$14*(1+$B221)^2</x:f>
        <x:v>2075.2511999999997</x:v>
      </x:c>
      <x:c r="G221" t="n">
        <x:f>'Inputs'!$E$14*(1+$B221)^3</x:f>
        <x:v>2822.341631999999</x:v>
      </x:c>
      <x:c r="H221" t="n">
        <x:f>'Inputs'!$E$14*(1+$B221)^4</x:f>
        <x:v>3838.384619519999</x:v>
      </x:c>
      <x:c r="I221" t="n">
        <x:f>'Inputs'!$E$14*(1+$B221)^5</x:f>
        <x:v>5220.203082547198</x:v>
      </x:c>
      <x:c r="J221" t="n">
        <x:f>I221*(1+($BG221+('Assumptions'!$D$12-$BG221)*(6-5)/5))</x:f>
        <x:v>6754.942788816075</x:v>
      </x:c>
      <x:c r="K221" t="n">
        <x:f>J221*(1+($BG221+('Assumptions'!$D$12-$BG221)*(7-5)/5))</x:f>
        <x:v>8295.06974466614</x:v>
      </x:c>
      <x:c r="L221" t="n">
        <x:f>K221*(1+($BG221+('Assumptions'!$D$12-$BG221)*(8-5)/5))</x:f>
        <x:v>9638.871043302053</x:v>
      </x:c>
      <x:c r="M221" t="n">
        <x:f>L221*(1+($BG221+('Assumptions'!$D$12-$BG221)*(9-5)/5))</x:f>
        <x:v>10564.202663459051</x:v>
      </x:c>
      <x:c r="N221" t="n">
        <x:f>M221*(1+($BG221+('Assumptions'!$D$12-$BG221)*(10-5)/5))</x:f>
        <x:v>10881.128743362822</x:v>
      </x:c>
      <x:c r="O221" t="n">
        <x:f>0</x:f>
        <x:v>0</x:v>
      </x:c>
      <x:c r="P221" t="n">
        <x:f>0</x:f>
        <x:v>0</x:v>
      </x:c>
      <x:c r="Q221" t="n">
        <x:f>0</x:f>
        <x:v>0</x:v>
      </x:c>
      <x:c r="R221" t="n">
        <x:f>0</x:f>
        <x:v>0</x:v>
      </x:c>
      <x:c r="S221" t="n">
        <x:f>0</x:f>
        <x:v>0</x:v>
      </x:c>
      <x:c r="T221" t="n">
        <x:f>S221*(1+($BG221+('Assumptions'!$D$12-$BG221)*(6-5)/5))</x:f>
        <x:v>0</x:v>
      </x:c>
      <x:c r="U221" t="n">
        <x:f>T221*(1+($BG221+('Assumptions'!$D$12-$BG221)*(7-5)/5))</x:f>
        <x:v>0</x:v>
      </x:c>
      <x:c r="V221" t="n">
        <x:f>U221*(1+($BG221+('Assumptions'!$D$12-$BG221)*(8-5)/5))</x:f>
        <x:v>0</x:v>
      </x:c>
      <x:c r="W221" t="n">
        <x:f>V221*(1+($BG221+('Assumptions'!$D$12-$BG221)*(9-5)/5))</x:f>
        <x:v>0</x:v>
      </x:c>
      <x:c r="X221" t="n">
        <x:f>W221*(1+($BG221+('Assumptions'!$D$12-$BG221)*(10-5)/5))</x:f>
        <x:v>0</x:v>
      </x:c>
      <x:c r="Y221" t="n">
        <x:f>E221*'APPF Model'!$B$62+O221*'APPF Model'!$B$63+'APPF Model'!$B$73+'APPF Model'!$B$74</x:f>
        <x:v>312.81359999999995</x:v>
      </x:c>
      <x:c r="Z221" t="n">
        <x:f>F221*'APPF Model'!$C$62+P221*'APPF Model'!$C$63+'APPF Model'!$C$73+'APPF Model'!$C$74</x:f>
        <x:v>456.5552639999999</x:v>
      </x:c>
      <x:c r="AA221" t="n">
        <x:f>G221*'APPF Model'!$D$62+Q221*'APPF Model'!$D$63+'APPF Model'!$D$73+'APPF Model'!$D$74</x:f>
        <x:v>649.1385753599999</x:v>
      </x:c>
      <x:c r="AB221" t="n">
        <x:f>H221*'APPF Model'!$E$62+R221*'APPF Model'!$E$63+'APPF Model'!$E$73+'APPF Model'!$E$74</x:f>
        <x:v>921.2123086847997</x:v>
      </x:c>
      <x:c r="AC221" t="n">
        <x:f>I221*'APPF Model'!$F$62+S221*'APPF Model'!$F$63+'APPF Model'!$F$73+'APPF Model'!$F$74</x:f>
        <x:v>1278.9497552240637</x:v>
      </x:c>
      <x:c r="AD221" t="n">
        <x:f>AX221*$AC221/$AW221</x:f>
        <x:v>1654.9609832599385</x:v>
      </x:c>
      <x:c r="AE221" t="n">
        <x:f>AY221*$AC221/$AW221</x:f>
        <x:v>2032.292087443204</x:v>
      </x:c>
      <x:c r="AF221" t="n">
        <x:f>AZ221*$AC221/$AW221</x:f>
        <x:v>2361.523405609003</x:v>
      </x:c>
      <x:c r="AG221" t="n">
        <x:f>BA221*$AC221/$AW221</x:f>
        <x:v>2588.2296525474676</x:v>
      </x:c>
      <x:c r="AH221" t="n">
        <x:f>BB221*$AC221/$AW221</x:f>
        <x:v>2665.8765421238913</x:v>
      </x:c>
      <x:c r="AI221" t="n">
        <x:f>Y221*(1-'Assumptions'!$F$12)+AS221*'Assumptions'!$G$12-AS221*'APPF Model'!$B$65-(AS221-'Inputs'!$E$14)*'Assumptions'!$H$12-'Assumptions'!$I$12</x:f>
        <x:v>213.87563999999995</x:v>
      </x:c>
      <x:c r="AJ221" t="n">
        <x:f>Z221*(1-'Assumptions'!$F$12)+AT221*'Assumptions'!$G$12-AT221*'APPF Model'!$C$65-(AT221-AS221)*'Assumptions'!$H$12-0</x:f>
        <x:v>314.2174464</x:v>
      </x:c>
      <x:c r="AK221" t="n">
        <x:f>AA221*(1-'Assumptions'!$F$12)+AU221*'Assumptions'!$G$12-AU221*'APPF Model'!$D$65-(AU221-AT221)*'Assumptions'!$H$12-0</x:f>
        <x:v>448.503289344</x:v>
      </x:c>
      <x:c r="AL221" t="n">
        <x:f>AB221*(1-'Assumptions'!$F$12)+AV221*'Assumptions'!$G$12-AV221*'APPF Model'!$E$65-(AV221-AU221)*'Assumptions'!$H$12-0</x:f>
        <x:v>638.7523581542398</x:v>
      </x:c>
      <x:c r="AM221" t="n">
        <x:f>AC221*(1-'Assumptions'!$F$12)+AW221*'Assumptions'!$G$12-AW221*'APPF Model'!$F$65-(AW221-AV221)*'Assumptions'!$H$12-0</x:f>
        <x:v>888.2789686493182</x:v>
      </x:c>
      <x:c r="AN221" t="n">
        <x:f>AD221*(1-'Assumptions'!$F$12)+AX221*'Assumptions'!$G$12-AX221*'APPF Model'!$G$65-(AX221-AW221)*'Assumptions'!$H$12-0</x:f>
        <x:v>1159.5663208277506</x:v>
      </x:c>
      <x:c r="AO221" t="n">
        <x:f>AE221*(1-'Assumptions'!$F$12)+AY221*'Assumptions'!$G$12-AY221*'APPF Model'!$H$65-(AY221-AX221)*'Assumptions'!$H$12-0</x:f>
        <x:v>1437.728778114402</x:v>
      </x:c>
      <x:c r="AP221" t="n">
        <x:f>AF221*(1-'Assumptions'!$F$12)+AZ221*'Assumptions'!$G$12-AZ221*'APPF Model'!$I$65-(AZ221-AY221)*'Assumptions'!$H$12-0</x:f>
        <x:v>1688.4738891314096</x:v>
      </x:c>
      <x:c r="AQ221" t="n">
        <x:f>AG221*(1-'Assumptions'!$F$12)+BA221*'Assumptions'!$G$12-BA221*'APPF Model'!$J$65-(BA221-AZ221)*'Assumptions'!$H$12-0</x:f>
        <x:v>1872.4663666139438</x:v>
      </x:c>
      <x:c r="AR221" t="n">
        <x:f>AH221*(1-'Assumptions'!$F$12)+BB221*'Assumptions'!$G$12-BB221*'APPF Model'!$K$65-(BB221-BA221)*'Assumptions'!$H$12-0</x:f>
        <x:v>1954.0869771666792</x:v>
      </x:c>
      <x:c r="AS221" t="n">
        <x:f>E221+O221</x:f>
        <x:v>1525.9199999999998</x:v>
      </x:c>
      <x:c r="AT221" t="n">
        <x:f>F221+P221</x:f>
        <x:v>2075.2511999999997</x:v>
      </x:c>
      <x:c r="AU221" t="n">
        <x:f>G221+Q221</x:f>
        <x:v>2822.341631999999</x:v>
      </x:c>
      <x:c r="AV221" t="n">
        <x:f>H221+R221</x:f>
        <x:v>3838.384619519999</x:v>
      </x:c>
      <x:c r="AW221" t="n">
        <x:f>I221+S221</x:f>
        <x:v>5220.203082547198</x:v>
      </x:c>
      <x:c r="AX221" t="n">
        <x:f>J221+T221</x:f>
        <x:v>6754.942788816075</x:v>
      </x:c>
      <x:c r="AY221" t="n">
        <x:f>K221+U221</x:f>
        <x:v>8295.06974466614</x:v>
      </x:c>
      <x:c r="AZ221" t="n">
        <x:f>L221+V221</x:f>
        <x:v>9638.871043302053</x:v>
      </x:c>
      <x:c r="BA221" t="n">
        <x:f>M221+W221</x:f>
        <x:v>10564.202663459051</x:v>
      </x:c>
      <x:c r="BB221" t="n">
        <x:f>N221+X221</x:f>
        <x:v>10881.128743362822</x:v>
      </x:c>
      <x:c r="BC221" t="n">
        <x:f>AS221/'Inputs'!$E$14-1</x:f>
        <x:v>0.3599999999999999</x:v>
      </x:c>
      <x:c r="BD221" t="n">
        <x:f>AT221/AS221-1</x:f>
        <x:v>0.3599999999999999</x:v>
      </x:c>
      <x:c r="BE221" t="n">
        <x:f>AU221/AT221-1</x:f>
        <x:v>0.3599999999999999</x:v>
      </x:c>
      <x:c r="BF221" t="n">
        <x:f>AV221/AU221-1</x:f>
        <x:v>0.3600000000000001</x:v>
      </x:c>
      <x:c r="BG221" t="n">
        <x:f>AW221/AV221-1</x:f>
        <x:v>0.3599999999999999</x:v>
      </x:c>
      <x:c r="BH221" t="n">
        <x:f>AX221/AW221-1</x:f>
        <x:v>0.29400000000000004</x:v>
      </x:c>
      <x:c r="BI221" t="n">
        <x:f>AY221/AX221-1</x:f>
        <x:v>0.22799999999999998</x:v>
      </x:c>
      <x:c r="BJ221" t="n">
        <x:f>AZ221/AY221-1</x:f>
        <x:v>0.16199999999999992</x:v>
      </x:c>
      <x:c r="BK221" t="n">
        <x:f>BA221/AZ221-1</x:f>
        <x:v>0.09600000000000009</x:v>
      </x:c>
      <x:c r="BL221" t="n">
        <x:f>BB221/BA221-1</x:f>
        <x:v>0.030000000000000027</x:v>
      </x:c>
      <x:c r="BM221" t="n">
        <x:f>AH221*(1-'Assumptions'!$F$12)*(1+'Assumptions'!$D$12)*(1-'Assumptions'!$D$12/'Assumptions'!$E$12)</x:f>
        <x:v>1882.8705177515026</x:v>
      </x:c>
      <x:c r="BN221" t="n">
        <x:f>SUMPRODUCT(AI221:AR221,'APPF Model'!$B$83:$K$83)+BM221/('Assumptions'!$C$12-'Assumptions'!$D$12)*'APPF Model'!$K$83</x:f>
        <x:v>15876.818866324047</x:v>
      </x:c>
      <x:c r="BO221" t="n">
        <x:f>'APPF Model'!$B$94</x:f>
        <x:v>171.685</x:v>
      </x:c>
      <x:c r="BP221" t="n">
        <x:f>'Inputs'!$E$8</x:f>
        <x:v>36</x:v>
      </x:c>
    </x:row>
    <x:row r="222">
      <x:c r="A222" t="str">
        <x:v>APPF</x:v>
      </x:c>
      <x:c r="B222" s="22" t="n">
        <x:v>0.37</x:v>
      </x:c>
      <x:c r="C222" s="42" t="n">
        <x:f>(BN222+BO222)/BP222</x:f>
        <x:v>467.88169121555165</x:v>
      </x:c>
      <x:c r="D222" s="22" t="n">
        <x:f>C222/'Inputs'!$E$5-1</x:f>
        <x:v>1.1835061191690857</x:v>
      </x:c>
      <x:c r="E222" t="n">
        <x:f>'Inputs'!$E$14*(1+$B222)^1</x:f>
        <x:v>1537.14</x:v>
      </x:c>
      <x:c r="F222" t="n">
        <x:f>'Inputs'!$E$14*(1+$B222)^2</x:f>
        <x:v>2105.8818</x:v>
      </x:c>
      <x:c r="G222" t="n">
        <x:f>'Inputs'!$E$14*(1+$B222)^3</x:f>
        <x:v>2885.058066000001</x:v>
      </x:c>
      <x:c r="H222" t="n">
        <x:f>'Inputs'!$E$14*(1+$B222)^4</x:f>
        <x:v>3952.529550420001</x:v>
      </x:c>
      <x:c r="I222" t="n">
        <x:f>'Inputs'!$E$14*(1+$B222)^5</x:f>
        <x:v>5414.965484075402</x:v>
      </x:c>
      <x:c r="J222" t="n">
        <x:f>I222*(1+($BG222+('Assumptions'!$D$12-$BG222)*(6-5)/5))</x:f>
        <x:v>7050.285060266174</x:v>
      </x:c>
      <x:c r="K222" t="n">
        <x:f>J222*(1+($BG222+('Assumptions'!$D$12-$BG222)*(7-5)/5))</x:f>
        <x:v>8700.051764368458</x:v>
      </x:c>
      <x:c r="L222" t="n">
        <x:f>K222*(1+($BG222+('Assumptions'!$D$12-$BG222)*(8-5)/5))</x:f>
        <x:v>10144.260357253623</x:v>
      </x:c>
      <x:c r="M222" t="n">
        <x:f>L222*(1+($BG222+('Assumptions'!$D$12-$BG222)*(9-5)/5))</x:f>
        <x:v>11138.397872264479</x:v>
      </x:c>
      <x:c r="N222" t="n">
        <x:f>M222*(1+($BG222+('Assumptions'!$D$12-$BG222)*(10-5)/5))</x:f>
        <x:v>11472.549808432414</x:v>
      </x:c>
      <x:c r="O222" t="n">
        <x:f>0</x:f>
        <x:v>0</x:v>
      </x:c>
      <x:c r="P222" t="n">
        <x:f>0</x:f>
        <x:v>0</x:v>
      </x:c>
      <x:c r="Q222" t="n">
        <x:f>0</x:f>
        <x:v>0</x:v>
      </x:c>
      <x:c r="R222" t="n">
        <x:f>0</x:f>
        <x:v>0</x:v>
      </x:c>
      <x:c r="S222" t="n">
        <x:f>0</x:f>
        <x:v>0</x:v>
      </x:c>
      <x:c r="T222" t="n">
        <x:f>S222*(1+($BG222+('Assumptions'!$D$12-$BG222)*(6-5)/5))</x:f>
        <x:v>0</x:v>
      </x:c>
      <x:c r="U222" t="n">
        <x:f>T222*(1+($BG222+('Assumptions'!$D$12-$BG222)*(7-5)/5))</x:f>
        <x:v>0</x:v>
      </x:c>
      <x:c r="V222" t="n">
        <x:f>U222*(1+($BG222+('Assumptions'!$D$12-$BG222)*(8-5)/5))</x:f>
        <x:v>0</x:v>
      </x:c>
      <x:c r="W222" t="n">
        <x:f>V222*(1+($BG222+('Assumptions'!$D$12-$BG222)*(9-5)/5))</x:f>
        <x:v>0</x:v>
      </x:c>
      <x:c r="X222" t="n">
        <x:f>W222*(1+($BG222+('Assumptions'!$D$12-$BG222)*(10-5)/5))</x:f>
        <x:v>0</x:v>
      </x:c>
      <x:c r="Y222" t="n">
        <x:f>E222*'APPF Model'!$B$62+O222*'APPF Model'!$B$63+'APPF Model'!$B$73+'APPF Model'!$B$74</x:f>
        <x:v>315.1137</x:v>
      </x:c>
      <x:c r="Z222" t="n">
        <x:f>F222*'APPF Model'!$C$62+P222*'APPF Model'!$C$63+'APPF Model'!$C$73+'APPF Model'!$C$74</x:f>
        <x:v>463.29399600000005</x:v>
      </x:c>
      <x:c r="AA222" t="n">
        <x:f>G222*'APPF Model'!$D$62+Q222*'APPF Model'!$D$63+'APPF Model'!$D$73+'APPF Model'!$D$74</x:f>
        <x:v>663.5633551800003</x:v>
      </x:c>
      <x:c r="AB222" t="n">
        <x:f>H222*'APPF Model'!$E$62+R222*'APPF Model'!$E$63+'APPF Model'!$E$73+'APPF Model'!$E$74</x:f>
        <x:v>948.6070921008003</x:v>
      </x:c>
      <x:c r="AC222" t="n">
        <x:f>I222*'APPF Model'!$F$62+S222*'APPF Model'!$F$63+'APPF Model'!$F$73+'APPF Model'!$F$74</x:f>
        <x:v>1326.6665435984735</x:v>
      </x:c>
      <x:c r="AD222" t="n">
        <x:f>AX222*$AC222/$AW222</x:f>
        <x:v>1727.3198397652127</x:v>
      </x:c>
      <x:c r="AE222" t="n">
        <x:f>AY222*$AC222/$AW222</x:f>
        <x:v>2131.5126822702723</x:v>
      </x:c>
      <x:c r="AF222" t="n">
        <x:f>AZ222*$AC222/$AW222</x:f>
        <x:v>2485.3437875271375</x:v>
      </x:c>
      <x:c r="AG222" t="n">
        <x:f>BA222*$AC222/$AW222</x:f>
        <x:v>2728.9074787047975</x:v>
      </x:c>
      <x:c r="AH222" t="n">
        <x:f>BB222*$AC222/$AW222</x:f>
        <x:v>2810.7747030659416</x:v>
      </x:c>
      <x:c r="AI222" t="n">
        <x:f>Y222*(1-'Assumptions'!$F$12)+AS222*'Assumptions'!$G$12-AS222*'APPF Model'!$B$65-(AS222-'Inputs'!$E$14)*'Assumptions'!$H$12-'Assumptions'!$I$12</x:f>
        <x:v>215.118255</x:v>
      </x:c>
      <x:c r="AJ222" t="n">
        <x:f>Z222*(1-'Assumptions'!$F$12)+AT222*'Assumptions'!$G$12-AT222*'APPF Model'!$C$65-(AT222-AS222)*'Assumptions'!$H$12-0</x:f>
        <x:v>318.40317960000004</x:v>
      </x:c>
      <x:c r="AK222" t="n">
        <x:f>AA222*(1-'Assumptions'!$F$12)+AU222*'Assumptions'!$G$12-AU222*'APPF Model'!$D$65-(AU222-AT222)*'Assumptions'!$H$12-0</x:f>
        <x:v>457.85029154700015</x:v>
      </x:c>
      <x:c r="AL222" t="n">
        <x:f>AB222*(1-'Assumptions'!$F$12)+AV222*'Assumptions'!$G$12-AV222*'APPF Model'!$E$65-(AV222-AU222)*'Assumptions'!$H$12-0</x:f>
        <x:v>656.8988710475403</x:v>
      </x:c>
      <x:c r="AM222" t="n">
        <x:f>AC222*(1-'Assumptions'!$F$12)+AW222*'Assumptions'!$G$12-AW222*'APPF Model'!$F$65-(AW222-AV222)*'Assumptions'!$H$12-0</x:f>
        <x:v>920.257573900413</x:v>
      </x:c>
      <x:c r="AN222" t="n">
        <x:f>AD222*(1-'Assumptions'!$F$12)+AX222*'Assumptions'!$G$12-AX222*'APPF Model'!$G$65-(AX222-AW222)*'Assumptions'!$H$12-0</x:f>
        <x:v>1208.9262415954804</x:v>
      </x:c>
      <x:c r="AO222" t="n">
        <x:f>AE222*(1-'Assumptions'!$F$12)+AY222*'Assumptions'!$G$12-AY222*'APPF Model'!$H$65-(AY222-AX222)*'Assumptions'!$H$12-0</x:f>
        <x:v>1506.5436882455076</x:v>
      </x:c>
      <x:c r="AP222" t="n">
        <x:f>AF222*(1-'Assumptions'!$F$12)+AZ222*'Assumptions'!$G$12-AZ222*'APPF Model'!$I$65-(AZ222-AY222)*'Assumptions'!$H$12-0</x:f>
        <x:v>1775.8067158581855</x:v>
      </x:c>
      <x:c r="AQ222" t="n">
        <x:f>AG222*(1-'Assumptions'!$F$12)+BA222*'Assumptions'!$G$12-BA222*'APPF Model'!$J$65-(BA222-AZ222)*'Assumptions'!$H$12-0</x:f>
        <x:v>1973.4999148113704</x:v>
      </x:c>
      <x:c r="AR222" t="n">
        <x:f>AH222*(1-'Assumptions'!$F$12)+BB222*'Assumptions'!$G$12-BB222*'APPF Model'!$K$65-(BB222-BA222)*'Assumptions'!$H$12-0</x:f>
        <x:v>2060.2973004274413</x:v>
      </x:c>
      <x:c r="AS222" t="n">
        <x:f>E222+O222</x:f>
        <x:v>1537.14</x:v>
      </x:c>
      <x:c r="AT222" t="n">
        <x:f>F222+P222</x:f>
        <x:v>2105.8818</x:v>
      </x:c>
      <x:c r="AU222" t="n">
        <x:f>G222+Q222</x:f>
        <x:v>2885.058066000001</x:v>
      </x:c>
      <x:c r="AV222" t="n">
        <x:f>H222+R222</x:f>
        <x:v>3952.529550420001</x:v>
      </x:c>
      <x:c r="AW222" t="n">
        <x:f>I222+S222</x:f>
        <x:v>5414.965484075402</x:v>
      </x:c>
      <x:c r="AX222" t="n">
        <x:f>J222+T222</x:f>
        <x:v>7050.285060266174</x:v>
      </x:c>
      <x:c r="AY222" t="n">
        <x:f>K222+U222</x:f>
        <x:v>8700.051764368458</x:v>
      </x:c>
      <x:c r="AZ222" t="n">
        <x:f>L222+V222</x:f>
        <x:v>10144.260357253623</x:v>
      </x:c>
      <x:c r="BA222" t="n">
        <x:f>M222+W222</x:f>
        <x:v>11138.397872264479</x:v>
      </x:c>
      <x:c r="BB222" t="n">
        <x:f>N222+X222</x:f>
        <x:v>11472.549808432414</x:v>
      </x:c>
      <x:c r="BC222" t="n">
        <x:f>AS222/'Inputs'!$E$14-1</x:f>
        <x:v>0.3700000000000001</x:v>
      </x:c>
      <x:c r="BD222" t="n">
        <x:f>AT222/AS222-1</x:f>
        <x:v>0.3699999999999999</x:v>
      </x:c>
      <x:c r="BE222" t="n">
        <x:f>AU222/AT222-1</x:f>
        <x:v>0.37000000000000033</x:v>
      </x:c>
      <x:c r="BF222" t="n">
        <x:f>AV222/AU222-1</x:f>
        <x:v>0.3699999999999999</x:v>
      </x:c>
      <x:c r="BG222" t="n">
        <x:f>AW222/AV222-1</x:f>
        <x:v>0.3700000000000001</x:v>
      </x:c>
      <x:c r="BH222" t="n">
        <x:f>AX222/AW222-1</x:f>
        <x:v>0.30200000000000005</x:v>
      </x:c>
      <x:c r="BI222" t="n">
        <x:f>AY222/AX222-1</x:f>
        <x:v>0.23399999999999999</x:v>
      </x:c>
      <x:c r="BJ222" t="n">
        <x:f>AZ222/AY222-1</x:f>
        <x:v>0.16600000000000015</x:v>
      </x:c>
      <x:c r="BK222" t="n">
        <x:f>BA222/AZ222-1</x:f>
        <x:v>0.09800000000000009</x:v>
      </x:c>
      <x:c r="BL222" t="n">
        <x:f>BB222/BA222-1</x:f>
        <x:v>0.030000000000000027</x:v>
      </x:c>
      <x:c r="BM222" t="n">
        <x:f>AH222*(1-'Assumptions'!$F$12)*(1+'Assumptions'!$D$12)*(1-'Assumptions'!$D$12/'Assumptions'!$E$12)</x:f>
        <x:v>1985.2100188511452</x:v>
      </x:c>
      <x:c r="BN222" t="n">
        <x:f>SUMPRODUCT(AI222:AR222,'APPF Model'!$B$83:$K$83)+BM222/('Assumptions'!$C$12-'Assumptions'!$D$12)*'APPF Model'!$K$83</x:f>
        <x:v>16672.05588375986</x:v>
      </x:c>
      <x:c r="BO222" t="n">
        <x:f>'APPF Model'!$B$94</x:f>
        <x:v>171.685</x:v>
      </x:c>
      <x:c r="BP222" t="n">
        <x:f>'Inputs'!$E$8</x:f>
        <x:v>36</x:v>
      </x:c>
    </x:row>
    <x:row r="223">
      <x:c r="A223" t="str">
        <x:v>APPF</x:v>
      </x:c>
      <x:c r="B223" s="22" t="n">
        <x:v>0.38</x:v>
      </x:c>
      <x:c r="C223" s="42" t="n">
        <x:f>(BN223+BO223)/BP223</x:f>
        <x:v>490.9662233799149</x:v>
      </x:c>
      <x:c r="D223" s="22" t="n">
        <x:f>C223/'Inputs'!$E$5-1</x:f>
        <x:v>1.291236808754503</x:v>
      </x:c>
      <x:c r="E223" t="n">
        <x:f>'Inputs'!$E$14*(1+$B223)^1</x:f>
        <x:v>1548.36</x:v>
      </x:c>
      <x:c r="F223" t="n">
        <x:f>'Inputs'!$E$14*(1+$B223)^2</x:f>
        <x:v>2136.7367999999997</x:v>
      </x:c>
      <x:c r="G223" t="n">
        <x:f>'Inputs'!$E$14*(1+$B223)^3</x:f>
        <x:v>2948.6967839999993</x:v>
      </x:c>
      <x:c r="H223" t="n">
        <x:f>'Inputs'!$E$14*(1+$B223)^4</x:f>
        <x:v>4069.2015619199988</x:v>
      </x:c>
      <x:c r="I223" t="n">
        <x:f>'Inputs'!$E$14*(1+$B223)^5</x:f>
        <x:v>5615.498155449598</x:v>
      </x:c>
      <x:c r="J223" t="n">
        <x:f>I223*(1+($BG223+('Assumptions'!$D$12-$BG223)*(6-5)/5))</x:f>
        <x:v>7356.302583638973</x:v>
      </x:c>
      <x:c r="K223" t="n">
        <x:f>J223*(1+($BG223+('Assumptions'!$D$12-$BG223)*(7-5)/5))</x:f>
        <x:v>9121.815203712327</x:v>
      </x:c>
      <x:c r="L223" t="n">
        <x:f>K223*(1+($BG223+('Assumptions'!$D$12-$BG223)*(8-5)/5))</x:f>
        <x:v>10672.523788343422</x:v>
      </x:c>
      <x:c r="M223" t="n">
        <x:f>L223*(1+($BG223+('Assumptions'!$D$12-$BG223)*(9-5)/5))</x:f>
        <x:v>11739.776167177764</x:v>
      </x:c>
      <x:c r="N223" t="n">
        <x:f>M223*(1+($BG223+('Assumptions'!$D$12-$BG223)*(10-5)/5))</x:f>
        <x:v>12091.969452193098</x:v>
      </x:c>
      <x:c r="O223" t="n">
        <x:f>0</x:f>
        <x:v>0</x:v>
      </x:c>
      <x:c r="P223" t="n">
        <x:f>0</x:f>
        <x:v>0</x:v>
      </x:c>
      <x:c r="Q223" t="n">
        <x:f>0</x:f>
        <x:v>0</x:v>
      </x:c>
      <x:c r="R223" t="n">
        <x:f>0</x:f>
        <x:v>0</x:v>
      </x:c>
      <x:c r="S223" t="n">
        <x:f>0</x:f>
        <x:v>0</x:v>
      </x:c>
      <x:c r="T223" t="n">
        <x:f>S223*(1+($BG223+('Assumptions'!$D$12-$BG223)*(6-5)/5))</x:f>
        <x:v>0</x:v>
      </x:c>
      <x:c r="U223" t="n">
        <x:f>T223*(1+($BG223+('Assumptions'!$D$12-$BG223)*(7-5)/5))</x:f>
        <x:v>0</x:v>
      </x:c>
      <x:c r="V223" t="n">
        <x:f>U223*(1+($BG223+('Assumptions'!$D$12-$BG223)*(8-5)/5))</x:f>
        <x:v>0</x:v>
      </x:c>
      <x:c r="W223" t="n">
        <x:f>V223*(1+($BG223+('Assumptions'!$D$12-$BG223)*(9-5)/5))</x:f>
        <x:v>0</x:v>
      </x:c>
      <x:c r="X223" t="n">
        <x:f>W223*(1+($BG223+('Assumptions'!$D$12-$BG223)*(10-5)/5))</x:f>
        <x:v>0</x:v>
      </x:c>
      <x:c r="Y223" t="n">
        <x:f>E223*'APPF Model'!$B$62+O223*'APPF Model'!$B$63+'APPF Model'!$B$73+'APPF Model'!$B$74</x:f>
        <x:v>317.4138</x:v>
      </x:c>
      <x:c r="Z223" t="n">
        <x:f>F223*'APPF Model'!$C$62+P223*'APPF Model'!$C$63+'APPF Model'!$C$73+'APPF Model'!$C$74</x:f>
        <x:v>470.0820959999999</x:v>
      </x:c>
      <x:c r="AA223" t="n">
        <x:f>G223*'APPF Model'!$D$62+Q223*'APPF Model'!$D$63+'APPF Model'!$D$73+'APPF Model'!$D$74</x:f>
        <x:v>678.2002603199999</x:v>
      </x:c>
      <x:c r="AB223" t="n">
        <x:f>H223*'APPF Model'!$E$62+R223*'APPF Model'!$E$63+'APPF Model'!$E$73+'APPF Model'!$E$74</x:f>
        <x:v>976.6083748607997</x:v>
      </x:c>
      <x:c r="AC223" t="n">
        <x:f>I223*'APPF Model'!$F$62+S223*'APPF Model'!$F$63+'APPF Model'!$F$73+'APPF Model'!$F$74</x:f>
        <x:v>1375.7970480851516</x:v>
      </x:c>
      <x:c r="AD223" t="n">
        <x:f>AX223*$AC223/$AW223</x:f>
        <x:v>1802.2941329915486</x:v>
      </x:c>
      <x:c r="AE223" t="n">
        <x:f>AY223*$AC223/$AW223</x:f>
        <x:v>2234.84472490952</x:v>
      </x:c>
      <x:c r="AF223" t="n">
        <x:f>AZ223*$AC223/$AW223</x:f>
        <x:v>2614.7683281441386</x:v>
      </x:c>
      <x:c r="AG223" t="n">
        <x:f>BA223*$AC223/$AW223</x:f>
        <x:v>2876.2451609585523</x:v>
      </x:c>
      <x:c r="AH223" t="n">
        <x:f>BB223*$AC223/$AW223</x:f>
        <x:v>2962.532515787309</x:v>
      </x:c>
      <x:c r="AI223" t="n">
        <x:f>Y223*(1-'Assumptions'!$F$12)+AS223*'Assumptions'!$G$12-AS223*'APPF Model'!$B$65-(AS223-'Inputs'!$E$14)*'Assumptions'!$H$12-'Assumptions'!$I$12</x:f>
        <x:v>216.36087</x:v>
      </x:c>
      <x:c r="AJ223" t="n">
        <x:f>Z223*(1-'Assumptions'!$F$12)+AT223*'Assumptions'!$G$12-AT223*'APPF Model'!$C$65-(AT223-AS223)*'Assumptions'!$H$12-0</x:f>
        <x:v>322.61628959999996</x:v>
      </x:c>
      <x:c r="AK223" t="n">
        <x:f>AA223*(1-'Assumptions'!$F$12)+AU223*'Assumptions'!$G$12-AU223*'APPF Model'!$D$65-(AU223-AT223)*'Assumptions'!$H$12-0</x:f>
        <x:v>467.32570552799996</x:v>
      </x:c>
      <x:c r="AL223" t="n">
        <x:f>AB223*(1-'Assumptions'!$F$12)+AV223*'Assumptions'!$G$12-AV223*'APPF Model'!$E$65-(AV223-AU223)*'Assumptions'!$H$12-0</x:f>
        <x:v>675.4284853430398</x:v>
      </x:c>
      <x:c r="AM223" t="n">
        <x:f>AC223*(1-'Assumptions'!$F$12)+AW223*'Assumptions'!$G$12-AW223*'APPF Model'!$F$65-(AW223-AV223)*'Assumptions'!$H$12-0</x:f>
        <x:v>953.1494278563309</x:v>
      </x:c>
      <x:c r="AN223" t="n">
        <x:f>AD223*(1-'Assumptions'!$F$12)+AX223*'Assumptions'!$G$12-AX223*'APPF Model'!$G$65-(AX223-AW223)*'Assumptions'!$H$12-0</x:f>
        <x:v>1260.0195148651696</x:v>
      </x:c>
      <x:c r="AO223" t="n">
        <x:f>AE223*(1-'Assumptions'!$F$12)+AY223*'Assumptions'!$G$12-AY223*'APPF Model'!$H$65-(AY223-AX223)*'Assumptions'!$H$12-0</x:f>
        <x:v>1578.147593268069</x:v>
      </x:c>
      <x:c r="AP223" t="n">
        <x:f>AF223*(1-'Assumptions'!$F$12)+AZ223*'Assumptions'!$G$12-AZ223*'APPF Model'!$I$65-(AZ223-AY223)*'Assumptions'!$H$12-0</x:f>
        <x:v>1867.0303313578297</x:v>
      </x:c>
      <x:c r="AQ223" t="n">
        <x:f>AG223*(1-'Assumptions'!$F$12)+BA223*'Assumptions'!$G$12-BA223*'APPF Model'!$J$65-(BA223-AZ223)*'Assumptions'!$H$12-0</x:f>
        <x:v>2079.2744470640077</x:v>
      </x:c>
      <x:c r="AR223" t="n">
        <x:f>AH223*(1-'Assumptions'!$F$12)+BB223*'Assumptions'!$G$12-BB223*'APPF Model'!$K$65-(BB223-BA223)*'Assumptions'!$H$12-0</x:f>
        <x:v>2171.535747083289</x:v>
      </x:c>
      <x:c r="AS223" t="n">
        <x:f>E223+O223</x:f>
        <x:v>1548.36</x:v>
      </x:c>
      <x:c r="AT223" t="n">
        <x:f>F223+P223</x:f>
        <x:v>2136.7367999999997</x:v>
      </x:c>
      <x:c r="AU223" t="n">
        <x:f>G223+Q223</x:f>
        <x:v>2948.6967839999993</x:v>
      </x:c>
      <x:c r="AV223" t="n">
        <x:f>H223+R223</x:f>
        <x:v>4069.2015619199988</x:v>
      </x:c>
      <x:c r="AW223" t="n">
        <x:f>I223+S223</x:f>
        <x:v>5615.498155449598</x:v>
      </x:c>
      <x:c r="AX223" t="n">
        <x:f>J223+T223</x:f>
        <x:v>7356.302583638973</x:v>
      </x:c>
      <x:c r="AY223" t="n">
        <x:f>K223+U223</x:f>
        <x:v>9121.815203712327</x:v>
      </x:c>
      <x:c r="AZ223" t="n">
        <x:f>L223+V223</x:f>
        <x:v>10672.523788343422</x:v>
      </x:c>
      <x:c r="BA223" t="n">
        <x:f>M223+W223</x:f>
        <x:v>11739.776167177764</x:v>
      </x:c>
      <x:c r="BB223" t="n">
        <x:f>N223+X223</x:f>
        <x:v>12091.969452193098</x:v>
      </x:c>
      <x:c r="BC223" t="n">
        <x:f>AS223/'Inputs'!$E$14-1</x:f>
        <x:v>0.3799999999999999</x:v>
      </x:c>
      <x:c r="BD223" t="n">
        <x:f>AT223/AS223-1</x:f>
        <x:v>0.3799999999999999</x:v>
      </x:c>
      <x:c r="BE223" t="n">
        <x:f>AU223/AT223-1</x:f>
        <x:v>0.3799999999999999</x:v>
      </x:c>
      <x:c r="BF223" t="n">
        <x:f>AV223/AU223-1</x:f>
        <x:v>0.3799999999999999</x:v>
      </x:c>
      <x:c r="BG223" t="n">
        <x:f>AW223/AV223-1</x:f>
        <x:v>0.3799999999999999</x:v>
      </x:c>
      <x:c r="BH223" t="n">
        <x:f>AX223/AW223-1</x:f>
        <x:v>0.31000000000000005</x:v>
      </x:c>
      <x:c r="BI223" t="n">
        <x:f>AY223/AX223-1</x:f>
        <x:v>0.24</x:v>
      </x:c>
      <x:c r="BJ223" t="n">
        <x:f>AZ223/AY223-1</x:f>
        <x:v>0.16999999999999993</x:v>
      </x:c>
      <x:c r="BK223" t="n">
        <x:f>BA223/AZ223-1</x:f>
        <x:v>0.10000000000000009</x:v>
      </x:c>
      <x:c r="BL223" t="n">
        <x:f>BB223/BA223-1</x:f>
        <x:v>0.030000000000000027</x:v>
      </x:c>
      <x:c r="BM223" t="n">
        <x:f>AH223*(1-'Assumptions'!$F$12)*(1+'Assumptions'!$D$12)*(1-'Assumptions'!$D$12/'Assumptions'!$E$12)</x:f>
        <x:v>2092.3943940074937</x:v>
      </x:c>
      <x:c r="BN223" t="n">
        <x:f>SUMPRODUCT(AI223:AR223,'APPF Model'!$B$83:$K$83)+BM223/('Assumptions'!$C$12-'Assumptions'!$D$12)*'APPF Model'!$K$83</x:f>
        <x:v>17503.099041676935</x:v>
      </x:c>
      <x:c r="BO223" t="n">
        <x:f>'APPF Model'!$B$94</x:f>
        <x:v>171.685</x:v>
      </x:c>
      <x:c r="BP223" t="n">
        <x:f>'Inputs'!$E$8</x:f>
        <x:v>36</x:v>
      </x:c>
    </x:row>
    <x:row r="224">
      <x:c r="A224" t="str">
        <x:v>APPF</x:v>
      </x:c>
      <x:c r="B224" s="22" t="n">
        <x:v>0.39</x:v>
      </x:c>
      <x:c r="C224" s="42" t="n">
        <x:f>(BN224+BO224)/BP224</x:f>
        <x:v>515.0842534516804</x:v>
      </x:c>
      <x:c r="D224" s="22" t="n">
        <x:f>C224/'Inputs'!$E$5-1</x:f>
        <x:v>1.403790617190967</x:v>
      </x:c>
      <x:c r="E224" t="n">
        <x:f>'Inputs'!$E$14*(1+$B224)^1</x:f>
        <x:v>1559.5800000000002</x:v>
      </x:c>
      <x:c r="F224" t="n">
        <x:f>'Inputs'!$E$14*(1+$B224)^2</x:f>
        <x:v>2167.8162</x:v>
      </x:c>
      <x:c r="G224" t="n">
        <x:f>'Inputs'!$E$14*(1+$B224)^3</x:f>
        <x:v>3013.264518000001</x:v>
      </x:c>
      <x:c r="H224" t="n">
        <x:f>'Inputs'!$E$14*(1+$B224)^4</x:f>
        <x:v>4188.437680020002</x:v>
      </x:c>
      <x:c r="I224" t="n">
        <x:f>'Inputs'!$E$14*(1+$B224)^5</x:f>
        <x:v>5821.9283752278025</x:v>
      </x:c>
      <x:c r="J224" t="n">
        <x:f>I224*(1+($BG224+('Assumptions'!$D$12-$BG224)*(6-5)/5))</x:f>
        <x:v>7673.301598550244</x:v>
      </x:c>
      <x:c r="K224" t="n">
        <x:f>J224*(1+($BG224+('Assumptions'!$D$12-$BG224)*(7-5)/5))</x:f>
        <x:v>9560.933791793605</x:v>
      </x:c>
      <x:c r="L224" t="n">
        <x:f>K224*(1+($BG224+('Assumptions'!$D$12-$BG224)*(8-5)/5))</x:f>
        <x:v>11224.536271565694</x:v>
      </x:c>
      <x:c r="M224" t="n">
        <x:f>L224*(1+($BG224+('Assumptions'!$D$12-$BG224)*(9-5)/5))</x:f>
        <x:v>12369.438971265396</x:v>
      </x:c>
      <x:c r="N224" t="n">
        <x:f>M224*(1+($BG224+('Assumptions'!$D$12-$BG224)*(10-5)/5))</x:f>
        <x:v>12740.522140403358</x:v>
      </x:c>
      <x:c r="O224" t="n">
        <x:f>0</x:f>
        <x:v>0</x:v>
      </x:c>
      <x:c r="P224" t="n">
        <x:f>0</x:f>
        <x:v>0</x:v>
      </x:c>
      <x:c r="Q224" t="n">
        <x:f>0</x:f>
        <x:v>0</x:v>
      </x:c>
      <x:c r="R224" t="n">
        <x:f>0</x:f>
        <x:v>0</x:v>
      </x:c>
      <x:c r="S224" t="n">
        <x:f>0</x:f>
        <x:v>0</x:v>
      </x:c>
      <x:c r="T224" t="n">
        <x:f>S224*(1+($BG224+('Assumptions'!$D$12-$BG224)*(6-5)/5))</x:f>
        <x:v>0</x:v>
      </x:c>
      <x:c r="U224" t="n">
        <x:f>T224*(1+($BG224+('Assumptions'!$D$12-$BG224)*(7-5)/5))</x:f>
        <x:v>0</x:v>
      </x:c>
      <x:c r="V224" t="n">
        <x:f>U224*(1+($BG224+('Assumptions'!$D$12-$BG224)*(8-5)/5))</x:f>
        <x:v>0</x:v>
      </x:c>
      <x:c r="W224" t="n">
        <x:f>V224*(1+($BG224+('Assumptions'!$D$12-$BG224)*(9-5)/5))</x:f>
        <x:v>0</x:v>
      </x:c>
      <x:c r="X224" t="n">
        <x:f>W224*(1+($BG224+('Assumptions'!$D$12-$BG224)*(10-5)/5))</x:f>
        <x:v>0</x:v>
      </x:c>
      <x:c r="Y224" t="n">
        <x:f>E224*'APPF Model'!$B$62+O224*'APPF Model'!$B$63+'APPF Model'!$B$73+'APPF Model'!$B$74</x:f>
        <x:v>319.7139</x:v>
      </x:c>
      <x:c r="Z224" t="n">
        <x:f>F224*'APPF Model'!$C$62+P224*'APPF Model'!$C$63+'APPF Model'!$C$73+'APPF Model'!$C$74</x:f>
        <x:v>476.91956400000004</x:v>
      </x:c>
      <x:c r="AA224" t="n">
        <x:f>G224*'APPF Model'!$D$62+Q224*'APPF Model'!$D$63+'APPF Model'!$D$73+'APPF Model'!$D$74</x:f>
        <x:v>693.0508391400002</x:v>
      </x:c>
      <x:c r="AB224" t="n">
        <x:f>H224*'APPF Model'!$E$62+R224*'APPF Model'!$E$63+'APPF Model'!$E$73+'APPF Model'!$E$74</x:f>
        <x:v>1005.2250432048004</x:v>
      </x:c>
      <x:c r="AC224" t="n">
        <x:f>I224*'APPF Model'!$F$62+S224*'APPF Model'!$F$63+'APPF Model'!$F$73+'APPF Model'!$F$74</x:f>
        <x:v>1426.3724519308116</x:v>
      </x:c>
      <x:c r="AD224" t="n">
        <x:f>AX224*$AC224/$AW224</x:f>
        <x:v>1879.9588916448101</x:v>
      </x:c>
      <x:c r="AE224" t="n">
        <x:f>AY224*$AC224/$AW224</x:f>
        <x:v>2342.4287789894333</x:v>
      </x:c>
      <x:c r="AF224" t="n">
        <x:f>AZ224*$AC224/$AW224</x:f>
        <x:v>2750.011386533595</x:v>
      </x:c>
      <x:c r="AG224" t="n">
        <x:f>BA224*$AC224/$AW224</x:f>
        <x:v>3030.512547960022</x:v>
      </x:c>
      <x:c r="AH224" t="n">
        <x:f>BB224*$AC224/$AW224</x:f>
        <x:v>3121.4279243988226</x:v>
      </x:c>
      <x:c r="AI224" t="n">
        <x:f>Y224*(1-'Assumptions'!$F$12)+AS224*'Assumptions'!$G$12-AS224*'APPF Model'!$B$65-(AS224-'Inputs'!$E$14)*'Assumptions'!$H$12-'Assumptions'!$I$12</x:f>
        <x:v>217.60348500000003</x:v>
      </x:c>
      <x:c r="AJ224" t="n">
        <x:f>Z224*(1-'Assumptions'!$F$12)+AT224*'Assumptions'!$G$12-AT224*'APPF Model'!$C$65-(AT224-AS224)*'Assumptions'!$H$12-0</x:f>
        <x:v>326.8567764</x:v>
      </x:c>
      <x:c r="AK224" t="n">
        <x:f>AA224*(1-'Assumptions'!$F$12)+AU224*'Assumptions'!$G$12-AU224*'APPF Model'!$D$65-(AU224-AT224)*'Assumptions'!$H$12-0</x:f>
        <x:v>476.93040308100007</x:v>
      </x:c>
      <x:c r="AL224" t="n">
        <x:f>AB224*(1-'Assumptions'!$F$12)+AV224*'Assumptions'!$G$12-AV224*'APPF Model'!$E$65-(AV224-AU224)*'Assumptions'!$H$12-0</x:f>
        <x:v>694.3465428827402</x:v>
      </x:c>
      <x:c r="AM224" t="n">
        <x:f>AC224*(1-'Assumptions'!$F$12)+AW224*'Assumptions'!$G$12-AW224*'APPF Model'!$F$65-(AW224-AV224)*'Assumptions'!$H$12-0</x:f>
        <x:v>986.9739260141133</x:v>
      </x:c>
      <x:c r="AN224" t="n">
        <x:f>AD224*(1-'Assumptions'!$F$12)+AX224*'Assumptions'!$G$12-AX224*'APPF Model'!$G$65-(AX224-AW224)*'Assumptions'!$H$12-0</x:f>
        <x:v>1312.8943350050592</x:v>
      </x:c>
      <x:c r="AO224" t="n">
        <x:f>AE224*(1-'Assumptions'!$F$12)+AY224*'Assumptions'!$G$12-AY224*'APPF Model'!$H$65-(AY224-AX224)*'Assumptions'!$H$12-0</x:f>
        <x:v>1652.6334951369597</x:v>
      </x:c>
      <x:c r="AP224" t="n">
        <x:f>AF224*(1-'Assumptions'!$F$12)+AZ224*'Assumptions'!$G$12-AZ224*'APPF Model'!$I$65-(AZ224-AY224)*'Assumptions'!$H$12-0</x:f>
        <x:v>1962.2908318946158</x:v>
      </x:c>
      <x:c r="AQ224" t="n">
        <x:f>AG224*(1-'Assumptions'!$F$12)+BA224*'Assumptions'!$G$12-BA224*'APPF Model'!$J$65-(BA224-AZ224)*'Assumptions'!$H$12-0</x:f>
        <x:v>2189.979986068233</x:v>
      </x:c>
      <x:c r="AR224" t="n">
        <x:f>AH224*(1-'Assumptions'!$F$12)+BB224*'Assumptions'!$G$12-BB224*'APPF Model'!$K$65-(BB224-BA224)*'Assumptions'!$H$12-0</x:f>
        <x:v>2288.0060501123885</x:v>
      </x:c>
      <x:c r="AS224" t="n">
        <x:f>E224+O224</x:f>
        <x:v>1559.5800000000002</x:v>
      </x:c>
      <x:c r="AT224" t="n">
        <x:f>F224+P224</x:f>
        <x:v>2167.8162</x:v>
      </x:c>
      <x:c r="AU224" t="n">
        <x:f>G224+Q224</x:f>
        <x:v>3013.264518000001</x:v>
      </x:c>
      <x:c r="AV224" t="n">
        <x:f>H224+R224</x:f>
        <x:v>4188.437680020002</x:v>
      </x:c>
      <x:c r="AW224" t="n">
        <x:f>I224+S224</x:f>
        <x:v>5821.9283752278025</x:v>
      </x:c>
      <x:c r="AX224" t="n">
        <x:f>J224+T224</x:f>
        <x:v>7673.301598550244</x:v>
      </x:c>
      <x:c r="AY224" t="n">
        <x:f>K224+U224</x:f>
        <x:v>9560.933791793605</x:v>
      </x:c>
      <x:c r="AZ224" t="n">
        <x:f>L224+V224</x:f>
        <x:v>11224.536271565694</x:v>
      </x:c>
      <x:c r="BA224" t="n">
        <x:f>M224+W224</x:f>
        <x:v>12369.438971265396</x:v>
      </x:c>
      <x:c r="BB224" t="n">
        <x:f>N224+X224</x:f>
        <x:v>12740.522140403358</x:v>
      </x:c>
      <x:c r="BC224" t="n">
        <x:f>AS224/'Inputs'!$E$14-1</x:f>
        <x:v>0.3900000000000001</x:v>
      </x:c>
      <x:c r="BD224" t="n">
        <x:f>AT224/AS224-1</x:f>
        <x:v>0.3899999999999999</x:v>
      </x:c>
      <x:c r="BE224" t="n">
        <x:f>AU224/AT224-1</x:f>
        <x:v>0.39000000000000035</x:v>
      </x:c>
      <x:c r="BF224" t="n">
        <x:f>AV224/AU224-1</x:f>
        <x:v>0.3900000000000001</x:v>
      </x:c>
      <x:c r="BG224" t="n">
        <x:f>AW224/AV224-1</x:f>
        <x:v>0.3900000000000001</x:v>
      </x:c>
      <x:c r="BH224" t="n">
        <x:f>AX224/AW224-1</x:f>
        <x:v>0.31800000000000006</x:v>
      </x:c>
      <x:c r="BI224" t="n">
        <x:f>AY224/AX224-1</x:f>
        <x:v>0.246</x:v>
      </x:c>
      <x:c r="BJ224" t="n">
        <x:f>AZ224/AY224-1</x:f>
        <x:v>0.17400000000000015</x:v>
      </x:c>
      <x:c r="BK224" t="n">
        <x:f>BA224/AZ224-1</x:f>
        <x:v>0.10200000000000009</x:v>
      </x:c>
      <x:c r="BL224" t="n">
        <x:f>BB224/BA224-1</x:f>
        <x:v>0.030000000000000027</x:v>
      </x:c>
      <x:c r="BM224" t="n">
        <x:f>AH224*(1-'Assumptions'!$F$12)*(1+'Assumptions'!$D$12)*(1-'Assumptions'!$D$12/'Assumptions'!$E$12)</x:f>
        <x:v>2204.619951175397</x:v>
      </x:c>
      <x:c r="BN224" t="n">
        <x:f>SUMPRODUCT(AI224:AR224,'APPF Model'!$B$83:$K$83)+BM224/('Assumptions'!$C$12-'Assumptions'!$D$12)*'APPF Model'!$K$83</x:f>
        <x:v>18371.348124260494</x:v>
      </x:c>
      <x:c r="BO224" t="n">
        <x:f>'APPF Model'!$B$94</x:f>
        <x:v>171.685</x:v>
      </x:c>
      <x:c r="BP224" t="n">
        <x:f>'Inputs'!$E$8</x:f>
        <x:v>36</x:v>
      </x:c>
    </x:row>
    <x:row r="225">
      <x:c r="A225" t="str">
        <x:v>APPF</x:v>
      </x:c>
      <x:c r="B225" s="22" t="n">
        <x:v>0.4</x:v>
      </x:c>
      <x:c r="C225" s="42" t="n">
        <x:f>(BN225+BO225)/BP225</x:f>
        <x:v>540.2759452622629</x:v>
      </x:c>
      <x:c r="D225" s="22" t="n">
        <x:f>C225/'Inputs'!$E$5-1</x:f>
        <x:v>1.5213549806900453</x:v>
      </x:c>
      <x:c r="E225" t="n">
        <x:f>'Inputs'!$E$14*(1+$B225)^1</x:f>
        <x:v>1570.8</x:v>
      </x:c>
      <x:c r="F225" t="n">
        <x:f>'Inputs'!$E$14*(1+$B225)^2</x:f>
        <x:v>2199.12</x:v>
      </x:c>
      <x:c r="G225" t="n">
        <x:f>'Inputs'!$E$14*(1+$B225)^3</x:f>
        <x:v>3078.767999999999</x:v>
      </x:c>
      <x:c r="H225" t="n">
        <x:f>'Inputs'!$E$14*(1+$B225)^4</x:f>
        <x:v>4310.275199999998</x:v>
      </x:c>
      <x:c r="I225" t="n">
        <x:f>'Inputs'!$E$14*(1+$B225)^5</x:f>
        <x:v>6034.385279999998</x:v>
      </x:c>
      <x:c r="J225" t="n">
        <x:f>I225*(1+($BG225+('Assumptions'!$D$12-$BG225)*(6-5)/5))</x:f>
        <x:v>8001.594881279997</x:v>
      </x:c>
      <x:c r="K225" t="n">
        <x:f>J225*(1+($BG225+('Assumptions'!$D$12-$BG225)*(7-5)/5))</x:f>
        <x:v>10017.996791362559</x:v>
      </x:c>
      <x:c r="L225" t="n">
        <x:f>K225*(1+($BG225+('Assumptions'!$D$12-$BG225)*(8-5)/5))</x:f>
        <x:v>11801.200220225095</x:v>
      </x:c>
      <x:c r="M225" t="n">
        <x:f>L225*(1+($BG225+('Assumptions'!$D$12-$BG225)*(9-5)/5))</x:f>
        <x:v>13028.525043128506</x:v>
      </x:c>
      <x:c r="N225" t="n">
        <x:f>M225*(1+($BG225+('Assumptions'!$D$12-$BG225)*(10-5)/5))</x:f>
        <x:v>13419.38079442236</x:v>
      </x:c>
      <x:c r="O225" t="n">
        <x:f>0</x:f>
        <x:v>0</x:v>
      </x:c>
      <x:c r="P225" t="n">
        <x:f>0</x:f>
        <x:v>0</x:v>
      </x:c>
      <x:c r="Q225" t="n">
        <x:f>0</x:f>
        <x:v>0</x:v>
      </x:c>
      <x:c r="R225" t="n">
        <x:f>0</x:f>
        <x:v>0</x:v>
      </x:c>
      <x:c r="S225" t="n">
        <x:f>0</x:f>
        <x:v>0</x:v>
      </x:c>
      <x:c r="T225" t="n">
        <x:f>S225*(1+($BG225+('Assumptions'!$D$12-$BG225)*(6-5)/5))</x:f>
        <x:v>0</x:v>
      </x:c>
      <x:c r="U225" t="n">
        <x:f>T225*(1+($BG225+('Assumptions'!$D$12-$BG225)*(7-5)/5))</x:f>
        <x:v>0</x:v>
      </x:c>
      <x:c r="V225" t="n">
        <x:f>U225*(1+($BG225+('Assumptions'!$D$12-$BG225)*(8-5)/5))</x:f>
        <x:v>0</x:v>
      </x:c>
      <x:c r="W225" t="n">
        <x:f>V225*(1+($BG225+('Assumptions'!$D$12-$BG225)*(9-5)/5))</x:f>
        <x:v>0</x:v>
      </x:c>
      <x:c r="X225" t="n">
        <x:f>W225*(1+($BG225+('Assumptions'!$D$12-$BG225)*(10-5)/5))</x:f>
        <x:v>0</x:v>
      </x:c>
      <x:c r="Y225" t="n">
        <x:f>E225*'APPF Model'!$B$62+O225*'APPF Model'!$B$63+'APPF Model'!$B$73+'APPF Model'!$B$74</x:f>
        <x:v>322.01399999999995</x:v>
      </x:c>
      <x:c r="Z225" t="n">
        <x:f>F225*'APPF Model'!$C$62+P225*'APPF Model'!$C$63+'APPF Model'!$C$73+'APPF Model'!$C$74</x:f>
        <x:v>483.8064</x:v>
      </x:c>
      <x:c r="AA225" t="n">
        <x:f>G225*'APPF Model'!$D$62+Q225*'APPF Model'!$D$63+'APPF Model'!$D$73+'APPF Model'!$D$74</x:f>
        <x:v>708.1166399999998</x:v>
      </x:c>
      <x:c r="AB225" t="n">
        <x:f>H225*'APPF Model'!$E$62+R225*'APPF Model'!$E$63+'APPF Model'!$E$73+'APPF Model'!$E$74</x:f>
        <x:v>1034.4660479999995</x:v>
      </x:c>
      <x:c r="AC225" t="n">
        <x:f>I225*'APPF Model'!$F$62+S225*'APPF Model'!$F$63+'APPF Model'!$F$73+'APPF Model'!$F$74</x:f>
        <x:v>1478.4243935999993</x:v>
      </x:c>
      <x:c r="AD225" t="n">
        <x:f>AX225*$AC225/$AW225</x:f>
        <x:v>1960.3907459135992</x:v>
      </x:c>
      <x:c r="AE225" t="n">
        <x:f>AY225*$AC225/$AW225</x:f>
        <x:v>2454.409213883827</x:v>
      </x:c>
      <x:c r="AF225" t="n">
        <x:f>AZ225*$AC225/$AW225</x:f>
        <x:v>2891.294053955148</x:v>
      </x:c>
      <x:c r="AG225" t="n">
        <x:f>BA225*$AC225/$AW225</x:f>
        <x:v>3191.988635566484</x:v>
      </x:c>
      <x:c r="AH225" t="n">
        <x:f>BB225*$AC225/$AW225</x:f>
        <x:v>3287.748294633478</x:v>
      </x:c>
      <x:c r="AI225" t="n">
        <x:f>Y225*(1-'Assumptions'!$F$12)+AS225*'Assumptions'!$G$12-AS225*'APPF Model'!$B$65-(AS225-'Inputs'!$E$14)*'Assumptions'!$H$12-'Assumptions'!$I$12</x:f>
        <x:v>218.84609999999998</x:v>
      </x:c>
      <x:c r="AJ225" t="n">
        <x:f>Z225*(1-'Assumptions'!$F$12)+AT225*'Assumptions'!$G$12-AT225*'APPF Model'!$C$65-(AT225-AS225)*'Assumptions'!$H$12-0</x:f>
        <x:v>331.12464</x:v>
      </x:c>
      <x:c r="AK225" t="n">
        <x:f>AA225*(1-'Assumptions'!$F$12)+AU225*'Assumptions'!$G$12-AU225*'APPF Model'!$D$65-(AU225-AT225)*'Assumptions'!$H$12-0</x:f>
        <x:v>486.66525599999994</x:v>
      </x:c>
      <x:c r="AL225" t="n">
        <x:f>AB225*(1-'Assumptions'!$F$12)+AV225*'Assumptions'!$G$12-AV225*'APPF Model'!$E$65-(AV225-AU225)*'Assumptions'!$H$12-0</x:f>
        <x:v>713.6584223999997</x:v>
      </x:c>
      <x:c r="AM225" t="n">
        <x:f>AC225*(1-'Assumptions'!$F$12)+AW225*'Assumptions'!$G$12-AW225*'APPF Model'!$F$65-(AW225-AV225)*'Assumptions'!$H$12-0</x:f>
        <x:v>1021.7507361599995</x:v>
      </x:c>
      <x:c r="AN225" t="n">
        <x:f>AD225*(1-'Assumptions'!$F$12)+AX225*'Assumptions'!$G$12-AX225*'APPF Model'!$G$65-(AX225-AW225)*'Assumptions'!$H$12-0</x:f>
        <x:v>1367.5998907401593</x:v>
      </x:c>
      <x:c r="AO225" t="n">
        <x:f>AE225*(1-'Assumptions'!$F$12)+AY225*'Assumptions'!$G$12-AY225*'APPF Model'!$H$65-(AY225-AX225)*'Assumptions'!$H$12-0</x:f>
        <x:v>1730.0968436354801</x:v>
      </x:c>
      <x:c r="AP225" t="n">
        <x:f>AF225*(1-'Assumptions'!$F$12)+AZ225*'Assumptions'!$G$12-AZ225*'APPF Model'!$I$65-(AZ225-AY225)*'Assumptions'!$H$12-0</x:f>
        <x:v>2061.738802651184</x:v>
      </x:c>
      <x:c r="AQ225" t="n">
        <x:f>AG225*(1-'Assumptions'!$F$12)+BA225*'Assumptions'!$G$12-BA225*'APPF Model'!$J$65-(BA225-AZ225)*'Assumptions'!$H$12-0</x:f>
        <x:v>2305.812908629341</x:v>
      </x:c>
      <x:c r="AR225" t="n">
        <x:f>AH225*(1-'Assumptions'!$F$12)+BB225*'Assumptions'!$G$12-BB225*'APPF Model'!$K$65-(BB225-BA225)*'Assumptions'!$H$12-0</x:f>
        <x:v>2409.9188485400873</x:v>
      </x:c>
      <x:c r="AS225" t="n">
        <x:f>E225+O225</x:f>
        <x:v>1570.8</x:v>
      </x:c>
      <x:c r="AT225" t="n">
        <x:f>F225+P225</x:f>
        <x:v>2199.12</x:v>
      </x:c>
      <x:c r="AU225" t="n">
        <x:f>G225+Q225</x:f>
        <x:v>3078.767999999999</x:v>
      </x:c>
      <x:c r="AV225" t="n">
        <x:f>H225+R225</x:f>
        <x:v>4310.275199999998</x:v>
      </x:c>
      <x:c r="AW225" t="n">
        <x:f>I225+S225</x:f>
        <x:v>6034.385279999998</x:v>
      </x:c>
      <x:c r="AX225" t="n">
        <x:f>J225+T225</x:f>
        <x:v>8001.594881279997</x:v>
      </x:c>
      <x:c r="AY225" t="n">
        <x:f>K225+U225</x:f>
        <x:v>10017.996791362559</x:v>
      </x:c>
      <x:c r="AZ225" t="n">
        <x:f>L225+V225</x:f>
        <x:v>11801.200220225095</x:v>
      </x:c>
      <x:c r="BA225" t="n">
        <x:f>M225+W225</x:f>
        <x:v>13028.525043128506</x:v>
      </x:c>
      <x:c r="BB225" t="n">
        <x:f>N225+X225</x:f>
        <x:v>13419.38079442236</x:v>
      </x:c>
      <x:c r="BC225" t="n">
        <x:f>AS225/'Inputs'!$E$14-1</x:f>
        <x:v>0.3999999999999999</x:v>
      </x:c>
      <x:c r="BD225" t="n">
        <x:f>AT225/AS225-1</x:f>
        <x:v>0.3999999999999999</x:v>
      </x:c>
      <x:c r="BE225" t="n">
        <x:f>AU225/AT225-1</x:f>
        <x:v>0.3999999999999997</x:v>
      </x:c>
      <x:c r="BF225" t="n">
        <x:f>AV225/AU225-1</x:f>
        <x:v>0.3999999999999999</x:v>
      </x:c>
      <x:c r="BG225" t="n">
        <x:f>AW225/AV225-1</x:f>
        <x:v>0.40000000000000013</x:v>
      </x:c>
      <x:c r="BH225" t="n">
        <x:f>AX225/AW225-1</x:f>
        <x:v>0.32600000000000007</x:v>
      </x:c>
      <x:c r="BI225" t="n">
        <x:f>AY225/AX225-1</x:f>
        <x:v>0.2520000000000002</x:v>
      </x:c>
      <x:c r="BJ225" t="n">
        <x:f>AZ225/AY225-1</x:f>
        <x:v>0.17800000000000016</x:v>
      </x:c>
      <x:c r="BK225" t="n">
        <x:f>BA225/AZ225-1</x:f>
        <x:v>0.10400000000000009</x:v>
      </x:c>
      <x:c r="BL225" t="n">
        <x:f>BB225/BA225-1</x:f>
        <x:v>0.030000000000000027</x:v>
      </x:c>
      <x:c r="BM225" t="n">
        <x:f>AH225*(1-'Assumptions'!$F$12)*(1+'Assumptions'!$D$12)*(1-'Assumptions'!$D$12/'Assumptions'!$E$12)</x:f>
        <x:v>2322.089652666845</x:v>
      </x:c>
      <x:c r="BN225" t="n">
        <x:f>SUMPRODUCT(AI225:AR225,'APPF Model'!$B$83:$K$83)+BM225/('Assumptions'!$C$12-'Assumptions'!$D$12)*'APPF Model'!$K$83</x:f>
        <x:v>19278.249029441464</x:v>
      </x:c>
      <x:c r="BO225" t="n">
        <x:f>'APPF Model'!$B$94</x:f>
        <x:v>171.685</x:v>
      </x:c>
      <x:c r="BP225" t="n">
        <x:f>'Inputs'!$E$8</x:f>
        <x:v>36</x:v>
      </x:c>
    </x:row>
    <x:row r="226">
      <x:c r="A226" t="str">
        <x:v>APPF</x:v>
      </x:c>
      <x:c r="B226" s="22" t="n">
        <x:v>0.41</x:v>
      </x:c>
      <x:c r="C226" s="42" t="n">
        <x:f>(BN226+BO226)/BP226</x:f>
        <x:v>566.582777952698</x:v>
      </x:c>
      <x:c r="D226" s="22" t="n">
        <x:f>C226/'Inputs'!$E$5-1</x:f>
        <x:v>1.6441234737385573</x:v>
      </x:c>
      <x:c r="E226" t="n">
        <x:f>'Inputs'!$E$14*(1+$B226)^1</x:f>
        <x:v>1582.02</x:v>
      </x:c>
      <x:c r="F226" t="n">
        <x:f>'Inputs'!$E$14*(1+$B226)^2</x:f>
        <x:v>2230.6481999999996</x:v>
      </x:c>
      <x:c r="G226" t="n">
        <x:f>'Inputs'!$E$14*(1+$B226)^3</x:f>
        <x:v>3145.2139619999994</x:v>
      </x:c>
      <x:c r="H226" t="n">
        <x:f>'Inputs'!$E$14*(1+$B226)^4</x:f>
        <x:v>4434.751686419999</x:v>
      </x:c>
      <x:c r="I226" t="n">
        <x:f>'Inputs'!$E$14*(1+$B226)^5</x:f>
        <x:v>6252.999877852198</x:v>
      </x:c>
      <x:c r="J226" t="n">
        <x:f>I226*(1+($BG226+('Assumptions'!$D$12-$BG226)*(6-5)/5))</x:f>
        <x:v>8341.501837054831</x:v>
      </x:c>
      <x:c r="K226" t="n">
        <x:f>J226*(1+($BG226+('Assumptions'!$D$12-$BG226)*(7-5)/5))</x:f>
        <x:v>10493.609311014978</x:v>
      </x:c>
      <x:c r="L226" t="n">
        <x:f>K226*(1+($BG226+('Assumptions'!$D$12-$BG226)*(8-5)/5))</x:f>
        <x:v>12403.446205619703</x:v>
      </x:c>
      <x:c r="M226" t="n">
        <x:f>L226*(1+($BG226+('Assumptions'!$D$12-$BG226)*(9-5)/5))</x:f>
        <x:v>13718.21150341539</x:v>
      </x:c>
      <x:c r="N226" t="n">
        <x:f>M226*(1+($BG226+('Assumptions'!$D$12-$BG226)*(10-5)/5))</x:f>
        <x:v>14129.757848517853</x:v>
      </x:c>
      <x:c r="O226" t="n">
        <x:f>0</x:f>
        <x:v>0</x:v>
      </x:c>
      <x:c r="P226" t="n">
        <x:f>0</x:f>
        <x:v>0</x:v>
      </x:c>
      <x:c r="Q226" t="n">
        <x:f>0</x:f>
        <x:v>0</x:v>
      </x:c>
      <x:c r="R226" t="n">
        <x:f>0</x:f>
        <x:v>0</x:v>
      </x:c>
      <x:c r="S226" t="n">
        <x:f>0</x:f>
        <x:v>0</x:v>
      </x:c>
      <x:c r="T226" t="n">
        <x:f>S226*(1+($BG226+('Assumptions'!$D$12-$BG226)*(6-5)/5))</x:f>
        <x:v>0</x:v>
      </x:c>
      <x:c r="U226" t="n">
        <x:f>T226*(1+($BG226+('Assumptions'!$D$12-$BG226)*(7-5)/5))</x:f>
        <x:v>0</x:v>
      </x:c>
      <x:c r="V226" t="n">
        <x:f>U226*(1+($BG226+('Assumptions'!$D$12-$BG226)*(8-5)/5))</x:f>
        <x:v>0</x:v>
      </x:c>
      <x:c r="W226" t="n">
        <x:f>V226*(1+($BG226+('Assumptions'!$D$12-$BG226)*(9-5)/5))</x:f>
        <x:v>0</x:v>
      </x:c>
      <x:c r="X226" t="n">
        <x:f>W226*(1+($BG226+('Assumptions'!$D$12-$BG226)*(10-5)/5))</x:f>
        <x:v>0</x:v>
      </x:c>
      <x:c r="Y226" t="n">
        <x:f>E226*'APPF Model'!$B$62+O226*'APPF Model'!$B$63+'APPF Model'!$B$73+'APPF Model'!$B$74</x:f>
        <x:v>324.3141</x:v>
      </x:c>
      <x:c r="Z226" t="n">
        <x:f>F226*'APPF Model'!$C$62+P226*'APPF Model'!$C$63+'APPF Model'!$C$73+'APPF Model'!$C$74</x:f>
        <x:v>490.7426039999999</x:v>
      </x:c>
      <x:c r="AA226" t="n">
        <x:f>G226*'APPF Model'!$D$62+Q226*'APPF Model'!$D$63+'APPF Model'!$D$73+'APPF Model'!$D$74</x:f>
        <x:v>723.3992112599999</x:v>
      </x:c>
      <x:c r="AB226" t="n">
        <x:f>H226*'APPF Model'!$E$62+R226*'APPF Model'!$E$63+'APPF Model'!$E$73+'APPF Model'!$E$74</x:f>
        <x:v>1064.3404047407996</x:v>
      </x:c>
      <x:c r="AC226" t="n">
        <x:f>I226*'APPF Model'!$F$62+S226*'APPF Model'!$F$63+'APPF Model'!$F$73+'APPF Model'!$F$74</x:f>
        <x:v>1531.9849700737884</x:v>
      </x:c>
      <x:c r="AD226" t="n">
        <x:f>AX226*$AC226/$AW226</x:f>
        <x:v>2043.6679500784337</x:v>
      </x:c>
      <x:c r="AE226" t="n">
        <x:f>AY226*$AC226/$AW226</x:f>
        <x:v>2570.9342811986694</x:v>
      </x:c>
      <x:c r="AF226" t="n">
        <x:f>AZ226*$AC226/$AW226</x:f>
        <x:v>3038.844320376827</x:v>
      </x:c>
      <x:c r="AG226" t="n">
        <x:f>BA226*$AC226/$AW226</x:f>
        <x:v>3360.9618183367706</x:v>
      </x:c>
      <x:c r="AH226" t="n">
        <x:f>BB226*$AC226/$AW226</x:f>
        <x:v>3461.790672886874</x:v>
      </x:c>
      <x:c r="AI226" t="n">
        <x:f>Y226*(1-'Assumptions'!$F$12)+AS226*'Assumptions'!$G$12-AS226*'APPF Model'!$B$65-(AS226-'Inputs'!$E$14)*'Assumptions'!$H$12-'Assumptions'!$I$12</x:f>
        <x:v>220.08871499999998</x:v>
      </x:c>
      <x:c r="AJ226" t="n">
        <x:f>Z226*(1-'Assumptions'!$F$12)+AT226*'Assumptions'!$G$12-AT226*'APPF Model'!$C$65-(AT226-AS226)*'Assumptions'!$H$12-0</x:f>
        <x:v>335.4198803999999</x:v>
      </x:c>
      <x:c r="AK226" t="n">
        <x:f>AA226*(1-'Assumptions'!$F$12)+AU226*'Assumptions'!$G$12-AU226*'APPF Model'!$D$65-(AU226-AT226)*'Assumptions'!$H$12-0</x:f>
        <x:v>496.53113607899985</x:v>
      </x:c>
      <x:c r="AL226" t="n">
        <x:f>AB226*(1-'Assumptions'!$F$12)+AV226*'Assumptions'!$G$12-AV226*'APPF Model'!$E$65-(AV226-AU226)*'Assumptions'!$H$12-0</x:f>
        <x:v>733.3695395195397</x:v>
      </x:c>
      <x:c r="AM226" t="n">
        <x:f>AC226*(1-'Assumptions'!$F$12)+AW226*'Assumptions'!$G$12-AW226*'APPF Model'!$F$65-(AW226-AV226)*'Assumptions'!$H$12-0</x:f>
        <x:v>1057.4998002644966</x:v>
      </x:c>
      <x:c r="AN226" t="n">
        <x:f>AD226*(1-'Assumptions'!$F$12)+AX226*'Assumptions'!$G$12-AX226*'APPF Model'!$G$65-(AX226-AW226)*'Assumptions'!$H$12-0</x:f>
        <x:v>1424.1863786795552</x:v>
      </x:c>
      <x:c r="AO226" t="n">
        <x:f>AE226*(1-'Assumptions'!$F$12)+AY226*'Assumptions'!$G$12-AY226*'APPF Model'!$H$65-(AY226-AX226)*'Assumptions'!$H$12-0</x:f>
        <x:v>1810.635584007551</x:v>
      </x:c>
      <x:c r="AP226" t="n">
        <x:f>AF226*(1-'Assumptions'!$F$12)+AZ226*'Assumptions'!$G$12-AZ226*'APPF Model'!$I$65-(AZ226-AY226)*'Assumptions'!$H$12-0</x:f>
        <x:v>2165.529425881572</x:v>
      </x:c>
      <x:c r="AQ226" t="n">
        <x:f>AG226*(1-'Assumptions'!$F$12)+BA226*'Assumptions'!$G$12-BA226*'APPF Model'!$J$65-(BA226-AZ226)*'Assumptions'!$H$12-0</x:f>
        <x:v>2426.976117330504</x:v>
      </x:c>
      <x:c r="AR226" t="n">
        <x:f>AH226*(1-'Assumptions'!$F$12)+BB226*'Assumptions'!$G$12-BB226*'APPF Model'!$K$65-(BB226-BA226)*'Assumptions'!$H$12-0</x:f>
        <x:v>2537.4918773155036</x:v>
      </x:c>
      <x:c r="AS226" t="n">
        <x:f>E226+O226</x:f>
        <x:v>1582.02</x:v>
      </x:c>
      <x:c r="AT226" t="n">
        <x:f>F226+P226</x:f>
        <x:v>2230.6481999999996</x:v>
      </x:c>
      <x:c r="AU226" t="n">
        <x:f>G226+Q226</x:f>
        <x:v>3145.2139619999994</x:v>
      </x:c>
      <x:c r="AV226" t="n">
        <x:f>H226+R226</x:f>
        <x:v>4434.751686419999</x:v>
      </x:c>
      <x:c r="AW226" t="n">
        <x:f>I226+S226</x:f>
        <x:v>6252.999877852198</x:v>
      </x:c>
      <x:c r="AX226" t="n">
        <x:f>J226+T226</x:f>
        <x:v>8341.501837054831</x:v>
      </x:c>
      <x:c r="AY226" t="n">
        <x:f>K226+U226</x:f>
        <x:v>10493.609311014978</x:v>
      </x:c>
      <x:c r="AZ226" t="n">
        <x:f>L226+V226</x:f>
        <x:v>12403.446205619703</x:v>
      </x:c>
      <x:c r="BA226" t="n">
        <x:f>M226+W226</x:f>
        <x:v>13718.21150341539</x:v>
      </x:c>
      <x:c r="BB226" t="n">
        <x:f>N226+X226</x:f>
        <x:v>14129.757848517853</x:v>
      </x:c>
      <x:c r="BC226" t="n">
        <x:f>AS226/'Inputs'!$E$14-1</x:f>
        <x:v>0.4099999999999999</x:v>
      </x:c>
      <x:c r="BD226" t="n">
        <x:f>AT226/AS226-1</x:f>
        <x:v>0.4099999999999997</x:v>
      </x:c>
      <x:c r="BE226" t="n">
        <x:f>AU226/AT226-1</x:f>
        <x:v>0.4099999999999999</x:v>
      </x:c>
      <x:c r="BF226" t="n">
        <x:f>AV226/AU226-1</x:f>
        <x:v>0.4099999999999999</x:v>
      </x:c>
      <x:c r="BG226" t="n">
        <x:f>AW226/AV226-1</x:f>
        <x:v>0.4099999999999999</x:v>
      </x:c>
      <x:c r="BH226" t="n">
        <x:f>AX226/AW226-1</x:f>
        <x:v>0.33399999999999985</x:v>
      </x:c>
      <x:c r="BI226" t="n">
        <x:f>AY226/AX226-1</x:f>
        <x:v>0.258</x:v>
      </x:c>
      <x:c r="BJ226" t="n">
        <x:f>AZ226/AY226-1</x:f>
        <x:v>0.18199999999999994</x:v>
      </x:c>
      <x:c r="BK226" t="n">
        <x:f>BA226/AZ226-1</x:f>
        <x:v>0.10599999999999987</x:v>
      </x:c>
      <x:c r="BL226" t="n">
        <x:f>BB226/BA226-1</x:f>
        <x:v>0.030000000000000027</x:v>
      </x:c>
      <x:c r="BM226" t="n">
        <x:f>AH226*(1-'Assumptions'!$F$12)*(1+'Assumptions'!$D$12)*(1-'Assumptions'!$D$12/'Assumptions'!$E$12)</x:f>
        <x:v>2445.0132981075294</x:v>
      </x:c>
      <x:c r="BN226" t="n">
        <x:f>SUMPRODUCT(AI226:AR226,'APPF Model'!$B$83:$K$83)+BM226/('Assumptions'!$C$12-'Assumptions'!$D$12)*'APPF Model'!$K$83</x:f>
        <x:v>20225.29500629713</x:v>
      </x:c>
      <x:c r="BO226" t="n">
        <x:f>'APPF Model'!$B$94</x:f>
        <x:v>171.685</x:v>
      </x:c>
      <x:c r="BP226" t="n">
        <x:f>'Inputs'!$E$8</x:f>
        <x:v>36</x:v>
      </x:c>
    </x:row>
    <x:row r="227">
      <x:c r="A227" t="str">
        <x:v>APPF</x:v>
      </x:c>
      <x:c r="B227" s="22" t="n">
        <x:v>0.42</x:v>
      </x:c>
      <x:c r="C227" s="42" t="n">
        <x:f>(BN227+BO227)/BP227</x:f>
        <x:v>594.0475810633557</x:v>
      </x:c>
      <x:c r="D227" s="22" t="n">
        <x:f>C227/'Inputs'!$E$5-1</x:f>
        <x:v>1.772295972854936</x:v>
      </x:c>
      <x:c r="E227" t="n">
        <x:f>'Inputs'!$E$14*(1+$B227)^1</x:f>
        <x:v>1593.24</x:v>
      </x:c>
      <x:c r="F227" t="n">
        <x:f>'Inputs'!$E$14*(1+$B227)^2</x:f>
        <x:v>2262.4008</x:v>
      </x:c>
      <x:c r="G227" t="n">
        <x:f>'Inputs'!$E$14*(1+$B227)^3</x:f>
        <x:v>3212.609136</x:v>
      </x:c>
      <x:c r="H227" t="n">
        <x:f>'Inputs'!$E$14*(1+$B227)^4</x:f>
        <x:v>4561.904973119999</x:v>
      </x:c>
      <x:c r="I227" t="n">
        <x:f>'Inputs'!$E$14*(1+$B227)^5</x:f>
        <x:v>6477.905061830398</x:v>
      </x:c>
      <x:c r="J227" t="n">
        <x:f>I227*(1+($BG227+('Assumptions'!$D$12-$BG227)*(6-5)/5))</x:f>
        <x:v>8693.348592976392</x:v>
      </x:c>
      <x:c r="K227" t="n">
        <x:f>J227*(1+($BG227+('Assumptions'!$D$12-$BG227)*(7-5)/5))</x:f>
        <x:v>10988.392621522158</x:v>
      </x:c>
      <x:c r="L227" t="n">
        <x:f>K227*(1+($BG227+('Assumptions'!$D$12-$BG227)*(8-5)/5))</x:f>
        <x:v>13032.233649125279</x:v>
      </x:c>
      <x:c r="M227" t="n">
        <x:f>L227*(1+($BG227+('Assumptions'!$D$12-$BG227)*(9-5)/5))</x:f>
        <x:v>14439.71488323081</x:v>
      </x:c>
      <x:c r="N227" t="n">
        <x:f>M227*(1+($BG227+('Assumptions'!$D$12-$BG227)*(10-5)/5))</x:f>
        <x:v>14872.906329727735</x:v>
      </x:c>
      <x:c r="O227" t="n">
        <x:f>0</x:f>
        <x:v>0</x:v>
      </x:c>
      <x:c r="P227" t="n">
        <x:f>0</x:f>
        <x:v>0</x:v>
      </x:c>
      <x:c r="Q227" t="n">
        <x:f>0</x:f>
        <x:v>0</x:v>
      </x:c>
      <x:c r="R227" t="n">
        <x:f>0</x:f>
        <x:v>0</x:v>
      </x:c>
      <x:c r="S227" t="n">
        <x:f>0</x:f>
        <x:v>0</x:v>
      </x:c>
      <x:c r="T227" t="n">
        <x:f>S227*(1+($BG227+('Assumptions'!$D$12-$BG227)*(6-5)/5))</x:f>
        <x:v>0</x:v>
      </x:c>
      <x:c r="U227" t="n">
        <x:f>T227*(1+($BG227+('Assumptions'!$D$12-$BG227)*(7-5)/5))</x:f>
        <x:v>0</x:v>
      </x:c>
      <x:c r="V227" t="n">
        <x:f>U227*(1+($BG227+('Assumptions'!$D$12-$BG227)*(8-5)/5))</x:f>
        <x:v>0</x:v>
      </x:c>
      <x:c r="W227" t="n">
        <x:f>V227*(1+($BG227+('Assumptions'!$D$12-$BG227)*(9-5)/5))</x:f>
        <x:v>0</x:v>
      </x:c>
      <x:c r="X227" t="n">
        <x:f>W227*(1+($BG227+('Assumptions'!$D$12-$BG227)*(10-5)/5))</x:f>
        <x:v>0</x:v>
      </x:c>
      <x:c r="Y227" t="n">
        <x:f>E227*'APPF Model'!$B$62+O227*'APPF Model'!$B$63+'APPF Model'!$B$73+'APPF Model'!$B$74</x:f>
        <x:v>326.6142</x:v>
      </x:c>
      <x:c r="Z227" t="n">
        <x:f>F227*'APPF Model'!$C$62+P227*'APPF Model'!$C$63+'APPF Model'!$C$73+'APPF Model'!$C$74</x:f>
        <x:v>497.72817599999996</x:v>
      </x:c>
      <x:c r="AA227" t="n">
        <x:f>G227*'APPF Model'!$D$62+Q227*'APPF Model'!$D$63+'APPF Model'!$D$73+'APPF Model'!$D$74</x:f>
        <x:v>738.9001012800001</x:v>
      </x:c>
      <x:c r="AB227" t="n">
        <x:f>H227*'APPF Model'!$E$62+R227*'APPF Model'!$E$63+'APPF Model'!$E$73+'APPF Model'!$E$74</x:f>
        <x:v>1094.8571935487998</x:v>
      </x:c>
      <x:c r="AC227" t="n">
        <x:f>I227*'APPF Model'!$F$62+S227*'APPF Model'!$F$63+'APPF Model'!$F$73+'APPF Model'!$F$74</x:f>
        <x:v>1587.0867401484475</x:v>
      </x:c>
      <x:c r="AD227" t="n">
        <x:f>AX227*$AC227/$AW227</x:f>
        <x:v>2129.870405279216</x:v>
      </x:c>
      <x:c r="AE227" t="n">
        <x:f>AY227*$AC227/$AW227</x:f>
        <x:v>2692.156192272929</x:v>
      </x:c>
      <x:c r="AF227" t="n">
        <x:f>AZ227*$AC227/$AW227</x:f>
        <x:v>3192.8972440356933</x:v>
      </x:c>
      <x:c r="AG227" t="n">
        <x:f>BA227*$AC227/$AW227</x:f>
        <x:v>3537.7301463915483</x:v>
      </x:c>
      <x:c r="AH227" t="n">
        <x:f>BB227*$AC227/$AW227</x:f>
        <x:v>3643.862050783295</x:v>
      </x:c>
      <x:c r="AI227" t="n">
        <x:f>Y227*(1-'Assumptions'!$F$12)+AS227*'Assumptions'!$G$12-AS227*'APPF Model'!$B$65-(AS227-'Inputs'!$E$14)*'Assumptions'!$H$12-'Assumptions'!$I$12</x:f>
        <x:v>221.33132999999998</x:v>
      </x:c>
      <x:c r="AJ227" t="n">
        <x:f>Z227*(1-'Assumptions'!$F$12)+AT227*'Assumptions'!$G$12-AT227*'APPF Model'!$C$65-(AT227-AS227)*'Assumptions'!$H$12-0</x:f>
        <x:v>339.7424975999999</x:v>
      </x:c>
      <x:c r="AK227" t="n">
        <x:f>AA227*(1-'Assumptions'!$F$12)+AU227*'Assumptions'!$G$12-AU227*'APPF Model'!$D$65-(AU227-AT227)*'Assumptions'!$H$12-0</x:f>
        <x:v>506.52891511200005</x:v>
      </x:c>
      <x:c r="AL227" t="n">
        <x:f>AB227*(1-'Assumptions'!$F$12)+AV227*'Assumptions'!$G$12-AV227*'APPF Model'!$E$65-(AV227-AU227)*'Assumptions'!$H$12-0</x:f>
        <x:v>753.48534675744</x:v>
      </x:c>
      <x:c r="AM227" t="n">
        <x:f>AC227*(1-'Assumptions'!$F$12)+AW227*'Assumptions'!$G$12-AW227*'APPF Model'!$F$65-(AW227-AV227)*'Assumptions'!$H$12-0</x:f>
        <x:v>1094.2413363774283</x:v>
      </x:c>
      <x:c r="AN227" t="n">
        <x:f>AD227*(1-'Assumptions'!$F$12)+AX227*'Assumptions'!$G$12-AX227*'APPF Model'!$G$65-(AX227-AW227)*'Assumptions'!$H$12-0</x:f>
        <x:v>1482.7050169346428</x:v>
      </x:c>
      <x:c r="AO227" t="n">
        <x:f>AE227*(1-'Assumptions'!$F$12)+AY227*'Assumptions'!$G$12-AY227*'APPF Model'!$H$65-(AY227-AX227)*'Assumptions'!$H$12-0</x:f>
        <x:v>1894.3502051982996</x:v>
      </x:c>
      <x:c r="AP227" t="n">
        <x:f>AF227*(1-'Assumptions'!$F$12)+AZ227*'Assumptions'!$G$12-AZ227*'APPF Model'!$I$65-(AZ227-AY227)*'Assumptions'!$H$12-0</x:f>
        <x:v>2273.8225909752696</x:v>
      </x:c>
      <x:c r="AQ227" t="n">
        <x:f>AG227*(1-'Assumptions'!$F$12)+BA227*'Assumptions'!$G$12-BA227*'APPF Model'!$J$65-(BA227-AZ227)*'Assumptions'!$H$12-0</x:f>
        <x:v>2553.6792157797477</x:v>
      </x:c>
      <x:c r="AR227" t="n">
        <x:f>AH227*(1-'Assumptions'!$F$12)+BB227*'Assumptions'!$G$12-BB227*'APPF Model'!$K$65-(BB227-BA227)*'Assumptions'!$H$12-0</x:f>
        <x:v>2670.9501612384115</x:v>
      </x:c>
      <x:c r="AS227" t="n">
        <x:f>E227+O227</x:f>
        <x:v>1593.24</x:v>
      </x:c>
      <x:c r="AT227" t="n">
        <x:f>F227+P227</x:f>
        <x:v>2262.4008</x:v>
      </x:c>
      <x:c r="AU227" t="n">
        <x:f>G227+Q227</x:f>
        <x:v>3212.609136</x:v>
      </x:c>
      <x:c r="AV227" t="n">
        <x:f>H227+R227</x:f>
        <x:v>4561.904973119999</x:v>
      </x:c>
      <x:c r="AW227" t="n">
        <x:f>I227+S227</x:f>
        <x:v>6477.905061830398</x:v>
      </x:c>
      <x:c r="AX227" t="n">
        <x:f>J227+T227</x:f>
        <x:v>8693.348592976392</x:v>
      </x:c>
      <x:c r="AY227" t="n">
        <x:f>K227+U227</x:f>
        <x:v>10988.392621522158</x:v>
      </x:c>
      <x:c r="AZ227" t="n">
        <x:f>L227+V227</x:f>
        <x:v>13032.233649125279</x:v>
      </x:c>
      <x:c r="BA227" t="n">
        <x:f>M227+W227</x:f>
        <x:v>14439.71488323081</x:v>
      </x:c>
      <x:c r="BB227" t="n">
        <x:f>N227+X227</x:f>
        <x:v>14872.906329727735</x:v>
      </x:c>
      <x:c r="BC227" t="n">
        <x:f>AS227/'Inputs'!$E$14-1</x:f>
        <x:v>0.41999999999999993</x:v>
      </x:c>
      <x:c r="BD227" t="n">
        <x:f>AT227/AS227-1</x:f>
        <x:v>0.41999999999999993</x:v>
      </x:c>
      <x:c r="BE227" t="n">
        <x:f>AU227/AT227-1</x:f>
        <x:v>0.42000000000000015</x:v>
      </x:c>
      <x:c r="BF227" t="n">
        <x:f>AV227/AU227-1</x:f>
        <x:v>0.4199999999999997</x:v>
      </x:c>
      <x:c r="BG227" t="n">
        <x:f>AW227/AV227-1</x:f>
        <x:v>0.4199999999999997</x:v>
      </x:c>
      <x:c r="BH227" t="n">
        <x:f>AX227/AW227-1</x:f>
        <x:v>0.34199999999999964</x:v>
      </x:c>
      <x:c r="BI227" t="n">
        <x:f>AY227/AX227-1</x:f>
        <x:v>0.2639999999999998</x:v>
      </x:c>
      <x:c r="BJ227" t="n">
        <x:f>AZ227/AY227-1</x:f>
        <x:v>0.18599999999999994</x:v>
      </x:c>
      <x:c r="BK227" t="n">
        <x:f>BA227/AZ227-1</x:f>
        <x:v>0.1080000000000001</x:v>
      </x:c>
      <x:c r="BL227" t="n">
        <x:f>BB227/BA227-1</x:f>
        <x:v>0.030000000000000027</x:v>
      </x:c>
      <x:c r="BM227" t="n">
        <x:f>AH227*(1-'Assumptions'!$F$12)*(1+'Assumptions'!$D$12)*(1-'Assumptions'!$D$12/'Assumptions'!$E$12)</x:f>
        <x:v>2573.6077112960875</x:v>
      </x:c>
      <x:c r="BN227" t="n">
        <x:f>SUMPRODUCT(AI227:AR227,'APPF Model'!$B$83:$K$83)+BM227/('Assumptions'!$C$12-'Assumptions'!$D$12)*'APPF Model'!$K$83</x:f>
        <x:v>21214.0279182808</x:v>
      </x:c>
      <x:c r="BO227" t="n">
        <x:f>'APPF Model'!$B$94</x:f>
        <x:v>171.685</x:v>
      </x:c>
      <x:c r="BP227" t="n">
        <x:f>'Inputs'!$E$8</x:f>
        <x:v>36</x:v>
      </x:c>
    </x:row>
    <x:row r="228">
      <x:c r="A228" t="str">
        <x:v>APPF</x:v>
      </x:c>
      <x:c r="B228" s="22" t="n">
        <x:v>0.43</x:v>
      </x:c>
      <x:c r="C228" s="42" t="n">
        <x:f>(BN228+BO228)/BP228</x:f>
        <x:v>622.7145703520049</x:v>
      </x:c>
      <x:c r="D228" s="22" t="n">
        <x:f>C228/'Inputs'!$E$5-1</x:f>
        <x:v>1.906078823744656</x:v>
      </x:c>
      <x:c r="E228" t="n">
        <x:f>'Inputs'!$E$14*(1+$B228)^1</x:f>
        <x:v>1604.46</x:v>
      </x:c>
      <x:c r="F228" t="n">
        <x:f>'Inputs'!$E$14*(1+$B228)^2</x:f>
        <x:v>2294.3777999999998</x:v>
      </x:c>
      <x:c r="G228" t="n">
        <x:f>'Inputs'!$E$14*(1+$B228)^3</x:f>
        <x:v>3280.9602539999996</x:v>
      </x:c>
      <x:c r="H228" t="n">
        <x:f>'Inputs'!$E$14*(1+$B228)^4</x:f>
        <x:v>4691.773163219999</x:v>
      </x:c>
      <x:c r="I228" t="n">
        <x:f>'Inputs'!$E$14*(1+$B228)^5</x:f>
        <x:v>6709.235623404598</x:v>
      </x:c>
      <x:c r="J228" t="n">
        <x:f>I228*(1+($BG228+('Assumptions'!$D$12-$BG228)*(6-5)/5))</x:f>
        <x:v>9057.468091596209</x:v>
      </x:c>
      <x:c r="K228" t="n">
        <x:f>J228*(1+($BG228+('Assumptions'!$D$12-$BG228)*(7-5)/5))</x:f>
        <x:v>11502.984476327185</x:v>
      </x:c>
      <x:c r="L228" t="n">
        <x:f>K228*(1+($BG228+('Assumptions'!$D$12-$BG228)*(8-5)/5))</x:f>
        <x:v>13688.55152682935</x:v>
      </x:c>
      <x:c r="M228" t="n">
        <x:f>L228*(1+($BG228+('Assumptions'!$D$12-$BG228)*(9-5)/5))</x:f>
        <x:v>15194.292194780575</x:v>
      </x:c>
      <x:c r="N228" t="n">
        <x:f>M228*(1+($BG228+('Assumptions'!$D$12-$BG228)*(10-5)/5))</x:f>
        <x:v>15650.120960623994</x:v>
      </x:c>
      <x:c r="O228" t="n">
        <x:f>0</x:f>
        <x:v>0</x:v>
      </x:c>
      <x:c r="P228" t="n">
        <x:f>0</x:f>
        <x:v>0</x:v>
      </x:c>
      <x:c r="Q228" t="n">
        <x:f>0</x:f>
        <x:v>0</x:v>
      </x:c>
      <x:c r="R228" t="n">
        <x:f>0</x:f>
        <x:v>0</x:v>
      </x:c>
      <x:c r="S228" t="n">
        <x:f>0</x:f>
        <x:v>0</x:v>
      </x:c>
      <x:c r="T228" t="n">
        <x:f>S228*(1+($BG228+('Assumptions'!$D$12-$BG228)*(6-5)/5))</x:f>
        <x:v>0</x:v>
      </x:c>
      <x:c r="U228" t="n">
        <x:f>T228*(1+($BG228+('Assumptions'!$D$12-$BG228)*(7-5)/5))</x:f>
        <x:v>0</x:v>
      </x:c>
      <x:c r="V228" t="n">
        <x:f>U228*(1+($BG228+('Assumptions'!$D$12-$BG228)*(8-5)/5))</x:f>
        <x:v>0</x:v>
      </x:c>
      <x:c r="W228" t="n">
        <x:f>V228*(1+($BG228+('Assumptions'!$D$12-$BG228)*(9-5)/5))</x:f>
        <x:v>0</x:v>
      </x:c>
      <x:c r="X228" t="n">
        <x:f>W228*(1+($BG228+('Assumptions'!$D$12-$BG228)*(10-5)/5))</x:f>
        <x:v>0</x:v>
      </x:c>
      <x:c r="Y228" t="n">
        <x:f>E228*'APPF Model'!$B$62+O228*'APPF Model'!$B$63+'APPF Model'!$B$73+'APPF Model'!$B$74</x:f>
        <x:v>328.91429999999997</x:v>
      </x:c>
      <x:c r="Z228" t="n">
        <x:f>F228*'APPF Model'!$C$62+P228*'APPF Model'!$C$63+'APPF Model'!$C$73+'APPF Model'!$C$74</x:f>
        <x:v>504.76311599999997</x:v>
      </x:c>
      <x:c r="AA228" t="n">
        <x:f>G228*'APPF Model'!$D$62+Q228*'APPF Model'!$D$63+'APPF Model'!$D$73+'APPF Model'!$D$74</x:f>
        <x:v>754.62085842</x:v>
      </x:c>
      <x:c r="AB228" t="n">
        <x:f>H228*'APPF Model'!$E$62+R228*'APPF Model'!$E$63+'APPF Model'!$E$73+'APPF Model'!$E$74</x:f>
        <x:v>1126.0255591727998</x:v>
      </x:c>
      <x:c r="AC228" t="n">
        <x:f>I228*'APPF Model'!$F$62+S228*'APPF Model'!$F$63+'APPF Model'!$F$73+'APPF Model'!$F$74</x:f>
        <x:v>1643.7627277341267</x:v>
      </x:c>
      <x:c r="AD228" t="n">
        <x:f>AX228*$AC228/$AW228</x:f>
        <x:v>2219.0796824410713</x:v>
      </x:c>
      <x:c r="AE228" t="n">
        <x:f>AY228*$AC228/$AW228</x:f>
        <x:v>2818.23119670016</x:v>
      </x:c>
      <x:c r="AF228" t="n">
        <x:f>AZ228*$AC228/$AW228</x:f>
        <x:v>3353.6951240731905</x:v>
      </x:c>
      <x:c r="AG228" t="n">
        <x:f>BA228*$AC228/$AW228</x:f>
        <x:v>3722.601587721241</x:v>
      </x:c>
      <x:c r="AH228" t="n">
        <x:f>BB228*$AC228/$AW228</x:f>
        <x:v>3834.2796353528784</x:v>
      </x:c>
      <x:c r="AI228" t="n">
        <x:f>Y228*(1-'Assumptions'!$F$12)+AS228*'Assumptions'!$G$12-AS228*'APPF Model'!$B$65-(AS228-'Inputs'!$E$14)*'Assumptions'!$H$12-'Assumptions'!$I$12</x:f>
        <x:v>222.57394499999998</x:v>
      </x:c>
      <x:c r="AJ228" t="n">
        <x:f>Z228*(1-'Assumptions'!$F$12)+AT228*'Assumptions'!$G$12-AT228*'APPF Model'!$C$65-(AT228-AS228)*'Assumptions'!$H$12-0</x:f>
        <x:v>344.0924916</x:v>
      </x:c>
      <x:c r="AK228" t="n">
        <x:f>AA228*(1-'Assumptions'!$F$12)+AU228*'Assumptions'!$G$12-AU228*'APPF Model'!$D$65-(AU228-AT228)*'Assumptions'!$H$12-0</x:f>
        <x:v>516.659464893</x:v>
      </x:c>
      <x:c r="AL228" t="n">
        <x:f>AB228*(1-'Assumptions'!$F$12)+AV228*'Assumptions'!$G$12-AV228*'APPF Model'!$E$65-(AV228-AU228)*'Assumptions'!$H$12-0</x:f>
        <x:v>774.0113335211398</x:v>
      </x:c>
      <x:c r="AM228" t="n">
        <x:f>AC228*(1-'Assumptions'!$F$12)+AW228*'Assumptions'!$G$12-AW228*'APPF Model'!$F$65-(AW228-AV228)*'Assumptions'!$H$12-0</x:f>
        <x:v>1131.995840522997</x:v>
      </x:c>
      <x:c r="AN228" t="n">
        <x:f>AD228*(1-'Assumptions'!$F$12)+AX228*'Assumptions'!$G$12-AX228*'APPF Model'!$G$65-(AX228-AW228)*'Assumptions'!$H$12-0</x:f>
        <x:v>1543.2080588283502</x:v>
      </x:c>
      <x:c r="AO228" t="n">
        <x:f>AE228*(1-'Assumptions'!$F$12)+AY228*'Assumptions'!$G$12-AY228*'APPF Model'!$H$65-(AY228-AX228)*'Assumptions'!$H$12-0</x:f>
        <x:v>1981.3437887068997</x:v>
      </x:c>
      <x:c r="AP228" t="n">
        <x:f>AF228*(1-'Assumptions'!$F$12)+AZ228*'Assumptions'!$G$12-AZ228*'APPF Model'!$I$65-(AZ228-AY228)*'Assumptions'!$H$12-0</x:f>
        <x:v>2386.783006454318</x:v>
      </x:c>
      <x:c r="AQ228" t="n">
        <x:f>AG228*(1-'Assumptions'!$F$12)+BA228*'Assumptions'!$G$12-BA228*'APPF Model'!$J$65-(BA228-AZ228)*'Assumptions'!$H$12-0</x:f>
        <x:v>2686.1386874885397</x:v>
      </x:c>
      <x:c r="AR228" t="n">
        <x:f>AH228*(1-'Assumptions'!$F$12)+BB228*'Assumptions'!$G$12-BB228*'APPF Model'!$K$65-(BB228-BA228)*'Assumptions'!$H$12-0</x:f>
        <x:v>2810.5262129990497</x:v>
      </x:c>
      <x:c r="AS228" t="n">
        <x:f>E228+O228</x:f>
        <x:v>1604.46</x:v>
      </x:c>
      <x:c r="AT228" t="n">
        <x:f>F228+P228</x:f>
        <x:v>2294.3777999999998</x:v>
      </x:c>
      <x:c r="AU228" t="n">
        <x:f>G228+Q228</x:f>
        <x:v>3280.9602539999996</x:v>
      </x:c>
      <x:c r="AV228" t="n">
        <x:f>H228+R228</x:f>
        <x:v>4691.773163219999</x:v>
      </x:c>
      <x:c r="AW228" t="n">
        <x:f>I228+S228</x:f>
        <x:v>6709.235623404598</x:v>
      </x:c>
      <x:c r="AX228" t="n">
        <x:f>J228+T228</x:f>
        <x:v>9057.468091596209</x:v>
      </x:c>
      <x:c r="AY228" t="n">
        <x:f>K228+U228</x:f>
        <x:v>11502.984476327185</x:v>
      </x:c>
      <x:c r="AZ228" t="n">
        <x:f>L228+V228</x:f>
        <x:v>13688.55152682935</x:v>
      </x:c>
      <x:c r="BA228" t="n">
        <x:f>M228+W228</x:f>
        <x:v>15194.292194780575</x:v>
      </x:c>
      <x:c r="BB228" t="n">
        <x:f>N228+X228</x:f>
        <x:v>15650.120960623994</x:v>
      </x:c>
      <x:c r="BC228" t="n">
        <x:f>AS228/'Inputs'!$E$14-1</x:f>
        <x:v>0.42999999999999994</x:v>
      </x:c>
      <x:c r="BD228" t="n">
        <x:f>AT228/AS228-1</x:f>
        <x:v>0.4299999999999997</x:v>
      </x:c>
      <x:c r="BE228" t="n">
        <x:f>AU228/AT228-1</x:f>
        <x:v>0.42999999999999994</x:v>
      </x:c>
      <x:c r="BF228" t="n">
        <x:f>AV228/AU228-1</x:f>
        <x:v>0.42999999999999994</x:v>
      </x:c>
      <x:c r="BG228" t="n">
        <x:f>AW228/AV228-1</x:f>
        <x:v>0.42999999999999994</x:v>
      </x:c>
      <x:c r="BH228" t="n">
        <x:f>AX228/AW228-1</x:f>
        <x:v>0.3500000000000001</x:v>
      </x:c>
      <x:c r="BI228" t="n">
        <x:f>AY228/AX228-1</x:f>
        <x:v>0.27</x:v>
      </x:c>
      <x:c r="BJ228" t="n">
        <x:f>AZ228/AY228-1</x:f>
        <x:v>0.18999999999999995</x:v>
      </x:c>
      <x:c r="BK228" t="n">
        <x:f>BA228/AZ228-1</x:f>
        <x:v>0.10999999999999988</x:v>
      </x:c>
      <x:c r="BL228" t="n">
        <x:f>BB228/BA228-1</x:f>
        <x:v>0.030000000000000027</x:v>
      </x:c>
      <x:c r="BM228" t="n">
        <x:f>AH228*(1-'Assumptions'!$F$12)*(1+'Assumptions'!$D$12)*(1-'Assumptions'!$D$12/'Assumptions'!$E$12)</x:f>
        <x:v>2708.096931026376</x:v>
      </x:c>
      <x:c r="BN228" t="n">
        <x:f>SUMPRODUCT(AI228:AR228,'APPF Model'!$B$83:$K$83)+BM228/('Assumptions'!$C$12-'Assumptions'!$D$12)*'APPF Model'!$K$83</x:f>
        <x:v>22246.039532672174</x:v>
      </x:c>
      <x:c r="BO228" t="n">
        <x:f>'APPF Model'!$B$94</x:f>
        <x:v>171.685</x:v>
      </x:c>
      <x:c r="BP228" t="n">
        <x:f>'Inputs'!$E$8</x:f>
        <x:v>36</x:v>
      </x:c>
    </x:row>
    <x:row r="229">
      <x:c r="A229" t="str">
        <x:v>APPF</x:v>
      </x:c>
      <x:c r="B229" s="22" t="n">
        <x:v>0.44</x:v>
      </x:c>
      <x:c r="C229" s="42" t="n">
        <x:f>(BN229+BO229)/BP229</x:f>
        <x:v>652.629384351185</x:v>
      </x:c>
      <x:c r="D229" s="22" t="n">
        <x:f>C229/'Inputs'!$E$5-1</x:f>
        <x:v>2.045685011905847</x:v>
      </x:c>
      <x:c r="E229" t="n">
        <x:f>'Inputs'!$E$14*(1+$B229)^1</x:f>
        <x:v>1615.6799999999998</x:v>
      </x:c>
      <x:c r="F229" t="n">
        <x:f>'Inputs'!$E$14*(1+$B229)^2</x:f>
        <x:v>2326.5791999999997</x:v>
      </x:c>
      <x:c r="G229" t="n">
        <x:f>'Inputs'!$E$14*(1+$B229)^3</x:f>
        <x:v>3350.2740479999998</x:v>
      </x:c>
      <x:c r="H229" t="n">
        <x:f>'Inputs'!$E$14*(1+$B229)^4</x:f>
        <x:v>4824.394629119999</x:v>
      </x:c>
      <x:c r="I229" t="n">
        <x:f>'Inputs'!$E$14*(1+$B229)^5</x:f>
        <x:v>6947.128265932799</x:v>
      </x:c>
      <x:c r="J229" t="n">
        <x:f>I229*(1+($BG229+('Assumptions'!$D$12-$BG229)*(6-5)/5))</x:f>
        <x:v>9434.200185136742</x:v>
      </x:c>
      <x:c r="K229" t="n">
        <x:f>J229*(1+($BG229+('Assumptions'!$D$12-$BG229)*(7-5)/5))</x:f>
        <x:v>12038.039436234485</x:v>
      </x:c>
      <x:c r="L229" t="n">
        <x:f>K229*(1+($BG229+('Assumptions'!$D$12-$BG229)*(8-5)/5))</x:f>
        <x:v>14373.419086863978</x:v>
      </x:c>
      <x:c r="M229" t="n">
        <x:f>L229*(1+($BG229+('Assumptions'!$D$12-$BG229)*(9-5)/5))</x:f>
        <x:v>15983.242024592744</x:v>
      </x:c>
      <x:c r="N229" t="n">
        <x:f>M229*(1+($BG229+('Assumptions'!$D$12-$BG229)*(10-5)/5))</x:f>
        <x:v>16462.73928533053</x:v>
      </x:c>
      <x:c r="O229" t="n">
        <x:f>0</x:f>
        <x:v>0</x:v>
      </x:c>
      <x:c r="P229" t="n">
        <x:f>0</x:f>
        <x:v>0</x:v>
      </x:c>
      <x:c r="Q229" t="n">
        <x:f>0</x:f>
        <x:v>0</x:v>
      </x:c>
      <x:c r="R229" t="n">
        <x:f>0</x:f>
        <x:v>0</x:v>
      </x:c>
      <x:c r="S229" t="n">
        <x:f>0</x:f>
        <x:v>0</x:v>
      </x:c>
      <x:c r="T229" t="n">
        <x:f>S229*(1+($BG229+('Assumptions'!$D$12-$BG229)*(6-5)/5))</x:f>
        <x:v>0</x:v>
      </x:c>
      <x:c r="U229" t="n">
        <x:f>T229*(1+($BG229+('Assumptions'!$D$12-$BG229)*(7-5)/5))</x:f>
        <x:v>0</x:v>
      </x:c>
      <x:c r="V229" t="n">
        <x:f>U229*(1+($BG229+('Assumptions'!$D$12-$BG229)*(8-5)/5))</x:f>
        <x:v>0</x:v>
      </x:c>
      <x:c r="W229" t="n">
        <x:f>V229*(1+($BG229+('Assumptions'!$D$12-$BG229)*(9-5)/5))</x:f>
        <x:v>0</x:v>
      </x:c>
      <x:c r="X229" t="n">
        <x:f>W229*(1+($BG229+('Assumptions'!$D$12-$BG229)*(10-5)/5))</x:f>
        <x:v>0</x:v>
      </x:c>
      <x:c r="Y229" t="n">
        <x:f>E229*'APPF Model'!$B$62+O229*'APPF Model'!$B$63+'APPF Model'!$B$73+'APPF Model'!$B$74</x:f>
        <x:v>331.21439999999996</x:v>
      </x:c>
      <x:c r="Z229" t="n">
        <x:f>F229*'APPF Model'!$C$62+P229*'APPF Model'!$C$63+'APPF Model'!$C$73+'APPF Model'!$C$74</x:f>
        <x:v>511.84742399999993</x:v>
      </x:c>
      <x:c r="AA229" t="n">
        <x:f>G229*'APPF Model'!$D$62+Q229*'APPF Model'!$D$63+'APPF Model'!$D$73+'APPF Model'!$D$74</x:f>
        <x:v>770.5630310399999</x:v>
      </x:c>
      <x:c r="AB229" t="n">
        <x:f>H229*'APPF Model'!$E$62+R229*'APPF Model'!$E$63+'APPF Model'!$E$73+'APPF Model'!$E$74</x:f>
        <x:v>1157.8547109887998</x:v>
      </x:c>
      <x:c r="AC229" t="n">
        <x:f>I229*'APPF Model'!$F$62+S229*'APPF Model'!$F$63+'APPF Model'!$F$73+'APPF Model'!$F$74</x:f>
        <x:v>1702.0464251535357</x:v>
      </x:c>
      <x:c r="AD229" t="n">
        <x:f>AX229*$AC229/$AW229</x:f>
        <x:v>2311.3790453585016</x:v>
      </x:c>
      <x:c r="AE229" t="n">
        <x:f>AY229*$AC229/$AW229</x:f>
        <x:v>2949.3196618774487</x:v>
      </x:c>
      <x:c r="AF229" t="n">
        <x:f>AZ229*$AC229/$AW229</x:f>
        <x:v>3521.4876762816743</x:v>
      </x:c>
      <x:c r="AG229" t="n">
        <x:f>BA229*$AC229/$AW229</x:f>
        <x:v>3915.894296025222</x:v>
      </x:c>
      <x:c r="AH229" t="n">
        <x:f>BB229*$AC229/$AW229</x:f>
        <x:v>4033.371124905979</x:v>
      </x:c>
      <x:c r="AI229" t="n">
        <x:f>Y229*(1-'Assumptions'!$F$12)+AS229*'Assumptions'!$G$12-AS229*'APPF Model'!$B$65-(AS229-'Inputs'!$E$14)*'Assumptions'!$H$12-'Assumptions'!$I$12</x:f>
        <x:v>223.81655999999998</x:v>
      </x:c>
      <x:c r="AJ229" t="n">
        <x:f>Z229*(1-'Assumptions'!$F$12)+AT229*'Assumptions'!$G$12-AT229*'APPF Model'!$C$65-(AT229-AS229)*'Assumptions'!$H$12-0</x:f>
        <x:v>348.4698623999999</x:v>
      </x:c>
      <x:c r="AK229" t="n">
        <x:f>AA229*(1-'Assumptions'!$F$12)+AU229*'Assumptions'!$G$12-AU229*'APPF Model'!$D$65-(AU229-AT229)*'Assumptions'!$H$12-0</x:f>
        <x:v>526.9236572159999</x:v>
      </x:c>
      <x:c r="AL229" t="n">
        <x:f>AB229*(1-'Assumptions'!$F$12)+AV229*'Assumptions'!$G$12-AV229*'APPF Model'!$E$65-(AV229-AU229)*'Assumptions'!$H$12-0</x:f>
        <x:v>794.9530261094399</x:v>
      </x:c>
      <x:c r="AM229" t="n">
        <x:f>AC229*(1-'Assumptions'!$F$12)+AW229*'Assumptions'!$G$12-AW229*'APPF Model'!$F$65-(AW229-AV229)*'Assumptions'!$H$12-0</x:f>
        <x:v>1170.7840885948413</x:v>
      </x:c>
      <x:c r="AN229" t="n">
        <x:f>AD229*(1-'Assumptions'!$F$12)+AX229*'Assumptions'!$G$12-AX229*'APPF Model'!$G$65-(AX229-AW229)*'Assumptions'!$H$12-0</x:f>
        <x:v>1605.7488066953083</x:v>
      </x:c>
      <x:c r="AO229" t="n">
        <x:f>AE229*(1-'Assumptions'!$F$12)+AY229*'Assumptions'!$G$12-AY229*'APPF Model'!$H$65-(AY229-AX229)*'Assumptions'!$H$12-0</x:f>
        <x:v>2071.722058055473</x:v>
      </x:c>
      <x:c r="AP229" t="n">
        <x:f>AF229*(1-'Assumptions'!$F$12)+AZ229*'Assumptions'!$G$12-AZ229*'APPF Model'!$I$65-(AZ229-AY229)*'Assumptions'!$H$12-0</x:f>
        <x:v>2504.5803139254845</x:v>
      </x:c>
      <x:c r="AQ229" t="n">
        <x:f>AG229*(1-'Assumptions'!$F$12)+BA229*'Assumptions'!$G$12-BA229*'APPF Model'!$J$65-(BA229-AZ229)*'Assumptions'!$H$12-0</x:f>
        <x:v>2824.5780784359877</x:v>
      </x:c>
      <x:c r="AR229" t="n">
        <x:f>AH229*(1-'Assumptions'!$F$12)+BB229*'Assumptions'!$G$12-BB229*'APPF Model'!$K$65-(BB229-BA229)*'Assumptions'!$H$12-0</x:f>
        <x:v>2956.4602353939813</x:v>
      </x:c>
      <x:c r="AS229" t="n">
        <x:f>E229+O229</x:f>
        <x:v>1615.6799999999998</x:v>
      </x:c>
      <x:c r="AT229" t="n">
        <x:f>F229+P229</x:f>
        <x:v>2326.5791999999997</x:v>
      </x:c>
      <x:c r="AU229" t="n">
        <x:f>G229+Q229</x:f>
        <x:v>3350.2740479999998</x:v>
      </x:c>
      <x:c r="AV229" t="n">
        <x:f>H229+R229</x:f>
        <x:v>4824.394629119999</x:v>
      </x:c>
      <x:c r="AW229" t="n">
        <x:f>I229+S229</x:f>
        <x:v>6947.128265932799</x:v>
      </x:c>
      <x:c r="AX229" t="n">
        <x:f>J229+T229</x:f>
        <x:v>9434.200185136742</x:v>
      </x:c>
      <x:c r="AY229" t="n">
        <x:f>K229+U229</x:f>
        <x:v>12038.039436234485</x:v>
      </x:c>
      <x:c r="AZ229" t="n">
        <x:f>L229+V229</x:f>
        <x:v>14373.419086863978</x:v>
      </x:c>
      <x:c r="BA229" t="n">
        <x:f>M229+W229</x:f>
        <x:v>15983.242024592744</x:v>
      </x:c>
      <x:c r="BB229" t="n">
        <x:f>N229+X229</x:f>
        <x:v>16462.73928533053</x:v>
      </x:c>
      <x:c r="BC229" t="n">
        <x:f>AS229/'Inputs'!$E$14-1</x:f>
        <x:v>0.43999999999999995</x:v>
      </x:c>
      <x:c r="BD229" t="n">
        <x:f>AT229/AS229-1</x:f>
        <x:v>0.43999999999999995</x:v>
      </x:c>
      <x:c r="BE229" t="n">
        <x:f>AU229/AT229-1</x:f>
        <x:v>0.44000000000000017</x:v>
      </x:c>
      <x:c r="BF229" t="n">
        <x:f>AV229/AU229-1</x:f>
        <x:v>0.4399999999999997</x:v>
      </x:c>
      <x:c r="BG229" t="n">
        <x:f>AW229/AV229-1</x:f>
        <x:v>0.44000000000000017</x:v>
      </x:c>
      <x:c r="BH229" t="n">
        <x:f>AX229/AW229-1</x:f>
        <x:v>0.3580000000000001</x:v>
      </x:c>
      <x:c r="BI229" t="n">
        <x:f>AY229/AX229-1</x:f>
        <x:v>0.27600000000000025</x:v>
      </x:c>
      <x:c r="BJ229" t="n">
        <x:f>AZ229/AY229-1</x:f>
        <x:v>0.19400000000000017</x:v>
      </x:c>
      <x:c r="BK229" t="n">
        <x:f>BA229/AZ229-1</x:f>
        <x:v>0.1120000000000001</x:v>
      </x:c>
      <x:c r="BL229" t="n">
        <x:f>BB229/BA229-1</x:f>
        <x:v>0.030000000000000027</x:v>
      </x:c>
      <x:c r="BM229" t="n">
        <x:f>AH229*(1-'Assumptions'!$F$12)*(1+'Assumptions'!$D$12)*(1-'Assumptions'!$D$12/'Assumptions'!$E$12)</x:f>
        <x:v>2848.7124059335943</x:v>
      </x:c>
      <x:c r="BN229" t="n">
        <x:f>SUMPRODUCT(AI229:AR229,'APPF Model'!$B$83:$K$83)+BM229/('Assumptions'!$C$12-'Assumptions'!$D$12)*'APPF Model'!$K$83</x:f>
        <x:v>23322.972836642657</x:v>
      </x:c>
      <x:c r="BO229" t="n">
        <x:f>'APPF Model'!$B$94</x:f>
        <x:v>171.685</x:v>
      </x:c>
      <x:c r="BP229" t="n">
        <x:f>'Inputs'!$E$8</x:f>
        <x:v>36</x:v>
      </x:c>
    </x:row>
    <x:row r="230">
      <x:c r="A230" t="str">
        <x:v>APPF</x:v>
      </x:c>
      <x:c r="B230" s="22" t="n">
        <x:v>0.45</x:v>
      </x:c>
      <x:c r="C230" s="42" t="n">
        <x:f>(BN230+BO230)/BP230</x:f>
        <x:v>683.8391216759536</x:v>
      </x:c>
      <x:c r="D230" s="22" t="n">
        <x:f>C230/'Inputs'!$E$5-1</x:f>
        <x:v>2.1913343367367633</x:v>
      </x:c>
      <x:c r="E230" t="n">
        <x:f>'Inputs'!$E$14*(1+$B230)^1</x:f>
        <x:v>1626.8999999999999</x:v>
      </x:c>
      <x:c r="F230" t="n">
        <x:f>'Inputs'!$E$14*(1+$B230)^2</x:f>
        <x:v>2359.005</x:v>
      </x:c>
      <x:c r="G230" t="n">
        <x:f>'Inputs'!$E$14*(1+$B230)^3</x:f>
        <x:v>3420.55725</x:v>
      </x:c>
      <x:c r="H230" t="n">
        <x:f>'Inputs'!$E$14*(1+$B230)^4</x:f>
        <x:v>4959.8080125</x:v>
      </x:c>
      <x:c r="I230" t="n">
        <x:f>'Inputs'!$E$14*(1+$B230)^5</x:f>
        <x:v>7191.721618124999</x:v>
      </x:c>
      <x:c r="J230" t="n">
        <x:f>I230*(1+($BG230+('Assumptions'!$D$12-$BG230)*(6-5)/5))</x:f>
        <x:v>9823.891730358746</x:v>
      </x:c>
      <x:c r="K230" t="n">
        <x:f>J230*(1+($BG230+('Assumptions'!$D$12-$BG230)*(7-5)/5))</x:f>
        <x:v>12594.22919831991</x:v>
      </x:c>
      <x:c r="L230" t="n">
        <x:f>K230*(1+($BG230+('Assumptions'!$D$12-$BG230)*(8-5)/5))</x:f>
        <x:v>15087.886579587252</x:v>
      </x:c>
      <x:c r="M230" t="n">
        <x:f>L230*(1+($BG230+('Assumptions'!$D$12-$BG230)*(9-5)/5))</x:f>
        <x:v>16807.905649660195</x:v>
      </x:c>
      <x:c r="N230" t="n">
        <x:f>M230*(1+($BG230+('Assumptions'!$D$12-$BG230)*(10-5)/5))</x:f>
        <x:v>17312.14281915</x:v>
      </x:c>
      <x:c r="O230" t="n">
        <x:f>0</x:f>
        <x:v>0</x:v>
      </x:c>
      <x:c r="P230" t="n">
        <x:f>0</x:f>
        <x:v>0</x:v>
      </x:c>
      <x:c r="Q230" t="n">
        <x:f>0</x:f>
        <x:v>0</x:v>
      </x:c>
      <x:c r="R230" t="n">
        <x:f>0</x:f>
        <x:v>0</x:v>
      </x:c>
      <x:c r="S230" t="n">
        <x:f>0</x:f>
        <x:v>0</x:v>
      </x:c>
      <x:c r="T230" t="n">
        <x:f>S230*(1+($BG230+('Assumptions'!$D$12-$BG230)*(6-5)/5))</x:f>
        <x:v>0</x:v>
      </x:c>
      <x:c r="U230" t="n">
        <x:f>T230*(1+($BG230+('Assumptions'!$D$12-$BG230)*(7-5)/5))</x:f>
        <x:v>0</x:v>
      </x:c>
      <x:c r="V230" t="n">
        <x:f>U230*(1+($BG230+('Assumptions'!$D$12-$BG230)*(8-5)/5))</x:f>
        <x:v>0</x:v>
      </x:c>
      <x:c r="W230" t="n">
        <x:f>V230*(1+($BG230+('Assumptions'!$D$12-$BG230)*(9-5)/5))</x:f>
        <x:v>0</x:v>
      </x:c>
      <x:c r="X230" t="n">
        <x:f>W230*(1+($BG230+('Assumptions'!$D$12-$BG230)*(10-5)/5))</x:f>
        <x:v>0</x:v>
      </x:c>
      <x:c r="Y230" t="n">
        <x:f>E230*'APPF Model'!$B$62+O230*'APPF Model'!$B$63+'APPF Model'!$B$73+'APPF Model'!$B$74</x:f>
        <x:v>333.51449999999994</x:v>
      </x:c>
      <x:c r="Z230" t="n">
        <x:f>F230*'APPF Model'!$C$62+P230*'APPF Model'!$C$63+'APPF Model'!$C$73+'APPF Model'!$C$74</x:f>
        <x:v>518.9811000000001</x:v>
      </x:c>
      <x:c r="AA230" t="n">
        <x:f>G230*'APPF Model'!$D$62+Q230*'APPF Model'!$D$63+'APPF Model'!$D$73+'APPF Model'!$D$74</x:f>
        <x:v>786.7281675</x:v>
      </x:c>
      <x:c r="AB230" t="n">
        <x:f>H230*'APPF Model'!$E$62+R230*'APPF Model'!$E$63+'APPF Model'!$E$73+'APPF Model'!$E$74</x:f>
        <x:v>1190.353923</x:v>
      </x:c>
      <x:c r="AC230" t="n">
        <x:f>I230*'APPF Model'!$F$62+S230*'APPF Model'!$F$63+'APPF Model'!$F$73+'APPF Model'!$F$74</x:f>
        <x:v>1761.9717964406248</x:v>
      </x:c>
      <x:c r="AD230" t="n">
        <x:f>AX230*$AC230/$AW230</x:f>
        <x:v>2406.853473937893</x:v>
      </x:c>
      <x:c r="AE230" t="n">
        <x:f>AY230*$AC230/$AW230</x:f>
        <x:v>3085.5861535883782</x:v>
      </x:c>
      <x:c r="AF230" t="n">
        <x:f>AZ230*$AC230/$AW230</x:f>
        <x:v>3696.532211998877</x:v>
      </x:c>
      <x:c r="AG230" t="n">
        <x:f>BA230*$AC230/$AW230</x:f>
        <x:v>4117.936884166747</x:v>
      </x:c>
      <x:c r="AH230" t="n">
        <x:f>BB230*$AC230/$AW230</x:f>
        <x:v>4241.4749906917505</x:v>
      </x:c>
      <x:c r="AI230" t="n">
        <x:f>Y230*(1-'Assumptions'!$F$12)+AS230*'Assumptions'!$G$12-AS230*'APPF Model'!$B$65-(AS230-'Inputs'!$E$14)*'Assumptions'!$H$12-'Assumptions'!$I$12</x:f>
        <x:v>225.05917499999995</x:v>
      </x:c>
      <x:c r="AJ230" t="n">
        <x:f>Z230*(1-'Assumptions'!$F$12)+AT230*'Assumptions'!$G$12-AT230*'APPF Model'!$C$65-(AT230-AS230)*'Assumptions'!$H$12-0</x:f>
        <x:v>352.87461000000013</x:v>
      </x:c>
      <x:c r="AK230" t="n">
        <x:f>AA230*(1-'Assumptions'!$F$12)+AU230*'Assumptions'!$G$12-AU230*'APPF Model'!$D$65-(AU230-AT230)*'Assumptions'!$H$12-0</x:f>
        <x:v>537.3223638750001</x:v>
      </x:c>
      <x:c r="AL230" t="n">
        <x:f>AB230*(1-'Assumptions'!$F$12)+AV230*'Assumptions'!$G$12-AV230*'APPF Model'!$E$65-(AV230-AU230)*'Assumptions'!$H$12-0</x:f>
        <x:v>816.3159877124999</x:v>
      </x:c>
      <x:c r="AM230" t="n">
        <x:f>AC230*(1-'Assumptions'!$F$12)+AW230*'Assumptions'!$G$12-AW230*'APPF Model'!$F$65-(AW230-AV230)*'Assumptions'!$H$12-0</x:f>
        <x:v>1210.6271382510936</x:v>
      </x:c>
      <x:c r="AN230" t="n">
        <x:f>AD230*(1-'Assumptions'!$F$12)+AX230*'Assumptions'!$G$12-AX230*'APPF Model'!$G$65-(AX230-AW230)*'Assumptions'!$H$12-0</x:f>
        <x:v>1670.3816257729936</x:v>
      </x:c>
      <x:c r="AO230" t="n">
        <x:f>AE230*(1-'Assumptions'!$F$12)+AY230*'Assumptions'!$G$12-AY230*'APPF Model'!$H$65-(AY230-AX230)*'Assumptions'!$H$12-0</x:f>
        <x:v>2165.593428877877</x:v>
      </x:c>
      <x:c r="AP230" t="n">
        <x:f>AF230*(1-'Assumptions'!$F$12)+AZ230*'Assumptions'!$G$12-AZ230*'APPF Model'!$I$65-(AZ230-AY230)*'Assumptions'!$H$12-0</x:f>
        <x:v>2627.389204009702</x:v>
      </x:c>
      <x:c r="AQ230" t="n">
        <x:f>AG230*(1-'Assumptions'!$F$12)+BA230*'Assumptions'!$G$12-BA230*'APPF Model'!$J$65-(BA230-AZ230)*'Assumptions'!$H$12-0</x:f>
        <x:v>2969.228183373162</x:v>
      </x:c>
      <x:c r="AR230" t="n">
        <x:f>AH230*(1-'Assumptions'!$F$12)+BB230*'Assumptions'!$G$12-BB230*'APPF Model'!$K$65-(BB230-BA230)*'Assumptions'!$H$12-0</x:f>
        <x:v>3109.000327781771</x:v>
      </x:c>
      <x:c r="AS230" t="n">
        <x:f>E230+O230</x:f>
        <x:v>1626.8999999999999</x:v>
      </x:c>
      <x:c r="AT230" t="n">
        <x:f>F230+P230</x:f>
        <x:v>2359.005</x:v>
      </x:c>
      <x:c r="AU230" t="n">
        <x:f>G230+Q230</x:f>
        <x:v>3420.55725</x:v>
      </x:c>
      <x:c r="AV230" t="n">
        <x:f>H230+R230</x:f>
        <x:v>4959.8080125</x:v>
      </x:c>
      <x:c r="AW230" t="n">
        <x:f>I230+S230</x:f>
        <x:v>7191.721618124999</x:v>
      </x:c>
      <x:c r="AX230" t="n">
        <x:f>J230+T230</x:f>
        <x:v>9823.891730358746</x:v>
      </x:c>
      <x:c r="AY230" t="n">
        <x:f>K230+U230</x:f>
        <x:v>12594.22919831991</x:v>
      </x:c>
      <x:c r="AZ230" t="n">
        <x:f>L230+V230</x:f>
        <x:v>15087.886579587252</x:v>
      </x:c>
      <x:c r="BA230" t="n">
        <x:f>M230+W230</x:f>
        <x:v>16807.905649660195</x:v>
      </x:c>
      <x:c r="BB230" t="n">
        <x:f>N230+X230</x:f>
        <x:v>17312.14281915</x:v>
      </x:c>
      <x:c r="BC230" t="n">
        <x:f>AS230/'Inputs'!$E$14-1</x:f>
        <x:v>0.44999999999999996</x:v>
      </x:c>
      <x:c r="BD230" t="n">
        <x:f>AT230/AS230-1</x:f>
        <x:v>0.4500000000000002</x:v>
      </x:c>
      <x:c r="BE230" t="n">
        <x:f>AU230/AT230-1</x:f>
        <x:v>0.44999999999999996</x:v>
      </x:c>
      <x:c r="BF230" t="n">
        <x:f>AV230/AU230-1</x:f>
        <x:v>0.44999999999999996</x:v>
      </x:c>
      <x:c r="BG230" t="n">
        <x:f>AW230/AV230-1</x:f>
        <x:v>0.44999999999999973</x:v>
      </x:c>
      <x:c r="BH230" t="n">
        <x:f>AX230/AW230-1</x:f>
        <x:v>0.36599999999999966</x:v>
      </x:c>
      <x:c r="BI230" t="n">
        <x:f>AY230/AX230-1</x:f>
        <x:v>0.2819999999999998</x:v>
      </x:c>
      <x:c r="BJ230" t="n">
        <x:f>AZ230/AY230-1</x:f>
        <x:v>0.19799999999999995</x:v>
      </x:c>
      <x:c r="BK230" t="n">
        <x:f>BA230/AZ230-1</x:f>
        <x:v>0.11399999999999988</x:v>
      </x:c>
      <x:c r="BL230" t="n">
        <x:f>BB230/BA230-1</x:f>
        <x:v>0.030000000000000027</x:v>
      </x:c>
      <x:c r="BM230" t="n">
        <x:f>AH230*(1-'Assumptions'!$F$12)*(1+'Assumptions'!$D$12)*(1-'Assumptions'!$D$12/'Assumptions'!$E$12)</x:f>
        <x:v>2995.693193425717</x:v>
      </x:c>
      <x:c r="BN230" t="n">
        <x:f>SUMPRODUCT(AI230:AR230,'APPF Model'!$B$83:$K$83)+BM230/('Assumptions'!$C$12-'Assumptions'!$D$12)*'APPF Model'!$K$83</x:f>
        <x:v>24446.52338033433</x:v>
      </x:c>
      <x:c r="BO230" t="n">
        <x:f>'APPF Model'!$B$94</x:f>
        <x:v>171.685</x:v>
      </x:c>
      <x:c r="BP230" t="n">
        <x:f>'Inputs'!$E$8</x:f>
        <x:v>36</x:v>
      </x:c>
    </x:row>
    <x:row r="231">
      <x:c r="A231" t="str">
        <x:v>APPF</x:v>
      </x:c>
      <x:c r="B231" s="22" t="n">
        <x:v>0.46</x:v>
      </x:c>
      <x:c r="C231" s="42" t="n">
        <x:f>(BN231+BO231)/BP231</x:f>
        <x:v>716.392379093194</x:v>
      </x:c>
      <x:c r="D231" s="22" t="n">
        <x:f>C231/'Inputs'!$E$5-1</x:f>
        <x:v>2.343253589197284</x:v>
      </x:c>
      <x:c r="E231" t="n">
        <x:f>'Inputs'!$E$14*(1+$B231)^1</x:f>
        <x:v>1638.12</x:v>
      </x:c>
      <x:c r="F231" t="n">
        <x:f>'Inputs'!$E$14*(1+$B231)^2</x:f>
        <x:v>2391.6551999999997</x:v>
      </x:c>
      <x:c r="G231" t="n">
        <x:f>'Inputs'!$E$14*(1+$B231)^3</x:f>
        <x:v>3491.8165919999997</x:v>
      </x:c>
      <x:c r="H231" t="n">
        <x:f>'Inputs'!$E$14*(1+$B231)^4</x:f>
        <x:v>5098.0522243199985</x:v>
      </x:c>
      <x:c r="I231" t="n">
        <x:f>'Inputs'!$E$14*(1+$B231)^5</x:f>
        <x:v>7443.156247507198</x:v>
      </x:c>
      <x:c r="J231" t="n">
        <x:f>I231*(1+($BG231+('Assumptions'!$D$12-$BG231)*(6-5)/5))</x:f>
        <x:v>10226.89668407489</x:v>
      </x:c>
      <x:c r="K231" t="n">
        <x:f>J231*(1+($BG231+('Assumptions'!$D$12-$BG231)*(7-5)/5))</x:f>
        <x:v>13172.24292908846</x:v>
      </x:c>
      <x:c r="L231" t="n">
        <x:f>K231*(1+($BG231+('Assumptions'!$D$12-$BG231)*(8-5)/5))</x:f>
        <x:v>15833.036000764327</x:v>
      </x:c>
      <x:c r="M231" t="n">
        <x:f>L231*(1+($BG231+('Assumptions'!$D$12-$BG231)*(9-5)/5))</x:f>
        <x:v>17669.66817685299</x:v>
      </x:c>
      <x:c r="N231" t="n">
        <x:f>M231*(1+($BG231+('Assumptions'!$D$12-$BG231)*(10-5)/5))</x:f>
        <x:v>18199.75822215858</x:v>
      </x:c>
      <x:c r="O231" t="n">
        <x:f>0</x:f>
        <x:v>0</x:v>
      </x:c>
      <x:c r="P231" t="n">
        <x:f>0</x:f>
        <x:v>0</x:v>
      </x:c>
      <x:c r="Q231" t="n">
        <x:f>0</x:f>
        <x:v>0</x:v>
      </x:c>
      <x:c r="R231" t="n">
        <x:f>0</x:f>
        <x:v>0</x:v>
      </x:c>
      <x:c r="S231" t="n">
        <x:f>0</x:f>
        <x:v>0</x:v>
      </x:c>
      <x:c r="T231" t="n">
        <x:f>S231*(1+($BG231+('Assumptions'!$D$12-$BG231)*(6-5)/5))</x:f>
        <x:v>0</x:v>
      </x:c>
      <x:c r="U231" t="n">
        <x:f>T231*(1+($BG231+('Assumptions'!$D$12-$BG231)*(7-5)/5))</x:f>
        <x:v>0</x:v>
      </x:c>
      <x:c r="V231" t="n">
        <x:f>U231*(1+($BG231+('Assumptions'!$D$12-$BG231)*(8-5)/5))</x:f>
        <x:v>0</x:v>
      </x:c>
      <x:c r="W231" t="n">
        <x:f>V231*(1+($BG231+('Assumptions'!$D$12-$BG231)*(9-5)/5))</x:f>
        <x:v>0</x:v>
      </x:c>
      <x:c r="X231" t="n">
        <x:f>W231*(1+($BG231+('Assumptions'!$D$12-$BG231)*(10-5)/5))</x:f>
        <x:v>0</x:v>
      </x:c>
      <x:c r="Y231" t="n">
        <x:f>E231*'APPF Model'!$B$62+O231*'APPF Model'!$B$63+'APPF Model'!$B$73+'APPF Model'!$B$74</x:f>
        <x:v>335.8146</x:v>
      </x:c>
      <x:c r="Z231" t="n">
        <x:f>F231*'APPF Model'!$C$62+P231*'APPF Model'!$C$63+'APPF Model'!$C$73+'APPF Model'!$C$74</x:f>
        <x:v>526.164144</x:v>
      </x:c>
      <x:c r="AA231" t="n">
        <x:f>G231*'APPF Model'!$D$62+Q231*'APPF Model'!$D$63+'APPF Model'!$D$73+'APPF Model'!$D$74</x:f>
        <x:v>803.11781616</x:v>
      </x:c>
      <x:c r="AB231" t="n">
        <x:f>H231*'APPF Model'!$E$62+R231*'APPF Model'!$E$63+'APPF Model'!$E$73+'APPF Model'!$E$74</x:f>
        <x:v>1223.5325338367995</x:v>
      </x:c>
      <x:c r="AC231" t="n">
        <x:f>I231*'APPF Model'!$F$62+S231*'APPF Model'!$F$63+'APPF Model'!$F$73+'APPF Model'!$F$74</x:f>
        <x:v>1823.5732806392634</x:v>
      </x:c>
      <x:c r="AD231" t="n">
        <x:f>AX231*$AC231/$AW231</x:f>
        <x:v>2505.589687598348</x:v>
      </x:c>
      <x:c r="AE231" t="n">
        <x:f>AY231*$AC231/$AW231</x:f>
        <x:v>3227.199517626673</x:v>
      </x:c>
      <x:c r="AF231" t="n">
        <x:f>AZ231*$AC231/$AW231</x:f>
        <x:v>3879.09382018726</x:v>
      </x:c>
      <x:c r="AG231" t="n">
        <x:f>BA231*$AC231/$AW231</x:f>
        <x:v>4329.068703328982</x:v>
      </x:c>
      <x:c r="AH231" t="n">
        <x:f>BB231*$AC231/$AW231</x:f>
        <x:v>4458.940764428852</x:v>
      </x:c>
      <x:c r="AI231" t="n">
        <x:f>Y231*(1-'Assumptions'!$F$12)+AS231*'Assumptions'!$G$12-AS231*'APPF Model'!$B$65-(AS231-'Inputs'!$E$14)*'Assumptions'!$H$12-'Assumptions'!$I$12</x:f>
        <x:v>226.30179</x:v>
      </x:c>
      <x:c r="AJ231" t="n">
        <x:f>Z231*(1-'Assumptions'!$F$12)+AT231*'Assumptions'!$G$12-AT231*'APPF Model'!$C$65-(AT231-AS231)*'Assumptions'!$H$12-0</x:f>
        <x:v>357.3067344</x:v>
      </x:c>
      <x:c r="AK231" t="n">
        <x:f>AA231*(1-'Assumptions'!$F$12)+AU231*'Assumptions'!$G$12-AU231*'APPF Model'!$D$65-(AU231-AT231)*'Assumptions'!$H$12-0</x:f>
        <x:v>547.8564566639999</x:v>
      </x:c>
      <x:c r="AL231" t="n">
        <x:f>AB231*(1-'Assumptions'!$F$12)+AV231*'Assumptions'!$G$12-AV231*'APPF Model'!$E$65-(AV231-AU231)*'Assumptions'!$H$12-0</x:f>
        <x:v>838.1058184118397</x:v>
      </x:c>
      <x:c r="AM231" t="n">
        <x:f>AC231*(1-'Assumptions'!$F$12)+AW231*'Assumptions'!$G$12-AW231*'APPF Model'!$F$65-(AW231-AV231)*'Assumptions'!$H$12-0</x:f>
        <x:v>1251.546330809438</x:v>
      </x:c>
      <x:c r="AN231" t="n">
        <x:f>AD231*(1-'Assumptions'!$F$12)+AX231*'Assumptions'!$G$12-AX231*'APPF Model'!$G$65-(AX231-AW231)*'Assumptions'!$H$12-0</x:f>
        <x:v>1737.1619581838286</x:v>
      </x:c>
      <x:c r="AO231" t="n">
        <x:f>AE231*(1-'Assumptions'!$F$12)+AY231*'Assumptions'!$G$12-AY231*'APPF Model'!$H$65-(AY231-AX231)*'Assumptions'!$H$12-0</x:f>
        <x:v>2263.0690596321965</x:v>
      </x:c>
      <x:c r="AP231" t="n">
        <x:f>AF231*(1-'Assumptions'!$F$12)+AZ231*'Assumptions'!$G$12-AZ231*'APPF Model'!$I$65-(AZ231-AY231)*'Assumptions'!$H$12-0</x:f>
        <x:v>2755.389534271117</x:v>
      </x:c>
      <x:c r="AQ231" t="n">
        <x:f>AG231*(1-'Assumptions'!$F$12)+BA231*'Assumptions'!$G$12-BA231*'APPF Model'!$J$65-(BA231-AZ231)*'Assumptions'!$H$12-0</x:f>
        <x:v>3120.327235922631</x:v>
      </x:c>
      <x:c r="AR231" t="n">
        <x:f>AH231*(1-'Assumptions'!$F$12)+BB231*'Assumptions'!$G$12-BB231*'APPF Model'!$K$65-(BB231-BA231)*'Assumptions'!$H$12-0</x:f>
        <x:v>3268.40269684294</x:v>
      </x:c>
      <x:c r="AS231" t="n">
        <x:f>E231+O231</x:f>
        <x:v>1638.12</x:v>
      </x:c>
      <x:c r="AT231" t="n">
        <x:f>F231+P231</x:f>
        <x:v>2391.6551999999997</x:v>
      </x:c>
      <x:c r="AU231" t="n">
        <x:f>G231+Q231</x:f>
        <x:v>3491.8165919999997</x:v>
      </x:c>
      <x:c r="AV231" t="n">
        <x:f>H231+R231</x:f>
        <x:v>5098.0522243199985</x:v>
      </x:c>
      <x:c r="AW231" t="n">
        <x:f>I231+S231</x:f>
        <x:v>7443.156247507198</x:v>
      </x:c>
      <x:c r="AX231" t="n">
        <x:f>J231+T231</x:f>
        <x:v>10226.89668407489</x:v>
      </x:c>
      <x:c r="AY231" t="n">
        <x:f>K231+U231</x:f>
        <x:v>13172.24292908846</x:v>
      </x:c>
      <x:c r="AZ231" t="n">
        <x:f>L231+V231</x:f>
        <x:v>15833.036000764327</x:v>
      </x:c>
      <x:c r="BA231" t="n">
        <x:f>M231+W231</x:f>
        <x:v>17669.66817685299</x:v>
      </x:c>
      <x:c r="BB231" t="n">
        <x:f>N231+X231</x:f>
        <x:v>18199.75822215858</x:v>
      </x:c>
      <x:c r="BC231" t="n">
        <x:f>AS231/'Inputs'!$E$14-1</x:f>
        <x:v>0.45999999999999996</x:v>
      </x:c>
      <x:c r="BD231" t="n">
        <x:f>AT231/AS231-1</x:f>
        <x:v>0.45999999999999996</x:v>
      </x:c>
      <x:c r="BE231" t="n">
        <x:f>AU231/AT231-1</x:f>
        <x:v>0.45999999999999996</x:v>
      </x:c>
      <x:c r="BF231" t="n">
        <x:f>AV231/AU231-1</x:f>
        <x:v>0.45999999999999974</x:v>
      </x:c>
      <x:c r="BG231" t="n">
        <x:f>AW231/AV231-1</x:f>
        <x:v>0.45999999999999996</x:v>
      </x:c>
      <x:c r="BH231" t="n">
        <x:f>AX231/AW231-1</x:f>
        <x:v>0.3740000000000001</x:v>
      </x:c>
      <x:c r="BI231" t="n">
        <x:f>AY231/AX231-1</x:f>
        <x:v>0.28800000000000003</x:v>
      </x:c>
      <x:c r="BJ231" t="n">
        <x:f>AZ231/AY231-1</x:f>
        <x:v>0.20199999999999996</x:v>
      </x:c>
      <x:c r="BK231" t="n">
        <x:f>BA231/AZ231-1</x:f>
        <x:v>0.1160000000000001</x:v>
      </x:c>
      <x:c r="BL231" t="n">
        <x:f>BB231/BA231-1</x:f>
        <x:v>0.030000000000000027</x:v>
      </x:c>
      <x:c r="BM231" t="n">
        <x:f>AH231*(1-'Assumptions'!$F$12)*(1+'Assumptions'!$D$12)*(1-'Assumptions'!$D$12/'Assumptions'!$E$12)</x:f>
        <x:v>3149.286162762321</x:v>
      </x:c>
      <x:c r="BN231" t="n">
        <x:f>SUMPRODUCT(AI231:AR231,'APPF Model'!$B$83:$K$83)+BM231/('Assumptions'!$C$12-'Assumptions'!$D$12)*'APPF Model'!$K$83</x:f>
        <x:v>25618.440647354983</x:v>
      </x:c>
      <x:c r="BO231" t="n">
        <x:f>'APPF Model'!$B$94</x:f>
        <x:v>171.685</x:v>
      </x:c>
      <x:c r="BP231" t="n">
        <x:f>'Inputs'!$E$8</x:f>
        <x:v>36</x:v>
      </x:c>
    </x:row>
    <x:row r="232">
      <x:c r="A232" t="str">
        <x:v>APPF</x:v>
      </x:c>
      <x:c r="B232" s="22" t="n">
        <x:v>0.47</x:v>
      </x:c>
      <x:c r="C232" s="42" t="n">
        <x:f>(BN232+BO232)/BP232</x:f>
        <x:v>750.339290363749</x:v>
      </x:c>
      <x:c r="D232" s="22" t="n">
        <x:f>C232/'Inputs'!$E$5-1</x:f>
        <x:v>2.501676733077044</x:v>
      </x:c>
      <x:c r="E232" t="n">
        <x:f>'Inputs'!$E$14*(1+$B232)^1</x:f>
        <x:v>1649.34</x:v>
      </x:c>
      <x:c r="F232" t="n">
        <x:f>'Inputs'!$E$14*(1+$B232)^2</x:f>
        <x:v>2424.5298</x:v>
      </x:c>
      <x:c r="G232" t="n">
        <x:f>'Inputs'!$E$14*(1+$B232)^3</x:f>
        <x:v>3564.0588059999995</x:v>
      </x:c>
      <x:c r="H232" t="n">
        <x:f>'Inputs'!$E$14*(1+$B232)^4</x:f>
        <x:v>5239.166444819999</x:v>
      </x:c>
      <x:c r="I232" t="n">
        <x:f>'Inputs'!$E$14*(1+$B232)^5</x:f>
        <x:v>7701.574673885399</x:v>
      </x:c>
      <x:c r="J232" t="n">
        <x:f>I232*(1+($BG232+('Assumptions'!$D$12-$BG232)*(6-5)/5))</x:f>
        <x:v>10643.576199309622</x:v>
      </x:c>
      <x:c r="K232" t="n">
        <x:f>J232*(1+($BG232+('Assumptions'!$D$12-$BG232)*(7-5)/5))</x:f>
        <x:v>13772.787601906652</x:v>
      </x:c>
      <x:c r="L232" t="n">
        <x:f>K232*(1+($BG232+('Assumptions'!$D$12-$BG232)*(8-5)/5))</x:f>
        <x:v>16609.98184789942</x:v>
      </x:c>
      <x:c r="M232" t="n">
        <x:f>L232*(1+($BG232+('Assumptions'!$D$12-$BG232)*(9-5)/5))</x:f>
        <x:v>18569.95970595155</x:v>
      </x:c>
      <x:c r="N232" t="n">
        <x:f>M232*(1+($BG232+('Assumptions'!$D$12-$BG232)*(10-5)/5))</x:f>
        <x:v>19127.0584971301</x:v>
      </x:c>
      <x:c r="O232" t="n">
        <x:f>0</x:f>
        <x:v>0</x:v>
      </x:c>
      <x:c r="P232" t="n">
        <x:f>0</x:f>
        <x:v>0</x:v>
      </x:c>
      <x:c r="Q232" t="n">
        <x:f>0</x:f>
        <x:v>0</x:v>
      </x:c>
      <x:c r="R232" t="n">
        <x:f>0</x:f>
        <x:v>0</x:v>
      </x:c>
      <x:c r="S232" t="n">
        <x:f>0</x:f>
        <x:v>0</x:v>
      </x:c>
      <x:c r="T232" t="n">
        <x:f>S232*(1+($BG232+('Assumptions'!$D$12-$BG232)*(6-5)/5))</x:f>
        <x:v>0</x:v>
      </x:c>
      <x:c r="U232" t="n">
        <x:f>T232*(1+($BG232+('Assumptions'!$D$12-$BG232)*(7-5)/5))</x:f>
        <x:v>0</x:v>
      </x:c>
      <x:c r="V232" t="n">
        <x:f>U232*(1+($BG232+('Assumptions'!$D$12-$BG232)*(8-5)/5))</x:f>
        <x:v>0</x:v>
      </x:c>
      <x:c r="W232" t="n">
        <x:f>V232*(1+($BG232+('Assumptions'!$D$12-$BG232)*(9-5)/5))</x:f>
        <x:v>0</x:v>
      </x:c>
      <x:c r="X232" t="n">
        <x:f>W232*(1+($BG232+('Assumptions'!$D$12-$BG232)*(10-5)/5))</x:f>
        <x:v>0</x:v>
      </x:c>
      <x:c r="Y232" t="n">
        <x:f>E232*'APPF Model'!$B$62+O232*'APPF Model'!$B$63+'APPF Model'!$B$73+'APPF Model'!$B$74</x:f>
        <x:v>338.11469999999997</x:v>
      </x:c>
      <x:c r="Z232" t="n">
        <x:f>F232*'APPF Model'!$C$62+P232*'APPF Model'!$C$63+'APPF Model'!$C$73+'APPF Model'!$C$74</x:f>
        <x:v>533.3965559999999</x:v>
      </x:c>
      <x:c r="AA232" t="n">
        <x:f>G232*'APPF Model'!$D$62+Q232*'APPF Model'!$D$63+'APPF Model'!$D$73+'APPF Model'!$D$74</x:f>
        <x:v>819.73352538</x:v>
      </x:c>
      <x:c r="AB232" t="n">
        <x:f>H232*'APPF Model'!$E$62+R232*'APPF Model'!$E$63+'APPF Model'!$E$73+'APPF Model'!$E$74</x:f>
        <x:v>1257.3999467567996</x:v>
      </x:c>
      <x:c r="AC232" t="n">
        <x:f>I232*'APPF Model'!$F$62+S232*'APPF Model'!$F$63+'APPF Model'!$F$73+'APPF Model'!$F$74</x:f>
        <x:v>1886.8857951019227</x:v>
      </x:c>
      <x:c r="AD232" t="n">
        <x:f>AX232*$AC232/$AW232</x:f>
        <x:v>2607.6761688308575</x:v>
      </x:c>
      <x:c r="AE232" t="n">
        <x:f>AY232*$AC232/$AW232</x:f>
        <x:v>3374.33296246713</x:v>
      </x:c>
      <x:c r="AF232" t="n">
        <x:f>AZ232*$AC232/$AW232</x:f>
        <x:v>4069.445552735358</x:v>
      </x:c>
      <x:c r="AG232" t="n">
        <x:f>BA232*$AC232/$AW232</x:f>
        <x:v>4549.64012795813</x:v>
      </x:c>
      <x:c r="AH232" t="n">
        <x:f>BB232*$AC232/$AW232</x:f>
        <x:v>4686.129331796875</x:v>
      </x:c>
      <x:c r="AI232" t="n">
        <x:f>Y232*(1-'Assumptions'!$F$12)+AS232*'Assumptions'!$G$12-AS232*'APPF Model'!$B$65-(AS232-'Inputs'!$E$14)*'Assumptions'!$H$12-'Assumptions'!$I$12</x:f>
        <x:v>227.544405</x:v>
      </x:c>
      <x:c r="AJ232" t="n">
        <x:f>Z232*(1-'Assumptions'!$F$12)+AT232*'Assumptions'!$G$12-AT232*'APPF Model'!$C$65-(AT232-AS232)*'Assumptions'!$H$12-0</x:f>
        <x:v>361.76623559999996</x:v>
      </x:c>
      <x:c r="AK232" t="n">
        <x:f>AA232*(1-'Assumptions'!$F$12)+AU232*'Assumptions'!$G$12-AU232*'APPF Model'!$D$65-(AU232-AT232)*'Assumptions'!$H$12-0</x:f>
        <x:v>558.5268073769998</x:v>
      </x:c>
      <x:c r="AL232" t="n">
        <x:f>AB232*(1-'Assumptions'!$F$12)+AV232*'Assumptions'!$G$12-AV232*'APPF Model'!$E$65-(AV232-AU232)*'Assumptions'!$H$12-0</x:f>
        <x:v>860.3281551803398</x:v>
      </x:c>
      <x:c r="AM232" t="n">
        <x:f>AC232*(1-'Assumptions'!$F$12)+AW232*'Assumptions'!$G$12-AW232*'APPF Model'!$F$65-(AW232-AV232)*'Assumptions'!$H$12-0</x:f>
        <x:v>1293.5632931421699</x:v>
      </x:c>
      <x:c r="AN232" t="n">
        <x:f>AD232*(1-'Assumptions'!$F$12)+AX232*'Assumptions'!$G$12-AX232*'APPF Model'!$G$65-(AX232-AW232)*'Assumptions'!$H$12-0</x:f>
        <x:v>1806.1463370082454</x:v>
      </x:c>
      <x:c r="AO232" t="n">
        <x:f>AE232*(1-'Assumptions'!$F$12)+AY232*'Assumptions'!$G$12-AY232*'APPF Model'!$H$65-(AY232-AX232)*'Assumptions'!$H$12-0</x:f>
        <x:v>2364.2629029407467</x:v>
      </x:c>
      <x:c r="AP232" t="n">
        <x:f>AF232*(1-'Assumptions'!$F$12)+AZ232*'Assumptions'!$G$12-AZ232*'APPF Model'!$I$65-(AZ232-AY232)*'Assumptions'!$H$12-0</x:f>
        <x:v>2888.7664491681094</x:v>
      </x:c>
      <x:c r="AQ232" t="n">
        <x:f>AG232*(1-'Assumptions'!$F$12)+BA232*'Assumptions'!$G$12-BA232*'APPF Model'!$J$65-(BA232-AZ232)*'Assumptions'!$H$12-0</x:f>
        <x:v>3278.121102528657</x:v>
      </x:c>
      <x:c r="AR232" t="n">
        <x:f>AH232*(1-'Assumptions'!$F$12)+BB232*'Assumptions'!$G$12-BB232*'APPF Model'!$K$65-(BB232-BA232)*'Assumptions'!$H$12-0</x:f>
        <x:v>3434.931871709124</x:v>
      </x:c>
      <x:c r="AS232" t="n">
        <x:f>E232+O232</x:f>
        <x:v>1649.34</x:v>
      </x:c>
      <x:c r="AT232" t="n">
        <x:f>F232+P232</x:f>
        <x:v>2424.5298</x:v>
      </x:c>
      <x:c r="AU232" t="n">
        <x:f>G232+Q232</x:f>
        <x:v>3564.0588059999995</x:v>
      </x:c>
      <x:c r="AV232" t="n">
        <x:f>H232+R232</x:f>
        <x:v>5239.166444819999</x:v>
      </x:c>
      <x:c r="AW232" t="n">
        <x:f>I232+S232</x:f>
        <x:v>7701.574673885399</x:v>
      </x:c>
      <x:c r="AX232" t="n">
        <x:f>J232+T232</x:f>
        <x:v>10643.576199309622</x:v>
      </x:c>
      <x:c r="AY232" t="n">
        <x:f>K232+U232</x:f>
        <x:v>13772.787601906652</x:v>
      </x:c>
      <x:c r="AZ232" t="n">
        <x:f>L232+V232</x:f>
        <x:v>16609.98184789942</x:v>
      </x:c>
      <x:c r="BA232" t="n">
        <x:f>M232+W232</x:f>
        <x:v>18569.95970595155</x:v>
      </x:c>
      <x:c r="BB232" t="n">
        <x:f>N232+X232</x:f>
        <x:v>19127.0584971301</x:v>
      </x:c>
      <x:c r="BC232" t="n">
        <x:f>AS232/'Inputs'!$E$14-1</x:f>
        <x:v>0.47</x:v>
      </x:c>
      <x:c r="BD232" t="n">
        <x:f>AT232/AS232-1</x:f>
        <x:v>0.47</x:v>
      </x:c>
      <x:c r="BE232" t="n">
        <x:f>AU232/AT232-1</x:f>
        <x:v>0.47</x:v>
      </x:c>
      <x:c r="BF232" t="n">
        <x:f>AV232/AU232-1</x:f>
        <x:v>0.47</x:v>
      </x:c>
      <x:c r="BG232" t="n">
        <x:f>AW232/AV232-1</x:f>
        <x:v>0.47</x:v>
      </x:c>
      <x:c r="BH232" t="n">
        <x:f>AX232/AW232-1</x:f>
        <x:v>0.3820000000000001</x:v>
      </x:c>
      <x:c r="BI232" t="n">
        <x:f>AY232/AX232-1</x:f>
        <x:v>0.29400000000000004</x:v>
      </x:c>
      <x:c r="BJ232" t="n">
        <x:f>AZ232/AY232-1</x:f>
        <x:v>0.20599999999999996</x:v>
      </x:c>
      <x:c r="BK232" t="n">
        <x:f>BA232/AZ232-1</x:f>
        <x:v>0.11799999999999988</x:v>
      </x:c>
      <x:c r="BL232" t="n">
        <x:f>BB232/BA232-1</x:f>
        <x:v>0.030000000000000027</x:v>
      </x:c>
      <x:c r="BM232" t="n">
        <x:f>AH232*(1-'Assumptions'!$F$12)*(1+'Assumptions'!$D$12)*(1-'Assumptions'!$D$12/'Assumptions'!$E$12)</x:f>
        <x:v>3309.7462023433927</x:v>
      </x:c>
      <x:c r="BN232" t="n">
        <x:f>SUMPRODUCT(AI232:AR232,'APPF Model'!$B$83:$K$83)+BM232/('Assumptions'!$C$12-'Assumptions'!$D$12)*'APPF Model'!$K$83</x:f>
        <x:v>26840.52945309496</x:v>
      </x:c>
      <x:c r="BO232" t="n">
        <x:f>'APPF Model'!$B$94</x:f>
        <x:v>171.685</x:v>
      </x:c>
      <x:c r="BP232" t="n">
        <x:f>'Inputs'!$E$8</x:f>
        <x:v>36</x:v>
      </x:c>
    </x:row>
    <x:row r="233">
      <x:c r="A233" t="str">
        <x:v>APPF</x:v>
      </x:c>
      <x:c r="B233" s="22" t="n">
        <x:v>0.48</x:v>
      </x:c>
      <x:c r="C233" s="42" t="n">
        <x:f>(BN233+BO233)/BP233</x:f>
        <x:v>785.7315658687892</x:v>
      </x:c>
      <x:c r="D233" s="22" t="n">
        <x:f>C233/'Inputs'!$E$5-1</x:f>
        <x:v>2.666845089923414</x:v>
      </x:c>
      <x:c r="E233" t="n">
        <x:f>'Inputs'!$E$14*(1+$B233)^1</x:f>
        <x:v>1660.56</x:v>
      </x:c>
      <x:c r="F233" t="n">
        <x:f>'Inputs'!$E$14*(1+$B233)^2</x:f>
        <x:v>2457.6288</x:v>
      </x:c>
      <x:c r="G233" t="n">
        <x:f>'Inputs'!$E$14*(1+$B233)^3</x:f>
        <x:v>3637.2906239999998</x:v>
      </x:c>
      <x:c r="H233" t="n">
        <x:f>'Inputs'!$E$14*(1+$B233)^4</x:f>
        <x:v>5383.190123519999</x:v>
      </x:c>
      <x:c r="I233" t="n">
        <x:f>'Inputs'!$E$14*(1+$B233)^5</x:f>
        <x:v>7967.121382809599</x:v>
      </x:c>
      <x:c r="J233" t="n">
        <x:f>I233*(1+($BG233+('Assumptions'!$D$12-$BG233)*(6-5)/5))</x:f>
        <x:v>11074.298722105343</x:v>
      </x:c>
      <x:c r="K233" t="n">
        <x:f>J233*(1+($BG233+('Assumptions'!$D$12-$BG233)*(7-5)/5))</x:f>
        <x:v>14396.588338736947</x:v>
      </x:c>
      <x:c r="L233" t="n">
        <x:f>K233*(1+($BG233+('Assumptions'!$D$12-$BG233)*(8-5)/5))</x:f>
        <x:v>17419.871889871705</x:v>
      </x:c>
      <x:c r="M233" t="n">
        <x:f>L233*(1+($BG233+('Assumptions'!$D$12-$BG233)*(9-5)/5))</x:f>
        <x:v>19510.25651665631</x:v>
      </x:c>
      <x:c r="N233" t="n">
        <x:f>M233*(1+($BG233+('Assumptions'!$D$12-$BG233)*(10-5)/5))</x:f>
        <x:v>20095.564212156</x:v>
      </x:c>
      <x:c r="O233" t="n">
        <x:f>0</x:f>
        <x:v>0</x:v>
      </x:c>
      <x:c r="P233" t="n">
        <x:f>0</x:f>
        <x:v>0</x:v>
      </x:c>
      <x:c r="Q233" t="n">
        <x:f>0</x:f>
        <x:v>0</x:v>
      </x:c>
      <x:c r="R233" t="n">
        <x:f>0</x:f>
        <x:v>0</x:v>
      </x:c>
      <x:c r="S233" t="n">
        <x:f>0</x:f>
        <x:v>0</x:v>
      </x:c>
      <x:c r="T233" t="n">
        <x:f>S233*(1+($BG233+('Assumptions'!$D$12-$BG233)*(6-5)/5))</x:f>
        <x:v>0</x:v>
      </x:c>
      <x:c r="U233" t="n">
        <x:f>T233*(1+($BG233+('Assumptions'!$D$12-$BG233)*(7-5)/5))</x:f>
        <x:v>0</x:v>
      </x:c>
      <x:c r="V233" t="n">
        <x:f>U233*(1+($BG233+('Assumptions'!$D$12-$BG233)*(8-5)/5))</x:f>
        <x:v>0</x:v>
      </x:c>
      <x:c r="W233" t="n">
        <x:f>V233*(1+($BG233+('Assumptions'!$D$12-$BG233)*(9-5)/5))</x:f>
        <x:v>0</x:v>
      </x:c>
      <x:c r="X233" t="n">
        <x:f>W233*(1+($BG233+('Assumptions'!$D$12-$BG233)*(10-5)/5))</x:f>
        <x:v>0</x:v>
      </x:c>
      <x:c r="Y233" t="n">
        <x:f>E233*'APPF Model'!$B$62+O233*'APPF Model'!$B$63+'APPF Model'!$B$73+'APPF Model'!$B$74</x:f>
        <x:v>340.41479999999996</x:v>
      </x:c>
      <x:c r="Z233" t="n">
        <x:f>F233*'APPF Model'!$C$62+P233*'APPF Model'!$C$63+'APPF Model'!$C$73+'APPF Model'!$C$74</x:f>
        <x:v>540.678336</x:v>
      </x:c>
      <x:c r="AA233" t="n">
        <x:f>G233*'APPF Model'!$D$62+Q233*'APPF Model'!$D$63+'APPF Model'!$D$73+'APPF Model'!$D$74</x:f>
        <x:v>836.57684352</x:v>
      </x:c>
      <x:c r="AB233" t="n">
        <x:f>H233*'APPF Model'!$E$62+R233*'APPF Model'!$E$63+'APPF Model'!$E$73+'APPF Model'!$E$74</x:f>
        <x:v>1291.9656296447997</x:v>
      </x:c>
      <x:c r="AC233" t="n">
        <x:f>I233*'APPF Model'!$F$62+S233*'APPF Model'!$F$63+'APPF Model'!$F$73+'APPF Model'!$F$74</x:f>
        <x:v>1951.9447387883517</x:v>
      </x:c>
      <x:c r="AD233" t="n">
        <x:f>AX233*$AC233/$AW233</x:f>
        <x:v>2713.203186915809</x:v>
      </x:c>
      <x:c r="AE233" t="n">
        <x:f>AY233*$AC233/$AW233</x:f>
        <x:v>3527.164142990552</x:v>
      </x:c>
      <x:c r="AF233" t="n">
        <x:f>AZ233*$AC233/$AW233</x:f>
        <x:v>4267.868613018568</x:v>
      </x:c>
      <x:c r="AG233" t="n">
        <x:f>BA233*$AC233/$AW233</x:f>
        <x:v>4780.012846580797</x:v>
      </x:c>
      <x:c r="AH233" t="n">
        <x:f>BB233*$AC233/$AW233</x:f>
        <x:v>4923.41323197822</x:v>
      </x:c>
      <x:c r="AI233" t="n">
        <x:f>Y233*(1-'Assumptions'!$F$12)+AS233*'Assumptions'!$G$12-AS233*'APPF Model'!$B$65-(AS233-'Inputs'!$E$14)*'Assumptions'!$H$12-'Assumptions'!$I$12</x:f>
        <x:v>228.78701999999996</x:v>
      </x:c>
      <x:c r="AJ233" t="n">
        <x:f>Z233*(1-'Assumptions'!$F$12)+AT233*'Assumptions'!$G$12-AT233*'APPF Model'!$C$65-(AT233-AS233)*'Assumptions'!$H$12-0</x:f>
        <x:v>366.25311359999995</x:v>
      </x:c>
      <x:c r="AK233" t="n">
        <x:f>AA233*(1-'Assumptions'!$F$12)+AU233*'Assumptions'!$G$12-AU233*'APPF Model'!$D$65-(AU233-AT233)*'Assumptions'!$H$12-0</x:f>
        <x:v>569.3342878080001</x:v>
      </x:c>
      <x:c r="AL233" t="n">
        <x:f>AB233*(1-'Assumptions'!$F$12)+AV233*'Assumptions'!$G$12-AV233*'APPF Model'!$E$65-(AV233-AU233)*'Assumptions'!$H$12-0</x:f>
        <x:v>882.9886718822398</x:v>
      </x:c>
      <x:c r="AM233" t="n">
        <x:f>AC233*(1-'Assumptions'!$F$12)+AW233*'Assumptions'!$G$12-AW233*'APPF Model'!$F$65-(AW233-AV233)*'Assumptions'!$H$12-0</x:f>
        <x:v>1336.699939571251</x:v>
      </x:c>
      <x:c r="AN233" t="n">
        <x:f>AD233*(1-'Assumptions'!$F$12)+AX233*'Assumptions'!$G$12-AX233*'APPF Model'!$G$65-(AX233-AW233)*'Assumptions'!$H$12-0</x:f>
        <x:v>1877.392400448711</x:v>
      </x:c>
      <x:c r="AO233" t="n">
        <x:f>AE233*(1-'Assumptions'!$F$12)+AY233*'Assumptions'!$G$12-AY233*'APPF Model'!$H$65-(AY233-AX233)*'Assumptions'!$H$12-0</x:f>
        <x:v>2469.291757561439</x:v>
      </x:c>
      <x:c r="AP233" t="n">
        <x:f>AF233*(1-'Assumptions'!$F$12)+AZ233*'Assumptions'!$G$12-AZ233*'APPF Model'!$I$65-(AZ233-AY233)*'Assumptions'!$H$12-0</x:f>
        <x:v>3027.7105020489203</x:v>
      </x:c>
      <x:c r="AQ233" t="n">
        <x:f>AG233*(1-'Assumptions'!$F$12)+BA233*'Assumptions'!$G$12-BA233*'APPF Model'!$J$65-(BA233-AZ233)*'Assumptions'!$H$12-0</x:f>
        <x:v>3442.863480314244</x:v>
      </x:c>
      <x:c r="AR233" t="n">
        <x:f>AH233*(1-'Assumptions'!$F$12)+BB233*'Assumptions'!$G$12-BB233*'APPF Model'!$K$65-(BB233-BA233)*'Assumptions'!$H$12-0</x:f>
        <x:v>3608.8609235272097</x:v>
      </x:c>
      <x:c r="AS233" t="n">
        <x:f>E233+O233</x:f>
        <x:v>1660.56</x:v>
      </x:c>
      <x:c r="AT233" t="n">
        <x:f>F233+P233</x:f>
        <x:v>2457.6288</x:v>
      </x:c>
      <x:c r="AU233" t="n">
        <x:f>G233+Q233</x:f>
        <x:v>3637.2906239999998</x:v>
      </x:c>
      <x:c r="AV233" t="n">
        <x:f>H233+R233</x:f>
        <x:v>5383.190123519999</x:v>
      </x:c>
      <x:c r="AW233" t="n">
        <x:f>I233+S233</x:f>
        <x:v>7967.121382809599</x:v>
      </x:c>
      <x:c r="AX233" t="n">
        <x:f>J233+T233</x:f>
        <x:v>11074.298722105343</x:v>
      </x:c>
      <x:c r="AY233" t="n">
        <x:f>K233+U233</x:f>
        <x:v>14396.588338736947</x:v>
      </x:c>
      <x:c r="AZ233" t="n">
        <x:f>L233+V233</x:f>
        <x:v>17419.871889871705</x:v>
      </x:c>
      <x:c r="BA233" t="n">
        <x:f>M233+W233</x:f>
        <x:v>19510.25651665631</x:v>
      </x:c>
      <x:c r="BB233" t="n">
        <x:f>N233+X233</x:f>
        <x:v>20095.564212156</x:v>
      </x:c>
      <x:c r="BC233" t="n">
        <x:f>AS233/'Inputs'!$E$14-1</x:f>
        <x:v>0.48</x:v>
      </x:c>
      <x:c r="BD233" t="n">
        <x:f>AT233/AS233-1</x:f>
        <x:v>0.48</x:v>
      </x:c>
      <x:c r="BE233" t="n">
        <x:f>AU233/AT233-1</x:f>
        <x:v>0.48</x:v>
      </x:c>
      <x:c r="BF233" t="n">
        <x:f>AV233/AU233-1</x:f>
        <x:v>0.48</x:v>
      </x:c>
      <x:c r="BG233" t="n">
        <x:f>AW233/AV233-1</x:f>
        <x:v>0.48</x:v>
      </x:c>
      <x:c r="BH233" t="n">
        <x:f>AX233/AW233-1</x:f>
        <x:v>0.3900000000000001</x:v>
      </x:c>
      <x:c r="BI233" t="n">
        <x:f>AY233/AX233-1</x:f>
        <x:v>0.30000000000000004</x:v>
      </x:c>
      <x:c r="BJ233" t="n">
        <x:f>AZ233/AY233-1</x:f>
        <x:v>0.20999999999999996</x:v>
      </x:c>
      <x:c r="BK233" t="n">
        <x:f>BA233/AZ233-1</x:f>
        <x:v>0.1200000000000001</x:v>
      </x:c>
      <x:c r="BL233" t="n">
        <x:f>BB233/BA233-1</x:f>
        <x:v>0.030000000000000027</x:v>
      </x:c>
      <x:c r="BM233" t="n">
        <x:f>AH233*(1-'Assumptions'!$F$12)*(1+'Assumptions'!$D$12)*(1-'Assumptions'!$D$12/'Assumptions'!$E$12)</x:f>
        <x:v>3477.3364312714743</x:v>
      </x:c>
      <x:c r="BN233" t="n">
        <x:f>SUMPRODUCT(AI233:AR233,'APPF Model'!$B$83:$K$83)+BM233/('Assumptions'!$C$12-'Assumptions'!$D$12)*'APPF Model'!$K$83</x:f>
        <x:v>28114.65137127641</x:v>
      </x:c>
      <x:c r="BO233" t="n">
        <x:f>'APPF Model'!$B$94</x:f>
        <x:v>171.685</x:v>
      </x:c>
      <x:c r="BP233" t="n">
        <x:f>'Inputs'!$E$8</x:f>
        <x:v>36</x:v>
      </x:c>
    </x:row>
    <x:row r="234">
      <x:c r="A234" t="str">
        <x:v>APPF</x:v>
      </x:c>
      <x:c r="B234" s="22" t="n">
        <x:v>0.49</x:v>
      </x:c>
      <x:c r="C234" s="42" t="n">
        <x:f>(BN234+BO234)/BP234</x:f>
        <x:v>822.6225330319003</x:v>
      </x:c>
      <x:c r="D234" s="22" t="n">
        <x:f>C234/'Inputs'!$E$5-1</x:f>
        <x:v>2.8390075276829396</x:v>
      </x:c>
      <x:c r="E234" t="n">
        <x:f>'Inputs'!$E$14*(1+$B234)^1</x:f>
        <x:v>1671.78</x:v>
      </x:c>
      <x:c r="F234" t="n">
        <x:f>'Inputs'!$E$14*(1+$B234)^2</x:f>
        <x:v>2490.9522</x:v>
      </x:c>
      <x:c r="G234" t="n">
        <x:f>'Inputs'!$E$14*(1+$B234)^3</x:f>
        <x:v>3711.5187779999997</x:v>
      </x:c>
      <x:c r="H234" t="n">
        <x:f>'Inputs'!$E$14*(1+$B234)^4</x:f>
        <x:v>5530.16297922</x:v>
      </x:c>
      <x:c r="I234" t="n">
        <x:f>'Inputs'!$E$14*(1+$B234)^5</x:f>
        <x:v>8239.9428390378</x:v>
      </x:c>
      <x:c r="J234" t="n">
        <x:f>I234*(1+($BG234+('Assumptions'!$D$12-$BG234)*(6-5)/5))</x:f>
        <x:v>11519.440088974845</x:v>
      </x:c>
      <x:c r="K234" t="n">
        <x:f>J234*(1+($BG234+('Assumptions'!$D$12-$BG234)*(7-5)/5))</x:f>
        <x:v>15044.388756201148</x:v>
      </x:c>
      <x:c r="L234" t="n">
        <x:f>K234*(1+($BG234+('Assumptions'!$D$12-$BG234)*(8-5)/5))</x:f>
        <x:v>18263.887950028195</x:v>
      </x:c>
      <x:c r="M234" t="n">
        <x:f>L234*(1+($BG234+('Assumptions'!$D$12-$BG234)*(9-5)/5))</x:f>
        <x:v>20492.082279931634</x:v>
      </x:c>
      <x:c r="N234" t="n">
        <x:f>M234*(1+($BG234+('Assumptions'!$D$12-$BG234)*(10-5)/5))</x:f>
        <x:v>21106.844748329582</x:v>
      </x:c>
      <x:c r="O234" t="n">
        <x:f>0</x:f>
        <x:v>0</x:v>
      </x:c>
      <x:c r="P234" t="n">
        <x:f>0</x:f>
        <x:v>0</x:v>
      </x:c>
      <x:c r="Q234" t="n">
        <x:f>0</x:f>
        <x:v>0</x:v>
      </x:c>
      <x:c r="R234" t="n">
        <x:f>0</x:f>
        <x:v>0</x:v>
      </x:c>
      <x:c r="S234" t="n">
        <x:f>0</x:f>
        <x:v>0</x:v>
      </x:c>
      <x:c r="T234" t="n">
        <x:f>S234*(1+($BG234+('Assumptions'!$D$12-$BG234)*(6-5)/5))</x:f>
        <x:v>0</x:v>
      </x:c>
      <x:c r="U234" t="n">
        <x:f>T234*(1+($BG234+('Assumptions'!$D$12-$BG234)*(7-5)/5))</x:f>
        <x:v>0</x:v>
      </x:c>
      <x:c r="V234" t="n">
        <x:f>U234*(1+($BG234+('Assumptions'!$D$12-$BG234)*(8-5)/5))</x:f>
        <x:v>0</x:v>
      </x:c>
      <x:c r="W234" t="n">
        <x:f>V234*(1+($BG234+('Assumptions'!$D$12-$BG234)*(9-5)/5))</x:f>
        <x:v>0</x:v>
      </x:c>
      <x:c r="X234" t="n">
        <x:f>W234*(1+($BG234+('Assumptions'!$D$12-$BG234)*(10-5)/5))</x:f>
        <x:v>0</x:v>
      </x:c>
      <x:c r="Y234" t="n">
        <x:f>E234*'APPF Model'!$B$62+O234*'APPF Model'!$B$63+'APPF Model'!$B$73+'APPF Model'!$B$74</x:f>
        <x:v>342.7149</x:v>
      </x:c>
      <x:c r="Z234" t="n">
        <x:f>F234*'APPF Model'!$C$62+P234*'APPF Model'!$C$63+'APPF Model'!$C$73+'APPF Model'!$C$74</x:f>
        <x:v>548.009484</x:v>
      </x:c>
      <x:c r="AA234" t="n">
        <x:f>G234*'APPF Model'!$D$62+Q234*'APPF Model'!$D$63+'APPF Model'!$D$73+'APPF Model'!$D$74</x:f>
        <x:v>853.64931894</x:v>
      </x:c>
      <x:c r="AB234" t="n">
        <x:f>H234*'APPF Model'!$E$62+R234*'APPF Model'!$E$63+'APPF Model'!$E$73+'APPF Model'!$E$74</x:f>
        <x:v>1327.2391150128</x:v>
      </x:c>
      <x:c r="AC234" t="n">
        <x:f>I234*'APPF Model'!$F$62+S234*'APPF Model'!$F$63+'APPF Model'!$F$73+'APPF Model'!$F$74</x:f>
        <x:v>2018.785995564261</x:v>
      </x:c>
      <x:c r="AD234" t="n">
        <x:f>AX234*$AC234/$AW234</x:f>
        <x:v>2822.2628217988367</x:v>
      </x:c>
      <x:c r="AE234" t="n">
        <x:f>AY234*$AC234/$AW234</x:f>
        <x:v>3685.875245269281</x:v>
      </x:c>
      <x:c r="AF234" t="n">
        <x:f>AZ234*$AC234/$AW234</x:f>
        <x:v>4474.6525477569085</x:v>
      </x:c>
      <x:c r="AG234" t="n">
        <x:f>BA234*$AC234/$AW234</x:f>
        <x:v>5020.56015858325</x:v>
      </x:c>
      <x:c r="AH234" t="n">
        <x:f>BB234*$AC234/$AW234</x:f>
        <x:v>5171.1769633407475</x:v>
      </x:c>
      <x:c r="AI234" t="n">
        <x:f>Y234*(1-'Assumptions'!$F$12)+AS234*'Assumptions'!$G$12-AS234*'APPF Model'!$B$65-(AS234-'Inputs'!$E$14)*'Assumptions'!$H$12-'Assumptions'!$I$12</x:f>
        <x:v>230.029635</x:v>
      </x:c>
      <x:c r="AJ234" t="n">
        <x:f>Z234*(1-'Assumptions'!$F$12)+AT234*'Assumptions'!$G$12-AT234*'APPF Model'!$C$65-(AT234-AS234)*'Assumptions'!$H$12-0</x:f>
        <x:v>370.7673684</x:v>
      </x:c>
      <x:c r="AK234" t="n">
        <x:f>AA234*(1-'Assumptions'!$F$12)+AU234*'Assumptions'!$G$12-AU234*'APPF Model'!$D$65-(AU234-AT234)*'Assumptions'!$H$12-0</x:f>
        <x:v>580.279769751</x:v>
      </x:c>
      <x:c r="AL234" t="n">
        <x:f>AB234*(1-'Assumptions'!$F$12)+AV234*'Assumptions'!$G$12-AV234*'APPF Model'!$E$65-(AV234-AU234)*'Assumptions'!$H$12-0</x:f>
        <x:v>906.0930792731401</x:v>
      </x:c>
      <x:c r="AM234" t="n">
        <x:f>AC234*(1-'Assumptions'!$F$12)+AW234*'Assumptions'!$G$12-AW234*'APPF Model'!$F$65-(AW234-AV234)*'Assumptions'!$H$12-0</x:f>
        <x:v>1380.9784737633704</x:v>
      </x:c>
      <x:c r="AN234" t="n">
        <x:f>AD234*(1-'Assumptions'!$F$12)+AX234*'Assumptions'!$G$12-AX234*'APPF Model'!$G$65-(AX234-AW234)*'Assumptions'!$H$12-0</x:f>
        <x:v>1950.9589060847213</x:v>
      </x:c>
      <x:c r="AO234" t="n">
        <x:f>AE234*(1-'Assumptions'!$F$12)+AY234*'Assumptions'!$G$12-AY234*'APPF Model'!$H$65-(AY234-AX234)*'Assumptions'!$H$12-0</x:f>
        <x:v>2578.2753209943053</x:v>
      </x:c>
      <x:c r="AP234" t="n">
        <x:f>AF234*(1-'Assumptions'!$F$12)+AZ234*'Assumptions'!$G$12-AZ234*'APPF Model'!$I$65-(AZ234-AY234)*'Assumptions'!$H$12-0</x:f>
        <x:v>3172.4177792145147</x:v>
      </x:c>
      <x:c r="AQ234" t="n">
        <x:f>AG234*(1-'Assumptions'!$F$12)+BA234*'Assumptions'!$G$12-BA234*'APPF Model'!$J$65-(BA234-AZ234)*'Assumptions'!$H$12-0</x:f>
        <x:v>3614.816098901505</x:v>
      </x:c>
      <x:c r="AR234" t="n">
        <x:f>AH234*(1-'Assumptions'!$F$12)+BB234*'Assumptions'!$G$12-BB234*'APPF Model'!$K$65-(BB234-BA234)*'Assumptions'!$H$12-0</x:f>
        <x:v>3790.4716895246543</x:v>
      </x:c>
      <x:c r="AS234" t="n">
        <x:f>E234+O234</x:f>
        <x:v>1671.78</x:v>
      </x:c>
      <x:c r="AT234" t="n">
        <x:f>F234+P234</x:f>
        <x:v>2490.9522</x:v>
      </x:c>
      <x:c r="AU234" t="n">
        <x:f>G234+Q234</x:f>
        <x:v>3711.5187779999997</x:v>
      </x:c>
      <x:c r="AV234" t="n">
        <x:f>H234+R234</x:f>
        <x:v>5530.16297922</x:v>
      </x:c>
      <x:c r="AW234" t="n">
        <x:f>I234+S234</x:f>
        <x:v>8239.9428390378</x:v>
      </x:c>
      <x:c r="AX234" t="n">
        <x:f>J234+T234</x:f>
        <x:v>11519.440088974845</x:v>
      </x:c>
      <x:c r="AY234" t="n">
        <x:f>K234+U234</x:f>
        <x:v>15044.388756201148</x:v>
      </x:c>
      <x:c r="AZ234" t="n">
        <x:f>L234+V234</x:f>
        <x:v>18263.887950028195</x:v>
      </x:c>
      <x:c r="BA234" t="n">
        <x:f>M234+W234</x:f>
        <x:v>20492.082279931634</x:v>
      </x:c>
      <x:c r="BB234" t="n">
        <x:f>N234+X234</x:f>
        <x:v>21106.844748329582</x:v>
      </x:c>
      <x:c r="BC234" t="n">
        <x:f>AS234/'Inputs'!$E$14-1</x:f>
        <x:v>0.49</x:v>
      </x:c>
      <x:c r="BD234" t="n">
        <x:f>AT234/AS234-1</x:f>
        <x:v>0.4900000000000002</x:v>
      </x:c>
      <x:c r="BE234" t="n">
        <x:f>AU234/AT234-1</x:f>
        <x:v>0.48999999999999977</x:v>
      </x:c>
      <x:c r="BF234" t="n">
        <x:f>AV234/AU234-1</x:f>
        <x:v>0.4900000000000002</x:v>
      </x:c>
      <x:c r="BG234" t="n">
        <x:f>AW234/AV234-1</x:f>
        <x:v>0.49</x:v>
      </x:c>
      <x:c r="BH234" t="n">
        <x:f>AX234/AW234-1</x:f>
        <x:v>0.39800000000000013</x:v>
      </x:c>
      <x:c r="BI234" t="n">
        <x:f>AY234/AX234-1</x:f>
        <x:v>0.30600000000000005</x:v>
      </x:c>
      <x:c r="BJ234" t="n">
        <x:f>AZ234/AY234-1</x:f>
        <x:v>0.2140000000000002</x:v>
      </x:c>
      <x:c r="BK234" t="n">
        <x:f>BA234/AZ234-1</x:f>
        <x:v>0.12199999999999989</x:v>
      </x:c>
      <x:c r="BL234" t="n">
        <x:f>BB234/BA234-1</x:f>
        <x:v>0.030000000000000027</x:v>
      </x:c>
      <x:c r="BM234" t="n">
        <x:f>AH234*(1-'Assumptions'!$F$12)*(1+'Assumptions'!$D$12)*(1-'Assumptions'!$D$12/'Assumptions'!$E$12)</x:f>
        <x:v>3652.3284152509505</x:v>
      </x:c>
      <x:c r="BN234" t="n">
        <x:f>SUMPRODUCT(AI234:AR234,'APPF Model'!$B$83:$K$83)+BM234/('Assumptions'!$C$12-'Assumptions'!$D$12)*'APPF Model'!$K$83</x:f>
        <x:v>29442.72618914841</x:v>
      </x:c>
      <x:c r="BO234" t="n">
        <x:f>'APPF Model'!$B$94</x:f>
        <x:v>171.685</x:v>
      </x:c>
      <x:c r="BP234" t="n">
        <x:f>'Inputs'!$E$8</x:f>
        <x:v>36</x:v>
      </x:c>
    </x:row>
    <x:row r="235">
      <x:c r="A235" t="str">
        <x:v>APPF</x:v>
      </x:c>
      <x:c r="B235" s="22" t="n">
        <x:v>0.5</x:v>
      </x:c>
      <x:c r="C235" s="42" t="n">
        <x:f>(BN235+BO235)/BP235</x:f>
        <x:v>861.0671775484972</x:v>
      </x:c>
      <x:c r="D235" s="22" t="n">
        <x:f>C235/'Inputs'!$E$5-1</x:f>
        <x:v>3.018420653110403</x:v>
      </x:c>
      <x:c r="E235" t="n">
        <x:f>'Inputs'!$E$14*(1+$B235)^1</x:f>
        <x:v>1683</x:v>
      </x:c>
      <x:c r="F235" t="n">
        <x:f>'Inputs'!$E$14*(1+$B235)^2</x:f>
        <x:v>2524.5</x:v>
      </x:c>
      <x:c r="G235" t="n">
        <x:f>'Inputs'!$E$14*(1+$B235)^3</x:f>
        <x:v>3786.75</x:v>
      </x:c>
      <x:c r="H235" t="n">
        <x:f>'Inputs'!$E$14*(1+$B235)^4</x:f>
        <x:v>5680.125</x:v>
      </x:c>
      <x:c r="I235" t="n">
        <x:f>'Inputs'!$E$14*(1+$B235)^5</x:f>
        <x:v>8520.1875</x:v>
      </x:c>
      <x:c r="J235" t="n">
        <x:f>I235*(1+($BG235+('Assumptions'!$D$12-$BG235)*(6-5)/5))</x:f>
        <x:v>11979.383625</x:v>
      </x:c>
      <x:c r="K235" t="n">
        <x:f>J235*(1+($BG235+('Assumptions'!$D$12-$BG235)*(7-5)/5))</x:f>
        <x:v>15716.951316</x:v>
      </x:c>
      <x:c r="L235" t="n">
        <x:f>K235*(1+($BG235+('Assumptions'!$D$12-$BG235)*(8-5)/5))</x:f>
        <x:v>19143.246702888002</x:v>
      </x:c>
      <x:c r="M235" t="n">
        <x:f>L235*(1+($BG235+('Assumptions'!$D$12-$BG235)*(9-5)/5))</x:f>
        <x:v>21517.009294046115</x:v>
      </x:c>
      <x:c r="N235" t="n">
        <x:f>M235*(1+($BG235+('Assumptions'!$D$12-$BG235)*(10-5)/5))</x:f>
        <x:v>22162.5195728675</x:v>
      </x:c>
      <x:c r="O235" t="n">
        <x:f>0</x:f>
        <x:v>0</x:v>
      </x:c>
      <x:c r="P235" t="n">
        <x:f>0</x:f>
        <x:v>0</x:v>
      </x:c>
      <x:c r="Q235" t="n">
        <x:f>0</x:f>
        <x:v>0</x:v>
      </x:c>
      <x:c r="R235" t="n">
        <x:f>0</x:f>
        <x:v>0</x:v>
      </x:c>
      <x:c r="S235" t="n">
        <x:f>0</x:f>
        <x:v>0</x:v>
      </x:c>
      <x:c r="T235" t="n">
        <x:f>S235*(1+($BG235+('Assumptions'!$D$12-$BG235)*(6-5)/5))</x:f>
        <x:v>0</x:v>
      </x:c>
      <x:c r="U235" t="n">
        <x:f>T235*(1+($BG235+('Assumptions'!$D$12-$BG235)*(7-5)/5))</x:f>
        <x:v>0</x:v>
      </x:c>
      <x:c r="V235" t="n">
        <x:f>U235*(1+($BG235+('Assumptions'!$D$12-$BG235)*(8-5)/5))</x:f>
        <x:v>0</x:v>
      </x:c>
      <x:c r="W235" t="n">
        <x:f>V235*(1+($BG235+('Assumptions'!$D$12-$BG235)*(9-5)/5))</x:f>
        <x:v>0</x:v>
      </x:c>
      <x:c r="X235" t="n">
        <x:f>W235*(1+($BG235+('Assumptions'!$D$12-$BG235)*(10-5)/5))</x:f>
        <x:v>0</x:v>
      </x:c>
      <x:c r="Y235" t="n">
        <x:f>E235*'APPF Model'!$B$62+O235*'APPF Model'!$B$63+'APPF Model'!$B$73+'APPF Model'!$B$74</x:f>
        <x:v>345.015</x:v>
      </x:c>
      <x:c r="Z235" t="n">
        <x:f>F235*'APPF Model'!$C$62+P235*'APPF Model'!$C$63+'APPF Model'!$C$73+'APPF Model'!$C$74</x:f>
        <x:v>555.39</x:v>
      </x:c>
      <x:c r="AA235" t="n">
        <x:f>G235*'APPF Model'!$D$62+Q235*'APPF Model'!$D$63+'APPF Model'!$D$73+'APPF Model'!$D$74</x:f>
        <x:v>870.9525</x:v>
      </x:c>
      <x:c r="AB235" t="n">
        <x:f>H235*'APPF Model'!$E$62+R235*'APPF Model'!$E$63+'APPF Model'!$E$73+'APPF Model'!$E$74</x:f>
        <x:v>1363.23</x:v>
      </x:c>
      <x:c r="AC235" t="n">
        <x:f>I235*'APPF Model'!$F$62+S235*'APPF Model'!$F$63+'APPF Model'!$F$73+'APPF Model'!$F$74</x:f>
        <x:v>2087.4459375</x:v>
      </x:c>
      <x:c r="AD235" t="n">
        <x:f>AX235*$AC235/$AW235</x:f>
        <x:v>2934.9489881250006</x:v>
      </x:c>
      <x:c r="AE235" t="n">
        <x:f>AY235*$AC235/$AW235</x:f>
        <x:v>3850.6530724200006</x:v>
      </x:c>
      <x:c r="AF235" t="n">
        <x:f>AZ235*$AC235/$AW235</x:f>
        <x:v>4690.095442207561</x:v>
      </x:c>
      <x:c r="AG235" t="n">
        <x:f>BA235*$AC235/$AW235</x:f>
        <x:v>5271.667277041299</x:v>
      </x:c>
      <x:c r="AH235" t="n">
        <x:f>BB235*$AC235/$AW235</x:f>
        <x:v>5429.817295352537</x:v>
      </x:c>
      <x:c r="AI235" t="n">
        <x:f>Y235*(1-'Assumptions'!$F$12)+AS235*'Assumptions'!$G$12-AS235*'APPF Model'!$B$65-(AS235-'Inputs'!$E$14)*'Assumptions'!$H$12-'Assumptions'!$I$12</x:f>
        <x:v>231.27225000000004</x:v>
      </x:c>
      <x:c r="AJ235" t="n">
        <x:f>Z235*(1-'Assumptions'!$F$12)+AT235*'Assumptions'!$G$12-AT235*'APPF Model'!$C$65-(AT235-AS235)*'Assumptions'!$H$12-0</x:f>
        <x:v>375.30899999999997</x:v>
      </x:c>
      <x:c r="AK235" t="n">
        <x:f>AA235*(1-'Assumptions'!$F$12)+AU235*'Assumptions'!$G$12-AU235*'APPF Model'!$D$65-(AU235-AT235)*'Assumptions'!$H$12-0</x:f>
        <x:v>591.3641250000001</x:v>
      </x:c>
      <x:c r="AL235" t="n">
        <x:f>AB235*(1-'Assumptions'!$F$12)+AV235*'Assumptions'!$G$12-AV235*'APPF Model'!$E$65-(AV235-AU235)*'Assumptions'!$H$12-0</x:f>
        <x:v>929.6471250000001</x:v>
      </x:c>
      <x:c r="AM235" t="n">
        <x:f>AC235*(1-'Assumptions'!$F$12)+AW235*'Assumptions'!$G$12-AW235*'APPF Model'!$F$65-(AW235-AV235)*'Assumptions'!$H$12-0</x:f>
        <x:v>1426.421390625</x:v>
      </x:c>
      <x:c r="AN235" t="n">
        <x:f>AD235*(1-'Assumptions'!$F$12)+AX235*'Assumptions'!$G$12-AX235*'APPF Model'!$G$65-(AX235-AW235)*'Assumptions'!$H$12-0</x:f>
        <x:v>2026.9057452187506</x:v>
      </x:c>
      <x:c r="AO235" t="n">
        <x:f>AE235*(1-'Assumptions'!$F$12)+AY235*'Assumptions'!$G$12-AY235*'APPF Model'!$H$65-(AY235-AX235)*'Assumptions'!$H$12-0</x:f>
        <x:v>2691.3362427270004</x:v>
      </x:c>
      <x:c r="AP235" t="n">
        <x:f>AF235*(1-'Assumptions'!$F$12)+AZ235*'Assumptions'!$G$12-AZ235*'APPF Model'!$I$65-(AZ235-AY235)*'Assumptions'!$H$12-0</x:f>
        <x:v>3323.0900260714866</x:v>
      </x:c>
      <x:c r="AQ235" t="n">
        <x:f>AG235*(1-'Assumptions'!$F$12)+BA235*'Assumptions'!$G$12-BA235*'APPF Model'!$J$65-(BA235-AZ235)*'Assumptions'!$H$12-0</x:f>
        <x:v>3794.2489262525114</x:v>
      </x:c>
      <x:c r="AR235" t="n">
        <x:f>AH235*(1-'Assumptions'!$F$12)+BB235*'Assumptions'!$G$12-BB235*'APPF Model'!$K$65-(BB235-BA235)*'Assumptions'!$H$12-0</x:f>
        <x:v>3980.0550016429456</x:v>
      </x:c>
      <x:c r="AS235" t="n">
        <x:f>E235+O235</x:f>
        <x:v>1683</x:v>
      </x:c>
      <x:c r="AT235" t="n">
        <x:f>F235+P235</x:f>
        <x:v>2524.5</x:v>
      </x:c>
      <x:c r="AU235" t="n">
        <x:f>G235+Q235</x:f>
        <x:v>3786.75</x:v>
      </x:c>
      <x:c r="AV235" t="n">
        <x:f>H235+R235</x:f>
        <x:v>5680.125</x:v>
      </x:c>
      <x:c r="AW235" t="n">
        <x:f>I235+S235</x:f>
        <x:v>8520.1875</x:v>
      </x:c>
      <x:c r="AX235" t="n">
        <x:f>J235+T235</x:f>
        <x:v>11979.383625</x:v>
      </x:c>
      <x:c r="AY235" t="n">
        <x:f>K235+U235</x:f>
        <x:v>15716.951316</x:v>
      </x:c>
      <x:c r="AZ235" t="n">
        <x:f>L235+V235</x:f>
        <x:v>19143.246702888002</x:v>
      </x:c>
      <x:c r="BA235" t="n">
        <x:f>M235+W235</x:f>
        <x:v>21517.009294046115</x:v>
      </x:c>
      <x:c r="BB235" t="n">
        <x:f>N235+X235</x:f>
        <x:v>22162.5195728675</x:v>
      </x:c>
      <x:c r="BC235" t="n">
        <x:f>AS235/'Inputs'!$E$14-1</x:f>
        <x:v>0.5</x:v>
      </x:c>
      <x:c r="BD235" t="n">
        <x:f>AT235/AS235-1</x:f>
        <x:v>0.5</x:v>
      </x:c>
      <x:c r="BE235" t="n">
        <x:f>AU235/AT235-1</x:f>
        <x:v>0.5</x:v>
      </x:c>
      <x:c r="BF235" t="n">
        <x:f>AV235/AU235-1</x:f>
        <x:v>0.5</x:v>
      </x:c>
      <x:c r="BG235" t="n">
        <x:f>AW235/AV235-1</x:f>
        <x:v>0.5</x:v>
      </x:c>
      <x:c r="BH235" t="n">
        <x:f>AX235/AW235-1</x:f>
        <x:v>0.40600000000000014</x:v>
      </x:c>
      <x:c r="BI235" t="n">
        <x:f>AY235/AX235-1</x:f>
        <x:v>0.31200000000000006</x:v>
      </x:c>
      <x:c r="BJ235" t="n">
        <x:f>AZ235/AY235-1</x:f>
        <x:v>0.21799999999999997</x:v>
      </x:c>
      <x:c r="BK235" t="n">
        <x:f>BA235/AZ235-1</x:f>
        <x:v>0.12400000000000011</x:v>
      </x:c>
      <x:c r="BL235" t="n">
        <x:f>BB235/BA235-1</x:f>
        <x:v>0.030000000000000027</x:v>
      </x:c>
      <x:c r="BM235" t="n">
        <x:f>AH235*(1-'Assumptions'!$F$12)*(1+'Assumptions'!$D$12)*(1-'Assumptions'!$D$12/'Assumptions'!$E$12)</x:f>
        <x:v>3835.002386888992</x:v>
      </x:c>
      <x:c r="BN235" t="n">
        <x:f>SUMPRODUCT(AI235:AR235,'APPF Model'!$B$83:$K$83)+BM235/('Assumptions'!$C$12-'Assumptions'!$D$12)*'APPF Model'!$K$83</x:f>
        <x:v>30826.733391745896</x:v>
      </x:c>
      <x:c r="BO235" t="n">
        <x:f>'APPF Model'!$B$94</x:f>
        <x:v>171.685</x:v>
      </x:c>
      <x:c r="BP235" t="n">
        <x:f>'Inputs'!$E$8</x:f>
        <x:v>36</x:v>
      </x:c>
    </x:row>
    <x:row r="236">
      <x:c r="A236" t="str">
        <x:v>APPF</x:v>
      </x:c>
      <x:c r="B236" s="22" t="n">
        <x:v>0.51</x:v>
      </x:c>
      <x:c r="C236" s="42" t="n">
        <x:f>(BN236+BO236)/BP236</x:f>
        <x:v>901.1221854342785</x:v>
      </x:c>
      <x:c r="D236" s="22" t="n">
        <x:f>C236/'Inputs'!$E$5-1</x:f>
        <x:v>3.20534900800018</x:v>
      </x:c>
      <x:c r="E236" t="n">
        <x:f>'Inputs'!$E$14*(1+$B236)^1</x:f>
        <x:v>1694.22</x:v>
      </x:c>
      <x:c r="F236" t="n">
        <x:f>'Inputs'!$E$14*(1+$B236)^2</x:f>
        <x:v>2558.2722</x:v>
      </x:c>
      <x:c r="G236" t="n">
        <x:f>'Inputs'!$E$14*(1+$B236)^3</x:f>
        <x:v>3862.9910219999997</x:v>
      </x:c>
      <x:c r="H236" t="n">
        <x:f>'Inputs'!$E$14*(1+$B236)^4</x:f>
        <x:v>5833.11644322</x:v>
      </x:c>
      <x:c r="I236" t="n">
        <x:f>'Inputs'!$E$14*(1+$B236)^5</x:f>
        <x:v>8808.0058292622</x:v>
      </x:c>
      <x:c r="J236" t="n">
        <x:f>I236*(1+($BG236+('Assumptions'!$D$12-$BG236)*(6-5)/5))</x:f>
        <x:v>12454.520242576747</x:v>
      </x:c>
      <x:c r="K236" t="n">
        <x:f>J236*(1+($BG236+('Assumptions'!$D$12-$BG236)*(7-5)/5))</x:f>
        <x:v>16415.057679716152</x:v>
      </x:c>
      <x:c r="L236" t="n">
        <x:f>K236*(1+($BG236+('Assumptions'!$D$12-$BG236)*(8-5)/5))</x:f>
        <x:v>20059.20048461314</x:v>
      </x:c>
      <x:c r="M236" t="n">
        <x:f>L236*(1+($BG236+('Assumptions'!$D$12-$BG236)*(9-5)/5))</x:f>
        <x:v>22586.65974567439</x:v>
      </x:c>
      <x:c r="N236" t="n">
        <x:f>M236*(1+($BG236+('Assumptions'!$D$12-$BG236)*(10-5)/5))</x:f>
        <x:v>23264.259538044622</x:v>
      </x:c>
      <x:c r="O236" t="n">
        <x:f>0</x:f>
        <x:v>0</x:v>
      </x:c>
      <x:c r="P236" t="n">
        <x:f>0</x:f>
        <x:v>0</x:v>
      </x:c>
      <x:c r="Q236" t="n">
        <x:f>0</x:f>
        <x:v>0</x:v>
      </x:c>
      <x:c r="R236" t="n">
        <x:f>0</x:f>
        <x:v>0</x:v>
      </x:c>
      <x:c r="S236" t="n">
        <x:f>0</x:f>
        <x:v>0</x:v>
      </x:c>
      <x:c r="T236" t="n">
        <x:f>S236*(1+($BG236+('Assumptions'!$D$12-$BG236)*(6-5)/5))</x:f>
        <x:v>0</x:v>
      </x:c>
      <x:c r="U236" t="n">
        <x:f>T236*(1+($BG236+('Assumptions'!$D$12-$BG236)*(7-5)/5))</x:f>
        <x:v>0</x:v>
      </x:c>
      <x:c r="V236" t="n">
        <x:f>U236*(1+($BG236+('Assumptions'!$D$12-$BG236)*(8-5)/5))</x:f>
        <x:v>0</x:v>
      </x:c>
      <x:c r="W236" t="n">
        <x:f>V236*(1+($BG236+('Assumptions'!$D$12-$BG236)*(9-5)/5))</x:f>
        <x:v>0</x:v>
      </x:c>
      <x:c r="X236" t="n">
        <x:f>W236*(1+($BG236+('Assumptions'!$D$12-$BG236)*(10-5)/5))</x:f>
        <x:v>0</x:v>
      </x:c>
      <x:c r="Y236" t="n">
        <x:f>E236*'APPF Model'!$B$62+O236*'APPF Model'!$B$63+'APPF Model'!$B$73+'APPF Model'!$B$74</x:f>
        <x:v>347.3151</x:v>
      </x:c>
      <x:c r="Z236" t="n">
        <x:f>F236*'APPF Model'!$C$62+P236*'APPF Model'!$C$63+'APPF Model'!$C$73+'APPF Model'!$C$74</x:f>
        <x:v>562.819884</x:v>
      </x:c>
      <x:c r="AA236" t="n">
        <x:f>G236*'APPF Model'!$D$62+Q236*'APPF Model'!$D$63+'APPF Model'!$D$73+'APPF Model'!$D$74</x:f>
        <x:v>888.4879350599999</x:v>
      </x:c>
      <x:c r="AB236" t="n">
        <x:f>H236*'APPF Model'!$E$62+R236*'APPF Model'!$E$63+'APPF Model'!$E$73+'APPF Model'!$E$74</x:f>
        <x:v>1399.9479463728</x:v>
      </x:c>
      <x:c r="AC236" t="n">
        <x:f>I236*'APPF Model'!$F$62+S236*'APPF Model'!$F$63+'APPF Model'!$F$73+'APPF Model'!$F$74</x:f>
        <x:v>2157.961428169239</x:v>
      </x:c>
      <x:c r="AD236" t="n">
        <x:f>AX236*$AC236/$AW236</x:f>
        <x:v>3051.357459431303</x:v>
      </x:c>
      <x:c r="AE236" t="n">
        <x:f>AY236*$AC236/$AW236</x:f>
        <x:v>4021.6891315304565</x:v>
      </x:c>
      <x:c r="AF236" t="n">
        <x:f>AZ236*$AC236/$AW236</x:f>
        <x:v>4914.504118730219</x:v>
      </x:c>
      <x:c r="AG236" t="n">
        <x:f>BA236*$AC236/$AW236</x:f>
        <x:v>5533.731637690225</x:v>
      </x:c>
      <x:c r="AH236" t="n">
        <x:f>BB236*$AC236/$AW236</x:f>
        <x:v>5699.743586820932</x:v>
      </x:c>
      <x:c r="AI236" t="n">
        <x:f>Y236*(1-'Assumptions'!$F$12)+AS236*'Assumptions'!$G$12-AS236*'APPF Model'!$B$65-(AS236-'Inputs'!$E$14)*'Assumptions'!$H$12-'Assumptions'!$I$12</x:f>
        <x:v>232.514865</x:v>
      </x:c>
      <x:c r="AJ236" t="n">
        <x:f>Z236*(1-'Assumptions'!$F$12)+AT236*'Assumptions'!$G$12-AT236*'APPF Model'!$C$65-(AT236-AS236)*'Assumptions'!$H$12-0</x:f>
        <x:v>379.8780084</x:v>
      </x:c>
      <x:c r="AK236" t="n">
        <x:f>AA236*(1-'Assumptions'!$F$12)+AU236*'Assumptions'!$G$12-AU236*'APPF Model'!$D$65-(AU236-AT236)*'Assumptions'!$H$12-0</x:f>
        <x:v>602.5882253489999</x:v>
      </x:c>
      <x:c r="AL236" t="n">
        <x:f>AB236*(1-'Assumptions'!$F$12)+AV236*'Assumptions'!$G$12-AV236*'APPF Model'!$E$65-(AV236-AU236)*'Assumptions'!$H$12-0</x:f>
        <x:v>953.65659360114</x:v>
      </x:c>
      <x:c r="AM236" t="n">
        <x:f>AC236*(1-'Assumptions'!$F$12)+AW236*'Assumptions'!$G$12-AW236*'APPF Model'!$F$65-(AW236-AV236)*'Assumptions'!$H$12-0</x:f>
        <x:v>1473.0514781974543</x:v>
      </x:c>
      <x:c r="AN236" t="n">
        <x:f>AD236*(1-'Assumptions'!$F$12)+AX236*'Assumptions'!$G$12-AX236*'APPF Model'!$G$65-(AX236-AW236)*'Assumptions'!$H$12-0</x:f>
        <x:v>2105.2939573131653</x:v>
      </x:c>
      <x:c r="AO236" t="n">
        <x:f>AE236*(1-'Assumptions'!$F$12)+AY236*'Assumptions'!$G$12-AY236*'APPF Model'!$H$65-(AY236-AX236)*'Assumptions'!$H$12-0</x:f>
        <x:v>2808.6001781231175</x:v>
      </x:c>
      <x:c r="AP236" t="n">
        <x:f>AF236*(1-'Assumptions'!$F$12)+AZ236*'Assumptions'!$G$12-AZ236*'APPF Model'!$I$65-(AZ236-AY236)*'Assumptions'!$H$12-0</x:f>
        <x:v>3479.9347753979446</x:v>
      </x:c>
      <x:c r="AQ236" t="n">
        <x:f>AG236*(1-'Assumptions'!$F$12)+BA236*'Assumptions'!$G$12-BA236*'APPF Model'!$J$65-(BA236-AZ236)*'Assumptions'!$H$12-0</x:f>
        <x:v>3981.440378588196</x:v>
      </x:c>
      <x:c r="AR236" t="n">
        <x:f>AH236*(1-'Assumptions'!$F$12)+BB236*'Assumptions'!$G$12-BB236*'APPF Model'!$K$65-(BB236-BA236)*'Assumptions'!$H$12-0</x:f>
        <x:v>4177.910919806755</x:v>
      </x:c>
      <x:c r="AS236" t="n">
        <x:f>E236+O236</x:f>
        <x:v>1694.22</x:v>
      </x:c>
      <x:c r="AT236" t="n">
        <x:f>F236+P236</x:f>
        <x:v>2558.2722</x:v>
      </x:c>
      <x:c r="AU236" t="n">
        <x:f>G236+Q236</x:f>
        <x:v>3862.9910219999997</x:v>
      </x:c>
      <x:c r="AV236" t="n">
        <x:f>H236+R236</x:f>
        <x:v>5833.11644322</x:v>
      </x:c>
      <x:c r="AW236" t="n">
        <x:f>I236+S236</x:f>
        <x:v>8808.0058292622</x:v>
      </x:c>
      <x:c r="AX236" t="n">
        <x:f>J236+T236</x:f>
        <x:v>12454.520242576747</x:v>
      </x:c>
      <x:c r="AY236" t="n">
        <x:f>K236+U236</x:f>
        <x:v>16415.057679716152</x:v>
      </x:c>
      <x:c r="AZ236" t="n">
        <x:f>L236+V236</x:f>
        <x:v>20059.20048461314</x:v>
      </x:c>
      <x:c r="BA236" t="n">
        <x:f>M236+W236</x:f>
        <x:v>22586.65974567439</x:v>
      </x:c>
      <x:c r="BB236" t="n">
        <x:f>N236+X236</x:f>
        <x:v>23264.259538044622</x:v>
      </x:c>
      <x:c r="BC236" t="n">
        <x:f>AS236/'Inputs'!$E$14-1</x:f>
        <x:v>0.51</x:v>
      </x:c>
      <x:c r="BD236" t="n">
        <x:f>AT236/AS236-1</x:f>
        <x:v>0.51</x:v>
      </x:c>
      <x:c r="BE236" t="n">
        <x:f>AU236/AT236-1</x:f>
        <x:v>0.51</x:v>
      </x:c>
      <x:c r="BF236" t="n">
        <x:f>AV236/AU236-1</x:f>
        <x:v>0.5100000000000002</x:v>
      </x:c>
      <x:c r="BG236" t="n">
        <x:f>AW236/AV236-1</x:f>
        <x:v>0.5099999999999998</x:v>
      </x:c>
      <x:c r="BH236" t="n">
        <x:f>AX236/AW236-1</x:f>
        <x:v>0.4139999999999997</x:v>
      </x:c>
      <x:c r="BI236" t="n">
        <x:f>AY236/AX236-1</x:f>
        <x:v>0.31799999999999984</x:v>
      </x:c>
      <x:c r="BJ236" t="n">
        <x:f>AZ236/AY236-1</x:f>
        <x:v>0.22199999999999998</x:v>
      </x:c>
      <x:c r="BK236" t="n">
        <x:f>BA236/AZ236-1</x:f>
        <x:v>0.1259999999999999</x:v>
      </x:c>
      <x:c r="BL236" t="n">
        <x:f>BB236/BA236-1</x:f>
        <x:v>0.030000000000000027</x:v>
      </x:c>
      <x:c r="BM236" t="n">
        <x:f>AH236*(1-'Assumptions'!$F$12)*(1+'Assumptions'!$D$12)*(1-'Assumptions'!$D$12/'Assumptions'!$E$12)</x:f>
        <x:v>4025.647470463241</x:v>
      </x:c>
      <x:c r="BN236" t="n">
        <x:f>SUMPRODUCT(AI236:AR236,'APPF Model'!$B$83:$K$83)+BM236/('Assumptions'!$C$12-'Assumptions'!$D$12)*'APPF Model'!$K$83</x:f>
        <x:v>32268.713675634026</x:v>
      </x:c>
      <x:c r="BO236" t="n">
        <x:f>'APPF Model'!$B$94</x:f>
        <x:v>171.685</x:v>
      </x:c>
      <x:c r="BP236" t="n">
        <x:f>'Inputs'!$E$8</x:f>
        <x:v>36</x:v>
      </x:c>
    </x:row>
    <x:row r="237">
      <x:c r="A237" t="str">
        <x:v>APPF</x:v>
      </x:c>
      <x:c r="B237" s="22" t="n">
        <x:v>0.52</x:v>
      </x:c>
      <x:c r="C237" s="42" t="n">
        <x:f>(BN237+BO237)/BP237</x:f>
        <x:v>942.8459859045506</x:v>
      </x:c>
      <x:c r="D237" s="22" t="n">
        <x:f>C237/'Inputs'!$E$5-1</x:f>
        <x:v>3.4000652692950837</x:v>
      </x:c>
      <x:c r="E237" t="n">
        <x:f>'Inputs'!$E$14*(1+$B237)^1</x:f>
        <x:v>1705.44</x:v>
      </x:c>
      <x:c r="F237" t="n">
        <x:f>'Inputs'!$E$14*(1+$B237)^2</x:f>
        <x:v>2592.2688</x:v>
      </x:c>
      <x:c r="G237" t="n">
        <x:f>'Inputs'!$E$14*(1+$B237)^3</x:f>
        <x:v>3940.2485760000004</x:v>
      </x:c>
      <x:c r="H237" t="n">
        <x:f>'Inputs'!$E$14*(1+$B237)^4</x:f>
        <x:v>5989.1778355199995</x:v>
      </x:c>
      <x:c r="I237" t="n">
        <x:f>'Inputs'!$E$14*(1+$B237)^5</x:f>
        <x:v>9103.5503099904</x:v>
      </x:c>
      <x:c r="J237" t="n">
        <x:f>I237*(1+($BG237+('Assumptions'!$D$12-$BG237)*(6-5)/5))</x:f>
        <x:v>12945.24854080635</x:v>
      </x:c>
      <x:c r="K237" t="n">
        <x:f>J237*(1+($BG237+('Assumptions'!$D$12-$BG237)*(7-5)/5))</x:f>
        <x:v>17139.509068027608</x:v>
      </x:c>
      <x:c r="L237" t="n">
        <x:f>K237*(1+($BG237+('Assumptions'!$D$12-$BG237)*(8-5)/5))</x:f>
        <x:v>21013.038117401848</x:v>
      </x:c>
      <x:c r="M237" t="n">
        <x:f>L237*(1+($BG237+('Assumptions'!$D$12-$BG237)*(9-5)/5))</x:f>
        <x:v>23702.706996429286</x:v>
      </x:c>
      <x:c r="N237" t="n">
        <x:f>M237*(1+($BG237+('Assumptions'!$D$12-$BG237)*(10-5)/5))</x:f>
        <x:v>24413.788206322166</x:v>
      </x:c>
      <x:c r="O237" t="n">
        <x:f>0</x:f>
        <x:v>0</x:v>
      </x:c>
      <x:c r="P237" t="n">
        <x:f>0</x:f>
        <x:v>0</x:v>
      </x:c>
      <x:c r="Q237" t="n">
        <x:f>0</x:f>
        <x:v>0</x:v>
      </x:c>
      <x:c r="R237" t="n">
        <x:f>0</x:f>
        <x:v>0</x:v>
      </x:c>
      <x:c r="S237" t="n">
        <x:f>0</x:f>
        <x:v>0</x:v>
      </x:c>
      <x:c r="T237" t="n">
        <x:f>S237*(1+($BG237+('Assumptions'!$D$12-$BG237)*(6-5)/5))</x:f>
        <x:v>0</x:v>
      </x:c>
      <x:c r="U237" t="n">
        <x:f>T237*(1+($BG237+('Assumptions'!$D$12-$BG237)*(7-5)/5))</x:f>
        <x:v>0</x:v>
      </x:c>
      <x:c r="V237" t="n">
        <x:f>U237*(1+($BG237+('Assumptions'!$D$12-$BG237)*(8-5)/5))</x:f>
        <x:v>0</x:v>
      </x:c>
      <x:c r="W237" t="n">
        <x:f>V237*(1+($BG237+('Assumptions'!$D$12-$BG237)*(9-5)/5))</x:f>
        <x:v>0</x:v>
      </x:c>
      <x:c r="X237" t="n">
        <x:f>W237*(1+($BG237+('Assumptions'!$D$12-$BG237)*(10-5)/5))</x:f>
        <x:v>0</x:v>
      </x:c>
      <x:c r="Y237" t="n">
        <x:f>E237*'APPF Model'!$B$62+O237*'APPF Model'!$B$63+'APPF Model'!$B$73+'APPF Model'!$B$74</x:f>
        <x:v>349.6152</x:v>
      </x:c>
      <x:c r="Z237" t="n">
        <x:f>F237*'APPF Model'!$C$62+P237*'APPF Model'!$C$63+'APPF Model'!$C$73+'APPF Model'!$C$74</x:f>
        <x:v>570.299136</x:v>
      </x:c>
      <x:c r="AA237" t="n">
        <x:f>G237*'APPF Model'!$D$62+Q237*'APPF Model'!$D$63+'APPF Model'!$D$73+'APPF Model'!$D$74</x:f>
        <x:v>906.2571724800001</x:v>
      </x:c>
      <x:c r="AB237" t="n">
        <x:f>H237*'APPF Model'!$E$62+R237*'APPF Model'!$E$63+'APPF Model'!$E$73+'APPF Model'!$E$74</x:f>
        <x:v>1437.4026805247997</x:v>
      </x:c>
      <x:c r="AC237" t="n">
        <x:f>I237*'APPF Model'!$F$62+S237*'APPF Model'!$F$63+'APPF Model'!$F$73+'APPF Model'!$F$74</x:f>
        <x:v>2230.3698259476478</x:v>
      </x:c>
      <x:c r="AD237" t="n">
        <x:f>AX237*$AC237/$AW237</x:f>
        <x:v>3171.585892497555</x:v>
      </x:c>
      <x:c r="AE237" t="n">
        <x:f>AY237*$AC237/$AW237</x:f>
        <x:v>4199.179721666764</x:v>
      </x:c>
      <x:c r="AF237" t="n">
        <x:f>AZ237*$AC237/$AW237</x:f>
        <x:v>5148.194338763453</x:v>
      </x:c>
      <x:c r="AG237" t="n">
        <x:f>BA237*$AC237/$AW237</x:f>
        <x:v>5807.163214125174</x:v>
      </x:c>
      <x:c r="AH237" t="n">
        <x:f>BB237*$AC237/$AW237</x:f>
        <x:v>5981.37811054893</x:v>
      </x:c>
      <x:c r="AI237" t="n">
        <x:f>Y237*(1-'Assumptions'!$F$12)+AS237*'Assumptions'!$G$12-AS237*'APPF Model'!$B$65-(AS237-'Inputs'!$E$14)*'Assumptions'!$H$12-'Assumptions'!$I$12</x:f>
        <x:v>233.75748000000004</x:v>
      </x:c>
      <x:c r="AJ237" t="n">
        <x:f>Z237*(1-'Assumptions'!$F$12)+AT237*'Assumptions'!$G$12-AT237*'APPF Model'!$C$65-(AT237-AS237)*'Assumptions'!$H$12-0</x:f>
        <x:v>384.4743936</x:v>
      </x:c>
      <x:c r="AK237" t="n">
        <x:f>AA237*(1-'Assumptions'!$F$12)+AU237*'Assumptions'!$G$12-AU237*'APPF Model'!$D$65-(AU237-AT237)*'Assumptions'!$H$12-0</x:f>
        <x:v>613.9529425920001</x:v>
      </x:c>
      <x:c r="AL237" t="n">
        <x:f>AB237*(1-'Assumptions'!$F$12)+AV237*'Assumptions'!$G$12-AV237*'APPF Model'!$E$65-(AV237-AU237)*'Assumptions'!$H$12-0</x:f>
        <x:v>978.12730650624</x:v>
      </x:c>
      <x:c r="AM237" t="n">
        <x:f>AC237*(1-'Assumptions'!$F$12)+AW237*'Assumptions'!$G$12-AW237*'APPF Model'!$F$65-(AW237-AV237)*'Assumptions'!$H$12-0</x:f>
        <x:v>1520.8918195519486</x:v>
      </x:c>
      <x:c r="AN237" t="n">
        <x:f>AD237*(1-'Assumptions'!$F$12)+AX237*'Assumptions'!$G$12-AX237*'APPF Model'!$G$65-(AX237-AW237)*'Assumptions'!$H$12-0</x:f>
        <x:v>2186.1857445181095</x:v>
      </x:c>
      <x:c r="AO237" t="n">
        <x:f>AE237*(1-'Assumptions'!$F$12)+AY237*'Assumptions'!$G$12-AY237*'APPF Model'!$H$65-(AY237-AX237)*'Assumptions'!$H$12-0</x:f>
        <x:v>2930.1958429571396</x:v>
      </x:c>
      <x:c r="AP237" t="n">
        <x:f>AF237*(1-'Assumptions'!$F$12)+AZ237*'Assumptions'!$G$12-AZ237*'APPF Model'!$I$65-(AZ237-AY237)*'Assumptions'!$H$12-0</x:f>
        <x:v>3643.165477745415</x:v>
      </x:c>
      <x:c r="AQ237" t="n">
        <x:f>AG237*(1-'Assumptions'!$F$12)+BA237*'Assumptions'!$G$12-BA237*'APPF Model'!$J$65-(BA237-AZ237)*'Assumptions'!$H$12-0</x:f>
        <x:v>4176.6775344434955</x:v>
      </x:c>
      <x:c r="AR237" t="n">
        <x:f>AH237*(1-'Assumptions'!$F$12)+BB237*'Assumptions'!$G$12-BB237*'APPF Model'!$K$65-(BB237-BA237)*'Assumptions'!$H$12-0</x:f>
        <x:v>4384.348969897016</x:v>
      </x:c>
      <x:c r="AS237" t="n">
        <x:f>E237+O237</x:f>
        <x:v>1705.44</x:v>
      </x:c>
      <x:c r="AT237" t="n">
        <x:f>F237+P237</x:f>
        <x:v>2592.2688</x:v>
      </x:c>
      <x:c r="AU237" t="n">
        <x:f>G237+Q237</x:f>
        <x:v>3940.2485760000004</x:v>
      </x:c>
      <x:c r="AV237" t="n">
        <x:f>H237+R237</x:f>
        <x:v>5989.1778355199995</x:v>
      </x:c>
      <x:c r="AW237" t="n">
        <x:f>I237+S237</x:f>
        <x:v>9103.5503099904</x:v>
      </x:c>
      <x:c r="AX237" t="n">
        <x:f>J237+T237</x:f>
        <x:v>12945.24854080635</x:v>
      </x:c>
      <x:c r="AY237" t="n">
        <x:f>K237+U237</x:f>
        <x:v>17139.509068027608</x:v>
      </x:c>
      <x:c r="AZ237" t="n">
        <x:f>L237+V237</x:f>
        <x:v>21013.038117401848</x:v>
      </x:c>
      <x:c r="BA237" t="n">
        <x:f>M237+W237</x:f>
        <x:v>23702.706996429286</x:v>
      </x:c>
      <x:c r="BB237" t="n">
        <x:f>N237+X237</x:f>
        <x:v>24413.788206322166</x:v>
      </x:c>
      <x:c r="BC237" t="n">
        <x:f>AS237/'Inputs'!$E$14-1</x:f>
        <x:v>0.52</x:v>
      </x:c>
      <x:c r="BD237" t="n">
        <x:f>AT237/AS237-1</x:f>
        <x:v>0.5199999999999998</x:v>
      </x:c>
      <x:c r="BE237" t="n">
        <x:f>AU237/AT237-1</x:f>
        <x:v>0.5200000000000002</x:v>
      </x:c>
      <x:c r="BF237" t="n">
        <x:f>AV237/AU237-1</x:f>
        <x:v>0.5199999999999998</x:v>
      </x:c>
      <x:c r="BG237" t="n">
        <x:f>AW237/AV237-1</x:f>
        <x:v>0.52</x:v>
      </x:c>
      <x:c r="BH237" t="n">
        <x:f>AX237/AW237-1</x:f>
        <x:v>0.42200000000000015</x:v>
      </x:c>
      <x:c r="BI237" t="n">
        <x:f>AY237/AX237-1</x:f>
        <x:v>0.32400000000000007</x:v>
      </x:c>
      <x:c r="BJ237" t="n">
        <x:f>AZ237/AY237-1</x:f>
        <x:v>0.22599999999999998</x:v>
      </x:c>
      <x:c r="BK237" t="n">
        <x:f>BA237/AZ237-1</x:f>
        <x:v>0.1280000000000001</x:v>
      </x:c>
      <x:c r="BL237" t="n">
        <x:f>BB237/BA237-1</x:f>
        <x:v>0.030000000000000027</x:v>
      </x:c>
      <x:c r="BM237" t="n">
        <x:f>AH237*(1-'Assumptions'!$F$12)*(1+'Assumptions'!$D$12)*(1-'Assumptions'!$D$12/'Assumptions'!$E$12)</x:f>
        <x:v>4224.5619112219865</x:v>
      </x:c>
      <x:c r="BN237" t="n">
        <x:f>SUMPRODUCT(AI237:AR237,'APPF Model'!$B$83:$K$83)+BM237/('Assumptions'!$C$12-'Assumptions'!$D$12)*'APPF Model'!$K$83</x:f>
        <x:v>33770.770492563825</x:v>
      </x:c>
      <x:c r="BO237" t="n">
        <x:f>'APPF Model'!$B$94</x:f>
        <x:v>171.685</x:v>
      </x:c>
      <x:c r="BP237" t="n">
        <x:f>'Inputs'!$E$8</x:f>
        <x:v>36</x:v>
      </x:c>
    </x:row>
    <x:row r="238">
      <x:c r="A238" t="str">
        <x:v>APPF</x:v>
      </x:c>
      <x:c r="B238" s="22" t="n">
        <x:v>0.53</x:v>
      </x:c>
      <x:c r="C238" s="42" t="n">
        <x:f>(BN238+BO238)/BP238</x:f>
        <x:v>986.2987950963353</x:v>
      </x:c>
      <x:c r="D238" s="22" t="n">
        <x:f>C238/'Inputs'!$E$5-1</x:f>
        <x:v>3.6028504531283145</x:v>
      </x:c>
      <x:c r="E238" t="n">
        <x:f>'Inputs'!$E$14*(1+$B238)^1</x:f>
        <x:v>1716.66</x:v>
      </x:c>
      <x:c r="F238" t="n">
        <x:f>'Inputs'!$E$14*(1+$B238)^2</x:f>
        <x:v>2626.4898</x:v>
      </x:c>
      <x:c r="G238" t="n">
        <x:f>'Inputs'!$E$14*(1+$B238)^3</x:f>
        <x:v>4018.529394</x:v>
      </x:c>
      <x:c r="H238" t="n">
        <x:f>'Inputs'!$E$14*(1+$B238)^4</x:f>
        <x:v>6148.34997282</x:v>
      </x:c>
      <x:c r="I238" t="n">
        <x:f>'Inputs'!$E$14*(1+$B238)^5</x:f>
        <x:v>9406.975458414601</x:v>
      </x:c>
      <x:c r="J238" t="n">
        <x:f>I238*(1+($BG238+('Assumptions'!$D$12-$BG238)*(6-5)/5))</x:f>
        <x:v>13451.974905532881</x:v>
      </x:c>
      <x:c r="K238" t="n">
        <x:f>J238*(1+($BG238+('Assumptions'!$D$12-$BG238)*(7-5)/5))</x:f>
        <x:v>17891.126624358734</x:v>
      </x:c>
      <x:c r="L238" t="n">
        <x:f>K238*(1+($BG238+('Assumptions'!$D$12-$BG238)*(8-5)/5))</x:f>
        <x:v>22006.085747961242</x:v>
      </x:c>
      <x:c r="M238" t="n">
        <x:f>L238*(1+($BG238+('Assumptions'!$D$12-$BG238)*(9-5)/5))</x:f>
        <x:v>24866.8768951962</x:v>
      </x:c>
      <x:c r="N238" t="n">
        <x:f>M238*(1+($BG238+('Assumptions'!$D$12-$BG238)*(10-5)/5))</x:f>
        <x:v>25612.88320205209</x:v>
      </x:c>
      <x:c r="O238" t="n">
        <x:f>0</x:f>
        <x:v>0</x:v>
      </x:c>
      <x:c r="P238" t="n">
        <x:f>0</x:f>
        <x:v>0</x:v>
      </x:c>
      <x:c r="Q238" t="n">
        <x:f>0</x:f>
        <x:v>0</x:v>
      </x:c>
      <x:c r="R238" t="n">
        <x:f>0</x:f>
        <x:v>0</x:v>
      </x:c>
      <x:c r="S238" t="n">
        <x:f>0</x:f>
        <x:v>0</x:v>
      </x:c>
      <x:c r="T238" t="n">
        <x:f>S238*(1+($BG238+('Assumptions'!$D$12-$BG238)*(6-5)/5))</x:f>
        <x:v>0</x:v>
      </x:c>
      <x:c r="U238" t="n">
        <x:f>T238*(1+($BG238+('Assumptions'!$D$12-$BG238)*(7-5)/5))</x:f>
        <x:v>0</x:v>
      </x:c>
      <x:c r="V238" t="n">
        <x:f>U238*(1+($BG238+('Assumptions'!$D$12-$BG238)*(8-5)/5))</x:f>
        <x:v>0</x:v>
      </x:c>
      <x:c r="W238" t="n">
        <x:f>V238*(1+($BG238+('Assumptions'!$D$12-$BG238)*(9-5)/5))</x:f>
        <x:v>0</x:v>
      </x:c>
      <x:c r="X238" t="n">
        <x:f>W238*(1+($BG238+('Assumptions'!$D$12-$BG238)*(10-5)/5))</x:f>
        <x:v>0</x:v>
      </x:c>
      <x:c r="Y238" t="n">
        <x:f>E238*'APPF Model'!$B$62+O238*'APPF Model'!$B$63+'APPF Model'!$B$73+'APPF Model'!$B$74</x:f>
        <x:v>351.9153</x:v>
      </x:c>
      <x:c r="Z238" t="n">
        <x:f>F238*'APPF Model'!$C$62+P238*'APPF Model'!$C$63+'APPF Model'!$C$73+'APPF Model'!$C$74</x:f>
        <x:v>577.827756</x:v>
      </x:c>
      <x:c r="AA238" t="n">
        <x:f>G238*'APPF Model'!$D$62+Q238*'APPF Model'!$D$63+'APPF Model'!$D$73+'APPF Model'!$D$74</x:f>
        <x:v>924.26176062</x:v>
      </x:c>
      <x:c r="AB238" t="n">
        <x:f>H238*'APPF Model'!$E$62+R238*'APPF Model'!$E$63+'APPF Model'!$E$73+'APPF Model'!$E$74</x:f>
        <x:v>1475.6039934768</x:v>
      </x:c>
      <x:c r="AC238" t="n">
        <x:f>I238*'APPF Model'!$F$62+S238*'APPF Model'!$F$63+'APPF Model'!$F$73+'APPF Model'!$F$74</x:f>
        <x:v>2304.7089873115774</x:v>
      </x:c>
      <x:c r="AD238" t="n">
        <x:f>AX238*$AC238/$AW238</x:f>
        <x:v>3295.7338518555557</x:v>
      </x:c>
      <x:c r="AE238" t="n">
        <x:f>AY238*$AC238/$AW238</x:f>
        <x:v>4383.32602296789</x:v>
      </x:c>
      <x:c r="AF238" t="n">
        <x:f>AZ238*$AC238/$AW238</x:f>
        <x:v>5391.491008250505</x:v>
      </x:c>
      <x:c r="AG238" t="n">
        <x:f>BA238*$AC238/$AW238</x:f>
        <x:v>6092.38483932307</x:v>
      </x:c>
      <x:c r="AH238" t="n">
        <x:f>BB238*$AC238/$AW238</x:f>
        <x:v>6275.156384502762</x:v>
      </x:c>
      <x:c r="AI238" t="n">
        <x:f>Y238*(1-'Assumptions'!$F$12)+AS238*'Assumptions'!$G$12-AS238*'APPF Model'!$B$65-(AS238-'Inputs'!$E$14)*'Assumptions'!$H$12-'Assumptions'!$I$12</x:f>
        <x:v>235.00009499999993</x:v>
      </x:c>
      <x:c r="AJ238" t="n">
        <x:f>Z238*(1-'Assumptions'!$F$12)+AT238*'Assumptions'!$G$12-AT238*'APPF Model'!$C$65-(AT238-AS238)*'Assumptions'!$H$12-0</x:f>
        <x:v>389.09815560000004</x:v>
      </x:c>
      <x:c r="AK238" t="n">
        <x:f>AA238*(1-'Assumptions'!$F$12)+AU238*'Assumptions'!$G$12-AU238*'APPF Model'!$D$65-(AU238-AT238)*'Assumptions'!$H$12-0</x:f>
        <x:v>625.4591485230001</x:v>
      </x:c>
      <x:c r="AL238" t="n">
        <x:f>AB238*(1-'Assumptions'!$F$12)+AV238*'Assumptions'!$G$12-AV238*'APPF Model'!$E$65-(AV238-AU238)*'Assumptions'!$H$12-0</x:f>
        <x:v>1003.06512203634</x:v>
      </x:c>
      <x:c r="AM238" t="n">
        <x:f>AC238*(1-'Assumptions'!$F$12)+AW238*'Assumptions'!$G$12-AW238*'APPF Model'!$F$65-(AW238-AV238)*'Assumptions'!$H$12-0</x:f>
        <x:v>1569.965794684655</x:v>
      </x:c>
      <x:c r="AN238" t="n">
        <x:f>AD238*(1-'Assumptions'!$F$12)+AX238*'Assumptions'!$G$12-AX238*'APPF Model'!$G$65-(AX238-AW238)*'Assumptions'!$H$12-0</x:f>
        <x:v>2269.644486290337</x:v>
      </x:c>
      <x:c r="AO238" t="n">
        <x:f>AE238*(1-'Assumptions'!$F$12)+AY238*'Assumptions'!$G$12-AY238*'APPF Model'!$H$65-(AY238-AX238)*'Assumptions'!$H$12-0</x:f>
        <x:v>3056.2550685998076</x:v>
      </x:c>
      <x:c r="AP238" t="n">
        <x:f>AF238*(1-'Assumptions'!$F$12)+AZ238*'Assumptions'!$G$12-AZ238*'APPF Model'!$I$65-(AZ238-AY238)*'Assumptions'!$H$12-0</x:f>
        <x:v>3813.0016339998942</x:v>
      </x:c>
      <x:c r="AQ238" t="n">
        <x:f>AG238*(1-'Assumptions'!$F$12)+BA238*'Assumptions'!$G$12-BA238*'APPF Model'!$J$65-(BA238-AZ238)*'Assumptions'!$H$12-0</x:f>
        <x:v>4380.256352917316</x:v>
      </x:c>
      <x:c r="AR238" t="n">
        <x:f>AH238*(1-'Assumptions'!$F$12)+BB238*'Assumptions'!$G$12-BB238*'APPF Model'!$K$65-(BB238-BA238)*'Assumptions'!$H$12-0</x:f>
        <x:v>4599.688386496679</x:v>
      </x:c>
      <x:c r="AS238" t="n">
        <x:f>E238+O238</x:f>
        <x:v>1716.66</x:v>
      </x:c>
      <x:c r="AT238" t="n">
        <x:f>F238+P238</x:f>
        <x:v>2626.4898</x:v>
      </x:c>
      <x:c r="AU238" t="n">
        <x:f>G238+Q238</x:f>
        <x:v>4018.529394</x:v>
      </x:c>
      <x:c r="AV238" t="n">
        <x:f>H238+R238</x:f>
        <x:v>6148.34997282</x:v>
      </x:c>
      <x:c r="AW238" t="n">
        <x:f>I238+S238</x:f>
        <x:v>9406.975458414601</x:v>
      </x:c>
      <x:c r="AX238" t="n">
        <x:f>J238+T238</x:f>
        <x:v>13451.974905532881</x:v>
      </x:c>
      <x:c r="AY238" t="n">
        <x:f>K238+U238</x:f>
        <x:v>17891.126624358734</x:v>
      </x:c>
      <x:c r="AZ238" t="n">
        <x:f>L238+V238</x:f>
        <x:v>22006.085747961242</x:v>
      </x:c>
      <x:c r="BA238" t="n">
        <x:f>M238+W238</x:f>
        <x:v>24866.8768951962</x:v>
      </x:c>
      <x:c r="BB238" t="n">
        <x:f>N238+X238</x:f>
        <x:v>25612.88320205209</x:v>
      </x:c>
      <x:c r="BC238" t="n">
        <x:f>AS238/'Inputs'!$E$14-1</x:f>
        <x:v>0.53</x:v>
      </x:c>
      <x:c r="BD238" t="n">
        <x:f>AT238/AS238-1</x:f>
        <x:v>0.5299999999999998</x:v>
      </x:c>
      <x:c r="BE238" t="n">
        <x:f>AU238/AT238-1</x:f>
        <x:v>0.5300000000000002</x:v>
      </x:c>
      <x:c r="BF238" t="n">
        <x:f>AV238/AU238-1</x:f>
        <x:v>0.53</x:v>
      </x:c>
      <x:c r="BG238" t="n">
        <x:f>AW238/AV238-1</x:f>
        <x:v>0.53</x:v>
      </x:c>
      <x:c r="BH238" t="n">
        <x:f>AX238/AW238-1</x:f>
        <x:v>0.43000000000000016</x:v>
      </x:c>
      <x:c r="BI238" t="n">
        <x:f>AY238/AX238-1</x:f>
        <x:v>0.33000000000000007</x:v>
      </x:c>
      <x:c r="BJ238" t="n">
        <x:f>AZ238/AY238-1</x:f>
        <x:v>0.22999999999999998</x:v>
      </x:c>
      <x:c r="BK238" t="n">
        <x:f>BA238/AZ238-1</x:f>
        <x:v>0.1299999999999999</x:v>
      </x:c>
      <x:c r="BL238" t="n">
        <x:f>BB238/BA238-1</x:f>
        <x:v>0.030000000000000027</x:v>
      </x:c>
      <x:c r="BM238" t="n">
        <x:f>AH238*(1-'Assumptions'!$F$12)*(1+'Assumptions'!$D$12)*(1-'Assumptions'!$D$12/'Assumptions'!$E$12)</x:f>
        <x:v>4432.053309283094</x:v>
      </x:c>
      <x:c r="BN238" t="n">
        <x:f>SUMPRODUCT(AI238:AR238,'APPF Model'!$B$83:$K$83)+BM238/('Assumptions'!$C$12-'Assumptions'!$D$12)*'APPF Model'!$K$83</x:f>
        <x:v>35335.07162346807</x:v>
      </x:c>
      <x:c r="BO238" t="n">
        <x:f>'APPF Model'!$B$94</x:f>
        <x:v>171.685</x:v>
      </x:c>
      <x:c r="BP238" t="n">
        <x:f>'Inputs'!$E$8</x:f>
        <x:v>36</x:v>
      </x:c>
    </x:row>
    <x:row r="239">
      <x:c r="A239" t="str">
        <x:v>APPF</x:v>
      </x:c>
      <x:c r="B239" s="22" t="n">
        <x:v>0.54</x:v>
      </x:c>
      <x:c r="C239" s="42" t="n">
        <x:f>(BN239+BO239)/BP239</x:f>
        <x:v>1031.5426606453252</x:v>
      </x:c>
      <x:c r="D239" s="22" t="n">
        <x:f>C239/'Inputs'!$E$5-1</x:f>
        <x:v>3.813994122854794</x:v>
      </x:c>
      <x:c r="E239" t="n">
        <x:f>'Inputs'!$E$14*(1+$B239)^1</x:f>
        <x:v>1727.88</x:v>
      </x:c>
      <x:c r="F239" t="n">
        <x:f>'Inputs'!$E$14*(1+$B239)^2</x:f>
        <x:v>2660.9352</x:v>
      </x:c>
      <x:c r="G239" t="n">
        <x:f>'Inputs'!$E$14*(1+$B239)^3</x:f>
        <x:v>4097.8402080000005</x:v>
      </x:c>
      <x:c r="H239" t="n">
        <x:f>'Inputs'!$E$14*(1+$B239)^4</x:f>
        <x:v>6310.6739203199995</x:v>
      </x:c>
      <x:c r="I239" t="n">
        <x:f>'Inputs'!$E$14*(1+$B239)^5</x:f>
        <x:v>9718.437837292799</x:v>
      </x:c>
      <x:c r="J239" t="n">
        <x:f>I239*(1+($BG239+('Assumptions'!$D$12-$BG239)*(6-5)/5))</x:f>
        <x:v>13975.113610027041</x:v>
      </x:c>
      <x:c r="K239" t="n">
        <x:f>J239*(1+($BG239+('Assumptions'!$D$12-$BG239)*(7-5)/5))</x:f>
        <x:v>18670.751782996125</x:v>
      </x:c>
      <x:c r="L239" t="n">
        <x:f>K239*(1+($BG239+('Assumptions'!$D$12-$BG239)*(8-5)/5))</x:f>
        <x:v>23039.70770021722</x:v>
      </x:c>
      <x:c r="M239" t="n">
        <x:f>L239*(1+($BG239+('Assumptions'!$D$12-$BG239)*(9-5)/5))</x:f>
        <x:v>26080.949116645894</x:v>
      </x:c>
      <x:c r="N239" t="n">
        <x:f>M239*(1+($BG239+('Assumptions'!$D$12-$BG239)*(10-5)/5))</x:f>
        <x:v>26863.377590145272</x:v>
      </x:c>
      <x:c r="O239" t="n">
        <x:f>0</x:f>
        <x:v>0</x:v>
      </x:c>
      <x:c r="P239" t="n">
        <x:f>0</x:f>
        <x:v>0</x:v>
      </x:c>
      <x:c r="Q239" t="n">
        <x:f>0</x:f>
        <x:v>0</x:v>
      </x:c>
      <x:c r="R239" t="n">
        <x:f>0</x:f>
        <x:v>0</x:v>
      </x:c>
      <x:c r="S239" t="n">
        <x:f>0</x:f>
        <x:v>0</x:v>
      </x:c>
      <x:c r="T239" t="n">
        <x:f>S239*(1+($BG239+('Assumptions'!$D$12-$BG239)*(6-5)/5))</x:f>
        <x:v>0</x:v>
      </x:c>
      <x:c r="U239" t="n">
        <x:f>T239*(1+($BG239+('Assumptions'!$D$12-$BG239)*(7-5)/5))</x:f>
        <x:v>0</x:v>
      </x:c>
      <x:c r="V239" t="n">
        <x:f>U239*(1+($BG239+('Assumptions'!$D$12-$BG239)*(8-5)/5))</x:f>
        <x:v>0</x:v>
      </x:c>
      <x:c r="W239" t="n">
        <x:f>V239*(1+($BG239+('Assumptions'!$D$12-$BG239)*(9-5)/5))</x:f>
        <x:v>0</x:v>
      </x:c>
      <x:c r="X239" t="n">
        <x:f>W239*(1+($BG239+('Assumptions'!$D$12-$BG239)*(10-5)/5))</x:f>
        <x:v>0</x:v>
      </x:c>
      <x:c r="Y239" t="n">
        <x:f>E239*'APPF Model'!$B$62+O239*'APPF Model'!$B$63+'APPF Model'!$B$73+'APPF Model'!$B$74</x:f>
        <x:v>354.2154</x:v>
      </x:c>
      <x:c r="Z239" t="n">
        <x:f>F239*'APPF Model'!$C$62+P239*'APPF Model'!$C$63+'APPF Model'!$C$73+'APPF Model'!$C$74</x:f>
        <x:v>585.405744</x:v>
      </x:c>
      <x:c r="AA239" t="n">
        <x:f>G239*'APPF Model'!$D$62+Q239*'APPF Model'!$D$63+'APPF Model'!$D$73+'APPF Model'!$D$74</x:f>
        <x:v>942.5032478400002</x:v>
      </x:c>
      <x:c r="AB239" t="n">
        <x:f>H239*'APPF Model'!$E$62+R239*'APPF Model'!$E$63+'APPF Model'!$E$73+'APPF Model'!$E$74</x:f>
        <x:v>1514.5617408767998</x:v>
      </x:c>
      <x:c r="AC239" t="n">
        <x:f>I239*'APPF Model'!$F$62+S239*'APPF Model'!$F$63+'APPF Model'!$F$73+'APPF Model'!$F$74</x:f>
        <x:v>2381.0172701367355</x:v>
      </x:c>
      <x:c r="AD239" t="n">
        <x:f>AX239*$AC239/$AW239</x:f>
        <x:v>3423.902834456625</x:v>
      </x:c>
      <x:c r="AE239" t="n">
        <x:f>AY239*$AC239/$AW239</x:f>
        <x:v>4574.33418683405</x:v>
      </x:c>
      <x:c r="AF239" t="n">
        <x:f>AZ239*$AC239/$AW239</x:f>
        <x:v>5644.728386553218</x:v>
      </x:c>
      <x:c r="AG239" t="n">
        <x:f>BA239*$AC239/$AW239</x:f>
        <x:v>6389.832533578244</x:v>
      </x:c>
      <x:c r="AH239" t="n">
        <x:f>BB239*$AC239/$AW239</x:f>
        <x:v>6581.527509585591</x:v>
      </x:c>
      <x:c r="AI239" t="n">
        <x:f>Y239*(1-'Assumptions'!$F$12)+AS239*'Assumptions'!$G$12-AS239*'APPF Model'!$B$65-(AS239-'Inputs'!$E$14)*'Assumptions'!$H$12-'Assumptions'!$I$12</x:f>
        <x:v>236.24270999999993</x:v>
      </x:c>
      <x:c r="AJ239" t="n">
        <x:f>Z239*(1-'Assumptions'!$F$12)+AT239*'Assumptions'!$G$12-AT239*'APPF Model'!$C$65-(AT239-AS239)*'Assumptions'!$H$12-0</x:f>
        <x:v>393.74929440000005</x:v>
      </x:c>
      <x:c r="AK239" t="n">
        <x:f>AA239*(1-'Assumptions'!$F$12)+AU239*'Assumptions'!$G$12-AU239*'APPF Model'!$D$65-(AU239-AT239)*'Assumptions'!$H$12-0</x:f>
        <x:v>637.1077149360001</x:v>
      </x:c>
      <x:c r="AL239" t="n">
        <x:f>AB239*(1-'Assumptions'!$F$12)+AV239*'Assumptions'!$G$12-AV239*'APPF Model'!$E$65-(AV239-AU239)*'Assumptions'!$H$12-0</x:f>
        <x:v>1028.47593540384</x:v>
      </x:c>
      <x:c r="AM239" t="n">
        <x:f>AC239*(1-'Assumptions'!$F$12)+AW239*'Assumptions'!$G$12-AW239*'APPF Model'!$F$65-(AW239-AV239)*'Assumptions'!$H$12-0</x:f>
        <x:v>1620.2970824117613</x:v>
      </x:c>
      <x:c r="AN239" t="n">
        <x:f>AD239*(1-'Assumptions'!$F$12)+AX239*'Assumptions'!$G$12-AX239*'APPF Model'!$G$65-(AX239-AW239)*'Assumptions'!$H$12-0</x:f>
        <x:v>2355.734754103018</x:v>
      </x:c>
      <x:c r="AO239" t="n">
        <x:f>AE239*(1-'Assumptions'!$F$12)+AY239*'Assumptions'!$G$12-AY239*'APPF Model'!$H$65-(AY239-AX239)*'Assumptions'!$H$12-0</x:f>
        <x:v>3186.9128578577856</x:v>
      </x:c>
      <x:c r="AP239" t="n">
        <x:f>AF239*(1-'Assumptions'!$F$12)+AZ239*'Assumptions'!$G$12-AZ239*'APPF Model'!$I$65-(AZ239-AY239)*'Assumptions'!$H$12-0</x:f>
        <x:v>3989.6689301254182</x:v>
      </x:c>
      <x:c r="AQ239" t="n">
        <x:f>AG239*(1-'Assumptions'!$F$12)+BA239*'Assumptions'!$G$12-BA239*'APPF Model'!$J$65-(BA239-AZ239)*'Assumptions'!$H$12-0</x:f>
        <x:v>4592.481896176599</x:v>
      </x:c>
      <x:c r="AR239" t="n">
        <x:f>AH239*(1-'Assumptions'!$F$12)+BB239*'Assumptions'!$G$12-BB239*'APPF Model'!$K$65-(BB239-BA239)*'Assumptions'!$H$12-0</x:f>
        <x:v>4824.258360478782</x:v>
      </x:c>
      <x:c r="AS239" t="n">
        <x:f>E239+O239</x:f>
        <x:v>1727.88</x:v>
      </x:c>
      <x:c r="AT239" t="n">
        <x:f>F239+P239</x:f>
        <x:v>2660.9352</x:v>
      </x:c>
      <x:c r="AU239" t="n">
        <x:f>G239+Q239</x:f>
        <x:v>4097.8402080000005</x:v>
      </x:c>
      <x:c r="AV239" t="n">
        <x:f>H239+R239</x:f>
        <x:v>6310.6739203199995</x:v>
      </x:c>
      <x:c r="AW239" t="n">
        <x:f>I239+S239</x:f>
        <x:v>9718.437837292799</x:v>
      </x:c>
      <x:c r="AX239" t="n">
        <x:f>J239+T239</x:f>
        <x:v>13975.113610027041</x:v>
      </x:c>
      <x:c r="AY239" t="n">
        <x:f>K239+U239</x:f>
        <x:v>18670.751782996125</x:v>
      </x:c>
      <x:c r="AZ239" t="n">
        <x:f>L239+V239</x:f>
        <x:v>23039.70770021722</x:v>
      </x:c>
      <x:c r="BA239" t="n">
        <x:f>M239+W239</x:f>
        <x:v>26080.949116645894</x:v>
      </x:c>
      <x:c r="BB239" t="n">
        <x:f>N239+X239</x:f>
        <x:v>26863.377590145272</x:v>
      </x:c>
      <x:c r="BC239" t="n">
        <x:f>AS239/'Inputs'!$E$14-1</x:f>
        <x:v>0.54</x:v>
      </x:c>
      <x:c r="BD239" t="n">
        <x:f>AT239/AS239-1</x:f>
        <x:v>0.5399999999999998</x:v>
      </x:c>
      <x:c r="BE239" t="n">
        <x:f>AU239/AT239-1</x:f>
        <x:v>0.5400000000000003</x:v>
      </x:c>
      <x:c r="BF239" t="n">
        <x:f>AV239/AU239-1</x:f>
        <x:v>0.5399999999999996</x:v>
      </x:c>
      <x:c r="BG239" t="n">
        <x:f>AW239/AV239-1</x:f>
        <x:v>0.5399999999999998</x:v>
      </x:c>
      <x:c r="BH239" t="n">
        <x:f>AX239/AW239-1</x:f>
        <x:v>0.4379999999999997</x:v>
      </x:c>
      <x:c r="BI239" t="n">
        <x:f>AY239/AX239-1</x:f>
        <x:v>0.33599999999999985</x:v>
      </x:c>
      <x:c r="BJ239" t="n">
        <x:f>AZ239/AY239-1</x:f>
        <x:v>0.23399999999999999</x:v>
      </x:c>
      <x:c r="BK239" t="n">
        <x:f>BA239/AZ239-1</x:f>
        <x:v>0.13200000000000012</x:v>
      </x:c>
      <x:c r="BL239" t="n">
        <x:f>BB239/BA239-1</x:f>
        <x:v>0.030000000000000027</x:v>
      </x:c>
      <x:c r="BM239" t="n">
        <x:f>AH239*(1-'Assumptions'!$F$12)*(1+'Assumptions'!$D$12)*(1-'Assumptions'!$D$12/'Assumptions'!$E$12)</x:f>
        <x:v>4648.438858198738</x:v>
      </x:c>
      <x:c r="BN239" t="n">
        <x:f>SUMPRODUCT(AI239:AR239,'APPF Model'!$B$83:$K$83)+BM239/('Assumptions'!$C$12-'Assumptions'!$D$12)*'APPF Model'!$K$83</x:f>
        <x:v>36963.85078323171</x:v>
      </x:c>
      <x:c r="BO239" t="n">
        <x:f>'APPF Model'!$B$94</x:f>
        <x:v>171.685</x:v>
      </x:c>
      <x:c r="BP239" t="n">
        <x:f>'Inputs'!$E$8</x:f>
        <x:v>36</x:v>
      </x:c>
    </x:row>
    <x:row r="240">
      <x:c r="A240" t="str">
        <x:v>APPF</x:v>
      </x:c>
      <x:c r="B240" s="22" t="n">
        <x:v>0.55</x:v>
      </x:c>
      <x:c r="C240" s="42" t="n">
        <x:f>(BN240+BO240)/BP240</x:f>
        <x:v>1078.6415071298293</x:v>
      </x:c>
      <x:c r="D240" s="22" t="n">
        <x:f>C240/'Inputs'!$E$5-1</x:f>
        <x:v>4.033794601128567</x:v>
      </x:c>
      <x:c r="E240" t="n">
        <x:f>'Inputs'!$E$14*(1+$B240)^1</x:f>
        <x:v>1739.1000000000001</x:v>
      </x:c>
      <x:c r="F240" t="n">
        <x:f>'Inputs'!$E$14*(1+$B240)^2</x:f>
        <x:v>2695.6050000000005</x:v>
      </x:c>
      <x:c r="G240" t="n">
        <x:f>'Inputs'!$E$14*(1+$B240)^3</x:f>
        <x:v>4178.187750000001</x:v>
      </x:c>
      <x:c r="H240" t="n">
        <x:f>'Inputs'!$E$14*(1+$B240)^4</x:f>
        <x:v>6476.191012500001</x:v>
      </x:c>
      <x:c r="I240" t="n">
        <x:f>'Inputs'!$E$14*(1+$B240)^5</x:f>
        <x:v>10038.096069375002</x:v>
      </x:c>
      <x:c r="J240" t="n">
        <x:f>I240*(1+($BG240+('Assumptions'!$D$12-$BG240)*(6-5)/5))</x:f>
        <x:v>14515.086916316255</x:v>
      </x:c>
      <x:c r="K240" t="n">
        <x:f>J240*(1+($BG240+('Assumptions'!$D$12-$BG240)*(7-5)/5))</x:f>
        <x:v>19479.246641696416</x:v>
      </x:c>
      <x:c r="L240" t="n">
        <x:f>K240*(1+($BG240+('Assumptions'!$D$12-$BG240)*(8-5)/5))</x:f>
        <x:v>24115.307342420165</x:v>
      </x:c>
      <x:c r="M240" t="n">
        <x:f>L240*(1+($BG240+('Assumptions'!$D$12-$BG240)*(9-5)/5))</x:f>
        <x:v>27346.758526304464</x:v>
      </x:c>
      <x:c r="N240" t="n">
        <x:f>M240*(1+($BG240+('Assumptions'!$D$12-$BG240)*(10-5)/5))</x:f>
        <x:v>28167.1612820936</x:v>
      </x:c>
      <x:c r="O240" t="n">
        <x:f>0</x:f>
        <x:v>0</x:v>
      </x:c>
      <x:c r="P240" t="n">
        <x:f>0</x:f>
        <x:v>0</x:v>
      </x:c>
      <x:c r="Q240" t="n">
        <x:f>0</x:f>
        <x:v>0</x:v>
      </x:c>
      <x:c r="R240" t="n">
        <x:f>0</x:f>
        <x:v>0</x:v>
      </x:c>
      <x:c r="S240" t="n">
        <x:f>0</x:f>
        <x:v>0</x:v>
      </x:c>
      <x:c r="T240" t="n">
        <x:f>S240*(1+($BG240+('Assumptions'!$D$12-$BG240)*(6-5)/5))</x:f>
        <x:v>0</x:v>
      </x:c>
      <x:c r="U240" t="n">
        <x:f>T240*(1+($BG240+('Assumptions'!$D$12-$BG240)*(7-5)/5))</x:f>
        <x:v>0</x:v>
      </x:c>
      <x:c r="V240" t="n">
        <x:f>U240*(1+($BG240+('Assumptions'!$D$12-$BG240)*(8-5)/5))</x:f>
        <x:v>0</x:v>
      </x:c>
      <x:c r="W240" t="n">
        <x:f>V240*(1+($BG240+('Assumptions'!$D$12-$BG240)*(9-5)/5))</x:f>
        <x:v>0</x:v>
      </x:c>
      <x:c r="X240" t="n">
        <x:f>W240*(1+($BG240+('Assumptions'!$D$12-$BG240)*(10-5)/5))</x:f>
        <x:v>0</x:v>
      </x:c>
      <x:c r="Y240" t="n">
        <x:f>E240*'APPF Model'!$B$62+O240*'APPF Model'!$B$63+'APPF Model'!$B$73+'APPF Model'!$B$74</x:f>
        <x:v>356.51550000000003</x:v>
      </x:c>
      <x:c r="Z240" t="n">
        <x:f>F240*'APPF Model'!$C$62+P240*'APPF Model'!$C$63+'APPF Model'!$C$73+'APPF Model'!$C$74</x:f>
        <x:v>593.0331000000001</x:v>
      </x:c>
      <x:c r="AA240" t="n">
        <x:f>G240*'APPF Model'!$D$62+Q240*'APPF Model'!$D$63+'APPF Model'!$D$73+'APPF Model'!$D$74</x:f>
        <x:v>960.9831825000002</x:v>
      </x:c>
      <x:c r="AB240" t="n">
        <x:f>H240*'APPF Model'!$E$62+R240*'APPF Model'!$E$63+'APPF Model'!$E$73+'APPF Model'!$E$74</x:f>
        <x:v>1554.2858430000003</x:v>
      </x:c>
      <x:c r="AC240" t="n">
        <x:f>I240*'APPF Model'!$F$62+S240*'APPF Model'!$F$63+'APPF Model'!$F$73+'APPF Model'!$F$74</x:f>
        <x:v>2459.3335369968754</x:v>
      </x:c>
      <x:c r="AD240" t="n">
        <x:f>AX240*$AC240/$AW240</x:f>
        <x:v>3556.1962944974825</x:v>
      </x:c>
      <x:c r="AE240" t="n">
        <x:f>AY240*$AC240/$AW240</x:f>
        <x:v>4772.415427215622</x:v>
      </x:c>
      <x:c r="AF240" t="n">
        <x:f>AZ240*$AC240/$AW240</x:f>
        <x:v>5908.25029889294</x:v>
      </x:c>
      <x:c r="AG240" t="n">
        <x:f>BA240*$AC240/$AW240</x:f>
        <x:v>6699.955838944594</x:v>
      </x:c>
      <x:c r="AH240" t="n">
        <x:f>BB240*$AC240/$AW240</x:f>
        <x:v>6900.954514112931</x:v>
      </x:c>
      <x:c r="AI240" t="n">
        <x:f>Y240*(1-'Assumptions'!$F$12)+AS240*'Assumptions'!$G$12-AS240*'APPF Model'!$B$65-(AS240-'Inputs'!$E$14)*'Assumptions'!$H$12-'Assumptions'!$I$12</x:f>
        <x:v>237.48532500000002</x:v>
      </x:c>
      <x:c r="AJ240" t="n">
        <x:f>Z240*(1-'Assumptions'!$F$12)+AT240*'Assumptions'!$G$12-AT240*'APPF Model'!$C$65-(AT240-AS240)*'Assumptions'!$H$12-0</x:f>
        <x:v>398.4278100000001</x:v>
      </x:c>
      <x:c r="AK240" t="n">
        <x:f>AA240*(1-'Assumptions'!$F$12)+AU240*'Assumptions'!$G$12-AU240*'APPF Model'!$D$65-(AU240-AT240)*'Assumptions'!$H$12-0</x:f>
        <x:v>648.8995136250002</x:v>
      </x:c>
      <x:c r="AL240" t="n">
        <x:f>AB240*(1-'Assumptions'!$F$12)+AV240*'Assumptions'!$G$12-AV240*'APPF Model'!$E$65-(AV240-AU240)*'Assumptions'!$H$12-0</x:f>
        <x:v>1054.3656787125003</x:v>
      </x:c>
      <x:c r="AM240" t="n">
        <x:f>AC240*(1-'Assumptions'!$F$12)+AW240*'Assumptions'!$G$12-AW240*'APPF Model'!$F$65-(AW240-AV240)*'Assumptions'!$H$12-0</x:f>
        <x:v>1671.9096622645316</x:v>
      </x:c>
      <x:c r="AN240" t="n">
        <x:f>AD240*(1-'Assumptions'!$F$12)+AX240*'Assumptions'!$G$12-AX240*'APPF Model'!$G$65-(AX240-AW240)*'Assumptions'!$H$12-0</x:f>
        <x:v>2444.5223262465133</x:v>
      </x:c>
      <x:c r="AO240" t="n">
        <x:f>AE240*(1-'Assumptions'!$F$12)+AY240*'Assumptions'!$G$12-AY240*'APPF Model'!$H$65-(AY240-AX240)*'Assumptions'!$H$12-0</x:f>
        <x:v>3322.3074414714206</x:v>
      </x:c>
      <x:c r="AP240" t="n">
        <x:f>AF240*(1-'Assumptions'!$F$12)+AZ240*'Assumptions'!$G$12-AZ240*'APPF Model'!$I$65-(AZ240-AY240)*'Assumptions'!$H$12-0</x:f>
        <x:v>4173.399374113495</x:v>
      </x:c>
      <x:c r="AQ240" t="n">
        <x:f>AG240*(1-'Assumptions'!$F$12)+BA240*'Assumptions'!$G$12-BA240*'APPF Model'!$J$65-(BA240-AZ240)*'Assumptions'!$H$12-0</x:f>
        <x:v>4813.66855627416</x:v>
      </x:c>
      <x:c r="AR240" t="n">
        <x:f>AH240*(1-'Assumptions'!$F$12)+BB240*'Assumptions'!$G$12-BB240*'APPF Model'!$K$65-(BB240-BA240)*'Assumptions'!$H$12-0</x:f>
        <x:v>5058.398291506852</x:v>
      </x:c>
      <x:c r="AS240" t="n">
        <x:f>E240+O240</x:f>
        <x:v>1739.1000000000001</x:v>
      </x:c>
      <x:c r="AT240" t="n">
        <x:f>F240+P240</x:f>
        <x:v>2695.6050000000005</x:v>
      </x:c>
      <x:c r="AU240" t="n">
        <x:f>G240+Q240</x:f>
        <x:v>4178.187750000001</x:v>
      </x:c>
      <x:c r="AV240" t="n">
        <x:f>H240+R240</x:f>
        <x:v>6476.191012500001</x:v>
      </x:c>
      <x:c r="AW240" t="n">
        <x:f>I240+S240</x:f>
        <x:v>10038.096069375002</x:v>
      </x:c>
      <x:c r="AX240" t="n">
        <x:f>J240+T240</x:f>
        <x:v>14515.086916316255</x:v>
      </x:c>
      <x:c r="AY240" t="n">
        <x:f>K240+U240</x:f>
        <x:v>19479.246641696416</x:v>
      </x:c>
      <x:c r="AZ240" t="n">
        <x:f>L240+V240</x:f>
        <x:v>24115.307342420165</x:v>
      </x:c>
      <x:c r="BA240" t="n">
        <x:f>M240+W240</x:f>
        <x:v>27346.758526304464</x:v>
      </x:c>
      <x:c r="BB240" t="n">
        <x:f>N240+X240</x:f>
        <x:v>28167.1612820936</x:v>
      </x:c>
      <x:c r="BC240" t="n">
        <x:f>AS240/'Inputs'!$E$14-1</x:f>
        <x:v>0.55</x:v>
      </x:c>
      <x:c r="BD240" t="n">
        <x:f>AT240/AS240-1</x:f>
        <x:v>0.55</x:v>
      </x:c>
      <x:c r="BE240" t="n">
        <x:f>AU240/AT240-1</x:f>
        <x:v>0.55</x:v>
      </x:c>
      <x:c r="BF240" t="n">
        <x:f>AV240/AU240-1</x:f>
        <x:v>0.55</x:v>
      </x:c>
      <x:c r="BG240" t="n">
        <x:f>AW240/AV240-1</x:f>
        <x:v>0.55</x:v>
      </x:c>
      <x:c r="BH240" t="n">
        <x:f>AX240/AW240-1</x:f>
        <x:v>0.4460000000000002</x:v>
      </x:c>
      <x:c r="BI240" t="n">
        <x:f>AY240/AX240-1</x:f>
        <x:v>0.3420000000000001</x:v>
      </x:c>
      <x:c r="BJ240" t="n">
        <x:f>AZ240/AY240-1</x:f>
        <x:v>0.238</x:v>
      </x:c>
      <x:c r="BK240" t="n">
        <x:f>BA240/AZ240-1</x:f>
        <x:v>0.1339999999999999</x:v>
      </x:c>
      <x:c r="BL240" t="n">
        <x:f>BB240/BA240-1</x:f>
        <x:v>0.030000000000000027</x:v>
      </x:c>
      <x:c r="BM240" t="n">
        <x:f>AH240*(1-'Assumptions'!$F$12)*(1+'Assumptions'!$D$12)*(1-'Assumptions'!$D$12/'Assumptions'!$E$12)</x:f>
        <x:v>4874.045588253476</x:v>
      </x:c>
      <x:c r="BN240" t="n">
        <x:f>SUMPRODUCT(AI240:AR240,'APPF Model'!$B$83:$K$83)+BM240/('Assumptions'!$C$12-'Assumptions'!$D$12)*'APPF Model'!$K$83</x:f>
        <x:v>38659.409256673855</x:v>
      </x:c>
      <x:c r="BO240" t="n">
        <x:f>'APPF Model'!$B$94</x:f>
        <x:v>171.685</x:v>
      </x:c>
      <x:c r="BP240" t="n">
        <x:f>'Inputs'!$E$8</x:f>
        <x:v>36</x:v>
      </x:c>
    </x:row>
    <x:row r="241">
      <x:c r="A241" t="str">
        <x:v>APPF</x:v>
      </x:c>
      <x:c r="B241" s="22" t="n">
        <x:v>0.56</x:v>
      </x:c>
      <x:c r="C241" s="42" t="n">
        <x:f>(BN241+BO241)/BP241</x:f>
        <x:v>1127.6611823939568</x:v>
      </x:c>
      <x:c r="D241" s="22" t="n">
        <x:f>C241/'Inputs'!$E$5-1</x:f>
        <x:v>4.262559186083427</x:v>
      </x:c>
      <x:c r="E241" t="n">
        <x:f>'Inputs'!$E$14*(1+$B241)^1</x:f>
        <x:v>1750.3200000000002</x:v>
      </x:c>
      <x:c r="F241" t="n">
        <x:f>'Inputs'!$E$14*(1+$B241)^2</x:f>
        <x:v>2730.4992</x:v>
      </x:c>
      <x:c r="G241" t="n">
        <x:f>'Inputs'!$E$14*(1+$B241)^3</x:f>
        <x:v>4259.578752</x:v>
      </x:c>
      <x:c r="H241" t="n">
        <x:f>'Inputs'!$E$14*(1+$B241)^4</x:f>
        <x:v>6644.942853120001</x:v>
      </x:c>
      <x:c r="I241" t="n">
        <x:f>'Inputs'!$E$14*(1+$B241)^5</x:f>
        <x:v>10366.110850867202</x:v>
      </x:c>
      <x:c r="J241" t="n">
        <x:f>I241*(1+($BG241+('Assumptions'!$D$12-$BG241)*(6-5)/5))</x:f>
        <x:v>15072.325177160914</x:v>
      </x:c>
      <x:c r="K241" t="n">
        <x:f>J241*(1+($BG241+('Assumptions'!$D$12-$BG241)*(7-5)/5))</x:f>
        <x:v>20317.494338812914</x:v>
      </x:c>
      <x:c r="L241" t="n">
        <x:f>K241*(1+($BG241+('Assumptions'!$D$12-$BG241)*(8-5)/5))</x:f>
        <x:v>25234.32796880564</x:v>
      </x:c>
      <x:c r="M241" t="n">
        <x:f>L241*(1+($BG241+('Assumptions'!$D$12-$BG241)*(9-5)/5))</x:f>
        <x:v>28666.19657256321</x:v>
      </x:c>
      <x:c r="N241" t="n">
        <x:f>M241*(1+($BG241+('Assumptions'!$D$12-$BG241)*(10-5)/5))</x:f>
        <x:v>29526.182469740106</x:v>
      </x:c>
      <x:c r="O241" t="n">
        <x:f>0</x:f>
        <x:v>0</x:v>
      </x:c>
      <x:c r="P241" t="n">
        <x:f>0</x:f>
        <x:v>0</x:v>
      </x:c>
      <x:c r="Q241" t="n">
        <x:f>0</x:f>
        <x:v>0</x:v>
      </x:c>
      <x:c r="R241" t="n">
        <x:f>0</x:f>
        <x:v>0</x:v>
      </x:c>
      <x:c r="S241" t="n">
        <x:f>0</x:f>
        <x:v>0</x:v>
      </x:c>
      <x:c r="T241" t="n">
        <x:f>S241*(1+($BG241+('Assumptions'!$D$12-$BG241)*(6-5)/5))</x:f>
        <x:v>0</x:v>
      </x:c>
      <x:c r="U241" t="n">
        <x:f>T241*(1+($BG241+('Assumptions'!$D$12-$BG241)*(7-5)/5))</x:f>
        <x:v>0</x:v>
      </x:c>
      <x:c r="V241" t="n">
        <x:f>U241*(1+($BG241+('Assumptions'!$D$12-$BG241)*(8-5)/5))</x:f>
        <x:v>0</x:v>
      </x:c>
      <x:c r="W241" t="n">
        <x:f>V241*(1+($BG241+('Assumptions'!$D$12-$BG241)*(9-5)/5))</x:f>
        <x:v>0</x:v>
      </x:c>
      <x:c r="X241" t="n">
        <x:f>W241*(1+($BG241+('Assumptions'!$D$12-$BG241)*(10-5)/5))</x:f>
        <x:v>0</x:v>
      </x:c>
      <x:c r="Y241" t="n">
        <x:f>E241*'APPF Model'!$B$62+O241*'APPF Model'!$B$63+'APPF Model'!$B$73+'APPF Model'!$B$74</x:f>
        <x:v>358.8156</x:v>
      </x:c>
      <x:c r="Z241" t="n">
        <x:f>F241*'APPF Model'!$C$62+P241*'APPF Model'!$C$63+'APPF Model'!$C$73+'APPF Model'!$C$74</x:f>
        <x:v>600.709824</x:v>
      </x:c>
      <x:c r="AA241" t="n">
        <x:f>G241*'APPF Model'!$D$62+Q241*'APPF Model'!$D$63+'APPF Model'!$D$73+'APPF Model'!$D$74</x:f>
        <x:v>979.7031129600001</x:v>
      </x:c>
      <x:c r="AB241" t="n">
        <x:f>H241*'APPF Model'!$E$62+R241*'APPF Model'!$E$63+'APPF Model'!$E$73+'APPF Model'!$E$74</x:f>
        <x:v>1594.7862847488002</x:v>
      </x:c>
      <x:c r="AC241" t="n">
        <x:f>I241*'APPF Model'!$F$62+S241*'APPF Model'!$F$63+'APPF Model'!$F$73+'APPF Model'!$F$74</x:f>
        <x:v>2539.6971584624644</x:v>
      </x:c>
      <x:c r="AD241" t="n">
        <x:f>AX241*$AC241/$AW241</x:f>
        <x:v>3692.7196684044234</x:v>
      </x:c>
      <x:c r="AE241" t="n">
        <x:f>AY241*$AC241/$AW241</x:f>
        <x:v>4977.786113009163</x:v>
      </x:c>
      <x:c r="AF241" t="n">
        <x:f>AZ241*$AC241/$AW241</x:f>
        <x:v>6182.410352357381</x:v>
      </x:c>
      <x:c r="AG241" t="n">
        <x:f>BA241*$AC241/$AW241</x:f>
        <x:v>7023.2181602779865</x:v>
      </x:c>
      <x:c r="AH241" t="n">
        <x:f>BB241*$AC241/$AW241</x:f>
        <x:v>7233.914705086325</x:v>
      </x:c>
      <x:c r="AI241" t="n">
        <x:f>Y241*(1-'Assumptions'!$F$12)+AS241*'Assumptions'!$G$12-AS241*'APPF Model'!$B$65-(AS241-'Inputs'!$E$14)*'Assumptions'!$H$12-'Assumptions'!$I$12</x:f>
        <x:v>238.72794000000007</x:v>
      </x:c>
      <x:c r="AJ241" t="n">
        <x:f>Z241*(1-'Assumptions'!$F$12)+AT241*'Assumptions'!$G$12-AT241*'APPF Model'!$C$65-(AT241-AS241)*'Assumptions'!$H$12-0</x:f>
        <x:v>403.1337024</x:v>
      </x:c>
      <x:c r="AK241" t="n">
        <x:f>AA241*(1-'Assumptions'!$F$12)+AU241*'Assumptions'!$G$12-AU241*'APPF Model'!$D$65-(AU241-AT241)*'Assumptions'!$H$12-0</x:f>
        <x:v>660.8354163840002</x:v>
      </x:c>
      <x:c r="AL241" t="n">
        <x:f>AB241*(1-'Assumptions'!$F$12)+AV241*'Assumptions'!$G$12-AV241*'APPF Model'!$E$65-(AV241-AU241)*'Assumptions'!$H$12-0</x:f>
        <x:v>1080.7403209574402</x:v>
      </x:c>
      <x:c r="AM241" t="n">
        <x:f>AC241*(1-'Assumptions'!$F$12)+AW241*'Assumptions'!$G$12-AW241*'APPF Model'!$F$65-(AW241-AV241)*'Assumptions'!$H$12-0</x:f>
        <x:v>1724.8278163843588</x:v>
      </x:c>
      <x:c r="AN241" t="n">
        <x:f>AD241*(1-'Assumptions'!$F$12)+AX241*'Assumptions'!$G$12-AX241*'APPF Model'!$G$65-(AX241-AW241)*'Assumptions'!$H$12-0</x:f>
        <x:v>2536.0742027200868</x:v>
      </x:c>
      <x:c r="AO241" t="n">
        <x:f>AE241*(1-'Assumptions'!$F$12)+AY241*'Assumptions'!$G$12-AY241*'APPF Model'!$H$65-(AY241-AX241)*'Assumptions'!$H$12-0</x:f>
        <x:v>3462.5803352743537</x:v>
      </x:c>
      <x:c r="AP241" t="n">
        <x:f>AF241*(1-'Assumptions'!$F$12)+AZ241*'Assumptions'!$G$12-AZ241*'APPF Model'!$I$65-(AZ241-AY241)*'Assumptions'!$H$12-0</x:f>
        <x:v>4364.4314351619105</x:v>
      </x:c>
      <x:c r="AQ241" t="n">
        <x:f>AG241*(1-'Assumptions'!$F$12)+BA241*'Assumptions'!$G$12-BA241*'APPF Model'!$J$65-(BA241-AZ241)*'Assumptions'!$H$12-0</x:f>
        <x:v>5044.140286340497</x:v>
      </x:c>
      <x:c r="AR241" t="n">
        <x:f>AH241*(1-'Assumptions'!$F$12)+BB241*'Assumptions'!$G$12-BB241*'APPF Model'!$K$65-(BB241-BA241)*'Assumptions'!$H$12-0</x:f>
        <x:v>5302.458045518448</x:v>
      </x:c>
      <x:c r="AS241" t="n">
        <x:f>E241+O241</x:f>
        <x:v>1750.3200000000002</x:v>
      </x:c>
      <x:c r="AT241" t="n">
        <x:f>F241+P241</x:f>
        <x:v>2730.4992</x:v>
      </x:c>
      <x:c r="AU241" t="n">
        <x:f>G241+Q241</x:f>
        <x:v>4259.578752</x:v>
      </x:c>
      <x:c r="AV241" t="n">
        <x:f>H241+R241</x:f>
        <x:v>6644.942853120001</x:v>
      </x:c>
      <x:c r="AW241" t="n">
        <x:f>I241+S241</x:f>
        <x:v>10366.110850867202</x:v>
      </x:c>
      <x:c r="AX241" t="n">
        <x:f>J241+T241</x:f>
        <x:v>15072.325177160914</x:v>
      </x:c>
      <x:c r="AY241" t="n">
        <x:f>K241+U241</x:f>
        <x:v>20317.494338812914</x:v>
      </x:c>
      <x:c r="AZ241" t="n">
        <x:f>L241+V241</x:f>
        <x:v>25234.32796880564</x:v>
      </x:c>
      <x:c r="BA241" t="n">
        <x:f>M241+W241</x:f>
        <x:v>28666.19657256321</x:v>
      </x:c>
      <x:c r="BB241" t="n">
        <x:f>N241+X241</x:f>
        <x:v>29526.182469740106</x:v>
      </x:c>
      <x:c r="BC241" t="n">
        <x:f>AS241/'Inputs'!$E$14-1</x:f>
        <x:v>0.56</x:v>
      </x:c>
      <x:c r="BD241" t="n">
        <x:f>AT241/AS241-1</x:f>
        <x:v>0.56</x:v>
      </x:c>
      <x:c r="BE241" t="n">
        <x:f>AU241/AT241-1</x:f>
        <x:v>0.56</x:v>
      </x:c>
      <x:c r="BF241" t="n">
        <x:f>AV241/AU241-1</x:f>
        <x:v>0.56</x:v>
      </x:c>
      <x:c r="BG241" t="n">
        <x:f>AW241/AV241-1</x:f>
        <x:v>0.56</x:v>
      </x:c>
      <x:c r="BH241" t="n">
        <x:f>AX241/AW241-1</x:f>
        <x:v>0.4540000000000002</x:v>
      </x:c>
      <x:c r="BI241" t="n">
        <x:f>AY241/AX241-1</x:f>
        <x:v>0.3480000000000001</x:v>
      </x:c>
      <x:c r="BJ241" t="n">
        <x:f>AZ241/AY241-1</x:f>
        <x:v>0.242</x:v>
      </x:c>
      <x:c r="BK241" t="n">
        <x:f>BA241/AZ241-1</x:f>
        <x:v>0.13600000000000012</x:v>
      </x:c>
      <x:c r="BL241" t="n">
        <x:f>BB241/BA241-1</x:f>
        <x:v>0.030000000000000027</x:v>
      </x:c>
      <x:c r="BM241" t="n">
        <x:f>AH241*(1-'Assumptions'!$F$12)*(1+'Assumptions'!$D$12)*(1-'Assumptions'!$D$12/'Assumptions'!$E$12)</x:f>
        <x:v>5109.210614563827</x:v>
      </x:c>
      <x:c r="BN241" t="n">
        <x:f>SUMPRODUCT(AI241:AR241,'APPF Model'!$B$83:$K$83)+BM241/('Assumptions'!$C$12-'Assumptions'!$D$12)*'APPF Model'!$K$83</x:f>
        <x:v>40424.117566182445</x:v>
      </x:c>
      <x:c r="BO241" t="n">
        <x:f>'APPF Model'!$B$94</x:f>
        <x:v>171.685</x:v>
      </x:c>
      <x:c r="BP241" t="n">
        <x:f>'Inputs'!$E$8</x:f>
        <x:v>36</x:v>
      </x:c>
    </x:row>
    <x:row r="242">
      <x:c r="A242" t="str">
        <x:v>APPF</x:v>
      </x:c>
      <x:c r="B242" s="22" t="n">
        <x:v>0.57</x:v>
      </x:c>
      <x:c r="C242" s="42" t="n">
        <x:f>(BN242+BO242)/BP242</x:f>
        <x:v>1178.6695047624482</x:v>
      </x:c>
      <x:c r="D242" s="22" t="n">
        <x:f>C242/'Inputs'!$E$5-1</x:f>
        <x:v>4.50060437167467</x:v>
      </x:c>
      <x:c r="E242" t="n">
        <x:f>'Inputs'!$E$14*(1+$B242)^1</x:f>
        <x:v>1761.5399999999997</x:v>
      </x:c>
      <x:c r="F242" t="n">
        <x:f>'Inputs'!$E$14*(1+$B242)^2</x:f>
        <x:v>2765.6177999999995</x:v>
      </x:c>
      <x:c r="G242" t="n">
        <x:f>'Inputs'!$E$14*(1+$B242)^3</x:f>
        <x:v>4342.0199459999985</x:v>
      </x:c>
      <x:c r="H242" t="n">
        <x:f>'Inputs'!$E$14*(1+$B242)^4</x:f>
        <x:v>6816.971315219998</x:v>
      </x:c>
      <x:c r="I242" t="n">
        <x:f>'Inputs'!$E$14*(1+$B242)^5</x:f>
        <x:v>10702.644964895397</x:v>
      </x:c>
      <x:c r="J242" t="n">
        <x:f>I242*(1+($BG242+('Assumptions'!$D$12-$BG242)*(6-5)/5))</x:f>
        <x:v>15647.266938677067</x:v>
      </x:c>
      <x:c r="K242" t="n">
        <x:f>J242*(1+($BG242+('Assumptions'!$D$12-$BG242)*(7-5)/5))</x:f>
        <x:v>21186.399434968745</x:v>
      </x:c>
      <x:c r="L242" t="n">
        <x:f>K242*(1+($BG242+('Assumptions'!$D$12-$BG242)*(8-5)/5))</x:f>
        <x:v>26398.253695971056</x:v>
      </x:c>
      <x:c r="M242" t="n">
        <x:f>L242*(1+($BG242+('Assumptions'!$D$12-$BG242)*(9-5)/5))</x:f>
        <x:v>30041.21270601506</x:v>
      </x:c>
      <x:c r="N242" t="n">
        <x:f>M242*(1+($BG242+('Assumptions'!$D$12-$BG242)*(10-5)/5))</x:f>
        <x:v>30942.449087195513</x:v>
      </x:c>
      <x:c r="O242" t="n">
        <x:f>0</x:f>
        <x:v>0</x:v>
      </x:c>
      <x:c r="P242" t="n">
        <x:f>0</x:f>
        <x:v>0</x:v>
      </x:c>
      <x:c r="Q242" t="n">
        <x:f>0</x:f>
        <x:v>0</x:v>
      </x:c>
      <x:c r="R242" t="n">
        <x:f>0</x:f>
        <x:v>0</x:v>
      </x:c>
      <x:c r="S242" t="n">
        <x:f>0</x:f>
        <x:v>0</x:v>
      </x:c>
      <x:c r="T242" t="n">
        <x:f>S242*(1+($BG242+('Assumptions'!$D$12-$BG242)*(6-5)/5))</x:f>
        <x:v>0</x:v>
      </x:c>
      <x:c r="U242" t="n">
        <x:f>T242*(1+($BG242+('Assumptions'!$D$12-$BG242)*(7-5)/5))</x:f>
        <x:v>0</x:v>
      </x:c>
      <x:c r="V242" t="n">
        <x:f>U242*(1+($BG242+('Assumptions'!$D$12-$BG242)*(8-5)/5))</x:f>
        <x:v>0</x:v>
      </x:c>
      <x:c r="W242" t="n">
        <x:f>V242*(1+($BG242+('Assumptions'!$D$12-$BG242)*(9-5)/5))</x:f>
        <x:v>0</x:v>
      </x:c>
      <x:c r="X242" t="n">
        <x:f>W242*(1+($BG242+('Assumptions'!$D$12-$BG242)*(10-5)/5))</x:f>
        <x:v>0</x:v>
      </x:c>
      <x:c r="Y242" t="n">
        <x:f>E242*'APPF Model'!$B$62+O242*'APPF Model'!$B$63+'APPF Model'!$B$73+'APPF Model'!$B$74</x:f>
        <x:v>361.11569999999995</x:v>
      </x:c>
      <x:c r="Z242" t="n">
        <x:f>F242*'APPF Model'!$C$62+P242*'APPF Model'!$C$63+'APPF Model'!$C$73+'APPF Model'!$C$74</x:f>
        <x:v>608.4359159999999</x:v>
      </x:c>
      <x:c r="AA242" t="n">
        <x:f>G242*'APPF Model'!$D$62+Q242*'APPF Model'!$D$63+'APPF Model'!$D$73+'APPF Model'!$D$74</x:f>
        <x:v>998.6645875799998</x:v>
      </x:c>
      <x:c r="AB242" t="n">
        <x:f>H242*'APPF Model'!$E$62+R242*'APPF Model'!$E$63+'APPF Model'!$E$73+'APPF Model'!$E$74</x:f>
        <x:v>1636.0731156527995</x:v>
      </x:c>
      <x:c r="AC242" t="n">
        <x:f>I242*'APPF Model'!$F$62+S242*'APPF Model'!$F$63+'APPF Model'!$F$73+'APPF Model'!$F$74</x:f>
        <x:v>2622.148016399372</x:v>
      </x:c>
      <x:c r="AD242" t="n">
        <x:f>AX242*$AC242/$AW242</x:f>
        <x:v>3833.580399975881</x:v>
      </x:c>
      <x:c r="AE242" t="n">
        <x:f>AY242*$AC242/$AW242</x:f>
        <x:v>5190.667861567342</x:v>
      </x:c>
      <x:c r="AF242" t="n">
        <x:f>AZ242*$AC242/$AW242</x:f>
        <x:v>6467.572155512908</x:v>
      </x:c>
      <x:c r="AG242" t="n">
        <x:f>BA242*$AC242/$AW242</x:f>
        <x:v>7360.097112973689</x:v>
      </x:c>
      <x:c r="AH242" t="n">
        <x:f>BB242*$AC242/$AW242</x:f>
        <x:v>7580.9000263629</x:v>
      </x:c>
      <x:c r="AI242" t="n">
        <x:f>Y242*(1-'Assumptions'!$F$12)+AS242*'Assumptions'!$G$12-AS242*'APPF Model'!$B$65-(AS242-'Inputs'!$E$14)*'Assumptions'!$H$12-'Assumptions'!$I$12</x:f>
        <x:v>239.97055500000005</x:v>
      </x:c>
      <x:c r="AJ242" t="n">
        <x:f>Z242*(1-'Assumptions'!$F$12)+AT242*'Assumptions'!$G$12-AT242*'APPF Model'!$C$65-(AT242-AS242)*'Assumptions'!$H$12-0</x:f>
        <x:v>407.86697159999994</x:v>
      </x:c>
      <x:c r="AK242" t="n">
        <x:f>AA242*(1-'Assumptions'!$F$12)+AU242*'Assumptions'!$G$12-AU242*'APPF Model'!$D$65-(AU242-AT242)*'Assumptions'!$H$12-0</x:f>
        <x:v>672.916295007</x:v>
      </x:c>
      <x:c r="AL242" t="n">
        <x:f>AB242*(1-'Assumptions'!$F$12)+AV242*'Assumptions'!$G$12-AV242*'APPF Model'!$E$65-(AV242-AU242)*'Assumptions'!$H$12-0</x:f>
        <x:v>1107.6058680251394</x:v>
      </x:c>
      <x:c r="AM242" t="n">
        <x:f>AC242*(1-'Assumptions'!$F$12)+AW242*'Assumptions'!$G$12-AW242*'APPF Model'!$F$65-(AW242-AV242)*'Assumptions'!$H$12-0</x:f>
        <x:v>1779.0761314178267</x:v>
      </x:c>
      <x:c r="AN242" t="n">
        <x:f>AD242*(1-'Assumptions'!$F$12)+AX242*'Assumptions'!$G$12-AX242*'APPF Model'!$G$65-(AX242-AW242)*'Assumptions'!$H$12-0</x:f>
        <x:v>2630.458620214613</x:v>
      </x:c>
      <x:c r="AO242" t="n">
        <x:f>AE242*(1-'Assumptions'!$F$12)+AY242*'Assumptions'!$G$12-AY242*'APPF Model'!$H$65-(AY242-AX242)*'Assumptions'!$H$12-0</x:f>
        <x:v>3607.8763980189333</x:v>
      </x:c>
      <x:c r="AP242" t="n">
        <x:f>AF242*(1-'Assumptions'!$F$12)+AZ242*'Assumptions'!$G$12-AZ242*'APPF Model'!$I$65-(AZ242-AY242)*'Assumptions'!$H$12-0</x:f>
        <x:v>4563.010185106676</x:v>
      </x:c>
      <x:c r="AQ242" t="n">
        <x:f>AG242*(1-'Assumptions'!$F$12)+BA242*'Assumptions'!$G$12-BA242*'APPF Model'!$J$65-(BA242-AZ242)*'Assumptions'!$H$12-0</x:f>
        <x:v>5284.230836210461</x:v>
      </x:c>
      <x:c r="AR242" t="n">
        <x:f>AH242*(1-'Assumptions'!$F$12)+BB242*'Assumptions'!$G$12-BB242*'APPF Model'!$K$65-(BB242-BA242)*'Assumptions'!$H$12-0</x:f>
        <x:v>5556.79821726337</x:v>
      </x:c>
      <x:c r="AS242" t="n">
        <x:f>E242+O242</x:f>
        <x:v>1761.5399999999997</x:v>
      </x:c>
      <x:c r="AT242" t="n">
        <x:f>F242+P242</x:f>
        <x:v>2765.6177999999995</x:v>
      </x:c>
      <x:c r="AU242" t="n">
        <x:f>G242+Q242</x:f>
        <x:v>4342.0199459999985</x:v>
      </x:c>
      <x:c r="AV242" t="n">
        <x:f>H242+R242</x:f>
        <x:v>6816.971315219998</x:v>
      </x:c>
      <x:c r="AW242" t="n">
        <x:f>I242+S242</x:f>
        <x:v>10702.644964895397</x:v>
      </x:c>
      <x:c r="AX242" t="n">
        <x:f>J242+T242</x:f>
        <x:v>15647.266938677067</x:v>
      </x:c>
      <x:c r="AY242" t="n">
        <x:f>K242+U242</x:f>
        <x:v>21186.399434968745</x:v>
      </x:c>
      <x:c r="AZ242" t="n">
        <x:f>L242+V242</x:f>
        <x:v>26398.253695971056</x:v>
      </x:c>
      <x:c r="BA242" t="n">
        <x:f>M242+W242</x:f>
        <x:v>30041.21270601506</x:v>
      </x:c>
      <x:c r="BB242" t="n">
        <x:f>N242+X242</x:f>
        <x:v>30942.449087195513</x:v>
      </x:c>
      <x:c r="BC242" t="n">
        <x:f>AS242/'Inputs'!$E$14-1</x:f>
        <x:v>0.5699999999999998</x:v>
      </x:c>
      <x:c r="BD242" t="n">
        <x:f>AT242/AS242-1</x:f>
        <x:v>0.5700000000000001</x:v>
      </x:c>
      <x:c r="BE242" t="n">
        <x:f>AU242/AT242-1</x:f>
        <x:v>0.5699999999999998</x:v>
      </x:c>
      <x:c r="BF242" t="n">
        <x:f>AV242/AU242-1</x:f>
        <x:v>0.5700000000000001</x:v>
      </x:c>
      <x:c r="BG242" t="n">
        <x:f>AW242/AV242-1</x:f>
        <x:v>0.5699999999999998</x:v>
      </x:c>
      <x:c r="BH242" t="n">
        <x:f>AX242/AW242-1</x:f>
        <x:v>0.46199999999999974</x:v>
      </x:c>
      <x:c r="BI242" t="n">
        <x:f>AY242/AX242-1</x:f>
        <x:v>0.35399999999999987</x:v>
      </x:c>
      <x:c r="BJ242" t="n">
        <x:f>AZ242/AY242-1</x:f>
        <x:v>0.246</x:v>
      </x:c>
      <x:c r="BK242" t="n">
        <x:f>BA242/AZ242-1</x:f>
        <x:v>0.1379999999999999</x:v>
      </x:c>
      <x:c r="BL242" t="n">
        <x:f>BB242/BA242-1</x:f>
        <x:v>0.030000000000000027</x:v>
      </x:c>
      <x:c r="BM242" t="n">
        <x:f>AH242*(1-'Assumptions'!$F$12)*(1+'Assumptions'!$D$12)*(1-'Assumptions'!$D$12/'Assumptions'!$E$12)</x:f>
        <x:v>5354.281390048312</x:v>
      </x:c>
      <x:c r="BN242" t="n">
        <x:f>SUMPRODUCT(AI242:AR242,'APPF Model'!$B$83:$K$83)+BM242/('Assumptions'!$C$12-'Assumptions'!$D$12)*'APPF Model'!$K$83</x:f>
        <x:v>42260.41717144814</x:v>
      </x:c>
      <x:c r="BO242" t="n">
        <x:f>'APPF Model'!$B$94</x:f>
        <x:v>171.685</x:v>
      </x:c>
      <x:c r="BP242" t="n">
        <x:f>'Inputs'!$E$8</x:f>
        <x:v>36</x:v>
      </x:c>
    </x:row>
    <x:row r="243">
      <x:c r="A243" t="str">
        <x:v>APPF</x:v>
      </x:c>
      <x:c r="B243" s="22" t="n">
        <x:v>0.58</x:v>
      </x:c>
      <x:c r="C243" s="42" t="n">
        <x:f>(BN243+BO243)/BP243</x:f>
        <x:v>1231.7363111596123</x:v>
      </x:c>
      <x:c r="D243" s="22" t="n">
        <x:f>C243/'Inputs'!$E$5-1</x:f>
        <x:v>4.7482560722401175</x:v>
      </x:c>
      <x:c r="E243" t="n">
        <x:f>'Inputs'!$E$14*(1+$B243)^1</x:f>
        <x:v>1772.76</x:v>
      </x:c>
      <x:c r="F243" t="n">
        <x:f>'Inputs'!$E$14*(1+$B243)^2</x:f>
        <x:v>2800.9608000000003</x:v>
      </x:c>
      <x:c r="G243" t="n">
        <x:f>'Inputs'!$E$14*(1+$B243)^3</x:f>
        <x:v>4425.518064000001</x:v>
      </x:c>
      <x:c r="H243" t="n">
        <x:f>'Inputs'!$E$14*(1+$B243)^4</x:f>
        <x:v>6992.318541120003</x:v>
      </x:c>
      <x:c r="I243" t="n">
        <x:f>'Inputs'!$E$14*(1+$B243)^5</x:f>
        <x:v>11047.863294969604</x:v>
      </x:c>
      <x:c r="J243" t="n">
        <x:f>I243*(1+($BG243+('Assumptions'!$D$12-$BG243)*(6-5)/5))</x:f>
        <x:v>16240.359043605315</x:v>
      </x:c>
      <x:c r="K243" t="n">
        <x:f>J243*(1+($BG243+('Assumptions'!$D$12-$BG243)*(7-5)/5))</x:f>
        <x:v>22086.888299303228</x:v>
      </x:c>
      <x:c r="L243" t="n">
        <x:f>K243*(1+($BG243+('Assumptions'!$D$12-$BG243)*(8-5)/5))</x:f>
        <x:v>27608.610374129035</x:v>
      </x:c>
      <x:c r="M243" t="n">
        <x:f>L243*(1+($BG243+('Assumptions'!$D$12-$BG243)*(9-5)/5))</x:f>
        <x:v>31473.815826507103</x:v>
      </x:c>
      <x:c r="N243" t="n">
        <x:f>M243*(1+($BG243+('Assumptions'!$D$12-$BG243)*(10-5)/5))</x:f>
        <x:v>32418.03030130232</x:v>
      </x:c>
      <x:c r="O243" t="n">
        <x:f>0</x:f>
        <x:v>0</x:v>
      </x:c>
      <x:c r="P243" t="n">
        <x:f>0</x:f>
        <x:v>0</x:v>
      </x:c>
      <x:c r="Q243" t="n">
        <x:f>0</x:f>
        <x:v>0</x:v>
      </x:c>
      <x:c r="R243" t="n">
        <x:f>0</x:f>
        <x:v>0</x:v>
      </x:c>
      <x:c r="S243" t="n">
        <x:f>0</x:f>
        <x:v>0</x:v>
      </x:c>
      <x:c r="T243" t="n">
        <x:f>S243*(1+($BG243+('Assumptions'!$D$12-$BG243)*(6-5)/5))</x:f>
        <x:v>0</x:v>
      </x:c>
      <x:c r="U243" t="n">
        <x:f>T243*(1+($BG243+('Assumptions'!$D$12-$BG243)*(7-5)/5))</x:f>
        <x:v>0</x:v>
      </x:c>
      <x:c r="V243" t="n">
        <x:f>U243*(1+($BG243+('Assumptions'!$D$12-$BG243)*(8-5)/5))</x:f>
        <x:v>0</x:v>
      </x:c>
      <x:c r="W243" t="n">
        <x:f>V243*(1+($BG243+('Assumptions'!$D$12-$BG243)*(9-5)/5))</x:f>
        <x:v>0</x:v>
      </x:c>
      <x:c r="X243" t="n">
        <x:f>W243*(1+($BG243+('Assumptions'!$D$12-$BG243)*(10-5)/5))</x:f>
        <x:v>0</x:v>
      </x:c>
      <x:c r="Y243" t="n">
        <x:f>E243*'APPF Model'!$B$62+O243*'APPF Model'!$B$63+'APPF Model'!$B$73+'APPF Model'!$B$74</x:f>
        <x:v>363.4158</x:v>
      </x:c>
      <x:c r="Z243" t="n">
        <x:f>F243*'APPF Model'!$C$62+P243*'APPF Model'!$C$63+'APPF Model'!$C$73+'APPF Model'!$C$74</x:f>
        <x:v>616.2113760000001</x:v>
      </x:c>
      <x:c r="AA243" t="n">
        <x:f>G243*'APPF Model'!$D$62+Q243*'APPF Model'!$D$63+'APPF Model'!$D$73+'APPF Model'!$D$74</x:f>
        <x:v>1017.8691547200002</x:v>
      </x:c>
      <x:c r="AB243" t="n">
        <x:f>H243*'APPF Model'!$E$62+R243*'APPF Model'!$E$63+'APPF Model'!$E$73+'APPF Model'!$E$74</x:f>
        <x:v>1678.1564498688006</x:v>
      </x:c>
      <x:c r="AC243" t="n">
        <x:f>I243*'APPF Model'!$F$62+S243*'APPF Model'!$F$63+'APPF Model'!$F$73+'APPF Model'!$F$74</x:f>
        <x:v>2706.7265072675527</x:v>
      </x:c>
      <x:c r="AD243" t="n">
        <x:f>AX243*$AC243/$AW243</x:f>
        <x:v>3978.887965683302</x:v>
      </x:c>
      <x:c r="AE243" t="n">
        <x:f>AY243*$AC243/$AW243</x:f>
        <x:v>5411.287633329291</x:v>
      </x:c>
      <x:c r="AF243" t="n">
        <x:f>AZ243*$AC243/$AW243</x:f>
        <x:v>6764.109541661614</x:v>
      </x:c>
      <x:c r="AG243" t="n">
        <x:f>BA243*$AC243/$AW243</x:f>
        <x:v>7711.084877494241</x:v>
      </x:c>
      <x:c r="AH243" t="n">
        <x:f>BB243*$AC243/$AW243</x:f>
        <x:v>7942.417423819068</x:v>
      </x:c>
      <x:c r="AI243" t="n">
        <x:f>Y243*(1-'Assumptions'!$F$12)+AS243*'Assumptions'!$G$12-AS243*'APPF Model'!$B$65-(AS243-'Inputs'!$E$14)*'Assumptions'!$H$12-'Assumptions'!$I$12</x:f>
        <x:v>241.21317</x:v>
      </x:c>
      <x:c r="AJ243" t="n">
        <x:f>Z243*(1-'Assumptions'!$F$12)+AT243*'Assumptions'!$G$12-AT243*'APPF Model'!$C$65-(AT243-AS243)*'Assumptions'!$H$12-0</x:f>
        <x:v>412.6276176</x:v>
      </x:c>
      <x:c r="AK243" t="n">
        <x:f>AA243*(1-'Assumptions'!$F$12)+AU243*'Assumptions'!$G$12-AU243*'APPF Model'!$D$65-(AU243-AT243)*'Assumptions'!$H$12-0</x:f>
        <x:v>685.1430212880001</x:v>
      </x:c>
      <x:c r="AL243" t="n">
        <x:f>AB243*(1-'Assumptions'!$F$12)+AV243*'Assumptions'!$G$12-AV243*'APPF Model'!$E$65-(AV243-AU243)*'Assumptions'!$H$12-0</x:f>
        <x:v>1134.9683626934404</x:v>
      </x:c>
      <x:c r="AM243" t="n">
        <x:f>AC243*(1-'Assumptions'!$F$12)+AW243*'Assumptions'!$G$12-AW243*'APPF Model'!$F$65-(AW243-AV243)*'Assumptions'!$H$12-0</x:f>
        <x:v>1834.6795004117716</x:v>
      </x:c>
      <x:c r="AN243" t="n">
        <x:f>AD243*(1-'Assumptions'!$F$12)+AX243*'Assumptions'!$G$12-AX243*'APPF Model'!$G$65-(AX243-AW243)*'Assumptions'!$H$12-0</x:f>
        <x:v>2727.745067186232</x:v>
      </x:c>
      <x:c r="AO243" t="n">
        <x:f>AE243*(1-'Assumptions'!$F$12)+AY243*'Assumptions'!$G$12-AY243*'APPF Model'!$H$65-(AY243-AX243)*'Assumptions'!$H$12-0</x:f>
        <x:v>3758.343889871142</x:v>
      </x:c>
      <x:c r="AP243" t="n">
        <x:f>AF243*(1-'Assumptions'!$F$12)+AZ243*'Assumptions'!$G$12-AZ243*'APPF Model'!$I$65-(AZ243-AY243)*'Assumptions'!$H$12-0</x:f>
        <x:v>4769.38744213079</x:v>
      </x:c>
      <x:c r="AQ243" t="n">
        <x:f>AG243*(1-'Assumptions'!$F$12)+BA243*'Assumptions'!$G$12-BA243*'APPF Model'!$J$65-(BA243-AZ243)*'Assumptions'!$H$12-0</x:f>
        <x:v>5534.283992546036</x:v>
      </x:c>
      <x:c r="AR243" t="n">
        <x:f>AH243*(1-'Assumptions'!$F$12)+BB243*'Assumptions'!$G$12-BB243*'APPF Model'!$K$65-(BB243-BA243)*'Assumptions'!$H$12-0</x:f>
        <x:v>5821.790397968585</x:v>
      </x:c>
      <x:c r="AS243" t="n">
        <x:f>E243+O243</x:f>
        <x:v>1772.76</x:v>
      </x:c>
      <x:c r="AT243" t="n">
        <x:f>F243+P243</x:f>
        <x:v>2800.9608000000003</x:v>
      </x:c>
      <x:c r="AU243" t="n">
        <x:f>G243+Q243</x:f>
        <x:v>4425.518064000001</x:v>
      </x:c>
      <x:c r="AV243" t="n">
        <x:f>H243+R243</x:f>
        <x:v>6992.318541120003</x:v>
      </x:c>
      <x:c r="AW243" t="n">
        <x:f>I243+S243</x:f>
        <x:v>11047.863294969604</x:v>
      </x:c>
      <x:c r="AX243" t="n">
        <x:f>J243+T243</x:f>
        <x:v>16240.359043605315</x:v>
      </x:c>
      <x:c r="AY243" t="n">
        <x:f>K243+U243</x:f>
        <x:v>22086.888299303228</x:v>
      </x:c>
      <x:c r="AZ243" t="n">
        <x:f>L243+V243</x:f>
        <x:v>27608.610374129035</x:v>
      </x:c>
      <x:c r="BA243" t="n">
        <x:f>M243+W243</x:f>
        <x:v>31473.815826507103</x:v>
      </x:c>
      <x:c r="BB243" t="n">
        <x:f>N243+X243</x:f>
        <x:v>32418.03030130232</x:v>
      </x:c>
      <x:c r="BC243" t="n">
        <x:f>AS243/'Inputs'!$E$14-1</x:f>
        <x:v>0.5800000000000001</x:v>
      </x:c>
      <x:c r="BD243" t="n">
        <x:f>AT243/AS243-1</x:f>
        <x:v>0.5800000000000001</x:v>
      </x:c>
      <x:c r="BE243" t="n">
        <x:f>AU243/AT243-1</x:f>
        <x:v>0.5800000000000001</x:v>
      </x:c>
      <x:c r="BF243" t="n">
        <x:f>AV243/AU243-1</x:f>
        <x:v>0.5800000000000003</x:v>
      </x:c>
      <x:c r="BG243" t="n">
        <x:f>AW243/AV243-1</x:f>
        <x:v>0.5799999999999998</x:v>
      </x:c>
      <x:c r="BH243" t="n">
        <x:f>AX243/AW243-1</x:f>
        <x:v>0.46999999999999975</x:v>
      </x:c>
      <x:c r="BI243" t="n">
        <x:f>AY243/AX243-1</x:f>
        <x:v>0.3599999999999999</x:v>
      </x:c>
      <x:c r="BJ243" t="n">
        <x:f>AZ243/AY243-1</x:f>
        <x:v>0.25</x:v>
      </x:c>
      <x:c r="BK243" t="n">
        <x:f>BA243/AZ243-1</x:f>
        <x:v>0.14000000000000012</x:v>
      </x:c>
      <x:c r="BL243" t="n">
        <x:f>BB243/BA243-1</x:f>
        <x:v>0.030000000000000027</x:v>
      </x:c>
      <x:c r="BM243" t="n">
        <x:f>AH243*(1-'Assumptions'!$F$12)*(1+'Assumptions'!$D$12)*(1-'Assumptions'!$D$12/'Assumptions'!$E$12)</x:f>
        <x:v>5609.615963337354</x:v>
      </x:c>
      <x:c r="BN243" t="n">
        <x:f>SUMPRODUCT(AI243:AR243,'APPF Model'!$B$83:$K$83)+BM243/('Assumptions'!$C$12-'Assumptions'!$D$12)*'APPF Model'!$K$83</x:f>
        <x:v>44170.82220174605</x:v>
      </x:c>
      <x:c r="BO243" t="n">
        <x:f>'APPF Model'!$B$94</x:f>
        <x:v>171.685</x:v>
      </x:c>
      <x:c r="BP243" t="n">
        <x:f>'Inputs'!$E$8</x:f>
        <x:v>36</x:v>
      </x:c>
    </x:row>
    <x:row r="244">
      <x:c r="A244" t="str">
        <x:v>APPF</x:v>
      </x:c>
      <x:c r="B244" s="22" t="n">
        <x:v>0.59</x:v>
      </x:c>
      <x:c r="C244" s="42" t="n">
        <x:f>(BN244+BO244)/BP244</x:f>
        <x:v>1286.933506144964</x:v>
      </x:c>
      <x:c r="D244" s="22" t="n">
        <x:f>C244/'Inputs'!$E$5-1</x:f>
        <x:v>5.005849851339201</x:v>
      </x:c>
      <x:c r="E244" t="n">
        <x:f>'Inputs'!$E$14*(1+$B244)^1</x:f>
        <x:v>1783.9799999999998</x:v>
      </x:c>
      <x:c r="F244" t="n">
        <x:f>'Inputs'!$E$14*(1+$B244)^2</x:f>
        <x:v>2836.5281999999993</x:v>
      </x:c>
      <x:c r="G244" t="n">
        <x:f>'Inputs'!$E$14*(1+$B244)^3</x:f>
        <x:v>4510.079837999998</x:v>
      </x:c>
      <x:c r="H244" t="n">
        <x:f>'Inputs'!$E$14*(1+$B244)^4</x:f>
        <x:v>7171.026942419996</x:v>
      </x:c>
      <x:c r="I244" t="n">
        <x:f>'Inputs'!$E$14*(1+$B244)^5</x:f>
        <x:v>11401.932838447794</x:v>
      </x:c>
      <x:c r="J244" t="n">
        <x:f>I244*(1+($BG244+('Assumptions'!$D$12-$BG244)*(6-5)/5))</x:f>
        <x:v>16852.05673522584</x:v>
      </x:c>
      <x:c r="K244" t="n">
        <x:f>J244*(1+($BG244+('Assumptions'!$D$12-$BG244)*(7-5)/5))</x:f>
        <x:v>23019.9095003185</x:v>
      </x:c>
      <x:c r="L244" t="n">
        <x:f>K244*(1+($BG244+('Assumptions'!$D$12-$BG244)*(8-5)/5))</x:f>
        <x:v>28866.9665133994</x:v>
      </x:c>
      <x:c r="M244" t="n">
        <x:f>L244*(1+($BG244+('Assumptions'!$D$12-$BG244)*(9-5)/5))</x:f>
        <x:v>32966.07575830211</x:v>
      </x:c>
      <x:c r="N244" t="n">
        <x:f>M244*(1+($BG244+('Assumptions'!$D$12-$BG244)*(10-5)/5))</x:f>
        <x:v>33955.05803105117</x:v>
      </x:c>
      <x:c r="O244" t="n">
        <x:f>0</x:f>
        <x:v>0</x:v>
      </x:c>
      <x:c r="P244" t="n">
        <x:f>0</x:f>
        <x:v>0</x:v>
      </x:c>
      <x:c r="Q244" t="n">
        <x:f>0</x:f>
        <x:v>0</x:v>
      </x:c>
      <x:c r="R244" t="n">
        <x:f>0</x:f>
        <x:v>0</x:v>
      </x:c>
      <x:c r="S244" t="n">
        <x:f>0</x:f>
        <x:v>0</x:v>
      </x:c>
      <x:c r="T244" t="n">
        <x:f>S244*(1+($BG244+('Assumptions'!$D$12-$BG244)*(6-5)/5))</x:f>
        <x:v>0</x:v>
      </x:c>
      <x:c r="U244" t="n">
        <x:f>T244*(1+($BG244+('Assumptions'!$D$12-$BG244)*(7-5)/5))</x:f>
        <x:v>0</x:v>
      </x:c>
      <x:c r="V244" t="n">
        <x:f>U244*(1+($BG244+('Assumptions'!$D$12-$BG244)*(8-5)/5))</x:f>
        <x:v>0</x:v>
      </x:c>
      <x:c r="W244" t="n">
        <x:f>V244*(1+($BG244+('Assumptions'!$D$12-$BG244)*(9-5)/5))</x:f>
        <x:v>0</x:v>
      </x:c>
      <x:c r="X244" t="n">
        <x:f>W244*(1+($BG244+('Assumptions'!$D$12-$BG244)*(10-5)/5))</x:f>
        <x:v>0</x:v>
      </x:c>
      <x:c r="Y244" t="n">
        <x:f>E244*'APPF Model'!$B$62+O244*'APPF Model'!$B$63+'APPF Model'!$B$73+'APPF Model'!$B$74</x:f>
        <x:v>365.7158999999999</x:v>
      </x:c>
      <x:c r="Z244" t="n">
        <x:f>F244*'APPF Model'!$C$62+P244*'APPF Model'!$C$63+'APPF Model'!$C$73+'APPF Model'!$C$74</x:f>
        <x:v>624.0362039999999</x:v>
      </x:c>
      <x:c r="AA244" t="n">
        <x:f>G244*'APPF Model'!$D$62+Q244*'APPF Model'!$D$63+'APPF Model'!$D$73+'APPF Model'!$D$74</x:f>
        <x:v>1037.3183627399997</x:v>
      </x:c>
      <x:c r="AB244" t="n">
        <x:f>H244*'APPF Model'!$E$62+R244*'APPF Model'!$E$63+'APPF Model'!$E$73+'APPF Model'!$E$74</x:f>
        <x:v>1721.046466180799</x:v>
      </x:c>
      <x:c r="AC244" t="n">
        <x:f>I244*'APPF Model'!$F$62+S244*'APPF Model'!$F$63+'APPF Model'!$F$73+'APPF Model'!$F$74</x:f>
        <x:v>2793.4735454197094</x:v>
      </x:c>
      <x:c r="AD244" t="n">
        <x:f>AX244*$AC244/$AW244</x:f>
        <x:v>4128.75390013033</x:v>
      </x:c>
      <x:c r="AE244" t="n">
        <x:f>AY244*$AC244/$AW244</x:f>
        <x:v>5639.877827578032</x:v>
      </x:c>
      <x:c r="AF244" t="n">
        <x:f>AZ244*$AC244/$AW244</x:f>
        <x:v>7072.406795782852</x:v>
      </x:c>
      <x:c r="AG244" t="n">
        <x:f>BA244*$AC244/$AW244</x:f>
        <x:v>8076.688560784017</x:v>
      </x:c>
      <x:c r="AH244" t="n">
        <x:f>BB244*$AC244/$AW244</x:f>
        <x:v>8318.989217607537</x:v>
      </x:c>
      <x:c r="AI244" t="n">
        <x:f>Y244*(1-'Assumptions'!$F$12)+AS244*'Assumptions'!$G$12-AS244*'APPF Model'!$B$65-(AS244-'Inputs'!$E$14)*'Assumptions'!$H$12-'Assumptions'!$I$12</x:f>
        <x:v>242.45578499999993</x:v>
      </x:c>
      <x:c r="AJ244" t="n">
        <x:f>Z244*(1-'Assumptions'!$F$12)+AT244*'Assumptions'!$G$12-AT244*'APPF Model'!$C$65-(AT244-AS244)*'Assumptions'!$H$12-0</x:f>
        <x:v>417.4156403999999</x:v>
      </x:c>
      <x:c r="AK244" t="n">
        <x:f>AA244*(1-'Assumptions'!$F$12)+AU244*'Assumptions'!$G$12-AU244*'APPF Model'!$D$65-(AU244-AT244)*'Assumptions'!$H$12-0</x:f>
        <x:v>697.5164670209999</x:v>
      </x:c>
      <x:c r="AL244" t="n">
        <x:f>AB244*(1-'Assumptions'!$F$12)+AV244*'Assumptions'!$G$12-AV244*'APPF Model'!$E$65-(AV244-AU244)*'Assumptions'!$H$12-0</x:f>
        <x:v>1162.8338846315391</x:v>
      </x:c>
      <x:c r="AM244" t="n">
        <x:f>AC244*(1-'Assumptions'!$F$12)+AW244*'Assumptions'!$G$12-AW244*'APPF Model'!$F$65-(AW244-AV244)*'Assumptions'!$H$12-0</x:f>
        <x:v>1891.663124708327</x:v>
      </x:c>
      <x:c r="AN244" t="n">
        <x:f>AD244*(1-'Assumptions'!$F$12)+AX244*'Assumptions'!$G$12-AX244*'APPF Model'!$G$65-(AX244-AW244)*'Assumptions'!$H$12-0</x:f>
        <x:v>2828.0042990209486</x:v>
      </x:c>
      <x:c r="AO244" t="n">
        <x:f>AE244*(1-'Assumptions'!$F$12)+AY244*'Assumptions'!$G$12-AY244*'APPF Model'!$H$65-(AY244-AX244)*'Assumptions'!$H$12-0</x:f>
        <x:v>3914.1345315788626</x:v>
      </x:c>
      <x:c r="AP244" t="n">
        <x:f>AF244*(1-'Assumptions'!$F$12)+AZ244*'Assumptions'!$G$12-AZ244*'APPF Model'!$I$65-(AZ244-AY244)*'Assumptions'!$H$12-0</x:f>
        <x:v>4983.821916773705</x:v>
      </x:c>
      <x:c r="AQ244" t="n">
        <x:f>AG244*(1-'Assumptions'!$F$12)+BA244*'Assumptions'!$G$12-BA244*'APPF Model'!$J$65-(BA244-AZ244)*'Assumptions'!$H$12-0</x:f>
        <x:v>5794.653823516998</x:v>
      </x:c>
      <x:c r="AR244" t="n">
        <x:f>AH244*(1-'Assumptions'!$F$12)+BB244*'Assumptions'!$G$12-BB244*'APPF Model'!$K$65-(BB244-BA244)*'Assumptions'!$H$12-0</x:f>
        <x:v>6097.817448202537</x:v>
      </x:c>
      <x:c r="AS244" t="n">
        <x:f>E244+O244</x:f>
        <x:v>1783.9799999999998</x:v>
      </x:c>
      <x:c r="AT244" t="n">
        <x:f>F244+P244</x:f>
        <x:v>2836.5281999999993</x:v>
      </x:c>
      <x:c r="AU244" t="n">
        <x:f>G244+Q244</x:f>
        <x:v>4510.079837999998</x:v>
      </x:c>
      <x:c r="AV244" t="n">
        <x:f>H244+R244</x:f>
        <x:v>7171.026942419996</x:v>
      </x:c>
      <x:c r="AW244" t="n">
        <x:f>I244+S244</x:f>
        <x:v>11401.932838447794</x:v>
      </x:c>
      <x:c r="AX244" t="n">
        <x:f>J244+T244</x:f>
        <x:v>16852.05673522584</x:v>
      </x:c>
      <x:c r="AY244" t="n">
        <x:f>K244+U244</x:f>
        <x:v>23019.9095003185</x:v>
      </x:c>
      <x:c r="AZ244" t="n">
        <x:f>L244+V244</x:f>
        <x:v>28866.9665133994</x:v>
      </x:c>
      <x:c r="BA244" t="n">
        <x:f>M244+W244</x:f>
        <x:v>32966.07575830211</x:v>
      </x:c>
      <x:c r="BB244" t="n">
        <x:f>N244+X244</x:f>
        <x:v>33955.05803105117</x:v>
      </x:c>
      <x:c r="BC244" t="n">
        <x:f>AS244/'Inputs'!$E$14-1</x:f>
        <x:v>0.5899999999999999</x:v>
      </x:c>
      <x:c r="BD244" t="n">
        <x:f>AT244/AS244-1</x:f>
        <x:v>0.5899999999999999</x:v>
      </x:c>
      <x:c r="BE244" t="n">
        <x:f>AU244/AT244-1</x:f>
        <x:v>0.5899999999999996</x:v>
      </x:c>
      <x:c r="BF244" t="n">
        <x:f>AV244/AU244-1</x:f>
        <x:v>0.5899999999999999</x:v>
      </x:c>
      <x:c r="BG244" t="n">
        <x:f>AW244/AV244-1</x:f>
        <x:v>0.5900000000000001</x:v>
      </x:c>
      <x:c r="BH244" t="n">
        <x:f>AX244/AW244-1</x:f>
        <x:v>0.478</x:v>
      </x:c>
      <x:c r="BI244" t="n">
        <x:f>AY244/AX244-1</x:f>
        <x:v>0.3660000000000001</x:v>
      </x:c>
      <x:c r="BJ244" t="n">
        <x:f>AZ244/AY244-1</x:f>
        <x:v>0.254</x:v>
      </x:c>
      <x:c r="BK244" t="n">
        <x:f>BA244/AZ244-1</x:f>
        <x:v>0.1419999999999999</x:v>
      </x:c>
      <x:c r="BL244" t="n">
        <x:f>BB244/BA244-1</x:f>
        <x:v>0.030000000000000027</x:v>
      </x:c>
      <x:c r="BM244" t="n">
        <x:f>AH244*(1-'Assumptions'!$F$12)*(1+'Assumptions'!$D$12)*(1-'Assumptions'!$D$12/'Assumptions'!$E$12)</x:f>
        <x:v>5875.583241693095</x:v>
      </x:c>
      <x:c r="BN244" t="n">
        <x:f>SUMPRODUCT(AI244:AR244,'APPF Model'!$B$83:$K$83)+BM244/('Assumptions'!$C$12-'Assumptions'!$D$12)*'APPF Model'!$K$83</x:f>
        <x:v>46157.921221218705</x:v>
      </x:c>
      <x:c r="BO244" t="n">
        <x:f>'APPF Model'!$B$94</x:f>
        <x:v>171.685</x:v>
      </x:c>
      <x:c r="BP244" t="n">
        <x:f>'Inputs'!$E$8</x:f>
        <x:v>36</x:v>
      </x:c>
    </x:row>
    <x:row r="245">
      <x:c r="A245" t="str">
        <x:v>APPF</x:v>
      </x:c>
      <x:c r="B245" s="22" t="n">
        <x:v>0.6</x:v>
      </x:c>
      <x:c r="C245" s="42" t="n">
        <x:f>(BN245+BO245)/BP245</x:f>
        <x:v>1344.3351118783148</x:v>
      </x:c>
      <x:c r="D245" s="22" t="n">
        <x:f>C245/'Inputs'!$E$5-1</x:f>
        <x:v>5.2737311549296</x:v>
      </x:c>
      <x:c r="E245" t="n">
        <x:f>'Inputs'!$E$14*(1+$B245)^1</x:f>
        <x:v>1795.2</x:v>
      </x:c>
      <x:c r="F245" t="n">
        <x:f>'Inputs'!$E$14*(1+$B245)^2</x:f>
        <x:v>2872.3200000000006</x:v>
      </x:c>
      <x:c r="G245" t="n">
        <x:f>'Inputs'!$E$14*(1+$B245)^3</x:f>
        <x:v>4595.712000000001</x:v>
      </x:c>
      <x:c r="H245" t="n">
        <x:f>'Inputs'!$E$14*(1+$B245)^4</x:f>
        <x:v>7353.139200000003</x:v>
      </x:c>
      <x:c r="I245" t="n">
        <x:f>'Inputs'!$E$14*(1+$B245)^5</x:f>
        <x:v>11765.022720000006</x:v>
      </x:c>
      <x:c r="J245" t="n">
        <x:f>I245*(1+($BG245+('Assumptions'!$D$12-$BG245)*(6-5)/5))</x:f>
        <x:v>17482.82376192001</x:v>
      </x:c>
      <x:c r="K245" t="n">
        <x:f>J245*(1+($BG245+('Assumptions'!$D$12-$BG245)*(7-5)/5))</x:f>
        <x:v>23986.43420135426</x:v>
      </x:c>
      <x:c r="L245" t="n">
        <x:f>K245*(1+($BG245+('Assumptions'!$D$12-$BG245)*(8-5)/5))</x:f>
        <x:v>30174.93422530366</x:v>
      </x:c>
      <x:c r="M245" t="n">
        <x:f>L245*(1+($BG245+('Assumptions'!$D$12-$BG245)*(9-5)/5))</x:f>
        <x:v>34520.12475374739</x:v>
      </x:c>
      <x:c r="N245" t="n">
        <x:f>M245*(1+($BG245+('Assumptions'!$D$12-$BG245)*(10-5)/5))</x:f>
        <x:v>35555.728496359814</x:v>
      </x:c>
      <x:c r="O245" t="n">
        <x:f>0</x:f>
        <x:v>0</x:v>
      </x:c>
      <x:c r="P245" t="n">
        <x:f>0</x:f>
        <x:v>0</x:v>
      </x:c>
      <x:c r="Q245" t="n">
        <x:f>0</x:f>
        <x:v>0</x:v>
      </x:c>
      <x:c r="R245" t="n">
        <x:f>0</x:f>
        <x:v>0</x:v>
      </x:c>
      <x:c r="S245" t="n">
        <x:f>0</x:f>
        <x:v>0</x:v>
      </x:c>
      <x:c r="T245" t="n">
        <x:f>S245*(1+($BG245+('Assumptions'!$D$12-$BG245)*(6-5)/5))</x:f>
        <x:v>0</x:v>
      </x:c>
      <x:c r="U245" t="n">
        <x:f>T245*(1+($BG245+('Assumptions'!$D$12-$BG245)*(7-5)/5))</x:f>
        <x:v>0</x:v>
      </x:c>
      <x:c r="V245" t="n">
        <x:f>U245*(1+($BG245+('Assumptions'!$D$12-$BG245)*(8-5)/5))</x:f>
        <x:v>0</x:v>
      </x:c>
      <x:c r="W245" t="n">
        <x:f>V245*(1+($BG245+('Assumptions'!$D$12-$BG245)*(9-5)/5))</x:f>
        <x:v>0</x:v>
      </x:c>
      <x:c r="X245" t="n">
        <x:f>W245*(1+($BG245+('Assumptions'!$D$12-$BG245)*(10-5)/5))</x:f>
        <x:v>0</x:v>
      </x:c>
      <x:c r="Y245" t="n">
        <x:f>E245*'APPF Model'!$B$62+O245*'APPF Model'!$B$63+'APPF Model'!$B$73+'APPF Model'!$B$74</x:f>
        <x:v>368.01599999999996</x:v>
      </x:c>
      <x:c r="Z245" t="n">
        <x:f>F245*'APPF Model'!$C$62+P245*'APPF Model'!$C$63+'APPF Model'!$C$73+'APPF Model'!$C$74</x:f>
        <x:v>631.9104000000001</x:v>
      </x:c>
      <x:c r="AA245" t="n">
        <x:f>G245*'APPF Model'!$D$62+Q245*'APPF Model'!$D$63+'APPF Model'!$D$73+'APPF Model'!$D$74</x:f>
        <x:v>1057.0137600000003</x:v>
      </x:c>
      <x:c r="AB245" t="n">
        <x:f>H245*'APPF Model'!$E$62+R245*'APPF Model'!$E$63+'APPF Model'!$E$73+'APPF Model'!$E$74</x:f>
        <x:v>1764.7534080000007</x:v>
      </x:c>
      <x:c r="AC245" t="n">
        <x:f>I245*'APPF Model'!$F$62+S245*'APPF Model'!$F$63+'APPF Model'!$F$73+'APPF Model'!$F$74</x:f>
        <x:v>2882.4305664000017</x:v>
      </x:c>
      <x:c r="AD245" t="n">
        <x:f>AX245*$AC245/$AW245</x:f>
        <x:v>4283.291821670403</x:v>
      </x:c>
      <x:c r="AE245" t="n">
        <x:f>AY245*$AC245/$AW245</x:f>
        <x:v>5876.676379331794</x:v>
      </x:c>
      <x:c r="AF245" t="n">
        <x:f>AZ245*$AC245/$AW245</x:f>
        <x:v>7392.858885199397</x:v>
      </x:c>
      <x:c r="AG245" t="n">
        <x:f>BA245*$AC245/$AW245</x:f>
        <x:v>8457.430564668111</x:v>
      </x:c>
      <x:c r="AH245" t="n">
        <x:f>BB245*$AC245/$AW245</x:f>
        <x:v>8711.153481608155</x:v>
      </x:c>
      <x:c r="AI245" t="n">
        <x:f>Y245*(1-'Assumptions'!$F$12)+AS245*'Assumptions'!$G$12-AS245*'APPF Model'!$B$65-(AS245-'Inputs'!$E$14)*'Assumptions'!$H$12-'Assumptions'!$I$12</x:f>
        <x:v>243.69839999999994</x:v>
      </x:c>
      <x:c r="AJ245" t="n">
        <x:f>Z245*(1-'Assumptions'!$F$12)+AT245*'Assumptions'!$G$12-AT245*'APPF Model'!$C$65-(AT245-AS245)*'Assumptions'!$H$12-0</x:f>
        <x:v>422.23104</x:v>
      </x:c>
      <x:c r="AK245" t="n">
        <x:f>AA245*(1-'Assumptions'!$F$12)+AU245*'Assumptions'!$G$12-AU245*'APPF Model'!$D$65-(AU245-AT245)*'Assumptions'!$H$12-0</x:f>
        <x:v>710.0375040000001</x:v>
      </x:c>
      <x:c r="AL245" t="n">
        <x:f>AB245*(1-'Assumptions'!$F$12)+AV245*'Assumptions'!$G$12-AV245*'APPF Model'!$E$65-(AV245-AU245)*'Assumptions'!$H$12-0</x:f>
        <x:v>1191.2085504000006</x:v>
      </x:c>
      <x:c r="AM245" t="n">
        <x:f>AC245*(1-'Assumptions'!$F$12)+AW245*'Assumptions'!$G$12-AW245*'APPF Model'!$F$65-(AW245-AV245)*'Assumptions'!$H$12-0</x:f>
        <x:v>1950.052515840001</x:v>
      </x:c>
      <x:c r="AN245" t="n">
        <x:f>AD245*(1-'Assumptions'!$F$12)+AX245*'Assumptions'!$G$12-AX245*'APPF Model'!$G$65-(AX245-AW245)*'Assumptions'!$H$12-0</x:f>
        <x:v>2931.308353290242</x:v>
      </x:c>
      <x:c r="AO245" t="n">
        <x:f>AE245*(1-'Assumptions'!$F$12)+AY245*'Assumptions'!$G$12-AY245*'APPF Model'!$H$65-(AY245-AX245)*'Assumptions'!$H$12-0</x:f>
        <x:v>4075.4035643174125</x:v>
      </x:c>
      <x:c r="AP245" t="n">
        <x:f>AF245*(1-'Assumptions'!$F$12)+AZ245*'Assumptions'!$G$12-AZ245*'APPF Model'!$I$65-(AZ245-AY245)*'Assumptions'!$H$12-0</x:f>
        <x:v>5206.57936026566</x:v>
      </x:c>
      <x:c r="AQ245" t="n">
        <x:f>AG245*(1-'Assumptions'!$F$12)+BA245*'Assumptions'!$G$12-BA245*'APPF Model'!$J$65-(BA245-AZ245)*'Assumptions'!$H$12-0</x:f>
        <x:v>6065.704928102093</x:v>
      </x:c>
      <x:c r="AR245" t="n">
        <x:f>AH245*(1-'Assumptions'!$F$12)+BB245*'Assumptions'!$G$12-BB245*'APPF Model'!$K$65-(BB245-BA245)*'Assumptions'!$H$12-0</x:f>
        <x:v>6385.27377601254</x:v>
      </x:c>
      <x:c r="AS245" t="n">
        <x:f>E245+O245</x:f>
        <x:v>1795.2</x:v>
      </x:c>
      <x:c r="AT245" t="n">
        <x:f>F245+P245</x:f>
        <x:v>2872.3200000000006</x:v>
      </x:c>
      <x:c r="AU245" t="n">
        <x:f>G245+Q245</x:f>
        <x:v>4595.712000000001</x:v>
      </x:c>
      <x:c r="AV245" t="n">
        <x:f>H245+R245</x:f>
        <x:v>7353.139200000003</x:v>
      </x:c>
      <x:c r="AW245" t="n">
        <x:f>I245+S245</x:f>
        <x:v>11765.022720000006</x:v>
      </x:c>
      <x:c r="AX245" t="n">
        <x:f>J245+T245</x:f>
        <x:v>17482.82376192001</x:v>
      </x:c>
      <x:c r="AY245" t="n">
        <x:f>K245+U245</x:f>
        <x:v>23986.43420135426</x:v>
      </x:c>
      <x:c r="AZ245" t="n">
        <x:f>L245+V245</x:f>
        <x:v>30174.93422530366</x:v>
      </x:c>
      <x:c r="BA245" t="n">
        <x:f>M245+W245</x:f>
        <x:v>34520.12475374739</x:v>
      </x:c>
      <x:c r="BB245" t="n">
        <x:f>N245+X245</x:f>
        <x:v>35555.728496359814</x:v>
      </x:c>
      <x:c r="BC245" t="n">
        <x:f>AS245/'Inputs'!$E$14-1</x:f>
        <x:v>0.6000000000000001</x:v>
      </x:c>
      <x:c r="BD245" t="n">
        <x:f>AT245/AS245-1</x:f>
        <x:v>0.6000000000000003</x:v>
      </x:c>
      <x:c r="BE245" t="n">
        <x:f>AU245/AT245-1</x:f>
        <x:v>0.6000000000000001</x:v>
      </x:c>
      <x:c r="BF245" t="n">
        <x:f>AV245/AU245-1</x:f>
        <x:v>0.6000000000000003</x:v>
      </x:c>
      <x:c r="BG245" t="n">
        <x:f>AW245/AV245-1</x:f>
        <x:v>0.6000000000000001</x:v>
      </x:c>
      <x:c r="BH245" t="n">
        <x:f>AX245/AW245-1</x:f>
        <x:v>0.4860000000000002</x:v>
      </x:c>
      <x:c r="BI245" t="n">
        <x:f>AY245/AX245-1</x:f>
        <x:v>0.3720000000000001</x:v>
      </x:c>
      <x:c r="BJ245" t="n">
        <x:f>AZ245/AY245-1</x:f>
        <x:v>0.258</x:v>
      </x:c>
      <x:c r="BK245" t="n">
        <x:f>BA245/AZ245-1</x:f>
        <x:v>0.14400000000000013</x:v>
      </x:c>
      <x:c r="BL245" t="n">
        <x:f>BB245/BA245-1</x:f>
        <x:v>0.030000000000000027</x:v>
      </x:c>
      <x:c r="BM245" t="n">
        <x:f>AH245*(1-'Assumptions'!$F$12)*(1+'Assumptions'!$D$12)*(1-'Assumptions'!$D$12/'Assumptions'!$E$12)</x:f>
        <x:v>6152.563259010102</x:v>
      </x:c>
      <x:c r="BN245" t="n">
        <x:f>SUMPRODUCT(AI245:AR245,'APPF Model'!$B$83:$K$83)+BM245/('Assumptions'!$C$12-'Assumptions'!$D$12)*'APPF Model'!$K$83</x:f>
        <x:v>48224.37902761933</x:v>
      </x:c>
      <x:c r="BO245" t="n">
        <x:f>'APPF Model'!$B$94</x:f>
        <x:v>171.685</x:v>
      </x:c>
      <x:c r="BP245" t="n">
        <x:f>'Inputs'!$E$8</x:f>
        <x:v>36</x:v>
      </x:c>
    </x:row>
    <x:row r="246">
      <x:c r="A246" t="str">
        <x:v>MOD</x:v>
      </x:c>
      <x:c r="B246" s="22" t="n">
        <x:v>0</x:v>
      </x:c>
      <x:c r="C246" s="42" t="n">
        <x:f>(BN246+BO246)/BP246</x:f>
        <x:v>62.42034836140665</x:v>
      </x:c>
      <x:c r="D246" s="22" t="n">
        <x:f>C246/'Inputs'!$F$5-1</x:f>
        <x:v>-0.6793365439155108</x:v>
      </x:c>
      <x:c r="E246" t="n">
        <x:f>'Inputs'!$F$24*(1+$B246)^1</x:f>
        <x:v>1394.4</x:v>
      </x:c>
      <x:c r="F246" t="n">
        <x:f>'Inputs'!$F$24*(1+$B246)^2</x:f>
        <x:v>1394.4</x:v>
      </x:c>
      <x:c r="G246" t="n">
        <x:f>'Inputs'!$F$24*(1+$B246)^3</x:f>
        <x:v>1394.4</x:v>
      </x:c>
      <x:c r="H246" t="n">
        <x:f>'Inputs'!$F$24*(1+$B246)^4</x:f>
        <x:v>1394.4</x:v>
      </x:c>
      <x:c r="I246" t="n">
        <x:f>'Inputs'!$F$24*(1+$B246)^5</x:f>
        <x:v>1394.4</x:v>
      </x:c>
      <x:c r="J246" t="n">
        <x:f>I246*(1+($BG246+('Assumptions'!$D$15-$BG246)*(6-5)/5))</x:f>
        <x:v>1424.6758238126365</x:v>
      </x:c>
      <x:c r="K246" t="n">
        <x:f>J246*(1+($BG246+('Assumptions'!$D$15-$BG246)*(7-5)/5))</x:f>
        <x:v>1458.560781815604</x:v>
      </x:c>
      <x:c r="L246" t="n">
        <x:f>K246*(1+($BG246+('Assumptions'!$D$15-$BG246)*(8-5)/5))</x:f>
        <x:v>1496.2736489538645</x:v>
      </x:c>
      <x:c r="M246" t="n">
        <x:f>L246*(1+($BG246+('Assumptions'!$D$15-$BG246)*(9-5)/5))</x:f>
        <x:v>1538.0617433350196</x:v>
      </x:c>
      <x:c r="N246" t="n">
        <x:f>M246*(1+($BG246+('Assumptions'!$D$15-$BG246)*(10-5)/5))</x:f>
        <x:v>1584.2035956350703</x:v>
      </x:c>
      <x:c r="O246" t="n">
        <x:f>'MOD Model'!$B$68</x:f>
        <x:v>1151.0400000000002</x:v>
      </x:c>
      <x:c r="P246" t="n">
        <x:f>'MOD Model'!$C$68</x:f>
        <x:v>1220.1024000000002</x:v>
      </x:c>
      <x:c r="Q246" t="n">
        <x:f>'MOD Model'!$D$68</x:f>
        <x:v>1281.1075200000002</x:v>
      </x:c>
      <x:c r="R246" t="n">
        <x:f>'MOD Model'!$E$68</x:f>
        <x:v>1345.1628960000003</x:v>
      </x:c>
      <x:c r="S246" t="n">
        <x:f>'MOD Model'!$F$68</x:f>
        <x:v>1398.9694118400002</x:v>
      </x:c>
      <x:c r="T246" t="n">
        <x:f>S246*(1+($BG246+('Assumptions'!$D$15-$BG246)*(6-5)/5))</x:f>
        <x:v>1429.3444487247789</x:v>
      </x:c>
      <x:c r="U246" t="n">
        <x:f>T246*(1+($BG246+('Assumptions'!$D$15-$BG246)*(7-5)/5))</x:f>
        <x:v>1463.3404468369665</x:v>
      </x:c>
      <x:c r="V246" t="n">
        <x:f>U246*(1+($BG246+('Assumptions'!$D$15-$BG246)*(8-5)/5))</x:f>
        <x:v>1501.176898041221</x:v>
      </x:c>
      <x:c r="W246" t="n">
        <x:f>V246*(1+($BG246+('Assumptions'!$D$15-$BG246)*(9-5)/5))</x:f>
        <x:v>1543.101930900027</x:v>
      </x:c>
      <x:c r="X246" t="n">
        <x:f>W246*(1+($BG246+('Assumptions'!$D$15-$BG246)*(10-5)/5))</x:f>
        <x:v>1589.3949888270276</x:v>
      </x:c>
      <x:c r="Y246" t="n">
        <x:f>E246*'MOD Model'!$B$62+O246*'MOD Model'!$B$63+'MOD Model'!$B$73+'MOD Model'!$B$74</x:f>
        <x:v>315.5376</x:v>
      </x:c>
      <x:c r="Z246" t="n">
        <x:f>F246*'MOD Model'!$C$62+P246*'MOD Model'!$C$63+'MOD Model'!$C$73+'MOD Model'!$C$74</x:f>
        <x:v>354.36484800000005</x:v>
      </x:c>
      <x:c r="AA246" t="n">
        <x:f>G246*'MOD Model'!$D$62+Q246*'MOD Model'!$D$63+'MOD Model'!$D$73+'MOD Model'!$D$74</x:f>
        <x:v>385.460628</x:v>
      </x:c>
      <x:c r="AB246" t="n">
        <x:f>H246*'MOD Model'!$E$62+R246*'MOD Model'!$E$63+'MOD Model'!$E$73+'MOD Model'!$E$74</x:f>
        <x:v>396.71585940000006</x:v>
      </x:c>
      <x:c r="AC246" t="n">
        <x:f>I246*'MOD Model'!$F$62+S246*'MOD Model'!$F$63+'MOD Model'!$F$73+'MOD Model'!$F$74</x:f>
        <x:v>399.195508026</x:v>
      </x:c>
      <x:c r="AD246" t="n">
        <x:f>AX246*$AC246/$AW246</x:f>
        <x:v>407.8630158198835</x:v>
      </x:c>
      <x:c r="AE246" t="n">
        <x:f>AY246*$AC246/$AW246</x:f>
        <x:v>417.56376382937447</x:v>
      </x:c>
      <x:c r="AF246" t="n">
        <x:f>AZ246*$AC246/$AW246</x:f>
        <x:v>428.3603839931546</x:v>
      </x:c>
      <x:c r="AG246" t="n">
        <x:f>BA246*$AC246/$AW246</x:f>
        <x:v>440.3236797231629</x:v>
      </x:c>
      <x:c r="AH246" t="n">
        <x:f>BB246*$AC246/$AW246</x:f>
        <x:v>453.5333901148578</x:v>
      </x:c>
      <x:c r="AI246" t="n">
        <x:f>Y246*(1-'Assumptions'!$F$15)+AS246*'Assumptions'!$G$15-AS246*'MOD Model'!$B$65-(AS246-'Inputs'!$F$14)*'Assumptions'!$H$15-'Assumptions'!$I$15</x:f>
        <x:v>131.86679999999987</x:v>
      </x:c>
      <x:c r="AJ246" t="n">
        <x:f>Z246*(1-'Assumptions'!$F$15)+AT246*'Assumptions'!$G$15-AT246*'MOD Model'!$C$65-(AT246-AS246)*'Assumptions'!$H$15-0</x:f>
        <x:v>176.979204</x:v>
      </x:c>
      <x:c r="AK246" t="n">
        <x:f>AA246*(1-'Assumptions'!$F$15)+AU246*'Assumptions'!$G$15-AU246*'MOD Model'!$D$65-(AU246-AT246)*'Assumptions'!$H$15-0</x:f>
        <x:v>213.057015</x:v>
      </x:c>
      <x:c r="AL246" t="n">
        <x:f>AB246*(1-'Assumptions'!$F$15)+AV246*'Assumptions'!$G$15-AV246*'MOD Model'!$E$65-(AV246-AU246)*'Assumptions'!$H$15-0</x:f>
        <x:v>233.13733022999998</x:v>
      </x:c>
      <x:c r="AM246" t="n">
        <x:f>AC246*(1-'Assumptions'!$F$15)+AW246*'Assumptions'!$G$15-AW246*'MOD Model'!$F$65-(AW246-AV246)*'Assumptions'!$H$15-0</x:f>
        <x:v>249.4251124659</x:v>
      </x:c>
      <x:c r="AN246" t="n">
        <x:f>AD246*(1-'Assumptions'!$F$15)+AX246*'Assumptions'!$G$15-AX246*'MOD Model'!$G$65-(AX246-AW246)*'Assumptions'!$H$15-0</x:f>
        <x:v>253.98932867223914</x:v>
      </x:c>
      <x:c r="AO246" t="n">
        <x:f>AE246*(1-'Assumptions'!$F$15)+AY246*'Assumptions'!$G$15-AY246*'MOD Model'!$H$65-(AY246-AX246)*'Assumptions'!$H$15-0</x:f>
        <x:v>259.16216102496907</x:v>
      </x:c>
      <x:c r="AP246" t="n">
        <x:f>AF246*(1-'Assumptions'!$F$15)+AZ246*'Assumptions'!$G$15-AZ246*'MOD Model'!$I$65-(AZ246-AY246)*'Assumptions'!$H$15-0</x:f>
        <x:v>264.97613203856247</x:v>
      </x:c>
      <x:c r="AQ246" t="n">
        <x:f>AG246*(1-'Assumptions'!$F$15)+BA246*'Assumptions'!$G$15-BA246*'MOD Model'!$J$65-(BA246-AZ246)*'Assumptions'!$H$15-0</x:f>
        <x:v>271.46833559285227</x:v>
      </x:c>
      <x:c r="AR246" t="n">
        <x:f>AH246*(1-'Assumptions'!$F$15)+BB246*'Assumptions'!$G$15-BB246*'MOD Model'!$K$65-(BB246-BA246)*'Assumptions'!$H$15-0</x:f>
        <x:v>278.6808272851541</x:v>
      </x:c>
      <x:c r="AS246" t="n">
        <x:f>E246+O246</x:f>
        <x:v>2545.4400000000005</x:v>
      </x:c>
      <x:c r="AT246" t="n">
        <x:f>F246+P246</x:f>
        <x:v>2614.5024000000003</x:v>
      </x:c>
      <x:c r="AU246" t="n">
        <x:f>G246+Q246</x:f>
        <x:v>2675.50752</x:v>
      </x:c>
      <x:c r="AV246" t="n">
        <x:f>H246+R246</x:f>
        <x:v>2739.5628960000004</x:v>
      </x:c>
      <x:c r="AW246" t="n">
        <x:f>I246+S246</x:f>
        <x:v>2793.3694118400003</x:v>
      </x:c>
      <x:c r="AX246" t="n">
        <x:f>J246+T246</x:f>
        <x:v>2854.0202725374156</x:v>
      </x:c>
      <x:c r="AY246" t="n">
        <x:f>K246+U246</x:f>
        <x:v>2921.9012286525704</x:v>
      </x:c>
      <x:c r="AZ246" t="n">
        <x:f>L246+V246</x:f>
        <x:v>2997.4505469950855</x:v>
      </x:c>
      <x:c r="BA246" t="n">
        <x:f>M246+W246</x:f>
        <x:v>3081.1636742350465</x:v>
      </x:c>
      <x:c r="BB246" t="n">
        <x:f>N246+X246</x:f>
        <x:v>3173.598584462098</x:v>
      </x:c>
      <x:c r="BC246" t="n">
        <x:f>AS246/'Inputs'!$F$14-1</x:f>
        <x:v>0.04287118977384474</x:v>
      </x:c>
      <x:c r="BD246" t="n">
        <x:f>AT246/AS246-1</x:f>
        <x:v>0.027131812181783843</x:v>
      </x:c>
      <x:c r="BE246" t="n">
        <x:f>AU246/AT246-1</x:f>
        <x:v>0.0233333578121786</x:v>
      </x:c>
      <x:c r="BF246" t="n">
        <x:f>AV246/AU246-1</x:f>
        <x:v>0.023941392622211843</x:v>
      </x:c>
      <x:c r="BG246" t="n">
        <x:f>AW246/AV246-1</x:f>
        <x:v>0.019640547737948433</x:v>
      </x:c>
      <x:c r="BH246" t="n">
        <x:f>AX246/AW246-1</x:f>
        <x:v>0.02171243819035884</x:v>
      </x:c>
      <x:c r="BI246" t="n">
        <x:f>AY246/AX246-1</x:f>
        <x:v>0.023784328642768804</x:v>
      </x:c>
      <x:c r="BJ246" t="n">
        <x:f>AZ246/AY246-1</x:f>
        <x:v>0.025856219095179434</x:v>
      </x:c>
      <x:c r="BK246" t="n">
        <x:f>BA246/AZ246-1</x:f>
        <x:v>0.02792810954758962</x:v>
      </x:c>
      <x:c r="BL246" t="n">
        <x:f>BB246/BA246-1</x:f>
        <x:v>0.030000000000000027</x:v>
      </x:c>
      <x:c r="BM246" t="n">
        <x:f>AH246*(1-'Assumptions'!$F$15)*(1+'Assumptions'!$D$15)*(1-'Assumptions'!$D$15/'Assumptions'!$E$15)</x:f>
        <x:v>302.5789242459466</x:v>
      </x:c>
      <x:c r="BN246" t="n">
        <x:f>SUMPRODUCT(AI246:AR246,'MOD Model'!$B$83:$K$83)+BM246/('Assumptions'!$C$15-'Assumptions'!$D$15)*'MOD Model'!$K$83</x:f>
        <x:v>2817.1988115159593</x:v>
      </x:c>
      <x:c r="BO246" t="n">
        <x:f>'MOD Model'!$B$94</x:f>
        <x:v>553.5</x:v>
      </x:c>
      <x:c r="BP246" t="n">
        <x:f>'Inputs'!$F$8</x:f>
        <x:v>54</x:v>
      </x:c>
    </x:row>
    <x:row r="247">
      <x:c r="A247" t="str">
        <x:v>MOD</x:v>
      </x:c>
      <x:c r="B247" s="22" t="n">
        <x:v>0.01</x:v>
      </x:c>
      <x:c r="C247" s="42" t="n">
        <x:f>(BN247+BO247)/BP247</x:f>
        <x:v>64.51063363399165</x:v>
      </x:c>
      <x:c r="D247" s="22" t="n">
        <x:f>C247/'Inputs'!$F$5-1</x:f>
        <x:v>-0.6685984093599525</x:v>
      </x:c>
      <x:c r="E247" t="n">
        <x:f>'Inputs'!$F$24*(1+$B247)^1</x:f>
        <x:v>1408.344</x:v>
      </x:c>
      <x:c r="F247" t="n">
        <x:f>'Inputs'!$F$24*(1+$B247)^2</x:f>
        <x:v>1422.4274400000002</x:v>
      </x:c>
      <x:c r="G247" t="n">
        <x:f>'Inputs'!$F$24*(1+$B247)^3</x:f>
        <x:v>1436.6517144</x:v>
      </x:c>
      <x:c r="H247" t="n">
        <x:f>'Inputs'!$F$24*(1+$B247)^4</x:f>
        <x:v>1451.0182315440002</x:v>
      </x:c>
      <x:c r="I247" t="n">
        <x:f>'Inputs'!$F$24*(1+$B247)^5</x:f>
        <x:v>1465.52841385944</x:v>
      </x:c>
      <x:c r="J247" t="n">
        <x:f>I247*(1+($BG247+('Assumptions'!$D$15-$BG247)*(6-5)/5))</x:f>
        <x:v>1502.9663845814982</x:v>
      </x:c>
      <x:c r="K247" t="n">
        <x:f>J247*(1+($BG247+('Assumptions'!$D$15-$BG247)*(7-5)/5))</x:f>
        <x:v>1543.0343952962194</x:v>
      </x:c>
      <x:c r="L247" t="n">
        <x:f>K247*(1+($BG247+('Assumptions'!$D$15-$BG247)*(8-5)/5))</x:f>
        <x:v>1585.8888694307436</x:v>
      </x:c>
      <x:c r="M247" t="n">
        <x:f>L247*(1+($BG247+('Assumptions'!$D$15-$BG247)*(9-5)/5))</x:f>
        <x:v>1631.6995351377714</x:v>
      </x:c>
      <x:c r="N247" t="n">
        <x:f>M247*(1+($BG247+('Assumptions'!$D$15-$BG247)*(10-5)/5))</x:f>
        <x:v>1680.6505211919045</x:v>
      </x:c>
      <x:c r="O247" t="n">
        <x:f>'MOD Model'!$B$68</x:f>
        <x:v>1151.0400000000002</x:v>
      </x:c>
      <x:c r="P247" t="n">
        <x:f>'MOD Model'!$C$68</x:f>
        <x:v>1220.1024000000002</x:v>
      </x:c>
      <x:c r="Q247" t="n">
        <x:f>'MOD Model'!$D$68</x:f>
        <x:v>1281.1075200000002</x:v>
      </x:c>
      <x:c r="R247" t="n">
        <x:f>'MOD Model'!$E$68</x:f>
        <x:v>1345.1628960000003</x:v>
      </x:c>
      <x:c r="S247" t="n">
        <x:f>'MOD Model'!$F$68</x:f>
        <x:v>1398.9694118400002</x:v>
      </x:c>
      <x:c r="T247" t="n">
        <x:f>S247*(1+($BG247+('Assumptions'!$D$15-$BG247)*(6-5)/5))</x:f>
        <x:v>1434.7070852868042</x:v>
      </x:c>
      <x:c r="U247" t="n">
        <x:f>T247*(1+($BG247+('Assumptions'!$D$15-$BG247)*(7-5)/5))</x:f>
        <x:v>1472.9553518185703</x:v>
      </x:c>
      <x:c r="V247" t="n">
        <x:f>U247*(1+($BG247+('Assumptions'!$D$15-$BG247)*(8-5)/5))</x:f>
        <x:v>1513.8635306759186</x:v>
      </x:c>
      <x:c r="W247" t="n">
        <x:f>V247*(1+($BG247+('Assumptions'!$D$15-$BG247)*(9-5)/5))</x:f>
        <x:v>1557.5936415724968</x:v>
      </x:c>
      <x:c r="X247" t="n">
        <x:f>W247*(1+($BG247+('Assumptions'!$D$15-$BG247)*(10-5)/5))</x:f>
        <x:v>1604.3214508196718</x:v>
      </x:c>
      <x:c r="Y247" t="n">
        <x:f>E247*'MOD Model'!$B$62+O247*'MOD Model'!$B$63+'MOD Model'!$B$73+'MOD Model'!$B$74</x:f>
        <x:v>318.04752</x:v>
      </x:c>
      <x:c r="Z247" t="n">
        <x:f>F247*'MOD Model'!$C$62+P247*'MOD Model'!$C$63+'MOD Model'!$C$73+'MOD Model'!$C$74</x:f>
        <x:v>359.97033600000003</x:v>
      </x:c>
      <x:c r="AA247" t="n">
        <x:f>G247*'MOD Model'!$D$62+Q247*'MOD Model'!$D$63+'MOD Model'!$D$73+'MOD Model'!$D$74</x:f>
        <x:v>394.54474659600004</x:v>
      </x:c>
      <x:c r="AB247" t="n">
        <x:f>H247*'MOD Model'!$E$62+R247*'MOD Model'!$E$63+'MOD Model'!$E$73+'MOD Model'!$E$74</x:f>
        <x:v>409.1718703396801</x:v>
      </x:c>
      <x:c r="AC247" t="n">
        <x:f>I247*'MOD Model'!$F$62+S247*'MOD Model'!$F$63+'MOD Model'!$F$73+'MOD Model'!$F$74</x:f>
        <x:v>414.8437590750768</x:v>
      </x:c>
      <x:c r="AD247" t="n">
        <x:f>AX247*$AC247/$AW247</x:f>
        <x:v>425.4412393829345</x:v>
      </x:c>
      <x:c r="AE247" t="n">
        <x:f>AY247*$AC247/$AW247</x:f>
        <x:v>436.7831990654368</x:v>
      </x:c>
      <x:c r="AF247" t="n">
        <x:f>AZ247*$AC247/$AW247</x:f>
        <x:v>448.91391654250975</x:v>
      </x:c>
      <x:c r="AG247" t="n">
        <x:f>BA247*$AC247/$AW247</x:f>
        <x:v>461.881436372158</x:v>
      </x:c>
      <x:c r="AH247" t="n">
        <x:f>BB247*$AC247/$AW247</x:f>
        <x:v>475.7378794633227</x:v>
      </x:c>
      <x:c r="AI247" t="n">
        <x:f>Y247*(1-'Assumptions'!$F$15)+AS247*'Assumptions'!$G$15-AS247*'MOD Model'!$B$65-(AS247-'Inputs'!$F$14)*'Assumptions'!$H$15-'Assumptions'!$I$15</x:f>
        <x:v>131.16960000000003</x:v>
      </x:c>
      <x:c r="AJ247" t="n">
        <x:f>Z247*(1-'Assumptions'!$F$15)+AT247*'Assumptions'!$G$15-AT247*'MOD Model'!$C$65-(AT247-AS247)*'Assumptions'!$H$15-0</x:f>
        <x:v>178.22998080000002</x:v>
      </x:c>
      <x:c r="AK247" t="n">
        <x:f>AA247*(1-'Assumptions'!$F$15)+AU247*'Assumptions'!$G$15-AU247*'MOD Model'!$D$65-(AU247-AT247)*'Assumptions'!$H$15-0</x:f>
        <x:v>216.68016992699995</x:v>
      </x:c>
      <x:c r="AL247" t="n">
        <x:f>AB247*(1-'Assumptions'!$F$15)+AV247*'Assumptions'!$G$15-AV247*'MOD Model'!$E$65-(AV247-AU247)*'Assumptions'!$H$15-0</x:f>
        <x:v>239.19199623228008</x:v>
      </x:c>
      <x:c r="AM247" t="n">
        <x:f>AC247*(1-'Assumptions'!$F$15)+AW247*'Assumptions'!$G$15-AW247*'MOD Model'!$F$65-(AW247-AV247)*'Assumptions'!$H$15-0</x:f>
        <x:v>257.9178471975</x:v>
      </x:c>
      <x:c r="AN247" t="n">
        <x:f>AD247*(1-'Assumptions'!$F$15)+AX247*'Assumptions'!$G$15-AX247*'MOD Model'!$G$65-(AX247-AW247)*'Assumptions'!$H$15-0</x:f>
        <x:v>264.039480863847</x:v>
      </x:c>
      <x:c r="AO247" t="n">
        <x:f>AE247*(1-'Assumptions'!$F$15)+AY247*'Assumptions'!$G$15-AY247*'MOD Model'!$H$65-(AY247-AX247)*'Assumptions'!$H$15-0</x:f>
        <x:v>270.6001115053826</x:v>
      </x:c>
      <x:c r="AP247" t="n">
        <x:f>AF247*(1-'Assumptions'!$F$15)+AZ247*'Assumptions'!$G$15-AZ247*'MOD Model'!$I$65-(AZ247-AY247)*'Assumptions'!$H$15-0</x:f>
        <x:v>277.62475345650154</x:v>
      </x:c>
      <x:c r="AQ247" t="n">
        <x:f>AG247*(1-'Assumptions'!$F$15)+BA247*'Assumptions'!$G$15-BA247*'MOD Model'!$J$65-(BA247-AZ247)*'Assumptions'!$H$15-0</x:f>
        <x:v>285.1405631379236</x:v>
      </x:c>
      <x:c r="AR247" t="n">
        <x:f>AH247*(1-'Assumptions'!$F$15)+BB247*'Assumptions'!$G$15-BB247*'MOD Model'!$K$65-(BB247-BA247)*'Assumptions'!$H$15-0</x:f>
        <x:v>293.1770107221222</x:v>
      </x:c>
      <x:c r="AS247" t="n">
        <x:f>E247+O247</x:f>
        <x:v>2559.384</x:v>
      </x:c>
      <x:c r="AT247" t="n">
        <x:f>F247+P247</x:f>
        <x:v>2642.52984</x:v>
      </x:c>
      <x:c r="AU247" t="n">
        <x:f>G247+Q247</x:f>
        <x:v>2717.7592344000004</x:v>
      </x:c>
      <x:c r="AV247" t="n">
        <x:f>H247+R247</x:f>
        <x:v>2796.1811275440004</x:v>
      </x:c>
      <x:c r="AW247" t="n">
        <x:f>I247+S247</x:f>
        <x:v>2864.49782569944</x:v>
      </x:c>
      <x:c r="AX247" t="n">
        <x:f>J247+T247</x:f>
        <x:v>2937.673469868302</x:v>
      </x:c>
      <x:c r="AY247" t="n">
        <x:f>K247+U247</x:f>
        <x:v>3015.9897471147897</x:v>
      </x:c>
      <x:c r="AZ247" t="n">
        <x:f>L247+V247</x:f>
        <x:v>3099.752400106662</x:v>
      </x:c>
      <x:c r="BA247" t="n">
        <x:f>M247+W247</x:f>
        <x:v>3189.293176710268</x:v>
      </x:c>
      <x:c r="BB247" t="n">
        <x:f>N247+X247</x:f>
        <x:v>3284.9719720115763</x:v>
      </x:c>
      <x:c r="BC247" t="n">
        <x:f>AS247/'Inputs'!$F$14-1</x:f>
        <x:v>0.04858407079646021</x:v>
      </x:c>
      <x:c r="BD247" t="n">
        <x:f>AT247/AS247-1</x:f>
        <x:v>0.03248666085276786</x:v>
      </x:c>
      <x:c r="BE247" t="n">
        <x:f>AU247/AT247-1</x:f>
        <x:v>0.028468701946616548</x:v>
      </x:c>
      <x:c r="BF247" t="n">
        <x:f>AV247/AU247-1</x:f>
        <x:v>0.02885534971287229</x:v>
      </x:c>
      <x:c r="BG247" t="n">
        <x:f>AW247/AV247-1</x:f>
        <x:v>0.024432143355264335</x:v>
      </x:c>
      <x:c r="BH247" t="n">
        <x:f>AX247/AW247-1</x:f>
        <x:v>0.025545714684211518</x:v>
      </x:c>
      <x:c r="BI247" t="n">
        <x:f>AY247/AX247-1</x:f>
        <x:v>0.0266592860131587</x:v>
      </x:c>
      <x:c r="BJ247" t="n">
        <x:f>AZ247/AY247-1</x:f>
        <x:v>0.02777285734210566</x:v>
      </x:c>
      <x:c r="BK247" t="n">
        <x:f>BA247/AZ247-1</x:f>
        <x:v>0.028886428671052844</x:v>
      </x:c>
      <x:c r="BL247" t="n">
        <x:f>BB247/BA247-1</x:f>
        <x:v>0.030000000000000027</x:v>
      </x:c>
      <x:c r="BM247" t="n">
        <x:f>AH247*(1-'Assumptions'!$F$15)*(1+'Assumptions'!$D$15)*(1-'Assumptions'!$D$15/'Assumptions'!$E$15)</x:f>
        <x:v>317.3928511737691</x:v>
      </x:c>
      <x:c r="BN247" t="n">
        <x:f>SUMPRODUCT(AI247:AR247,'MOD Model'!$B$83:$K$83)+BM247/('Assumptions'!$C$15-'Assumptions'!$D$15)*'MOD Model'!$K$83</x:f>
        <x:v>2930.074216235549</x:v>
      </x:c>
      <x:c r="BO247" t="n">
        <x:f>'MOD Model'!$B$94</x:f>
        <x:v>553.5</x:v>
      </x:c>
      <x:c r="BP247" t="n">
        <x:f>'Inputs'!$F$8</x:f>
        <x:v>54</x:v>
      </x:c>
    </x:row>
    <x:row r="248">
      <x:c r="A248" t="str">
        <x:v>MOD</x:v>
      </x:c>
      <x:c r="B248" s="22" t="n">
        <x:v>0.02</x:v>
      </x:c>
      <x:c r="C248" s="42" t="n">
        <x:f>(BN248+BO248)/BP248</x:f>
        <x:v>66.71021985613915</x:v>
      </x:c>
      <x:c r="D248" s="22" t="n">
        <x:f>C248/'Inputs'!$F$5-1</x:f>
        <x:v>-0.6572987780944255</x:v>
      </x:c>
      <x:c r="E248" t="n">
        <x:f>'Inputs'!$F$24*(1+$B248)^1</x:f>
        <x:v>1422.288</x:v>
      </x:c>
      <x:c r="F248" t="n">
        <x:f>'Inputs'!$F$24*(1+$B248)^2</x:f>
        <x:v>1450.73376</x:v>
      </x:c>
      <x:c r="G248" t="n">
        <x:f>'Inputs'!$F$24*(1+$B248)^3</x:f>
        <x:v>1479.7484352</x:v>
      </x:c>
      <x:c r="H248" t="n">
        <x:f>'Inputs'!$F$24*(1+$B248)^4</x:f>
        <x:v>1509.343403904</x:v>
      </x:c>
      <x:c r="I248" t="n">
        <x:f>'Inputs'!$F$24*(1+$B248)^5</x:f>
        <x:v>1539.5302719820802</x:v>
      </x:c>
      <x:c r="J248" t="n">
        <x:f>I248*(1+($BG248+('Assumptions'!$D$15-$BG248)*(6-5)/5))</x:f>
        <x:v>1585.0077960346418</x:v>
      </x:c>
      <x:c r="K248" t="n">
        <x:f>J248*(1+($BG248+('Assumptions'!$D$15-$BG248)*(7-5)/5))</x:f>
        <x:v>1632.0110476546993</x:v>
      </x:c>
      <x:c r="L248" t="n">
        <x:f>K248*(1+($BG248+('Assumptions'!$D$15-$BG248)*(8-5)/5))</x:f>
        <x:v>1680.5959104399476</x:v>
      </x:c>
      <x:c r="M248" t="n">
        <x:f>L248*(1+($BG248+('Assumptions'!$D$15-$BG248)*(9-5)/5))</x:f>
        <x:v>1730.8204645923831</x:v>
      </x:c>
      <x:c r="N248" t="n">
        <x:f>M248*(1+($BG248+('Assumptions'!$D$15-$BG248)*(10-5)/5))</x:f>
        <x:v>1782.7450785301546</x:v>
      </x:c>
      <x:c r="O248" t="n">
        <x:f>'MOD Model'!$B$68</x:f>
        <x:v>1151.0400000000002</x:v>
      </x:c>
      <x:c r="P248" t="n">
        <x:f>'MOD Model'!$C$68</x:f>
        <x:v>1220.1024000000002</x:v>
      </x:c>
      <x:c r="Q248" t="n">
        <x:f>'MOD Model'!$D$68</x:f>
        <x:v>1281.1075200000002</x:v>
      </x:c>
      <x:c r="R248" t="n">
        <x:f>'MOD Model'!$E$68</x:f>
        <x:v>1345.1628960000003</x:v>
      </x:c>
      <x:c r="S248" t="n">
        <x:f>'MOD Model'!$F$68</x:f>
        <x:v>1398.9694118400002</x:v>
      </x:c>
      <x:c r="T248" t="n">
        <x:f>S248*(1+($BG248+('Assumptions'!$D$15-$BG248)*(6-5)/5))</x:f>
        <x:v>1440.2947863607894</x:v>
      </x:c>
      <x:c r="U248" t="n">
        <x:f>T248*(1+($BG248+('Assumptions'!$D$15-$BG248)*(7-5)/5))</x:f>
        <x:v>1483.0065877915083</x:v>
      </x:c>
      <x:c r="V248" t="n">
        <x:f>U248*(1+($BG248+('Assumptions'!$D$15-$BG248)*(8-5)/5))</x:f>
        <x:v>1527.1555974939931</x:v>
      </x:c>
      <x:c r="W248" t="n">
        <x:f>V248*(1+($BG248+('Assumptions'!$D$15-$BG248)*(9-5)/5))</x:f>
        <x:v>1572.7945928819167</x:v>
      </x:c>
      <x:c r="X248" t="n">
        <x:f>W248*(1+($BG248+('Assumptions'!$D$15-$BG248)*(10-5)/5))</x:f>
        <x:v>1619.9784306683744</x:v>
      </x:c>
      <x:c r="Y248" t="n">
        <x:f>E248*'MOD Model'!$B$62+O248*'MOD Model'!$B$63+'MOD Model'!$B$73+'MOD Model'!$B$74</x:f>
        <x:v>320.55744000000004</x:v>
      </x:c>
      <x:c r="Z248" t="n">
        <x:f>F248*'MOD Model'!$C$62+P248*'MOD Model'!$C$63+'MOD Model'!$C$73+'MOD Model'!$C$74</x:f>
        <x:v>365.63160000000005</x:v>
      </x:c>
      <x:c r="AA248" t="n">
        <x:f>G248*'MOD Model'!$D$62+Q248*'MOD Model'!$D$63+'MOD Model'!$D$73+'MOD Model'!$D$74</x:f>
        <x:v>403.810541568</x:v>
      </x:c>
      <x:c r="AB248" t="n">
        <x:f>H248*'MOD Model'!$E$62+R248*'MOD Model'!$E$63+'MOD Model'!$E$73+'MOD Model'!$E$74</x:f>
        <x:v>422.00340825888003</x:v>
      </x:c>
      <x:c r="AC248" t="n">
        <x:f>I248*'MOD Model'!$F$62+S248*'MOD Model'!$F$63+'MOD Model'!$F$73+'MOD Model'!$F$74</x:f>
        <x:v>431.1241678620576</x:v>
      </x:c>
      <x:c r="AD248" t="n">
        <x:f>AX248*$AC248/$AW248</x:f>
        <x:v>443.85951972256044</x:v>
      </x:c>
      <x:c r="AE248" t="n">
        <x:f>AY248*$AC248/$AW248</x:f>
        <x:v>457.0221304943634</x:v>
      </x:c>
      <x:c r="AF248" t="n">
        <x:f>AZ248*$AC248/$AW248</x:f>
        <x:v>470.62764960638145</x:v>
      </x:c>
      <x:c r="AG248" t="n">
        <x:f>BA248*$AC248/$AW248</x:f>
        <x:v>484.6923416161944</x:v>
      </x:c>
      <x:c r="AH248" t="n">
        <x:f>BB248*$AC248/$AW248</x:f>
        <x:v>499.2331118646803</x:v>
      </x:c>
      <x:c r="AI248" t="n">
        <x:f>Y248*(1-'Assumptions'!$F$15)+AS248*'Assumptions'!$G$15-AS248*'MOD Model'!$B$65-(AS248-'Inputs'!$F$14)*'Assumptions'!$H$15-'Assumptions'!$I$15</x:f>
        <x:v>130.47239999999996</x:v>
      </x:c>
      <x:c r="AJ248" t="n">
        <x:f>Z248*(1-'Assumptions'!$F$15)+AT248*'Assumptions'!$G$15-AT248*'MOD Model'!$C$65-(AT248-AS248)*'Assumptions'!$H$15-0</x:f>
        <x:v>179.47239120000003</x:v>
      </x:c>
      <x:c r="AK248" t="n">
        <x:f>AA248*(1-'Assumptions'!$F$15)+AU248*'Assumptions'!$G$15-AU248*'MOD Model'!$D$65-(AU248-AT248)*'Assumptions'!$H$15-0</x:f>
        <x:v>220.3335380160001</x:v>
      </x:c>
      <x:c r="AL248" t="n">
        <x:f>AB248*(1-'Assumptions'!$F$15)+AV248*'Assumptions'!$G$15-AV248*'MOD Model'!$E$65-(AV248-AU248)*'Assumptions'!$H$15-0</x:f>
        <x:v>245.36487849047998</x:v>
      </x:c>
      <x:c r="AM248" t="n">
        <x:f>AC248*(1-'Assumptions'!$F$15)+AW248*'Assumptions'!$G$15-AW248*'MOD Model'!$F$65-(AW248-AV248)*'Assumptions'!$H$15-0</x:f>
        <x:v>266.6666230514999</x:v>
      </x:c>
      <x:c r="AN248" t="n">
        <x:f>AD248*(1-'Assumptions'!$F$15)+AX248*'Assumptions'!$G$15-AX248*'MOD Model'!$G$65-(AX248-AW248)*'Assumptions'!$H$15-0</x:f>
        <x:v>274.4946662699863</x:v>
      </x:c>
      <x:c r="AO248" t="n">
        <x:f>AE248*(1-'Assumptions'!$F$15)+AY248*'Assumptions'!$G$15-AY248*'MOD Model'!$H$65-(AY248-AX248)*'Assumptions'!$H$15-0</x:f>
        <x:v>282.58407538146304</x:v>
      </x:c>
      <x:c r="AP248" t="n">
        <x:f>AF248*(1-'Assumptions'!$F$15)+AZ248*'Assumptions'!$G$15-AZ248*'MOD Model'!$I$65-(AZ248-AY248)*'Assumptions'!$H$15-0</x:f>
        <x:v>290.94438371261685</x:v>
      </x:c>
      <x:c r="AQ248" t="n">
        <x:f>AG248*(1-'Assumptions'!$F$15)+BA248*'Assumptions'!$G$15-BA248*'MOD Model'!$J$65-(BA248-AZ248)*'Assumptions'!$H$15-0</x:f>
        <x:v>299.5854979189775</x:v>
      </x:c>
      <x:c r="AR248" t="n">
        <x:f>AH248*(1-'Assumptions'!$F$15)+BB248*'Assumptions'!$G$15-BB248*'MOD Model'!$K$65-(BB248-BA248)*'Assumptions'!$H$15-0</x:f>
        <x:v>308.5177135018979</x:v>
      </x:c>
      <x:c r="AS248" t="n">
        <x:f>E248+O248</x:f>
        <x:v>2573.3280000000004</x:v>
      </x:c>
      <x:c r="AT248" t="n">
        <x:f>F248+P248</x:f>
        <x:v>2670.8361600000003</x:v>
      </x:c>
      <x:c r="AU248" t="n">
        <x:f>G248+Q248</x:f>
        <x:v>2760.8559552</x:v>
      </x:c>
      <x:c r="AV248" t="n">
        <x:f>H248+R248</x:f>
        <x:v>2854.506299904</x:v>
      </x:c>
      <x:c r="AW248" t="n">
        <x:f>I248+S248</x:f>
        <x:v>2938.4996838220804</x:v>
      </x:c>
      <x:c r="AX248" t="n">
        <x:f>J248+T248</x:f>
        <x:v>3025.3025823954313</x:v>
      </x:c>
      <x:c r="AY248" t="n">
        <x:f>K248+U248</x:f>
        <x:v>3115.0176354462074</x:v>
      </x:c>
      <x:c r="AZ248" t="n">
        <x:f>L248+V248</x:f>
        <x:v>3207.751507933941</x:v>
      </x:c>
      <x:c r="BA248" t="n">
        <x:f>M248+W248</x:f>
        <x:v>3303.6150574742996</x:v>
      </x:c>
      <x:c r="BB248" t="n">
        <x:f>N248+X248</x:f>
        <x:v>3402.723509198529</x:v>
      </x:c>
      <x:c r="BC248" t="n">
        <x:f>AS248/'Inputs'!$F$14-1</x:f>
        <x:v>0.0542969518190759</x:v>
      </x:c>
      <x:c r="BD248" t="n">
        <x:f>AT248/AS248-1</x:f>
        <x:v>0.037891850553058104</x:v>
      </x:c>
      <x:c r="BE248" t="n">
        <x:f>AU248/AT248-1</x:f>
        <x:v>0.03370472384198964</x:v>
      </x:c>
      <x:c r="BF248" t="n">
        <x:f>AV248/AU248-1</x:f>
        <x:v>0.03392076451059034</x:v>
      </x:c>
      <x:c r="BG248" t="n">
        <x:f>AW248/AV248-1</x:f>
        <x:v>0.029424837465205522</x:v>
      </x:c>
      <x:c r="BH248" t="n">
        <x:f>AX248/AW248-1</x:f>
        <x:v>0.029539869972164512</x:v>
      </x:c>
      <x:c r="BI248" t="n">
        <x:f>AY248/AX248-1</x:f>
        <x:v>0.02965490247912328</x:v>
      </x:c>
      <x:c r="BJ248" t="n">
        <x:f>AZ248/AY248-1</x:f>
        <x:v>0.02976993498608227</x:v>
      </x:c>
      <x:c r="BK248" t="n">
        <x:f>BA248/AZ248-1</x:f>
        <x:v>0.029884967493040815</x:v>
      </x:c>
      <x:c r="BL248" t="n">
        <x:f>BB248/BA248-1</x:f>
        <x:v>0.030000000000000027</x:v>
      </x:c>
      <x:c r="BM248" t="n">
        <x:f>AH248*(1-'Assumptions'!$F$15)*(1+'Assumptions'!$D$15)*(1-'Assumptions'!$D$15/'Assumptions'!$E$15)</x:f>
        <x:v>333.06790906335664</x:v>
      </x:c>
      <x:c r="BN248" t="n">
        <x:f>SUMPRODUCT(AI248:AR248,'MOD Model'!$B$83:$K$83)+BM248/('Assumptions'!$C$15-'Assumptions'!$D$15)*'MOD Model'!$K$83</x:f>
        <x:v>3048.851872231514</x:v>
      </x:c>
      <x:c r="BO248" t="n">
        <x:f>'MOD Model'!$B$94</x:f>
        <x:v>553.5</x:v>
      </x:c>
      <x:c r="BP248" t="n">
        <x:f>'Inputs'!$F$8</x:f>
        <x:v>54</x:v>
      </x:c>
    </x:row>
    <x:row r="249">
      <x:c r="A249" t="str">
        <x:v>MOD</x:v>
      </x:c>
      <x:c r="B249" s="22" t="n">
        <x:v>0.03</x:v>
      </x:c>
      <x:c r="C249" s="42" t="n">
        <x:f>(BN249+BO249)/BP249</x:f>
        <x:v>69.02465316658605</x:v>
      </x:c>
      <x:c r="D249" s="22" t="n">
        <x:f>C249/'Inputs'!$F$5-1</x:f>
        <x:v>-0.6454091587044793</x:v>
      </x:c>
      <x:c r="E249" t="n">
        <x:f>'Inputs'!$F$24*(1+$B249)^1</x:f>
        <x:v>1436.2320000000002</x:v>
      </x:c>
      <x:c r="F249" t="n">
        <x:f>'Inputs'!$F$24*(1+$B249)^2</x:f>
        <x:v>1479.31896</x:v>
      </x:c>
      <x:c r="G249" t="n">
        <x:f>'Inputs'!$F$24*(1+$B249)^3</x:f>
        <x:v>1523.6985288</x:v>
      </x:c>
      <x:c r="H249" t="n">
        <x:f>'Inputs'!$F$24*(1+$B249)^4</x:f>
        <x:v>1569.409484664</x:v>
      </x:c>
      <x:c r="I249" t="n">
        <x:f>'Inputs'!$F$24*(1+$B249)^5</x:f>
        <x:v>1616.4917692039198</x:v>
      </x:c>
      <x:c r="J249" t="n">
        <x:f>I249*(1+($BG249+('Assumptions'!$D$15-$BG249)*(6-5)/5))</x:f>
        <x:v>1670.9549992039206</x:v>
      </x:c>
      <x:c r="K249" t="n">
        <x:f>J249*(1+($BG249+('Assumptions'!$D$15-$BG249)*(7-5)/5))</x:f>
        <x:v>1725.7108253944155</x:v>
      </x:c>
      <x:c r="L249" t="n">
        <x:f>K249*(1+($BG249+('Assumptions'!$D$15-$BG249)*(8-5)/5))</x:f>
        <x:v>1780.6680201479442</x:v>
      </x:c>
      <x:c r="M249" t="n">
        <x:f>L249*(1+($BG249+('Assumptions'!$D$15-$BG249)*(9-5)/5))</x:f>
        <x:v>1835.7317245479276</x:v>
      </x:c>
      <x:c r="N249" t="n">
        <x:f>M249*(1+($BG249+('Assumptions'!$D$15-$BG249)*(10-5)/5))</x:f>
        <x:v>1890.8036762843653</x:v>
      </x:c>
      <x:c r="O249" t="n">
        <x:f>'MOD Model'!$B$68</x:f>
        <x:v>1151.0400000000002</x:v>
      </x:c>
      <x:c r="P249" t="n">
        <x:f>'MOD Model'!$C$68</x:f>
        <x:v>1220.1024000000002</x:v>
      </x:c>
      <x:c r="Q249" t="n">
        <x:f>'MOD Model'!$D$68</x:f>
        <x:v>1281.1075200000002</x:v>
      </x:c>
      <x:c r="R249" t="n">
        <x:f>'MOD Model'!$E$68</x:f>
        <x:v>1345.1628960000003</x:v>
      </x:c>
      <x:c r="S249" t="n">
        <x:f>'MOD Model'!$F$68</x:f>
        <x:v>1398.9694118400002</x:v>
      </x:c>
      <x:c r="T249" t="n">
        <x:f>S249*(1+($BG249+('Assumptions'!$D$15-$BG249)*(6-5)/5))</x:f>
        <x:v>1446.1038261881354</x:v>
      </x:c>
      <x:c r="U249" t="n">
        <x:f>T249*(1+($BG249+('Assumptions'!$D$15-$BG249)*(7-5)/5))</x:f>
        <x:v>1493.491463675615</x:v>
      </x:c>
      <x:c r="V249" t="n">
        <x:f>U249*(1+($BG249+('Assumptions'!$D$15-$BG249)*(8-5)/5))</x:f>
        <x:v>1541.053372672271</x:v>
      </x:c>
      <x:c r="W249" t="n">
        <x:f>V249*(1+($BG249+('Assumptions'!$D$15-$BG249)*(9-5)/5))</x:f>
        <x:v>1588.7074589013107</x:v>
      </x:c>
      <x:c r="X249" t="n">
        <x:f>W249*(1+($BG249+('Assumptions'!$D$15-$BG249)*(10-5)/5))</x:f>
        <x:v>1636.3686826683502</x:v>
      </x:c>
      <x:c r="Y249" t="n">
        <x:f>E249*'MOD Model'!$B$62+O249*'MOD Model'!$B$63+'MOD Model'!$B$73+'MOD Model'!$B$74</x:f>
        <x:v>323.06736</x:v>
      </x:c>
      <x:c r="Z249" t="n">
        <x:f>F249*'MOD Model'!$C$62+P249*'MOD Model'!$C$63+'MOD Model'!$C$73+'MOD Model'!$C$74</x:f>
        <x:v>371.34864000000005</x:v>
      </x:c>
      <x:c r="AA249" t="n">
        <x:f>G249*'MOD Model'!$D$62+Q249*'MOD Model'!$D$63+'MOD Model'!$D$73+'MOD Model'!$D$74</x:f>
        <x:v>413.259811692</x:v>
      </x:c>
      <x:c r="AB249" t="n">
        <x:f>H249*'MOD Model'!$E$62+R249*'MOD Model'!$E$63+'MOD Model'!$E$73+'MOD Model'!$E$74</x:f>
        <x:v>435.21794602608</x:v>
      </x:c>
      <x:c r="AC249" t="n">
        <x:f>I249*'MOD Model'!$F$62+S249*'MOD Model'!$F$63+'MOD Model'!$F$73+'MOD Model'!$F$74</x:f>
        <x:v>448.05569725086235</x:v>
      </x:c>
      <x:c r="AD249" t="n">
        <x:f>AX249*$AC249/$AW249</x:f>
        <x:v>463.1516977112928</x:v>
      </x:c>
      <x:c r="AE249" t="n">
        <x:f>AY249*$AC249/$AW249</x:f>
        <x:v>478.3287993518483</x:v>
      </x:c>
      <x:c r="AF249" t="n">
        <x:f>AZ249*$AC249/$AW249</x:f>
        <x:v>493.5617158957849</x:v>
      </x:c>
      <x:c r="AG249" t="n">
        <x:f>BA249*$AC249/$AW249</x:f>
        <x:v>508.8241545534837</x:v>
      </x:c>
      <x:c r="AH249" t="n">
        <x:f>BB249*$AC249/$AW249</x:f>
        <x:v>524.0888791900883</x:v>
      </x:c>
      <x:c r="AI249" t="n">
        <x:f>Y249*(1-'Assumptions'!$F$15)+AS249*'Assumptions'!$G$15-AS249*'MOD Model'!$B$65-(AS249-'Inputs'!$F$14)*'Assumptions'!$H$15-'Assumptions'!$I$15</x:f>
        <x:v>129.77519999999993</x:v>
      </x:c>
      <x:c r="AJ249" t="n">
        <x:f>Z249*(1-'Assumptions'!$F$15)+AT249*'Assumptions'!$G$15-AT249*'MOD Model'!$C$65-(AT249-AS249)*'Assumptions'!$H$15-0</x:f>
        <x:v>180.70643520000004</x:v>
      </x:c>
      <x:c r="AK249" t="n">
        <x:f>AA249*(1-'Assumptions'!$F$15)+AU249*'Assumptions'!$G$15-AU249*'MOD Model'!$D$65-(AU249-AT249)*'Assumptions'!$H$15-0</x:f>
        <x:v>224.017004229</x:v>
      </x:c>
      <x:c r="AL249" t="n">
        <x:f>AB249*(1-'Assumptions'!$F$15)+AV249*'Assumptions'!$G$15-AV249*'MOD Model'!$E$65-(AV249-AU249)*'Assumptions'!$H$15-0</x:f>
        <x:v>251.65706212668</x:v>
      </x:c>
      <x:c r="AM249" t="n">
        <x:f>AC249*(1-'Assumptions'!$F$15)+AW249*'Assumptions'!$G$15-AW249*'MOD Model'!$F$65-(AW249-AV249)*'Assumptions'!$H$15-0</x:f>
        <x:v>275.6765351655</x:v>
      </x:c>
      <x:c r="AN249" t="n">
        <x:f>AD249*(1-'Assumptions'!$F$15)+AX249*'Assumptions'!$G$15-AX249*'MOD Model'!$G$65-(AX249-AW249)*'Assumptions'!$H$15-0</x:f>
        <x:v>285.3682442503683</x:v>
      </x:c>
      <x:c r="AO249" t="n">
        <x:f>AE249*(1-'Assumptions'!$F$15)+AY249*'Assumptions'!$G$15-AY249*'MOD Model'!$H$65-(AY249-AX249)*'Assumptions'!$H$15-0</x:f>
        <x:v>295.13704562613964</x:v>
      </x:c>
      <x:c r="AP249" t="n">
        <x:f>AF249*(1-'Assumptions'!$F$15)+AZ249*'Assumptions'!$G$15-AZ249*'MOD Model'!$I$65-(AZ249-AY249)*'Assumptions'!$H$15-0</x:f>
        <x:v>304.96760046700774</x:v>
      </x:c>
      <x:c r="AQ249" t="n">
        <x:f>AG249*(1-'Assumptions'!$F$15)+BA249*'Assumptions'!$G$15-BA249*'MOD Model'!$J$65-(BA249-AZ249)*'Assumptions'!$H$15-0</x:f>
        <x:v>314.84385956902076</x:v>
      </x:c>
      <x:c r="AR249" t="n">
        <x:f>AH249*(1-'Assumptions'!$F$15)+BB249*'Assumptions'!$G$15-BB249*'MOD Model'!$K$65-(BB249-BA249)*'Assumptions'!$H$15-0</x:f>
        <x:v>324.74909768275387</x:v>
      </x:c>
      <x:c r="AS249" t="n">
        <x:f>E249+O249</x:f>
        <x:v>2587.2720000000004</x:v>
      </x:c>
      <x:c r="AT249" t="n">
        <x:f>F249+P249</x:f>
        <x:v>2699.4213600000003</x:v>
      </x:c>
      <x:c r="AU249" t="n">
        <x:f>G249+Q249</x:f>
        <x:v>2804.8060488</x:v>
      </x:c>
      <x:c r="AV249" t="n">
        <x:f>H249+R249</x:f>
        <x:v>2914.5723806640003</x:v>
      </x:c>
      <x:c r="AW249" t="n">
        <x:f>I249+S249</x:f>
        <x:v>3015.46118104392</x:v>
      </x:c>
      <x:c r="AX249" t="n">
        <x:f>J249+T249</x:f>
        <x:v>3117.058825392056</x:v>
      </x:c>
      <x:c r="AY249" t="n">
        <x:f>K249+U249</x:f>
        <x:v>3219.2022890700305</x:v>
      </x:c>
      <x:c r="AZ249" t="n">
        <x:f>L249+V249</x:f>
        <x:v>3321.7213928202154</x:v>
      </x:c>
      <x:c r="BA249" t="n">
        <x:f>M249+W249</x:f>
        <x:v>3424.439183449238</x:v>
      </x:c>
      <x:c r="BB249" t="n">
        <x:f>N249+X249</x:f>
        <x:v>3527.1723589527155</x:v>
      </x:c>
      <x:c r="BC249" t="n">
        <x:f>AS249/'Inputs'!$F$14-1</x:f>
        <x:v>0.06000983284169137</x:v>
      </x:c>
      <x:c r="BD249" t="n">
        <x:f>AT249/AS249-1</x:f>
        <x:v>0.04334656734970266</x:v>
      </x:c>
      <x:c r="BE249" t="n">
        <x:f>AU249/AT249-1</x:f>
        <x:v>0.03903973287075124</x:v>
      </x:c>
      <x:c r="BF249" t="n">
        <x:f>AV249/AU249-1</x:f>
        <x:v>0.039135088114546246</x:v>
      </x:c>
      <x:c r="BG249" t="n">
        <x:f>AW249/AV249-1</x:f>
        <x:v>0.03461530104698762</x:v>
      </x:c>
      <x:c r="BH249" t="n">
        <x:f>AX249/AW249-1</x:f>
        <x:v>0.03369224083759015</x:v>
      </x:c>
      <x:c r="BI249" t="n">
        <x:f>AY249/AX249-1</x:f>
        <x:v>0.03276918062819267</x:v>
      </x:c>
      <x:c r="BJ249" t="n">
        <x:f>AZ249/AY249-1</x:f>
        <x:v>0.031846120418794976</x:v>
      </x:c>
      <x:c r="BK249" t="n">
        <x:f>BA249/AZ249-1</x:f>
        <x:v>0.03092306020939728</x:v>
      </x:c>
      <x:c r="BL249" t="n">
        <x:f>BB249/BA249-1</x:f>
        <x:v>0.030000000000000027</x:v>
      </x:c>
      <x:c r="BM249" t="n">
        <x:f>AH249*(1-'Assumptions'!$F$15)*(1+'Assumptions'!$D$15)*(1-'Assumptions'!$D$15/'Assumptions'!$E$15)</x:f>
        <x:v>349.6506601960237</x:v>
      </x:c>
      <x:c r="BN249" t="n">
        <x:f>SUMPRODUCT(AI249:AR249,'MOD Model'!$B$83:$K$83)+BM249/('Assumptions'!$C$15-'Assumptions'!$D$15)*'MOD Model'!$K$83</x:f>
        <x:v>3173.8312709956463</x:v>
      </x:c>
      <x:c r="BO249" t="n">
        <x:f>'MOD Model'!$B$94</x:f>
        <x:v>553.5</x:v>
      </x:c>
      <x:c r="BP249" t="n">
        <x:f>'Inputs'!$F$8</x:f>
        <x:v>54</x:v>
      </x:c>
    </x:row>
    <x:row r="250">
      <x:c r="A250" t="str">
        <x:v>MOD</x:v>
      </x:c>
      <x:c r="B250" s="22" t="n">
        <x:v>0.04</x:v>
      </x:c>
      <x:c r="C250" s="42" t="n">
        <x:f>(BN250+BO250)/BP250</x:f>
        <x:v>71.45973550039294</x:v>
      </x:c>
      <x:c r="D250" s="22" t="n">
        <x:f>C250/'Inputs'!$F$5-1</x:f>
        <x:v>-0.6328997457084509</x:v>
      </x:c>
      <x:c r="E250" t="n">
        <x:f>'Inputs'!$F$24*(1+$B250)^1</x:f>
        <x:v>1450.1760000000002</x:v>
      </x:c>
      <x:c r="F250" t="n">
        <x:f>'Inputs'!$F$24*(1+$B250)^2</x:f>
        <x:v>1508.1830400000003</x:v>
      </x:c>
      <x:c r="G250" t="n">
        <x:f>'Inputs'!$F$24*(1+$B250)^3</x:f>
        <x:v>1568.5103616000001</x:v>
      </x:c>
      <x:c r="H250" t="n">
        <x:f>'Inputs'!$F$24*(1+$B250)^4</x:f>
        <x:v>1631.2507760640003</x:v>
      </x:c>
      <x:c r="I250" t="n">
        <x:f>'Inputs'!$F$24*(1+$B250)^5</x:f>
        <x:v>1696.5008071065606</x:v>
      </x:c>
      <x:c r="J250" t="n">
        <x:f>I250*(1+($BG250+('Assumptions'!$D$15-$BG250)*(6-5)/5))</x:f>
        <x:v>1760.96783777661</x:v>
      </x:c>
      <x:c r="K250" t="n">
        <x:f>J250*(1+($BG250+('Assumptions'!$D$15-$BG250)*(7-5)/5))</x:f>
        <x:v>1824.362679936568</x:v>
      </x:c>
      <x:c r="L250" t="n">
        <x:f>K250*(1+($BG250+('Assumptions'!$D$15-$BG250)*(8-5)/5))</x:f>
        <x:v>1886.3910110544114</x:v>
      </x:c>
      <x:c r="M250" t="n">
        <x:f>L250*(1+($BG250+('Assumptions'!$D$15-$BG250)*(9-5)/5))</x:f>
        <x:v>1946.7555234081526</x:v>
      </x:c>
      <x:c r="N250" t="n">
        <x:f>M250*(1+($BG250+('Assumptions'!$D$15-$BG250)*(10-5)/5))</x:f>
        <x:v>2005.1581891103972</x:v>
      </x:c>
      <x:c r="O250" t="n">
        <x:f>'MOD Model'!$B$68</x:f>
        <x:v>1151.0400000000002</x:v>
      </x:c>
      <x:c r="P250" t="n">
        <x:f>'MOD Model'!$C$68</x:f>
        <x:v>1220.1024000000002</x:v>
      </x:c>
      <x:c r="Q250" t="n">
        <x:f>'MOD Model'!$D$68</x:f>
        <x:v>1281.1075200000002</x:v>
      </x:c>
      <x:c r="R250" t="n">
        <x:f>'MOD Model'!$E$68</x:f>
        <x:v>1345.1628960000003</x:v>
      </x:c>
      <x:c r="S250" t="n">
        <x:f>'MOD Model'!$F$68</x:f>
        <x:v>1398.9694118400002</x:v>
      </x:c>
      <x:c r="T250" t="n">
        <x:f>S250*(1+($BG250+('Assumptions'!$D$15-$BG250)*(6-5)/5))</x:f>
        <x:v>1452.1302494899203</x:v>
      </x:c>
      <x:c r="U250" t="n">
        <x:f>T250*(1+($BG250+('Assumptions'!$D$15-$BG250)*(7-5)/5))</x:f>
        <x:v>1504.4069384715574</x:v>
      </x:c>
      <x:c r="V250" t="n">
        <x:f>U250*(1+($BG250+('Assumptions'!$D$15-$BG250)*(8-5)/5))</x:f>
        <x:v>1555.5567743795905</x:v>
      </x:c>
      <x:c r="W250" t="n">
        <x:f>V250*(1+($BG250+('Assumptions'!$D$15-$BG250)*(9-5)/5))</x:f>
        <x:v>1605.3345911597373</x:v>
      </x:c>
      <x:c r="X250" t="n">
        <x:f>W250*(1+($BG250+('Assumptions'!$D$15-$BG250)*(10-5)/5))</x:f>
        <x:v>1653.4946288945296</x:v>
      </x:c>
      <x:c r="Y250" t="n">
        <x:f>E250*'MOD Model'!$B$62+O250*'MOD Model'!$B$63+'MOD Model'!$B$73+'MOD Model'!$B$74</x:f>
        <x:v>325.57728</x:v>
      </x:c>
      <x:c r="Z250" t="n">
        <x:f>F250*'MOD Model'!$C$62+P250*'MOD Model'!$C$63+'MOD Model'!$C$73+'MOD Model'!$C$74</x:f>
        <x:v>377.1214560000001</x:v>
      </x:c>
      <x:c r="AA250" t="n">
        <x:f>G250*'MOD Model'!$D$62+Q250*'MOD Model'!$D$63+'MOD Model'!$D$73+'MOD Model'!$D$74</x:f>
        <x:v>422.89435574400005</x:v>
      </x:c>
      <x:c r="AB250" t="n">
        <x:f>H250*'MOD Model'!$E$62+R250*'MOD Model'!$E$63+'MOD Model'!$E$73+'MOD Model'!$E$74</x:f>
        <x:v>448.82303013408017</x:v>
      </x:c>
      <x:c r="AC250" t="n">
        <x:f>I250*'MOD Model'!$F$62+S250*'MOD Model'!$F$63+'MOD Model'!$F$73+'MOD Model'!$F$74</x:f>
        <x:v>465.65768558944336</x:v>
      </x:c>
      <x:c r="AD250" t="n">
        <x:f>AX250*$AC250/$AW250</x:f>
        <x:v>483.3526776418423</x:v>
      </x:c>
      <x:c r="AE250" t="n">
        <x:f>AY250*$AC250/$AW250</x:f>
        <x:v>500.7533740369485</x:v>
      </x:c>
      <x:c r="AF250" t="n">
        <x:f>AZ250*$AC250/$AW250</x:f>
        <x:v>517.7789887542049</x:v>
      </x:c>
      <x:c r="AG250" t="n">
        <x:f>BA250*$AC250/$AW250</x:f>
        <x:v>534.3479163943394</x:v>
      </x:c>
      <x:c r="AH250" t="n">
        <x:f>BB250*$AC250/$AW250</x:f>
        <x:v>550.3783538861696</x:v>
      </x:c>
      <x:c r="AI250" t="n">
        <x:f>Y250*(1-'Assumptions'!$F$15)+AS250*'Assumptions'!$G$15-AS250*'MOD Model'!$B$65-(AS250-'Inputs'!$F$14)*'Assumptions'!$H$15-'Assumptions'!$I$15</x:f>
        <x:v>129.07799999999992</x:v>
      </x:c>
      <x:c r="AJ250" t="n">
        <x:f>Z250*(1-'Assumptions'!$F$15)+AT250*'Assumptions'!$G$15-AT250*'MOD Model'!$C$65-(AT250-AS250)*'Assumptions'!$H$15-0</x:f>
        <x:v>181.9321128</x:v>
      </x:c>
      <x:c r="AK250" t="n">
        <x:f>AA250*(1-'Assumptions'!$F$15)+AU250*'Assumptions'!$G$15-AU250*'MOD Model'!$D$65-(AU250-AT250)*'Assumptions'!$H$15-0</x:f>
        <x:v>227.73045352800008</x:v>
      </x:c>
      <x:c r="AL250" t="n">
        <x:f>AB250*(1-'Assumptions'!$F$15)+AV250*'Assumptions'!$G$15-AV250*'MOD Model'!$E$65-(AV250-AU250)*'Assumptions'!$H$15-0</x:f>
        <x:v>258.06963058968</x:v>
      </x:c>
      <x:c r="AM250" t="n">
        <x:f>AC250*(1-'Assumptions'!$F$15)+AW250*'Assumptions'!$G$15-AW250*'MOD Model'!$F$65-(AW250-AV250)*'Assumptions'!$H$15-0</x:f>
        <x:v>284.95272887550016</x:v>
      </x:c>
      <x:c r="AN250" t="n">
        <x:f>AD250*(1-'Assumptions'!$F$15)+AX250*'Assumptions'!$G$15-AX250*'MOD Model'!$G$65-(AX250-AW250)*'Assumptions'!$H$15-0</x:f>
        <x:v>296.67385667438833</x:v>
      </x:c>
      <x:c r="AO250" t="n">
        <x:f>AE250*(1-'Assumptions'!$F$15)+AY250*'Assumptions'!$G$15-AY250*'MOD Model'!$H$65-(AY250-AX250)*'Assumptions'!$H$15-0</x:f>
        <x:v>308.2827565803503</x:v>
      </x:c>
      <x:c r="AP250" t="n">
        <x:f>AF250*(1-'Assumptions'!$F$15)+AZ250*'Assumptions'!$G$15-AZ250*'MOD Model'!$I$65-(AZ250-AY250)*'Assumptions'!$H$15-0</x:f>
        <x:v>319.72829973026205</x:v>
      </x:c>
      <x:c r="AQ250" t="n">
        <x:f>AG250*(1-'Assumptions'!$F$15)+BA250*'Assumptions'!$G$15-BA250*'MOD Model'!$J$65-(BA250-AZ250)*'Assumptions'!$H$15-0</x:f>
        <x:v>330.9582362071531</x:v>
      </x:c>
      <x:c r="AR250" t="n">
        <x:f>AH250*(1-'Assumptions'!$F$15)+BB250*'Assumptions'!$G$15-BB250*'MOD Model'!$K$65-(BB250-BA250)*'Assumptions'!$H$15-0</x:f>
        <x:v>341.9195676289978</x:v>
      </x:c>
      <x:c r="AS250" t="n">
        <x:f>E250+O250</x:f>
        <x:v>2601.2160000000003</x:v>
      </x:c>
      <x:c r="AT250" t="n">
        <x:f>F250+P250</x:f>
        <x:v>2728.2854400000006</x:v>
      </x:c>
      <x:c r="AU250" t="n">
        <x:f>G250+Q250</x:f>
        <x:v>2849.6178816</x:v>
      </x:c>
      <x:c r="AV250" t="n">
        <x:f>H250+R250</x:f>
        <x:v>2976.413672064001</x:v>
      </x:c>
      <x:c r="AW250" t="n">
        <x:f>I250+S250</x:f>
        <x:v>3095.4702189465606</x:v>
      </x:c>
      <x:c r="AX250" t="n">
        <x:f>J250+T250</x:f>
        <x:v>3213.0980872665305</x:v>
      </x:c>
      <x:c r="AY250" t="n">
        <x:f>K250+U250</x:f>
        <x:v>3328.769618408125</x:v>
      </x:c>
      <x:c r="AZ250" t="n">
        <x:f>L250+V250</x:f>
        <x:v>3441.947785434002</x:v>
      </x:c>
      <x:c r="BA250" t="n">
        <x:f>M250+W250</x:f>
        <x:v>3552.09011456789</x:v>
      </x:c>
      <x:c r="BB250" t="n">
        <x:f>N250+X250</x:f>
        <x:v>3658.6528180049268</x:v>
      </x:c>
      <x:c r="BC250" t="n">
        <x:f>AS250/'Inputs'!$F$14-1</x:f>
        <x:v>0.06572271386430684</x:v>
      </x:c>
      <x:c r="BD250" t="n">
        <x:f>AT250/AS250-1</x:f>
        <x:v>0.04885001476232653</x:v>
      </x:c>
      <x:c r="BE250" t="n">
        <x:f>AU250/AT250-1</x:f>
        <x:v>0.04447204820328454</x:v>
      </x:c>
      <x:c r="BF250" t="n">
        <x:f>AV250/AU250-1</x:f>
        <x:v>0.04449571687583864</x:v>
      </x:c>
      <x:c r="BG250" t="n">
        <x:f>AW250/AV250-1</x:f>
        <x:v>0.040000000000000036</x:v>
      </x:c>
      <x:c r="BH250" t="n">
        <x:f>AX250/AW250-1</x:f>
        <x:v>0.038000000000000256</x:v>
      </x:c>
      <x:c r="BI250" t="n">
        <x:f>AY250/AX250-1</x:f>
        <x:v>0.03599999999999981</x:v>
      </x:c>
      <x:c r="BJ250" t="n">
        <x:f>AZ250/AY250-1</x:f>
        <x:v>0.03400000000000025</x:v>
      </x:c>
      <x:c r="BK250" t="n">
        <x:f>BA250/AZ250-1</x:f>
        <x:v>0.03200000000000003</x:v>
      </x:c>
      <x:c r="BL250" t="n">
        <x:f>BB250/BA250-1</x:f>
        <x:v>0.030000000000000027</x:v>
      </x:c>
      <x:c r="BM250" t="n">
        <x:f>AH250*(1-'Assumptions'!$F$15)*(1+'Assumptions'!$D$15)*(1-'Assumptions'!$D$15/'Assumptions'!$E$15)</x:f>
        <x:v>367.18992223473884</x:v>
      </x:c>
      <x:c r="BN250" t="n">
        <x:f>SUMPRODUCT(AI250:AR250,'MOD Model'!$B$83:$K$83)+BM250/('Assumptions'!$C$15-'Assumptions'!$D$15)*'MOD Model'!$K$83</x:f>
        <x:v>3305.3257170212187</x:v>
      </x:c>
      <x:c r="BO250" t="n">
        <x:f>'MOD Model'!$B$94</x:f>
        <x:v>553.5</x:v>
      </x:c>
      <x:c r="BP250" t="n">
        <x:f>'Inputs'!$F$8</x:f>
        <x:v>54</x:v>
      </x:c>
    </x:row>
    <x:row r="251">
      <x:c r="A251" t="str">
        <x:v>MOD</x:v>
      </x:c>
      <x:c r="B251" s="22" t="n">
        <x:v>0.05</x:v>
      </x:c>
      <x:c r="C251" s="42" t="n">
        <x:f>(BN251+BO251)/BP251</x:f>
        <x:v>74.02153376359857</x:v>
      </x:c>
      <x:c r="D251" s="22" t="n">
        <x:f>C251/'Inputs'!$F$5-1</x:f>
        <x:v>-0.6197393724257754</x:v>
      </x:c>
      <x:c r="E251" t="n">
        <x:f>'Inputs'!$F$24*(1+$B251)^1</x:f>
        <x:v>1464.1200000000001</x:v>
      </x:c>
      <x:c r="F251" t="n">
        <x:f>'Inputs'!$F$24*(1+$B251)^2</x:f>
        <x:v>1537.3260000000002</x:v>
      </x:c>
      <x:c r="G251" t="n">
        <x:f>'Inputs'!$F$24*(1+$B251)^3</x:f>
        <x:v>1614.1923000000004</x:v>
      </x:c>
      <x:c r="H251" t="n">
        <x:f>'Inputs'!$F$24*(1+$B251)^4</x:f>
        <x:v>1694.9019150000001</x:v>
      </x:c>
      <x:c r="I251" t="n">
        <x:f>'Inputs'!$F$24*(1+$B251)^5</x:f>
        <x:v>1779.6470107500004</x:v>
      </x:c>
      <x:c r="J251" t="n">
        <x:f>I251*(1+($BG251+('Assumptions'!$D$15-$BG251)*(6-5)/5))</x:f>
        <x:v>1855.2111308995711</x:v>
      </x:c>
      <x:c r="K251" t="n">
        <x:f>J251*(1+($BG251+('Assumptions'!$D$15-$BG251)*(7-5)/5))</x:f>
        <x:v>1928.2046537102876</x:v>
      </x:c>
      <x:c r="L251" t="n">
        <x:f>K251*(1+($BG251+('Assumptions'!$D$15-$BG251)*(8-5)/5))</x:f>
        <x:v>1998.063675209116</x:v>
      </x:c>
      <x:c r="M251" t="n">
        <x:f>L251*(1+($BG251+('Assumptions'!$D$15-$BG251)*(9-5)/5))</x:f>
        <x:v>2064.2296402844263</x:v>
      </x:c>
      <x:c r="N251" t="n">
        <x:f>M251*(1+($BG251+('Assumptions'!$D$15-$BG251)*(10-5)/5))</x:f>
        <x:v>2126.156529492959</x:v>
      </x:c>
      <x:c r="O251" t="n">
        <x:f>'MOD Model'!$B$68</x:f>
        <x:v>1151.0400000000002</x:v>
      </x:c>
      <x:c r="P251" t="n">
        <x:f>'MOD Model'!$C$68</x:f>
        <x:v>1220.1024000000002</x:v>
      </x:c>
      <x:c r="Q251" t="n">
        <x:f>'MOD Model'!$D$68</x:f>
        <x:v>1281.1075200000002</x:v>
      </x:c>
      <x:c r="R251" t="n">
        <x:f>'MOD Model'!$E$68</x:f>
        <x:v>1345.1628960000003</x:v>
      </x:c>
      <x:c r="S251" t="n">
        <x:f>'MOD Model'!$F$68</x:f>
        <x:v>1398.9694118400002</x:v>
      </x:c>
      <x:c r="T251" t="n">
        <x:f>S251*(1+($BG251+('Assumptions'!$D$15-$BG251)*(6-5)/5))</x:f>
        <x:v>1458.3698952410887</x:v>
      </x:c>
      <x:c r="U251" t="n">
        <x:f>T251*(1+($BG251+('Assumptions'!$D$15-$BG251)*(7-5)/5))</x:f>
        <x:v>1515.7496481121948</x:v>
      </x:c>
      <x:c r="V251" t="n">
        <x:f>U251*(1+($BG251+('Assumptions'!$D$15-$BG251)*(8-5)/5))</x:f>
        <x:v>1570.6653890583427</x:v>
      </x:c>
      <x:c r="W251" t="n">
        <x:f>V251*(1+($BG251+('Assumptions'!$D$15-$BG251)*(9-5)/5))</x:f>
        <x:v>1622.6780413911351</x:v>
      </x:c>
      <x:c r="X251" t="n">
        <x:f>W251*(1+($BG251+('Assumptions'!$D$15-$BG251)*(10-5)/5))</x:f>
        <x:v>1671.3583826328693</x:v>
      </x:c>
      <x:c r="Y251" t="n">
        <x:f>E251*'MOD Model'!$B$62+O251*'MOD Model'!$B$63+'MOD Model'!$B$73+'MOD Model'!$B$74</x:f>
        <x:v>328.08720000000005</x:v>
      </x:c>
      <x:c r="Z251" t="n">
        <x:f>F251*'MOD Model'!$C$62+P251*'MOD Model'!$C$63+'MOD Model'!$C$73+'MOD Model'!$C$74</x:f>
        <x:v>382.9500480000001</x:v>
      </x:c>
      <x:c r="AA251" t="n">
        <x:f>G251*'MOD Model'!$D$62+Q251*'MOD Model'!$D$63+'MOD Model'!$D$73+'MOD Model'!$D$74</x:f>
        <x:v>432.7159725000001</x:v>
      </x:c>
      <x:c r="AB251" t="n">
        <x:f>H251*'MOD Model'!$E$62+R251*'MOD Model'!$E$63+'MOD Model'!$E$73+'MOD Model'!$E$74</x:f>
        <x:v>462.82628070000004</x:v>
      </x:c>
      <x:c r="AC251" t="n">
        <x:f>I251*'MOD Model'!$F$62+S251*'MOD Model'!$F$63+'MOD Model'!$F$73+'MOD Model'!$F$74</x:f>
        <x:v>483.9498503910001</x:v>
      </x:c>
      <x:c r="AD251" t="n">
        <x:f>AX251*$AC251/$AW251</x:f>
        <x:v>504.49844481473406</x:v>
      </x:c>
      <x:c r="AE251" t="n">
        <x:f>AY251*$AC251/$AW251</x:f>
        <x:v>524.3480016259306</x:v>
      </x:c>
      <x:c r="AF251" t="n">
        <x:f>AZ251*$AC251/$AW251</x:f>
        <x:v>543.3451751095484</x:v>
      </x:c>
      <x:c r="AG251" t="n">
        <x:f>BA251*$AC251/$AW251</x:f>
        <x:v>561.3380740978023</x:v>
      </x:c>
      <x:c r="AH251" t="n">
        <x:f>BB251*$AC251/$AW251</x:f>
        <x:v>578.1782163207363</x:v>
      </x:c>
      <x:c r="AI251" t="n">
        <x:f>Y251*(1-'Assumptions'!$F$15)+AS251*'Assumptions'!$G$15-AS251*'MOD Model'!$B$65-(AS251-'Inputs'!$F$14)*'Assumptions'!$H$15-'Assumptions'!$I$15</x:f>
        <x:v>128.3808</x:v>
      </x:c>
      <x:c r="AJ251" t="n">
        <x:f>Z251*(1-'Assumptions'!$F$15)+AT251*'Assumptions'!$G$15-AT251*'MOD Model'!$C$65-(AT251-AS251)*'Assumptions'!$H$15-0</x:f>
        <x:v>183.149424</x:v>
      </x:c>
      <x:c r="AK251" t="n">
        <x:f>AA251*(1-'Assumptions'!$F$15)+AU251*'Assumptions'!$G$15-AU251*'MOD Model'!$D$65-(AU251-AT251)*'Assumptions'!$H$15-0</x:f>
        <x:v>231.473770875</x:v>
      </x:c>
      <x:c r="AL251" t="n">
        <x:f>AB251*(1-'Assumptions'!$F$15)+AV251*'Assumptions'!$G$15-AV251*'MOD Model'!$E$65-(AV251-AU251)*'Assumptions'!$H$15-0</x:f>
        <x:v>264.6036656550001</x:v>
      </x:c>
      <x:c r="AM251" t="n">
        <x:f>AC251*(1-'Assumptions'!$F$15)+AW251*'Assumptions'!$G$15-AW251*'MOD Model'!$F$65-(AW251-AV251)*'Assumptions'!$H$15-0</x:f>
        <x:v>294.50039971589996</x:v>
      </x:c>
      <x:c r="AN251" t="n">
        <x:f>AD251*(1-'Assumptions'!$F$15)+AX251*'Assumptions'!$G$15-AX251*'MOD Model'!$G$65-(AX251-AW251)*'Assumptions'!$H$15-0</x:f>
        <x:v>308.42542768634183</x:v>
      </x:c>
      <x:c r="AO251" t="n">
        <x:f>AE251*(1-'Assumptions'!$F$15)+AY251*'Assumptions'!$G$15-AY251*'MOD Model'!$H$65-(AY251-AX251)*'Assumptions'!$H$15-0</x:f>
        <x:v>322.0456953398374</x:v>
      </x:c>
      <x:c r="AP251" t="n">
        <x:f>AF251*(1-'Assumptions'!$F$15)+AZ251*'Assumptions'!$G$15-AZ251*'MOD Model'!$I$65-(AZ251-AY251)*'Assumptions'!$H$15-0</x:f>
        <x:v>335.2617310014029</x:v>
      </x:c>
      <x:c r="AQ251" t="n">
        <x:f>AG251*(1-'Assumptions'!$F$15)+BA251*'Assumptions'!$G$15-BA251*'MOD Model'!$J$65-(BA251-AZ251)*'Assumptions'!$H$15-0</x:f>
        <x:v>347.9731477370029</x:v>
      </x:c>
      <x:c r="AR251" t="n">
        <x:f>AH251*(1-'Assumptions'!$F$15)+BB251*'Assumptions'!$G$15-BB251*'MOD Model'!$K$65-(BB251-BA251)*'Assumptions'!$H$15-0</x:f>
        <x:v>360.0798539911248</x:v>
      </x:c>
      <x:c r="AS251" t="n">
        <x:f>E251+O251</x:f>
        <x:v>2615.1600000000003</x:v>
      </x:c>
      <x:c r="AT251" t="n">
        <x:f>F251+P251</x:f>
        <x:v>2757.4284000000007</x:v>
      </x:c>
      <x:c r="AU251" t="n">
        <x:f>G251+Q251</x:f>
        <x:v>2895.2998200000006</x:v>
      </x:c>
      <x:c r="AV251" t="n">
        <x:f>H251+R251</x:f>
        <x:v>3040.064811</x:v>
      </x:c>
      <x:c r="AW251" t="n">
        <x:f>I251+S251</x:f>
        <x:v>3178.6164225900006</x:v>
      </x:c>
      <x:c r="AX251" t="n">
        <x:f>J251+T251</x:f>
        <x:v>3313.5810261406596</x:v>
      </x:c>
      <x:c r="AY251" t="n">
        <x:f>K251+U251</x:f>
        <x:v>3443.954301822482</x:v>
      </x:c>
      <x:c r="AZ251" t="n">
        <x:f>L251+V251</x:f>
        <x:v>3568.729064267459</x:v>
      </x:c>
      <x:c r="BA251" t="n">
        <x:f>M251+W251</x:f>
        <x:v>3686.9076816755614</x:v>
      </x:c>
      <x:c r="BB251" t="n">
        <x:f>N251+X251</x:f>
        <x:v>3797.5149121258282</x:v>
      </x:c>
      <x:c r="BC251" t="n">
        <x:f>AS251/'Inputs'!$F$14-1</x:f>
        <x:v>0.0714355948869223</x:v>
      </x:c>
      <x:c r="BD251" t="n">
        <x:f>AT251/AS251-1</x:f>
        <x:v>0.05440141329784809</x:v>
      </x:c>
      <x:c r="BE251" t="n">
        <x:f>AU251/AT251-1</x:f>
        <x:v>0.050000000000000044</x:v>
      </x:c>
      <x:c r="BF251" t="n">
        <x:f>AV251/AU251-1</x:f>
        <x:v>0.04999999999999982</x:v>
      </x:c>
      <x:c r="BG251" t="n">
        <x:f>AW251/AV251-1</x:f>
        <x:v>0.0455752163863985</x:v>
      </x:c>
      <x:c r="BH251" t="n">
        <x:f>AX251/AW251-1</x:f>
        <x:v>0.04246017310911876</x:v>
      </x:c>
      <x:c r="BI251" t="n">
        <x:f>AY251/AX251-1</x:f>
        <x:v>0.03934512983183902</x:v>
      </x:c>
      <x:c r="BJ251" t="n">
        <x:f>AZ251/AY251-1</x:f>
        <x:v>0.036230086554559726</x:v>
      </x:c>
      <x:c r="BK251" t="n">
        <x:f>BA251/AZ251-1</x:f>
        <x:v>0.03311504327727954</x:v>
      </x:c>
      <x:c r="BL251" t="n">
        <x:f>BB251/BA251-1</x:f>
        <x:v>0.030000000000000027</x:v>
      </x:c>
      <x:c r="BM251" t="n">
        <x:f>AH251*(1-'Assumptions'!$F$15)*(1+'Assumptions'!$D$15)*(1-'Assumptions'!$D$15/'Assumptions'!$E$15)</x:f>
        <x:v>385.7368531839822</x:v>
      </x:c>
      <x:c r="BN251" t="n">
        <x:f>SUMPRODUCT(AI251:AR251,'MOD Model'!$B$83:$K$83)+BM251/('Assumptions'!$C$15-'Assumptions'!$D$15)*'MOD Model'!$K$83</x:f>
        <x:v>3443.662823234323</x:v>
      </x:c>
      <x:c r="BO251" t="n">
        <x:f>'MOD Model'!$B$94</x:f>
        <x:v>553.5</x:v>
      </x:c>
      <x:c r="BP251" t="n">
        <x:f>'Inputs'!$F$8</x:f>
        <x:v>54</x:v>
      </x:c>
    </x:row>
    <x:row r="252">
      <x:c r="A252" t="str">
        <x:v>MOD</x:v>
      </x:c>
      <x:c r="B252" s="22" t="n">
        <x:v>0.06</x:v>
      </x:c>
      <x:c r="C252" s="42" t="n">
        <x:f>(BN252+BO252)/BP252</x:f>
        <x:v>76.71638922208001</x:v>
      </x:c>
      <x:c r="D252" s="22" t="n">
        <x:f>C252/'Inputs'!$F$5-1</x:f>
        <x:v>-0.6058954627448885</x:v>
      </x:c>
      <x:c r="E252" t="n">
        <x:f>'Inputs'!$F$24*(1+$B252)^1</x:f>
        <x:v>1478.064</x:v>
      </x:c>
      <x:c r="F252" t="n">
        <x:f>'Inputs'!$F$24*(1+$B252)^2</x:f>
        <x:v>1566.7478400000002</x:v>
      </x:c>
      <x:c r="G252" t="n">
        <x:f>'Inputs'!$F$24*(1+$B252)^3</x:f>
        <x:v>1660.7527104000005</x:v>
      </x:c>
      <x:c r="H252" t="n">
        <x:f>'Inputs'!$F$24*(1+$B252)^4</x:f>
        <x:v>1760.3978730240005</x:v>
      </x:c>
      <x:c r="I252" t="n">
        <x:f>'Inputs'!$F$24*(1+$B252)^5</x:f>
        <x:v>1866.0217454054407</x:v>
      </x:c>
      <x:c r="J252" t="n">
        <x:f>I252*(1+($BG252+('Assumptions'!$D$15-$BG252)*(6-5)/5))</x:f>
        <x:v>1953.8547459123017</x:v>
      </x:c>
      <x:c r="K252" t="n">
        <x:f>J252*(1+($BG252+('Assumptions'!$D$15-$BG252)*(7-5)/5))</x:f>
        <x:v>2037.484108686099</x:v>
      </x:c>
      <x:c r="L252" t="n">
        <x:f>K252*(1+($BG252+('Assumptions'!$D$15-$BG252)*(8-5)/5))</x:f>
        <x:v>2115.998207745826</x:v>
      </x:c>
      <x:c r="M252" t="n">
        <x:f>L252*(1+($BG252+('Assumptions'!$D$15-$BG252)*(9-5)/5))</x:f>
        <x:v>2188.5079940313285</x:v>
      </x:c>
      <x:c r="N252" t="n">
        <x:f>M252*(1+($BG252+('Assumptions'!$D$15-$BG252)*(10-5)/5))</x:f>
        <x:v>2254.1632338522686</x:v>
      </x:c>
      <x:c r="O252" t="n">
        <x:f>'MOD Model'!$B$68</x:f>
        <x:v>1151.0400000000002</x:v>
      </x:c>
      <x:c r="P252" t="n">
        <x:f>'MOD Model'!$C$68</x:f>
        <x:v>1220.1024000000002</x:v>
      </x:c>
      <x:c r="Q252" t="n">
        <x:f>'MOD Model'!$D$68</x:f>
        <x:v>1281.1075200000002</x:v>
      </x:c>
      <x:c r="R252" t="n">
        <x:f>'MOD Model'!$E$68</x:f>
        <x:v>1345.1628960000003</x:v>
      </x:c>
      <x:c r="S252" t="n">
        <x:f>'MOD Model'!$F$68</x:f>
        <x:v>1398.9694118400002</x:v>
      </x:c>
      <x:c r="T252" t="n">
        <x:f>S252*(1+($BG252+('Assumptions'!$D$15-$BG252)*(6-5)/5))</x:f>
        <x:v>1464.8184199567454</x:v>
      </x:c>
      <x:c r="U252" t="n">
        <x:f>T252*(1+($BG252+('Assumptions'!$D$15-$BG252)*(7-5)/5))</x:f>
        <x:v>1527.5159317838613</x:v>
      </x:c>
      <x:c r="V252" t="n">
        <x:f>U252*(1+($BG252+('Assumptions'!$D$15-$BG252)*(8-5)/5))</x:f>
        <x:v>1586.3784950166753</x:v>
      </x:c>
      <x:c r="W252" t="n">
        <x:f>V252*(1+($BG252+('Assumptions'!$D$15-$BG252)*(9-5)/5))</x:f>
        <x:v>1640.7395834242668</x:v>
      </x:c>
      <x:c r="X252" t="n">
        <x:f>W252*(1+($BG252+('Assumptions'!$D$15-$BG252)*(10-5)/5))</x:f>
        <x:v>1689.9617709269949</x:v>
      </x:c>
      <x:c r="Y252" t="n">
        <x:f>E252*'MOD Model'!$B$62+O252*'MOD Model'!$B$63+'MOD Model'!$B$73+'MOD Model'!$B$74</x:f>
        <x:v>330.59712</x:v>
      </x:c>
      <x:c r="Z252" t="n">
        <x:f>F252*'MOD Model'!$C$62+P252*'MOD Model'!$C$63+'MOD Model'!$C$73+'MOD Model'!$C$74</x:f>
        <x:v>388.8344160000001</x:v>
      </x:c>
      <x:c r="AA252" t="n">
        <x:f>G252*'MOD Model'!$D$62+Q252*'MOD Model'!$D$63+'MOD Model'!$D$73+'MOD Model'!$D$74</x:f>
        <x:v>442.7264607360001</x:v>
      </x:c>
      <x:c r="AB252" t="n">
        <x:f>H252*'MOD Model'!$E$62+R252*'MOD Model'!$E$63+'MOD Model'!$E$73+'MOD Model'!$E$74</x:f>
        <x:v>477.2353914652802</x:v>
      </x:c>
      <x:c r="AC252" t="n">
        <x:f>I252*'MOD Model'!$F$62+S252*'MOD Model'!$F$63+'MOD Model'!$F$73+'MOD Model'!$F$74</x:f>
        <x:v>502.952292015197</x:v>
      </x:c>
      <x:c r="AD252" t="n">
        <x:f>AX252*$AC252/$AW252</x:f>
        <x:v>526.6260830780654</x:v>
      </x:c>
      <x:c r="AE252" t="n">
        <x:f>AY252*$AC252/$AW252</x:f>
        <x:v>549.1668598886341</x:v>
      </x:c>
      <x:c r="AF252" t="n">
        <x:f>AZ252*$AC252/$AW252</x:f>
        <x:v>570.3289102103028</x:v>
      </x:c>
      <x:c r="AG252" t="n">
        <x:f>BA252*$AC252/$AW252</x:f>
        <x:v>589.872607005702</x:v>
      </x:c>
      <x:c r="AH252" t="n">
        <x:f>BB252*$AC252/$AW252</x:f>
        <x:v>607.568785215873</x:v>
      </x:c>
      <x:c r="AI252" t="n">
        <x:f>Y252*(1-'Assumptions'!$F$15)+AS252*'Assumptions'!$G$15-AS252*'MOD Model'!$B$65-(AS252-'Inputs'!$F$14)*'Assumptions'!$H$15-'Assumptions'!$I$15</x:f>
        <x:v>127.68359999999997</x:v>
      </x:c>
      <x:c r="AJ252" t="n">
        <x:f>Z252*(1-'Assumptions'!$F$15)+AT252*'Assumptions'!$G$15-AT252*'MOD Model'!$C$65-(AT252-AS252)*'Assumptions'!$H$15-0</x:f>
        <x:v>184.3583688</x:v>
      </x:c>
      <x:c r="AK252" t="n">
        <x:f>AA252*(1-'Assumptions'!$F$15)+AU252*'Assumptions'!$G$15-AU252*'MOD Model'!$D$65-(AU252-AT252)*'Assumptions'!$H$15-0</x:f>
        <x:v>235.2468412320001</x:v>
      </x:c>
      <x:c r="AL252" t="n">
        <x:f>AB252*(1-'Assumptions'!$F$15)+AV252*'Assumptions'!$G$15-AV252*'MOD Model'!$E$65-(AV252-AU252)*'Assumptions'!$H$15-0</x:f>
        <x:v>271.26024742488016</x:v>
      </x:c>
      <x:c r="AM252" t="n">
        <x:f>AC252*(1-'Assumptions'!$F$15)+AW252*'Assumptions'!$G$15-AW252*'MOD Model'!$F$65-(AW252-AV252)*'Assumptions'!$H$15-0</x:f>
        <x:v>304.3247934195001</x:v>
      </x:c>
      <x:c r="AN252" t="n">
        <x:f>AD252*(1-'Assumptions'!$F$15)+AX252*'Assumptions'!$G$15-AX252*'MOD Model'!$G$65-(AX252-AW252)*'Assumptions'!$H$15-0</x:f>
        <x:v>320.63716352697253</x:v>
      </x:c>
      <x:c r="AO252" t="n">
        <x:f>AE252*(1-'Assumptions'!$F$15)+AY252*'Assumptions'!$G$15-AY252*'MOD Model'!$H$65-(AY252-AX252)*'Assumptions'!$H$15-0</x:f>
        <x:v>336.45111311928923</x:v>
      </x:c>
      <x:c r="AP252" t="n">
        <x:f>AF252*(1-'Assumptions'!$F$15)+AZ252*'Assumptions'!$G$15-AZ252*'MOD Model'!$I$65-(AZ252-AY252)*'Assumptions'!$H$15-0</x:f>
        <x:v>351.60453277240833</x:v>
      </x:c>
      <x:c r="AQ252" t="n">
        <x:f>AG252*(1-'Assumptions'!$F$15)+BA252*'Assumptions'!$G$15-BA252*'MOD Model'!$J$65-(BA252-AZ252)*'Assumptions'!$H$15-0</x:f>
        <x:v>365.93511038847856</x:v>
      </x:c>
      <x:c r="AR252" t="n">
        <x:f>AH252*(1-'Assumptions'!$F$15)+BB252*'Assumptions'!$G$15-BB252*'MOD Model'!$K$65-(BB252-BA252)*'Assumptions'!$H$15-0</x:f>
        <x:v>379.2830997416655</x:v>
      </x:c>
      <x:c r="AS252" t="n">
        <x:f>E252+O252</x:f>
        <x:v>2629.1040000000003</x:v>
      </x:c>
      <x:c r="AT252" t="n">
        <x:f>F252+P252</x:f>
        <x:v>2786.8502400000007</x:v>
      </x:c>
      <x:c r="AU252" t="n">
        <x:f>G252+Q252</x:f>
        <x:v>2941.8602304000005</x:v>
      </x:c>
      <x:c r="AV252" t="n">
        <x:f>H252+R252</x:f>
        <x:v>3105.560769024001</x:v>
      </x:c>
      <x:c r="AW252" t="n">
        <x:f>I252+S252</x:f>
        <x:v>3264.991157245441</x:v>
      </x:c>
      <x:c r="AX252" t="n">
        <x:f>J252+T252</x:f>
        <x:v>3418.673165869047</x:v>
      </x:c>
      <x:c r="AY252" t="n">
        <x:f>K252+U252</x:f>
        <x:v>3565.0000404699604</x:v>
      </x:c>
      <x:c r="AZ252" t="n">
        <x:f>L252+V252</x:f>
        <x:v>3702.3767027625017</x:v>
      </x:c>
      <x:c r="BA252" t="n">
        <x:f>M252+W252</x:f>
        <x:v>3829.247577455595</x:v>
      </x:c>
      <x:c r="BB252" t="n">
        <x:f>N252+X252</x:f>
        <x:v>3944.1250047792637</x:v>
      </x:c>
      <x:c r="BC252" t="n">
        <x:f>AS252/'Inputs'!$F$14-1</x:f>
        <x:v>0.077148475909538</x:v>
      </x:c>
      <x:c r="BD252" t="n">
        <x:f>AT252/AS252-1</x:f>
        <x:v>0.06000000000000005</x:v>
      </x:c>
      <x:c r="BE252" t="n">
        <x:f>AU252/AT252-1</x:f>
        <x:v>0.05562193051320907</x:v>
      </x:c>
      <x:c r="BF252" t="n">
        <x:f>AV252/AU252-1</x:f>
        <x:v>0.0556452468177735</x:v>
      </x:c>
      <x:c r="BG252" t="n">
        <x:f>AW252/AV252-1</x:f>
        <x:v>0.05133706923775483</x:v>
      </x:c>
      <x:c r="BH252" t="n">
        <x:f>AX252/AW252-1</x:f>
        <x:v>0.04706965539020391</x:v>
      </x:c>
      <x:c r="BI252" t="n">
        <x:f>AY252/AX252-1</x:f>
        <x:v>0.042802241542653</x:v>
      </x:c>
      <x:c r="BJ252" t="n">
        <x:f>AZ252/AY252-1</x:f>
        <x:v>0.03853482769510186</x:v>
      </x:c>
      <x:c r="BK252" t="n">
        <x:f>BA252/AZ252-1</x:f>
        <x:v>0.03426741384755094</x:v>
      </x:c>
      <x:c r="BL252" t="n">
        <x:f>BB252/BA252-1</x:f>
        <x:v>0.03000000000000025</x:v>
      </x:c>
      <x:c r="BM252" t="n">
        <x:f>AH252*(1-'Assumptions'!$F$15)*(1+'Assumptions'!$D$15)*(1-'Assumptions'!$D$15/'Assumptions'!$E$15)</x:f>
        <x:v>405.3450384093626</x:v>
      </x:c>
      <x:c r="BN252" t="n">
        <x:f>SUMPRODUCT(AI252:AR252,'MOD Model'!$B$83:$K$83)+BM252/('Assumptions'!$C$15-'Assumptions'!$D$15)*'MOD Model'!$K$83</x:f>
        <x:v>3589.1850179923204</x:v>
      </x:c>
      <x:c r="BO252" t="n">
        <x:f>'MOD Model'!$B$94</x:f>
        <x:v>553.5</x:v>
      </x:c>
      <x:c r="BP252" t="n">
        <x:f>'Inputs'!$F$8</x:f>
        <x:v>54</x:v>
      </x:c>
    </x:row>
    <x:row r="253">
      <x:c r="A253" t="str">
        <x:v>MOD</x:v>
      </x:c>
      <x:c r="B253" s="22" t="n">
        <x:v>0.07</x:v>
      </x:c>
      <x:c r="C253" s="42" t="n">
        <x:f>(BN253+BO253)/BP253</x:f>
        <x:v>79.55092710901903</x:v>
      </x:c>
      <x:c r="D253" s="22" t="n">
        <x:f>C253/'Inputs'!$F$5-1</x:f>
        <x:v>-0.5913339817681135</x:v>
      </x:c>
      <x:c r="E253" t="n">
        <x:f>'Inputs'!$F$24*(1+$B253)^1</x:f>
        <x:v>1492.0080000000003</x:v>
      </x:c>
      <x:c r="F253" t="n">
        <x:f>'Inputs'!$F$24*(1+$B253)^2</x:f>
        <x:v>1596.44856</x:v>
      </x:c>
      <x:c r="G253" t="n">
        <x:f>'Inputs'!$F$24*(1+$B253)^3</x:f>
        <x:v>1708.1999592000002</x:v>
      </x:c>
      <x:c r="H253" t="n">
        <x:f>'Inputs'!$F$24*(1+$B253)^4</x:f>
        <x:v>1827.7739563440002</x:v>
      </x:c>
      <x:c r="I253" t="n">
        <x:f>'Inputs'!$F$24*(1+$B253)^5</x:f>
        <x:v>1955.7181332880803</x:v>
      </x:c>
      <x:c r="J253" t="n">
        <x:f>I253*(1+($BG253+('Assumptions'!$D$15-$BG253)*(6-5)/5))</x:f>
        <x:v>2057.073671165319</x:v>
      </x:c>
      <x:c r="K253" t="n">
        <x:f>J253*(1+($BG253+('Assumptions'!$D$15-$BG253)*(7-5)/5))</x:f>
        <x:v>2152.457957490606</x:v>
      </x:c>
      <x:c r="L253" t="n">
        <x:f>K253*(1+($BG253+('Assumptions'!$D$15-$BG253)*(8-5)/5))</x:f>
        <x:v>2240.52063890028</x:v>
      </x:c>
      <x:c r="M253" t="n">
        <x:f>L253*(1+($BG253+('Assumptions'!$D$15-$BG253)*(9-5)/5))</x:f>
        <x:v>2319.9612264315824</x:v>
      </x:c>
      <x:c r="N253" t="n">
        <x:f>M253*(1+($BG253+('Assumptions'!$D$15-$BG253)*(10-5)/5))</x:f>
        <x:v>2389.56006322453</x:v>
      </x:c>
      <x:c r="O253" t="n">
        <x:f>'MOD Model'!$B$68</x:f>
        <x:v>1151.0400000000002</x:v>
      </x:c>
      <x:c r="P253" t="n">
        <x:f>'MOD Model'!$C$68</x:f>
        <x:v>1220.1024000000002</x:v>
      </x:c>
      <x:c r="Q253" t="n">
        <x:f>'MOD Model'!$D$68</x:f>
        <x:v>1281.1075200000002</x:v>
      </x:c>
      <x:c r="R253" t="n">
        <x:f>'MOD Model'!$E$68</x:f>
        <x:v>1345.1628960000003</x:v>
      </x:c>
      <x:c r="S253" t="n">
        <x:f>'MOD Model'!$F$68</x:f>
        <x:v>1398.9694118400002</x:v>
      </x:c>
      <x:c r="T253" t="n">
        <x:f>S253*(1+($BG253+('Assumptions'!$D$15-$BG253)*(6-5)/5))</x:f>
        <x:v>1471.4713203703748</x:v>
      </x:c>
      <x:c r="U253" t="n">
        <x:f>T253*(1+($BG253+('Assumptions'!$D$15-$BG253)*(7-5)/5))</x:f>
        <x:v>1539.7018576180496</x:v>
      </x:c>
      <x:c r="V253" t="n">
        <x:f>U253*(1+($BG253+('Assumptions'!$D$15-$BG253)*(8-5)/5))</x:f>
        <x:v>1602.6950852820066</x:v>
      </x:c>
      <x:c r="W253" t="n">
        <x:f>V253*(1+($BG253+('Assumptions'!$D$15-$BG253)*(9-5)/5))</x:f>
        <x:v>1659.5207341949422</x:v>
      </x:c>
      <x:c r="X253" t="n">
        <x:f>W253*(1+($BG253+('Assumptions'!$D$15-$BG253)*(10-5)/5))</x:f>
        <x:v>1709.3063562207906</x:v>
      </x:c>
      <x:c r="Y253" t="n">
        <x:f>E253*'MOD Model'!$B$62+O253*'MOD Model'!$B$63+'MOD Model'!$B$73+'MOD Model'!$B$74</x:f>
        <x:v>333.1070400000001</x:v>
      </x:c>
      <x:c r="Z253" t="n">
        <x:f>F253*'MOD Model'!$C$62+P253*'MOD Model'!$C$63+'MOD Model'!$C$73+'MOD Model'!$C$74</x:f>
        <x:v>394.77456</x:v>
      </x:c>
      <x:c r="AA253" t="n">
        <x:f>G253*'MOD Model'!$D$62+Q253*'MOD Model'!$D$63+'MOD Model'!$D$73+'MOD Model'!$D$74</x:f>
        <x:v>452.9276192280001</x:v>
      </x:c>
      <x:c r="AB253" t="n">
        <x:f>H253*'MOD Model'!$E$62+R253*'MOD Model'!$E$63+'MOD Model'!$E$73+'MOD Model'!$E$74</x:f>
        <x:v>492.05812979568014</x:v>
      </x:c>
      <x:c r="AC253" t="n">
        <x:f>I253*'MOD Model'!$F$62+S253*'MOD Model'!$F$63+'MOD Model'!$F$73+'MOD Model'!$F$74</x:f>
        <x:v>522.6854973493777</x:v>
      </x:c>
      <x:c r="AD253" t="n">
        <x:f>AX253*$AC253/$AW253</x:f>
        <x:v>549.7737923458606</x:v>
      </x:c>
      <x:c r="AE253" t="n">
        <x:f>AY253*$AC253/$AW253</x:f>
        <x:v>575.2662098311077</x:v>
      </x:c>
      <x:c r="AF253" t="n">
        <x:f>AZ253*$AC253/$AW253</x:f>
        <x:v>598.8018541793801</x:v>
      </x:c>
      <x:c r="AG253" t="n">
        <x:f>BA253*$AC253/$AW253</x:f>
        <x:v>620.0331565315831</x:v>
      </x:c>
      <x:c r="AH253" t="n">
        <x:f>BB253*$AC253/$AW253</x:f>
        <x:v>638.6341512275307</x:v>
      </x:c>
      <x:c r="AI253" t="n">
        <x:f>Y253*(1-'Assumptions'!$F$15)+AS253*'Assumptions'!$G$15-AS253*'MOD Model'!$B$65-(AS253-'Inputs'!$F$14)*'Assumptions'!$H$15-'Assumptions'!$I$15</x:f>
        <x:v>126.98639999999997</x:v>
      </x:c>
      <x:c r="AJ253" t="n">
        <x:f>Z253*(1-'Assumptions'!$F$15)+AT253*'Assumptions'!$G$15-AT253*'MOD Model'!$C$65-(AT253-AS253)*'Assumptions'!$H$15-0</x:f>
        <x:v>185.55894720000003</x:v>
      </x:c>
      <x:c r="AK253" t="n">
        <x:f>AA253*(1-'Assumptions'!$F$15)+AU253*'Assumptions'!$G$15-AU253*'MOD Model'!$D$65-(AU253-AT253)*'Assumptions'!$H$15-0</x:f>
        <x:v>239.049549561</x:v>
      </x:c>
      <x:c r="AL253" t="n">
        <x:f>AB253*(1-'Assumptions'!$F$15)+AV253*'Assumptions'!$G$15-AV253*'MOD Model'!$E$65-(AV253-AU253)*'Assumptions'!$H$15-0</x:f>
        <x:v>278.04045432828013</x:v>
      </x:c>
      <x:c r="AM253" t="n">
        <x:f>AC253*(1-'Assumptions'!$F$15)+AW253*'Assumptions'!$G$15-AW253*'MOD Model'!$F$65-(AW253-AV253)*'Assumptions'!$H$15-0</x:f>
        <x:v>314.4312059175001</x:v>
      </x:c>
      <x:c r="AN253" t="n">
        <x:f>AD253*(1-'Assumptions'!$F$15)+AX253*'Assumptions'!$G$15-AX253*'MOD Model'!$G$65-(AX253-AW253)*'Assumptions'!$H$15-0</x:f>
        <x:v>333.32355242521794</x:v>
      </x:c>
      <x:c r="AO253" t="n">
        <x:f>AE253*(1-'Assumptions'!$F$15)+AY253*'Assumptions'!$G$15-AY253*'MOD Model'!$H$65-(AY253-AX253)*'Assumptions'!$H$15-0</x:f>
        <x:v>351.52503661075673</x:v>
      </x:c>
      <x:c r="AP253" t="n">
        <x:f>AF253*(1-'Assumptions'!$F$15)+AZ253*'Assumptions'!$G$15-AZ253*'MOD Model'!$I$65-(AZ253-AY253)*'Assumptions'!$H$15-0</x:f>
        <x:v>368.7947684107561</x:v>
      </x:c>
      <x:c r="AQ253" t="n">
        <x:f>AG253*(1-'Assumptions'!$F$15)+BA253*'Assumptions'!$G$15-BA253*'MOD Model'!$J$65-(BA253-AZ253)*'Assumptions'!$H$15-0</x:f>
        <x:v>384.8927025226539</x:v>
      </x:c>
      <x:c r="AR253" t="n">
        <x:f>AH253*(1-'Assumptions'!$F$15)+BB253*'Assumptions'!$G$15-BB253*'MOD Model'!$K$65-(BB253-BA253)*'Assumptions'!$H$15-0</x:f>
        <x:v>399.5849483061488</x:v>
      </x:c>
      <x:c r="AS253" t="n">
        <x:f>E253+O253</x:f>
        <x:v>2643.0480000000007</x:v>
      </x:c>
      <x:c r="AT253" t="n">
        <x:f>F253+P253</x:f>
        <x:v>2816.5509600000005</x:v>
      </x:c>
      <x:c r="AU253" t="n">
        <x:f>G253+Q253</x:f>
        <x:v>2989.3074792000007</x:v>
      </x:c>
      <x:c r="AV253" t="n">
        <x:f>H253+R253</x:f>
        <x:v>3172.9368523440007</x:v>
      </x:c>
      <x:c r="AW253" t="n">
        <x:f>I253+S253</x:f>
        <x:v>3354.6875451280803</x:v>
      </x:c>
      <x:c r="AX253" t="n">
        <x:f>J253+T253</x:f>
        <x:v>3528.544991535694</x:v>
      </x:c>
      <x:c r="AY253" t="n">
        <x:f>K253+U253</x:f>
        <x:v>3692.1598151086555</x:v>
      </x:c>
      <x:c r="AZ253" t="n">
        <x:f>L253+V253</x:f>
        <x:v>3843.215724182287</x:v>
      </x:c>
      <x:c r="BA253" t="n">
        <x:f>M253+W253</x:f>
        <x:v>3979.4819606265246</x:v>
      </x:c>
      <x:c r="BB253" t="n">
        <x:f>N253+X253</x:f>
        <x:v>4098.86641944532</x:v>
      </x:c>
      <x:c r="BC253" t="n">
        <x:f>AS253/'Inputs'!$F$14-1</x:f>
        <x:v>0.08286135693215368</x:v>
      </x:c>
      <x:c r="BD253" t="n">
        <x:f>AT253/AS253-1</x:f>
        <x:v>0.065645028013112</x:v>
      </x:c>
      <x:c r="BE253" t="n">
        <x:f>AU253/AT253-1</x:f>
        <x:v>0.06133619510296384</x:v>
      </x:c>
      <x:c r="BF253" t="n">
        <x:f>AV253/AU253-1</x:f>
        <x:v>0.061428733719002704</x:v>
      </x:c>
      <x:c r="BG253" t="n">
        <x:f>AW253/AV253-1</x:f>
        <x:v>0.05728153481838483</x:v>
      </x:c>
      <x:c r="BH253" t="n">
        <x:f>AX253/AW253-1</x:f>
        <x:v>0.051825227854708</x:v>
      </x:c>
      <x:c r="BI253" t="n">
        <x:f>AY253/AX253-1</x:f>
        <x:v>0.04636892089103073</x:v>
      </x:c>
      <x:c r="BJ253" t="n">
        <x:f>AZ253/AY253-1</x:f>
        <x:v>0.040912613927354124</x:v>
      </x:c>
      <x:c r="BK253" t="n">
        <x:f>BA253/AZ253-1</x:f>
        <x:v>0.035456306963677076</x:v>
      </x:c>
      <x:c r="BL253" t="n">
        <x:f>BB253/BA253-1</x:f>
        <x:v>0.030000000000000027</x:v>
      </x:c>
      <x:c r="BM253" t="n">
        <x:f>AH253*(1-'Assumptions'!$F$15)*(1+'Assumptions'!$D$15)*(1-'Assumptions'!$D$15/'Assumptions'!$E$15)</x:f>
        <x:v>426.07057975645824</x:v>
      </x:c>
      <x:c r="BN253" t="n">
        <x:f>SUMPRODUCT(AI253:AR253,'MOD Model'!$B$83:$K$83)+BM253/('Assumptions'!$C$15-'Assumptions'!$D$15)*'MOD Model'!$K$83</x:f>
        <x:v>3742.250063887028</x:v>
      </x:c>
      <x:c r="BO253" t="n">
        <x:f>'MOD Model'!$B$94</x:f>
        <x:v>553.5</x:v>
      </x:c>
      <x:c r="BP253" t="n">
        <x:f>'Inputs'!$F$8</x:f>
        <x:v>54</x:v>
      </x:c>
    </x:row>
    <x:row r="254">
      <x:c r="A254" t="str">
        <x:v>MOD</x:v>
      </x:c>
      <x:c r="B254" s="22" t="n">
        <x:v>0.08</x:v>
      </x:c>
      <x:c r="C254" s="42" t="n">
        <x:f>(BN254+BO254)/BP254</x:f>
        <x:v>82.53206645550341</x:v>
      </x:c>
      <x:c r="D254" s="22" t="n">
        <x:f>C254/'Inputs'!$F$5-1</x:f>
        <x:v>-0.5760193853102671</x:v>
      </x:c>
      <x:c r="E254" t="n">
        <x:f>'Inputs'!$F$24*(1+$B254)^1</x:f>
        <x:v>1505.9520000000002</x:v>
      </x:c>
      <x:c r="F254" t="n">
        <x:f>'Inputs'!$F$24*(1+$B254)^2</x:f>
        <x:v>1626.4281600000002</x:v>
      </x:c>
      <x:c r="G254" t="n">
        <x:f>'Inputs'!$F$24*(1+$B254)^3</x:f>
        <x:v>1756.5424128000004</x:v>
      </x:c>
      <x:c r="H254" t="n">
        <x:f>'Inputs'!$F$24*(1+$B254)^4</x:f>
        <x:v>1897.0658058240006</x:v>
      </x:c>
      <x:c r="I254" t="n">
        <x:f>'Inputs'!$F$24*(1+$B254)^5</x:f>
        <x:v>2048.8310702899207</x:v>
      </x:c>
      <x:c r="J254" t="n">
        <x:f>I254*(1+($BG254+('Assumptions'!$D$15-$BG254)*(6-5)/5))</x:f>
        <x:v>2165.048089073384</x:v>
      </x:c>
      <x:c r="K254" t="n">
        <x:f>J254*(1+($BG254+('Assumptions'!$D$15-$BG254)*(7-5)/5))</x:f>
        <x:v>2273.3928972407725</x:v>
      </x:c>
      <x:c r="L254" t="n">
        <x:f>K254*(1+($BG254+('Assumptions'!$D$15-$BG254)*(8-5)/5))</x:f>
        <x:v>2371.971274683321</x:v>
      </x:c>
      <x:c r="M254" t="n">
        <x:f>L254*(1+($BG254+('Assumptions'!$D$15-$BG254)*(9-5)/5))</x:f>
        <x:v>2458.977299802974</x:v>
      </x:c>
      <x:c r="N254" t="n">
        <x:f>M254*(1+($BG254+('Assumptions'!$D$15-$BG254)*(10-5)/5))</x:f>
        <x:v>2532.746618797063</x:v>
      </x:c>
      <x:c r="O254" t="n">
        <x:f>'MOD Model'!$B$68</x:f>
        <x:v>1151.0400000000002</x:v>
      </x:c>
      <x:c r="P254" t="n">
        <x:f>'MOD Model'!$C$68</x:f>
        <x:v>1220.1024000000002</x:v>
      </x:c>
      <x:c r="Q254" t="n">
        <x:f>'MOD Model'!$D$68</x:f>
        <x:v>1281.1075200000002</x:v>
      </x:c>
      <x:c r="R254" t="n">
        <x:f>'MOD Model'!$E$68</x:f>
        <x:v>1345.1628960000003</x:v>
      </x:c>
      <x:c r="S254" t="n">
        <x:f>'MOD Model'!$F$68</x:f>
        <x:v>1398.9694118400002</x:v>
      </x:c>
      <x:c r="T254" t="n">
        <x:f>S254*(1+($BG254+('Assumptions'!$D$15-$BG254)*(6-5)/5))</x:f>
        <x:v>1478.3239553994617</x:v>
      </x:c>
      <x:c r="U254" t="n">
        <x:f>T254*(1+($BG254+('Assumptions'!$D$15-$BG254)*(7-5)/5))</x:f>
        <x:v>1552.3032476680044</x:v>
      </x:c>
      <x:c r="V254" t="n">
        <x:f>U254*(1+($BG254+('Assumptions'!$D$15-$BG254)*(8-5)/5))</x:f>
        <x:v>1619.613889677855</x:v>
      </x:c>
      <x:c r="W254" t="n">
        <x:f>V254*(1+($BG254+('Assumptions'!$D$15-$BG254)*(9-5)/5))</x:f>
        <x:v>1679.022773871979</x:v>
      </x:c>
      <x:c r="X254" t="n">
        <x:f>W254*(1+($BG254+('Assumptions'!$D$15-$BG254)*(10-5)/5))</x:f>
        <x:v>1729.3934570881386</x:v>
      </x:c>
      <x:c r="Y254" t="n">
        <x:f>E254*'MOD Model'!$B$62+O254*'MOD Model'!$B$63+'MOD Model'!$B$73+'MOD Model'!$B$74</x:f>
        <x:v>335.61696000000006</x:v>
      </x:c>
      <x:c r="Z254" t="n">
        <x:f>F254*'MOD Model'!$C$62+P254*'MOD Model'!$C$63+'MOD Model'!$C$73+'MOD Model'!$C$74</x:f>
        <x:v>400.7704800000001</x:v>
      </x:c>
      <x:c r="AA254" t="n">
        <x:f>G254*'MOD Model'!$D$62+Q254*'MOD Model'!$D$63+'MOD Model'!$D$73+'MOD Model'!$D$74</x:f>
        <x:v>463.32124675200015</x:v>
      </x:c>
      <x:c r="AB254" t="n">
        <x:f>H254*'MOD Model'!$E$62+R254*'MOD Model'!$E$63+'MOD Model'!$E$73+'MOD Model'!$E$74</x:f>
        <x:v>507.3023366812802</x:v>
      </x:c>
      <x:c r="AC254" t="n">
        <x:f>I254*'MOD Model'!$F$62+S254*'MOD Model'!$F$63+'MOD Model'!$F$73+'MOD Model'!$F$74</x:f>
        <x:v>543.1703434897826</x:v>
      </x:c>
      <x:c r="AD254" t="n">
        <x:f>AX254*$AC254/$AW254</x:f>
        <x:v>573.9809061210099</x:v>
      </x:c>
      <x:c r="AE254" t="n">
        <x:f>AY254*$AC254/$AW254</x:f>
        <x:v>602.7044487893118</x:v>
      </x:c>
      <x:c r="AF254" t="n">
        <x:f>AZ254*$AC254/$AW254</x:f>
        <x:v>628.8387904207855</x:v>
      </x:c>
      <x:c r="AG254" t="n">
        <x:f>BA254*$AC254/$AW254</x:f>
        <x:v>651.9051589639153</x:v>
      </x:c>
      <x:c r="AH254" t="n">
        <x:f>BB254*$AC254/$AW254</x:f>
        <x:v>671.4623137328327</x:v>
      </x:c>
      <x:c r="AI254" t="n">
        <x:f>Y254*(1-'Assumptions'!$F$15)+AS254*'Assumptions'!$G$15-AS254*'MOD Model'!$B$65-(AS254-'Inputs'!$F$14)*'Assumptions'!$H$15-'Assumptions'!$I$15</x:f>
        <x:v>126.28920000000005</x:v>
      </x:c>
      <x:c r="AJ254" t="n">
        <x:f>Z254*(1-'Assumptions'!$F$15)+AT254*'Assumptions'!$G$15-AT254*'MOD Model'!$C$65-(AT254-AS254)*'Assumptions'!$H$15-0</x:f>
        <x:v>186.75115920000007</x:v>
      </x:c>
      <x:c r="AK254" t="n">
        <x:f>AA254*(1-'Assumptions'!$F$15)+AU254*'Assumptions'!$G$15-AU254*'MOD Model'!$D$65-(AU254-AT254)*'Assumptions'!$H$15-0</x:f>
        <x:v>242.88178082399992</x:v>
      </x:c>
      <x:c r="AL254" t="n">
        <x:f>AB254*(1-'Assumptions'!$F$15)+AV254*'Assumptions'!$G$15-AV254*'MOD Model'!$E$65-(AV254-AU254)*'Assumptions'!$H$15-0</x:f>
        <x:v>284.9453631208802</x:v>
      </x:c>
      <x:c r="AM254" t="n">
        <x:f>AC254*(1-'Assumptions'!$F$15)+AW254*'Assumptions'!$G$15-AW254*'MOD Model'!$F$65-(AW254-AV254)*'Assumptions'!$H$15-0</x:f>
        <x:v>324.8249833395</x:v>
      </x:c>
      <x:c r="AN254" t="n">
        <x:f>AD254*(1-'Assumptions'!$F$15)+AX254*'Assumptions'!$G$15-AX254*'MOD Model'!$G$65-(AX254-AW254)*'Assumptions'!$H$15-0</x:f>
        <x:v>346.49936457222606</x:v>
      </x:c>
      <x:c r="AO254" t="n">
        <x:f>AE254*(1-'Assumptions'!$F$15)+AY254*'Assumptions'!$G$15-AY254*'MOD Model'!$H$65-(AY254-AX254)*'Assumptions'!$H$15-0</x:f>
        <x:v>367.2942793529625</x:v>
      </x:c>
      <x:c r="AP254" t="n">
        <x:f>AF254*(1-'Assumptions'!$F$15)+AZ254*'Assumptions'!$G$15-AZ254*'MOD Model'!$I$65-(AZ254-AY254)*'Assumptions'!$H$15-0</x:f>
        <x:v>386.8719624323116</x:v>
      </x:c>
      <x:c r="AQ254" t="n">
        <x:f>AG254*(1-'Assumptions'!$F$15)+BA254*'Assumptions'!$G$15-BA254*'MOD Model'!$J$65-(BA254-AZ254)*'Assumptions'!$H$15-0</x:f>
        <x:v>404.89663172074546</x:v>
      </x:c>
      <x:c r="AR254" t="n">
        <x:f>AH254*(1-'Assumptions'!$F$15)+BB254*'Assumptions'!$G$15-BB254*'MOD Model'!$K$65-(BB254-BA254)*'Assumptions'!$H$15-0</x:f>
        <x:v>421.04363382980944</x:v>
      </x:c>
      <x:c r="AS254" t="n">
        <x:f>E254+O254</x:f>
        <x:v>2656.992</x:v>
      </x:c>
      <x:c r="AT254" t="n">
        <x:f>F254+P254</x:f>
        <x:v>2846.53056</x:v>
      </x:c>
      <x:c r="AU254" t="n">
        <x:f>G254+Q254</x:f>
        <x:v>3037.649932800001</x:v>
      </x:c>
      <x:c r="AV254" t="n">
        <x:f>H254+R254</x:f>
        <x:v>3242.228701824001</x:v>
      </x:c>
      <x:c r="AW254" t="n">
        <x:f>I254+S254</x:f>
        <x:v>3447.800482129921</x:v>
      </x:c>
      <x:c r="AX254" t="n">
        <x:f>J254+T254</x:f>
        <x:v>3643.3720444728456</x:v>
      </x:c>
      <x:c r="AY254" t="n">
        <x:f>K254+U254</x:f>
        <x:v>3825.6961449087767</x:v>
      </x:c>
      <x:c r="AZ254" t="n">
        <x:f>L254+V254</x:f>
        <x:v>3991.585164361176</x:v>
      </x:c>
      <x:c r="BA254" t="n">
        <x:f>M254+W254</x:f>
        <x:v>4138.0000736749535</x:v>
      </x:c>
      <x:c r="BB254" t="n">
        <x:f>N254+X254</x:f>
        <x:v>4262.140075885201</x:v>
      </x:c>
      <x:c r="BC254" t="n">
        <x:f>AS254/'Inputs'!$F$14-1</x:f>
        <x:v>0.08857423795476893</x:v>
      </x:c>
      <x:c r="BD254" t="n">
        <x:f>AT254/AS254-1</x:f>
        <x:v>0.071335766159627</x:v>
      </x:c>
      <x:c r="BE254" t="n">
        <x:f>AU254/AT254-1</x:f>
        <x:v>0.06714116317093066</x:v>
      </x:c>
      <x:c r="BF254" t="n">
        <x:f>AV254/AU254-1</x:f>
        <x:v>0.0673477107467173</x:v>
      </x:c>
      <x:c r="BG254" t="n">
        <x:f>AW254/AV254-1</x:f>
        <x:v>0.06340446625195506</x:v>
      </x:c>
      <x:c r="BH254" t="n">
        <x:f>AX254/AW254-1</x:f>
        <x:v>0.056723573001564054</x:v>
      </x:c>
      <x:c r="BI254" t="n">
        <x:f>AY254/AX254-1</x:f>
        <x:v>0.05004267975117305</x:v>
      </x:c>
      <x:c r="BJ254" t="n">
        <x:f>AZ254/AY254-1</x:f>
        <x:v>0.04336178650078204</x:v>
      </x:c>
      <x:c r="BK254" t="n">
        <x:f>BA254/AZ254-1</x:f>
        <x:v>0.036680893250391255</x:v>
      </x:c>
      <x:c r="BL254" t="n">
        <x:f>BB254/BA254-1</x:f>
        <x:v>0.029999999999999805</x:v>
      </x:c>
      <x:c r="BM254" t="n">
        <x:f>AH254*(1-'Assumptions'!$F$15)*(1+'Assumptions'!$D$15)*(1-'Assumptions'!$D$15/'Assumptions'!$E$15)</x:f>
        <x:v>447.97218680971156</x:v>
      </x:c>
      <x:c r="BN254" t="n">
        <x:f>SUMPRODUCT(AI254:AR254,'MOD Model'!$B$83:$K$83)+BM254/('Assumptions'!$C$15-'Assumptions'!$D$15)*'MOD Model'!$K$83</x:f>
        <x:v>3903.231588597184</x:v>
      </x:c>
      <x:c r="BO254" t="n">
        <x:f>'MOD Model'!$B$94</x:f>
        <x:v>553.5</x:v>
      </x:c>
      <x:c r="BP254" t="n">
        <x:f>'Inputs'!$F$8</x:f>
        <x:v>54</x:v>
      </x:c>
    </x:row>
    <x:row r="255">
      <x:c r="A255" t="str">
        <x:v>MOD</x:v>
      </x:c>
      <x:c r="B255" s="22" t="n">
        <x:v>0.09</x:v>
      </x:c>
      <x:c r="C255" s="42" t="n">
        <x:f>(BN255+BO255)/BP255</x:f>
        <x:v>85.66703014891283</x:v>
      </x:c>
      <x:c r="D255" s="22" t="n">
        <x:f>C255/'Inputs'!$F$5-1</x:f>
        <x:v>-0.5599145682270994</x:v>
      </x:c>
      <x:c r="E255" t="n">
        <x:f>'Inputs'!$F$24*(1+$B255)^1</x:f>
        <x:v>1519.8960000000002</x:v>
      </x:c>
      <x:c r="F255" t="n">
        <x:f>'Inputs'!$F$24*(1+$B255)^2</x:f>
        <x:v>1656.6866400000004</x:v>
      </x:c>
      <x:c r="G255" t="n">
        <x:f>'Inputs'!$F$24*(1+$B255)^3</x:f>
        <x:v>1805.7884376000004</x:v>
      </x:c>
      <x:c r="H255" t="n">
        <x:f>'Inputs'!$F$24*(1+$B255)^4</x:f>
        <x:v>1968.3093969840004</x:v>
      </x:c>
      <x:c r="I255" t="n">
        <x:f>'Inputs'!$F$24*(1+$B255)^5</x:f>
        <x:v>2145.457242712561</x:v>
      </x:c>
      <x:c r="J255" t="n">
        <x:f>I255*(1+($BG255+('Assumptions'!$D$15-$BG255)*(6-5)/5))</x:f>
        <x:v>2277.963449545007</x:v>
      </x:c>
      <x:c r="K255" t="n">
        <x:f>J255*(1+($BG255+('Assumptions'!$D$15-$BG255)*(7-5)/5))</x:f>
        <x:v>2400.5656462357288</x:v>
      </x:c>
      <x:c r="L255" t="n">
        <x:f>K255*(1+($BG255+('Assumptions'!$D$15-$BG255)*(8-5)/5))</x:f>
        <x:v>2510.705146384228</x:v>
      </x:c>
      <x:c r="M255" t="n">
        <x:f>L255*(1+($BG255+('Assumptions'!$D$15-$BG255)*(9-5)/5))</x:f>
        <x:v>2605.9621093061305</x:v>
      </x:c>
      <x:c r="N255" t="n">
        <x:f>M255*(1+($BG255+('Assumptions'!$D$15-$BG255)*(10-5)/5))</x:f>
        <x:v>2684.1409725853146</x:v>
      </x:c>
      <x:c r="O255" t="n">
        <x:f>'MOD Model'!$B$68</x:f>
        <x:v>1151.0400000000002</x:v>
      </x:c>
      <x:c r="P255" t="n">
        <x:f>'MOD Model'!$C$68</x:f>
        <x:v>1220.1024000000002</x:v>
      </x:c>
      <x:c r="Q255" t="n">
        <x:f>'MOD Model'!$D$68</x:f>
        <x:v>1281.1075200000002</x:v>
      </x:c>
      <x:c r="R255" t="n">
        <x:f>'MOD Model'!$E$68</x:f>
        <x:v>1345.1628960000003</x:v>
      </x:c>
      <x:c r="S255" t="n">
        <x:f>'MOD Model'!$F$68</x:f>
        <x:v>1398.9694118400002</x:v>
      </x:c>
      <x:c r="T255" t="n">
        <x:f>S255*(1+($BG255+('Assumptions'!$D$15-$BG255)*(6-5)/5))</x:f>
        <x:v>1485.371567309277</x:v>
      </x:c>
      <x:c r="U255" t="n">
        <x:f>T255*(1+($BG255+('Assumptions'!$D$15-$BG255)*(7-5)/5))</x:f>
        <x:v>1565.315702097933</x:v>
      </x:c>
      <x:c r="V255" t="n">
        <x:f>U255*(1+($BG255+('Assumptions'!$D$15-$BG255)*(8-5)/5))</x:f>
        <x:v>1637.1333960960142</x:v>
      </x:c>
      <x:c r="W255" t="n">
        <x:f>V255*(1+($BG255+('Assumptions'!$D$15-$BG255)*(9-5)/5))</x:f>
        <x:v>1699.2467650970352</x:v>
      </x:c>
      <x:c r="X255" t="n">
        <x:f>W255*(1+($BG255+('Assumptions'!$D$15-$BG255)*(10-5)/5))</x:f>
        <x:v>1750.2241680499462</x:v>
      </x:c>
      <x:c r="Y255" t="n">
        <x:f>E255*'MOD Model'!$B$62+O255*'MOD Model'!$B$63+'MOD Model'!$B$73+'MOD Model'!$B$74</x:f>
        <x:v>338.12688</x:v>
      </x:c>
      <x:c r="Z255" t="n">
        <x:f>F255*'MOD Model'!$C$62+P255*'MOD Model'!$C$63+'MOD Model'!$C$73+'MOD Model'!$C$74</x:f>
        <x:v>406.82217600000007</x:v>
      </x:c>
      <x:c r="AA255" t="n">
        <x:f>G255*'MOD Model'!$D$62+Q255*'MOD Model'!$D$63+'MOD Model'!$D$73+'MOD Model'!$D$74</x:f>
        <x:v>473.90914208400005</x:v>
      </x:c>
      <x:c r="AB255" t="n">
        <x:f>H255*'MOD Model'!$E$62+R255*'MOD Model'!$E$63+'MOD Model'!$E$73+'MOD Model'!$E$74</x:f>
        <x:v>522.9759267364801</x:v>
      </x:c>
      <x:c r="AC255" t="n">
        <x:f>I255*'MOD Model'!$F$62+S255*'MOD Model'!$F$63+'MOD Model'!$F$73+'MOD Model'!$F$74</x:f>
        <x:v>564.4281014227633</x:v>
      </x:c>
      <x:c r="AD255" t="n">
        <x:f>AX255*$AC255/$AW255</x:f>
        <x:v>599.2879090480182</x:v>
      </x:c>
      <x:c r="AE255" t="n">
        <x:f>AY255*$AC255/$AW255</x:f>
        <x:v>631.5421640994554</x:v>
      </x:c>
      <x:c r="AF255" t="n">
        <x:f>AZ255*$AC255/$AW255</x:f>
        <x:v>660.5177259157663</x:v>
      </x:c>
      <x:c r="AG255" t="n">
        <x:f>BA255*$AC255/$AW255</x:f>
        <x:v>685.5779814449469</x:v>
      </x:c>
      <x:c r="AH255" t="n">
        <x:f>BB255*$AC255/$AW255</x:f>
        <x:v>706.1453208882953</x:v>
      </x:c>
      <x:c r="AI255" t="n">
        <x:f>Y255*(1-'Assumptions'!$F$15)+AS255*'Assumptions'!$G$15-AS255*'MOD Model'!$B$65-(AS255-'Inputs'!$F$14)*'Assumptions'!$H$15-'Assumptions'!$I$15</x:f>
        <x:v>125.59199999999993</x:v>
      </x:c>
      <x:c r="AJ255" t="n">
        <x:f>Z255*(1-'Assumptions'!$F$15)+AT255*'Assumptions'!$G$15-AT255*'MOD Model'!$C$65-(AT255-AS255)*'Assumptions'!$H$15-0</x:f>
        <x:v>187.93500480000003</x:v>
      </x:c>
      <x:c r="AK255" t="n">
        <x:f>AA255*(1-'Assumptions'!$F$15)+AU255*'Assumptions'!$G$15-AU255*'MOD Model'!$D$65-(AU255-AT255)*'Assumptions'!$H$15-0</x:f>
        <x:v>246.743419983</x:v>
      </x:c>
      <x:c r="AL255" t="n">
        <x:f>AB255*(1-'Assumptions'!$F$15)+AV255*'Assumptions'!$G$15-AV255*'MOD Model'!$E$65-(AV255-AU255)*'Assumptions'!$H$15-0</x:f>
        <x:v>291.97604888508005</x:v>
      </x:c>
      <x:c r="AM255" t="n">
        <x:f>AC255*(1-'Assumptions'!$F$15)+AW255*'Assumptions'!$G$15-AW255*'MOD Model'!$F$65-(AW255-AV255)*'Assumptions'!$H$15-0</x:f>
        <x:v>335.51152201350004</x:v>
      </x:c>
      <x:c r="AN255" t="n">
        <x:f>AD255*(1-'Assumptions'!$F$15)+AX255*'Assumptions'!$G$15-AX255*'MOD Model'!$G$65-(AX255-AW255)*'Assumptions'!$H$15-0</x:f>
        <x:v>360.179652187941</x:v>
      </x:c>
      <x:c r="AO255" t="n">
        <x:f>AE255*(1-'Assumptions'!$F$15)+AY255*'Assumptions'!$G$15-AY255*'MOD Model'!$H$65-(AY255-AX255)*'Assumptions'!$H$15-0</x:f>
        <x:v>383.78645312767986</x:v>
      </x:c>
      <x:c r="AP255" t="n">
        <x:f>AF255*(1-'Assumptions'!$F$15)+AZ255*'Assumptions'!$G$15-AZ255*'MOD Model'!$I$65-(AZ255-AY255)*'Assumptions'!$H$15-0</x:f>
        <x:v>405.8771371776341</x:v>
      </x:c>
      <x:c r="AQ255" t="n">
        <x:f>AG255*(1-'Assumptions'!$F$15)+BA255*'Assumptions'!$G$15-BA255*'MOD Model'!$J$65-(BA255-AZ255)*'Assumptions'!$H$15-0</x:f>
        <x:v>425.99980317922393</x:v>
      </x:c>
      <x:c r="AR255" t="n">
        <x:f>AH255*(1-'Assumptions'!$F$15)+BB255*'Assumptions'!$G$15-BB255*'MOD Model'!$K$65-(BB255-BA255)*'Assumptions'!$H$15-0</x:f>
        <x:v>443.7200736218782</x:v>
      </x:c>
      <x:c r="AS255" t="n">
        <x:f>E255+O255</x:f>
        <x:v>2670.9360000000006</x:v>
      </x:c>
      <x:c r="AT255" t="n">
        <x:f>F255+P255</x:f>
        <x:v>2876.7890400000006</x:v>
      </x:c>
      <x:c r="AU255" t="n">
        <x:f>G255+Q255</x:f>
        <x:v>3086.8959576000007</x:v>
      </x:c>
      <x:c r="AV255" t="n">
        <x:f>H255+R255</x:f>
        <x:v>3313.472292984001</x:v>
      </x:c>
      <x:c r="AW255" t="n">
        <x:f>I255+S255</x:f>
        <x:v>3544.426654552561</x:v>
      </x:c>
      <x:c r="AX255" t="n">
        <x:f>J255+T255</x:f>
        <x:v>3763.335016854284</x:v>
      </x:c>
      <x:c r="AY255" t="n">
        <x:f>K255+U255</x:f>
        <x:v>3965.8813483336617</x:v>
      </x:c>
      <x:c r="AZ255" t="n">
        <x:f>L255+V255</x:f>
        <x:v>4147.838542480242</x:v>
      </x:c>
      <x:c r="BA255" t="n">
        <x:f>M255+W255</x:f>
        <x:v>4305.208874403166</x:v>
      </x:c>
      <x:c r="BB255" t="n">
        <x:f>N255+X255</x:f>
        <x:v>4434.365140635261</x:v>
      </x:c>
      <x:c r="BC255" t="n">
        <x:f>AS255/'Inputs'!$F$14-1</x:f>
        <x:v>0.09428711897738462</x:v>
      </x:c>
      <x:c r="BD255" t="n">
        <x:f>AT255/AS255-1</x:f>
        <x:v>0.07707149853085205</x:v>
      </x:c>
      <x:c r="BE255" t="n">
        <x:f>AU255/AT255-1</x:f>
        <x:v>0.0730352190162682</x:v>
      </x:c>
      <x:c r="BF255" t="n">
        <x:f>AV255/AU255-1</x:f>
        <x:v>0.0733994078505189</x:v>
      </x:c>
      <x:c r="BG255" t="n">
        <x:f>AW255/AV255-1</x:f>
        <x:v>0.06970161243164363</x:v>
      </x:c>
      <x:c r="BH255" t="n">
        <x:f>AX255/AW255-1</x:f>
        <x:v>0.06176128994531482</x:v>
      </x:c>
      <x:c r="BI255" t="n">
        <x:f>AY255/AX255-1</x:f>
        <x:v>0.053820967458986235</x:v>
      </x:c>
      <x:c r="BJ255" t="n">
        <x:f>AZ255/AY255-1</x:f>
        <x:v>0.0458806449726572</x:v>
      </x:c>
      <x:c r="BK255" t="n">
        <x:f>BA255/AZ255-1</x:f>
        <x:v>0.03794032248632884</x:v>
      </x:c>
      <x:c r="BL255" t="n">
        <x:f>BB255/BA255-1</x:f>
        <x:v>0.030000000000000027</x:v>
      </x:c>
      <x:c r="BM255" t="n">
        <x:f>AH255*(1-'Assumptions'!$F$15)*(1+'Assumptions'!$D$15)*(1-'Assumptions'!$D$15/'Assumptions'!$E$15)</x:f>
        <x:v>471.1112703335433</x:v>
      </x:c>
      <x:c r="BN255" t="n">
        <x:f>SUMPRODUCT(AI255:AR255,'MOD Model'!$B$83:$K$83)+BM255/('Assumptions'!$C$15-'Assumptions'!$D$15)*'MOD Model'!$K$83</x:f>
        <x:v>4072.519628041293</x:v>
      </x:c>
      <x:c r="BO255" t="n">
        <x:f>'MOD Model'!$B$94</x:f>
        <x:v>553.5</x:v>
      </x:c>
      <x:c r="BP255" t="n">
        <x:f>'Inputs'!$F$8</x:f>
        <x:v>54</x:v>
      </x:c>
    </x:row>
    <x:row r="256">
      <x:c r="A256" t="str">
        <x:v>MOD</x:v>
      </x:c>
      <x:c r="B256" s="22" t="n">
        <x:v>0.1</x:v>
      </x:c>
      <x:c r="C256" s="42" t="n">
        <x:f>(BN256+BO256)/BP256</x:f>
        <x:v>88.96335522386386</x:v>
      </x:c>
      <x:c r="D256" s="22" t="n">
        <x:f>C256/'Inputs'!$F$5-1</x:f>
        <x:v>-0.5429808115490401</x:v>
      </x:c>
      <x:c r="E256" t="n">
        <x:f>'Inputs'!$F$24*(1+$B256)^1</x:f>
        <x:v>1533.8400000000001</x:v>
      </x:c>
      <x:c r="F256" t="n">
        <x:f>'Inputs'!$F$24*(1+$B256)^2</x:f>
        <x:v>1687.2240000000004</x:v>
      </x:c>
      <x:c r="G256" t="n">
        <x:f>'Inputs'!$F$24*(1+$B256)^3</x:f>
        <x:v>1855.9464000000007</x:v>
      </x:c>
      <x:c r="H256" t="n">
        <x:f>'Inputs'!$F$24*(1+$B256)^4</x:f>
        <x:v>2041.5410400000007</x:v>
      </x:c>
      <x:c r="I256" t="n">
        <x:f>'Inputs'!$F$24*(1+$B256)^5</x:f>
        <x:v>2245.6951440000007</x:v>
      </x:c>
      <x:c r="J256" t="n">
        <x:f>I256*(1+($BG256+('Assumptions'!$D$15-$BG256)*(6-5)/5))</x:f>
        <x:v>2396.0105439209756</x:v>
      </x:c>
      <x:c r="K256" t="n">
        <x:f>J256*(1+($BG256+('Assumptions'!$D$15-$BG256)*(7-5)/5))</x:f>
        <x:v>2534.2631836431137</x:v>
      </x:c>
      <x:c r="L256" t="n">
        <x:f>K256*(1+($BG256+('Assumptions'!$D$15-$BG256)*(8-5)/5))</x:f>
        <x:v>2657.09246908331</x:v>
      </x:c>
      <x:c r="M256" t="n">
        <x:f>L256*(1+($BG256+('Assumptions'!$D$15-$BG256)*(9-5)/5))</x:f>
        <x:v>2761.3401102388066</x:v>
      </x:c>
      <x:c r="N256" t="n">
        <x:f>M256*(1+($BG256+('Assumptions'!$D$15-$BG256)*(10-5)/5))</x:f>
        <x:v>2844.180313545971</x:v>
      </x:c>
      <x:c r="O256" t="n">
        <x:f>'MOD Model'!$B$68</x:f>
        <x:v>1151.0400000000002</x:v>
      </x:c>
      <x:c r="P256" t="n">
        <x:f>'MOD Model'!$C$68</x:f>
        <x:v>1220.1024000000002</x:v>
      </x:c>
      <x:c r="Q256" t="n">
        <x:f>'MOD Model'!$D$68</x:f>
        <x:v>1281.1075200000002</x:v>
      </x:c>
      <x:c r="R256" t="n">
        <x:f>'MOD Model'!$E$68</x:f>
        <x:v>1345.1628960000003</x:v>
      </x:c>
      <x:c r="S256" t="n">
        <x:f>'MOD Model'!$F$68</x:f>
        <x:v>1398.9694118400002</x:v>
      </x:c>
      <x:c r="T256" t="n">
        <x:f>S256*(1+($BG256+('Assumptions'!$D$15-$BG256)*(6-5)/5))</x:f>
        <x:v>1492.6093020004166</x:v>
      </x:c>
      <x:c r="U256" t="n">
        <x:f>T256*(1+($BG256+('Assumptions'!$D$15-$BG256)*(7-5)/5))</x:f>
        <x:v>1578.7346225249582</x:v>
      </x:c>
      <x:c r="V256" t="n">
        <x:f>U256*(1+($BG256+('Assumptions'!$D$15-$BG256)*(8-5)/5))</x:f>
        <x:v>1655.2518709449419</x:v>
      </x:c>
      <x:c r="W256" t="n">
        <x:f>V256*(1+($BG256+('Assumptions'!$D$15-$BG256)*(9-5)/5))</x:f>
        <x:v>1720.1935713456676</x:v>
      </x:c>
      <x:c r="X256" t="n">
        <x:f>W256*(1+($BG256+('Assumptions'!$D$15-$BG256)*(10-5)/5))</x:f>
        <x:v>1771.7993784860375</x:v>
      </x:c>
      <x:c r="Y256" t="n">
        <x:f>E256*'MOD Model'!$B$62+O256*'MOD Model'!$B$63+'MOD Model'!$B$73+'MOD Model'!$B$74</x:f>
        <x:v>340.6368</x:v>
      </x:c>
      <x:c r="Z256" t="n">
        <x:f>F256*'MOD Model'!$C$62+P256*'MOD Model'!$C$63+'MOD Model'!$C$73+'MOD Model'!$C$74</x:f>
        <x:v>412.9296480000001</x:v>
      </x:c>
      <x:c r="AA256" t="n">
        <x:f>G256*'MOD Model'!$D$62+Q256*'MOD Model'!$D$63+'MOD Model'!$D$73+'MOD Model'!$D$74</x:f>
        <x:v>484.6931040000001</x:v>
      </x:c>
      <x:c r="AB256" t="n">
        <x:f>H256*'MOD Model'!$E$62+R256*'MOD Model'!$E$63+'MOD Model'!$E$73+'MOD Model'!$E$74</x:f>
        <x:v>539.0868882000002</x:v>
      </x:c>
      <x:c r="AC256" t="n">
        <x:f>I256*'MOD Model'!$F$62+S256*'MOD Model'!$F$63+'MOD Model'!$F$73+'MOD Model'!$F$74</x:f>
        <x:v>586.4804397060001</x:v>
      </x:c>
      <x:c r="AD256" t="n">
        <x:f>AX256*$AC256/$AW256</x:f>
        <x:v>625.7364545198418</x:v>
      </x:c>
      <x:c r="AE256" t="n">
        <x:f>AY256*$AC256/$AW256</x:f>
        <x:v>661.8421873711549</x:v>
      </x:c>
      <x:c r="AF256" t="n">
        <x:f>AZ256*$AC256/$AW256</x:f>
        <x:v>693.9199934465729</x:v>
      </x:c>
      <x:c r="AG256" t="n">
        <x:f>BA256*$AC256/$AW256</x:f>
        <x:v>721.145061188532</x:v>
      </x:c>
      <x:c r="AH256" t="n">
        <x:f>BB256*$AC256/$AW256</x:f>
        <x:v>742.7794130241881</x:v>
      </x:c>
      <x:c r="AI256" t="n">
        <x:f>Y256*(1-'Assumptions'!$F$15)+AS256*'Assumptions'!$G$15-AS256*'MOD Model'!$B$65-(AS256-'Inputs'!$F$14)*'Assumptions'!$H$15-'Assumptions'!$I$15</x:f>
        <x:v>124.8948</x:v>
      </x:c>
      <x:c r="AJ256" t="n">
        <x:f>Z256*(1-'Assumptions'!$F$15)+AT256*'Assumptions'!$G$15-AT256*'MOD Model'!$C$65-(AT256-AS256)*'Assumptions'!$H$15-0</x:f>
        <x:v>189.11048399999999</x:v>
      </x:c>
      <x:c r="AK256" t="n">
        <x:f>AA256*(1-'Assumptions'!$F$15)+AU256*'Assumptions'!$G$15-AU256*'MOD Model'!$D$65-(AU256-AT256)*'Assumptions'!$H$15-0</x:f>
        <x:v>250.634352</x:v>
      </x:c>
      <x:c r="AL256" t="n">
        <x:f>AB256*(1-'Assumptions'!$F$15)+AV256*'Assumptions'!$G$15-AV256*'MOD Model'!$E$65-(AV256-AU256)*'Assumptions'!$H$15-0</x:f>
        <x:v>299.1335850300002</x:v>
      </x:c>
      <x:c r="AM256" t="n">
        <x:f>AC256*(1-'Assumptions'!$F$15)+AW256*'Assumptions'!$G$15-AW256*'MOD Model'!$F$65-(AW256-AV256)*'Assumptions'!$H$15-0</x:f>
        <x:v>346.4962684659001</x:v>
      </x:c>
      <x:c r="AN256" t="n">
        <x:f>AD256*(1-'Assumptions'!$F$15)+AX256*'Assumptions'!$G$15-AX256*'MOD Model'!$G$65-(AX256-AW256)*'Assumptions'!$H$15-0</x:f>
        <x:v>374.37974968885186</x:v>
      </x:c>
      <x:c r="AO256" t="n">
        <x:f>AE256*(1-'Assumptions'!$F$15)+AY256*'Assumptions'!$G$15-AY256*'MOD Model'!$H$65-(AY256-AX256)*'Assumptions'!$H$15-0</x:f>
        <x:v>401.02997939884307</x:v>
      </x:c>
      <x:c r="AP256" t="n">
        <x:f>AF256*(1-'Assumptions'!$F$15)+AZ256*'Assumptions'!$G$15-AZ256*'MOD Model'!$I$65-(AZ256-AY256)*'Assumptions'!$H$15-0</x:f>
        <x:v>425.85284990547893</x:v>
      </x:c>
      <x:c r="AQ256" t="n">
        <x:f>AG256*(1-'Assumptions'!$F$15)+BA256*'Assumptions'!$G$15-BA256*'MOD Model'!$J$65-(BA256-AZ256)*'Assumptions'!$H$15-0</x:f>
        <x:v>448.2573894341988</x:v>
      </x:c>
      <x:c r="AR256" t="n">
        <x:f>AH256*(1-'Assumptions'!$F$15)+BB256*'Assumptions'!$G$15-BB256*'MOD Model'!$K$65-(BB256-BA256)*'Assumptions'!$H$15-0</x:f>
        <x:v>467.6779628205307</x:v>
      </x:c>
      <x:c r="AS256" t="n">
        <x:f>E256+O256</x:f>
        <x:v>2684.88</x:v>
      </x:c>
      <x:c r="AT256" t="n">
        <x:f>F256+P256</x:f>
        <x:v>2907.326400000001</x:v>
      </x:c>
      <x:c r="AU256" t="n">
        <x:f>G256+Q256</x:f>
        <x:v>3137.053920000001</x:v>
      </x:c>
      <x:c r="AV256" t="n">
        <x:f>H256+R256</x:f>
        <x:v>3386.703936000001</x:v>
      </x:c>
      <x:c r="AW256" t="n">
        <x:f>I256+S256</x:f>
        <x:v>3644.664555840001</x:v>
      </x:c>
      <x:c r="AX256" t="n">
        <x:f>J256+T256</x:f>
        <x:v>3888.619845921392</x:v>
      </x:c>
      <x:c r="AY256" t="n">
        <x:f>K256+U256</x:f>
        <x:v>4112.997806168072</x:v>
      </x:c>
      <x:c r="AZ256" t="n">
        <x:f>L256+V256</x:f>
        <x:v>4312.344340028252</x:v>
      </x:c>
      <x:c r="BA256" t="n">
        <x:f>M256+W256</x:f>
        <x:v>4481.533681584474</x:v>
      </x:c>
      <x:c r="BB256" t="n">
        <x:f>N256+X256</x:f>
        <x:v>4615.979692032009</x:v>
      </x:c>
      <x:c r="BC256" t="n">
        <x:f>AS256/'Inputs'!$F$14-1</x:f>
        <x:v>0.09999999999999987</x:v>
      </x:c>
      <x:c r="BD256" t="n">
        <x:f>AT256/AS256-1</x:f>
        <x:v>0.08285152409046237</x:v>
      </x:c>
      <x:c r="BE256" t="n">
        <x:f>AU256/AT256-1</x:f>
        <x:v>0.07901676261736568</x:v>
      </x:c>
      <x:c r="BF256" t="n">
        <x:f>AV256/AU256-1</x:f>
        <x:v>0.07958104080021666</x:v>
      </x:c>
      <x:c r="BG256" t="n">
        <x:f>AW256/AV256-1</x:f>
        <x:v>0.07616863614735525</x:v>
      </x:c>
      <x:c r="BH256" t="n">
        <x:f>AX256/AW256-1</x:f>
        <x:v>0.06693490891788412</x:v>
      </x:c>
      <x:c r="BI256" t="n">
        <x:f>AY256/AX256-1</x:f>
        <x:v>0.05770118168841343</x:v>
      </x:c>
      <x:c r="BJ256" t="n">
        <x:f>AZ256/AY256-1</x:f>
        <x:v>0.04846745445894207</x:v>
      </x:c>
      <x:c r="BK256" t="n">
        <x:f>BA256/AZ256-1</x:f>
        <x:v>0.03923372722947094</x:v>
      </x:c>
      <x:c r="BL256" t="n">
        <x:f>BB256/BA256-1</x:f>
        <x:v>0.030000000000000027</x:v>
      </x:c>
      <x:c r="BM256" t="n">
        <x:f>AH256*(1-'Assumptions'!$F$15)*(1+'Assumptions'!$D$15)*(1-'Assumptions'!$D$15/'Assumptions'!$E$15)</x:f>
        <x:v>495.5520379392055</x:v>
      </x:c>
      <x:c r="BN256" t="n">
        <x:f>SUMPRODUCT(AI256:AR256,'MOD Model'!$B$83:$K$83)+BM256/('Assumptions'!$C$15-'Assumptions'!$D$15)*'MOD Model'!$K$83</x:f>
        <x:v>4250.521182088648</x:v>
      </x:c>
      <x:c r="BO256" t="n">
        <x:f>'MOD Model'!$B$94</x:f>
        <x:v>553.5</x:v>
      </x:c>
      <x:c r="BP256" t="n">
        <x:f>'Inputs'!$F$8</x:f>
        <x:v>54</x:v>
      </x:c>
    </x:row>
    <x:row r="257">
      <x:c r="A257" t="str">
        <x:v>MOD</x:v>
      </x:c>
      <x:c r="B257" s="22" t="n">
        <x:v>0.11</x:v>
      </x:c>
      <x:c r="C257" s="42" t="n">
        <x:f>(BN257+BO257)/BP257</x:f>
        <x:v>92.42890339060277</x:v>
      </x:c>
      <x:c r="D257" s="22" t="n">
        <x:f>C257/'Inputs'!$F$5-1</x:f>
        <x:v>-0.5251777283951362</x:v>
      </x:c>
      <x:c r="E257" t="n">
        <x:f>'Inputs'!$F$24*(1+$B257)^1</x:f>
        <x:v>1547.7840000000003</x:v>
      </x:c>
      <x:c r="F257" t="n">
        <x:f>'Inputs'!$F$24*(1+$B257)^2</x:f>
        <x:v>1718.0402400000005</x:v>
      </x:c>
      <x:c r="G257" t="n">
        <x:f>'Inputs'!$F$24*(1+$B257)^3</x:f>
        <x:v>1907.0246664000006</x:v>
      </x:c>
      <x:c r="H257" t="n">
        <x:f>'Inputs'!$F$24*(1+$B257)^4</x:f>
        <x:v>2116.797379704001</x:v>
      </x:c>
      <x:c r="I257" t="n">
        <x:f>'Inputs'!$F$24*(1+$B257)^5</x:f>
        <x:v>2349.645091471441</x:v>
      </x:c>
      <x:c r="J257" t="n">
        <x:f>I257*(1+($BG257+('Assumptions'!$D$15-$BG257)*(6-5)/5))</x:f>
        <x:v>2519.385579545196</x:v>
      </x:c>
      <x:c r="K257" t="n">
        <x:f>J257*(1+($BG257+('Assumptions'!$D$15-$BG257)*(7-5)/5))</x:f>
        <x:v>2674.782992315137</x:v>
      </x:c>
      <x:c r="L257" t="n">
        <x:f>K257*(1+($BG257+('Assumptions'!$D$15-$BG257)*(8-5)/5))</x:f>
        <x:v>2811.519109356517</x:v>
      </x:c>
      <x:c r="M257" t="n">
        <x:f>L257*(1+($BG257+('Assumptions'!$D$15-$BG257)*(9-5)/5))</x:f>
        <x:v>2925.5549606091276</x:v>
      </x:c>
      <x:c r="N257" t="n">
        <x:f>M257*(1+($BG257+('Assumptions'!$D$15-$BG257)*(10-5)/5))</x:f>
        <x:v>3013.3216094274017</x:v>
      </x:c>
      <x:c r="O257" t="n">
        <x:f>'MOD Model'!$B$68</x:f>
        <x:v>1151.0400000000002</x:v>
      </x:c>
      <x:c r="P257" t="n">
        <x:f>'MOD Model'!$C$68</x:f>
        <x:v>1220.1024000000002</x:v>
      </x:c>
      <x:c r="Q257" t="n">
        <x:f>'MOD Model'!$D$68</x:f>
        <x:v>1281.1075200000002</x:v>
      </x:c>
      <x:c r="R257" t="n">
        <x:f>'MOD Model'!$E$68</x:f>
        <x:v>1345.1628960000003</x:v>
      </x:c>
      <x:c r="S257" t="n">
        <x:f>'MOD Model'!$F$68</x:f>
        <x:v>1398.9694118400002</x:v>
      </x:c>
      <x:c r="T257" t="n">
        <x:f>S257*(1+($BG257+('Assumptions'!$D$15-$BG257)*(6-5)/5))</x:f>
        <x:v>1500.0322283597784</x:v>
      </x:c>
      <x:c r="U257" t="n">
        <x:f>T257*(1+($BG257+('Assumptions'!$D$15-$BG257)*(7-5)/5))</x:f>
        <x:v>1592.5552344653859</x:v>
      </x:c>
      <x:c r="V257" t="n">
        <x:f>U257*(1+($BG257+('Assumptions'!$D$15-$BG257)*(8-5)/5))</x:f>
        <x:v>1673.9673787628346</x:v>
      </x:c>
      <x:c r="W257" t="n">
        <x:f>V257*(1+($BG257+('Assumptions'!$D$15-$BG257)*(9-5)/5))</x:f>
        <x:v>1741.863874422795</x:v>
      </x:c>
      <x:c r="X257" t="n">
        <x:f>W257*(1+($BG257+('Assumptions'!$D$15-$BG257)*(10-5)/5))</x:f>
        <x:v>1794.119790655479</x:v>
      </x:c>
      <x:c r="Y257" t="n">
        <x:f>E257*'MOD Model'!$B$62+O257*'MOD Model'!$B$63+'MOD Model'!$B$73+'MOD Model'!$B$74</x:f>
        <x:v>343.1467200000001</x:v>
      </x:c>
      <x:c r="Z257" t="n">
        <x:f>F257*'MOD Model'!$C$62+P257*'MOD Model'!$C$63+'MOD Model'!$C$73+'MOD Model'!$C$74</x:f>
        <x:v>419.09289600000017</x:v>
      </x:c>
      <x:c r="AA257" t="n">
        <x:f>G257*'MOD Model'!$D$62+Q257*'MOD Model'!$D$63+'MOD Model'!$D$73+'MOD Model'!$D$74</x:f>
        <x:v>495.6749312760001</x:v>
      </x:c>
      <x:c r="AB257" t="n">
        <x:f>H257*'MOD Model'!$E$62+R257*'MOD Model'!$E$63+'MOD Model'!$E$73+'MOD Model'!$E$74</x:f>
        <x:v>555.6432829348802</x:v>
      </x:c>
      <x:c r="AC257" t="n">
        <x:f>I257*'MOD Model'!$F$62+S257*'MOD Model'!$F$63+'MOD Model'!$F$73+'MOD Model'!$F$74</x:f>
        <x:v>609.3494281497169</x:v>
      </x:c>
      <x:c r="AD257" t="n">
        <x:f>AX257*$AC257/$AW257</x:f>
        <x:v>653.3693823619608</x:v>
      </x:c>
      <x:c r="AE257" t="n">
        <x:f>AY257*$AC257/$AW257</x:f>
        <x:v>693.6696493899525</x:v>
      </x:c>
      <x:c r="AF257" t="n">
        <x:f>AZ257*$AC257/$AW257</x:f>
        <x:v>729.1303557872745</x:v>
      </x:c>
      <x:c r="AG257" t="n">
        <x:f>BA257*$AC257/$AW257</x:f>
        <x:v>758.7040480021395</x:v>
      </x:c>
      <x:c r="AH257" t="n">
        <x:f>BB257*$AC257/$AW257</x:f>
        <x:v>781.4651694422037</x:v>
      </x:c>
      <x:c r="AI257" t="n">
        <x:f>Y257*(1-'Assumptions'!$F$15)+AS257*'Assumptions'!$G$15-AS257*'MOD Model'!$B$65-(AS257-'Inputs'!$F$14)*'Assumptions'!$H$15-'Assumptions'!$I$15</x:f>
        <x:v>124.19759999999994</x:v>
      </x:c>
      <x:c r="AJ257" t="n">
        <x:f>Z257*(1-'Assumptions'!$F$15)+AT257*'Assumptions'!$G$15-AT257*'MOD Model'!$C$65-(AT257-AS257)*'Assumptions'!$H$15-0</x:f>
        <x:v>190.27759680000005</x:v>
      </x:c>
      <x:c r="AK257" t="n">
        <x:f>AA257*(1-'Assumptions'!$F$15)+AU257*'Assumptions'!$G$15-AU257*'MOD Model'!$D$65-(AU257-AT257)*'Assumptions'!$H$15-0</x:f>
        <x:v>254.55446183700002</x:v>
      </x:c>
      <x:c r="AL257" t="n">
        <x:f>AB257*(1-'Assumptions'!$F$15)+AV257*'Assumptions'!$G$15-AV257*'MOD Model'!$E$65-(AV257-AU257)*'Assumptions'!$H$15-0</x:f>
        <x:v>306.4190432914801</x:v>
      </x:c>
      <x:c r="AM257" t="n">
        <x:f>AC257*(1-'Assumptions'!$F$15)+AW257*'Assumptions'!$G$15-AW257*'MOD Model'!$F$65-(AW257-AV257)*'Assumptions'!$H$15-0</x:f>
        <x:v>357.7847194215001</x:v>
      </x:c>
      <x:c r="AN257" t="n">
        <x:f>AD257*(1-'Assumptions'!$F$15)+AX257*'Assumptions'!$G$15-AX257*'MOD Model'!$G$65-(AX257-AW257)*'Assumptions'!$H$15-0</x:f>
        <x:v>389.11527396386606</x:v>
      </x:c>
      <x:c r="AO257" t="n">
        <x:f>AE257*(1-'Assumptions'!$F$15)+AY257*'Assumptions'!$G$15-AY257*'MOD Model'!$H$65-(AY257-AX257)*'Assumptions'!$H$15-0</x:f>
        <x:v>419.05410080942426</x:v>
      </x:c>
      <x:c r="AP257" t="n">
        <x:f>AF257*(1-'Assumptions'!$F$15)+AZ257*'Assumptions'!$G$15-AZ257*'MOD Model'!$I$65-(AZ257-AY257)*'Assumptions'!$H$15-0</x:f>
        <x:v>446.8432303178414</x:v>
      </x:c>
      <x:c r="AQ257" t="n">
        <x:f>AG257*(1-'Assumptions'!$F$15)+BA257*'Assumptions'!$G$15-BA257*'MOD Model'!$J$65-(BA257-AZ257)*'Assumptions'!$H$15-0</x:f>
        <x:v>471.7269014392401</x:v>
      </x:c>
      <x:c r="AR257" t="n">
        <x:f>AH257*(1-'Assumptions'!$F$15)+BB257*'Assumptions'!$G$15-BB257*'MOD Model'!$K$65-(BB257-BA257)*'Assumptions'!$H$15-0</x:f>
        <x:v>492.9838713227658</x:v>
      </x:c>
      <x:c r="AS257" t="n">
        <x:f>E257+O257</x:f>
        <x:v>2698.8240000000005</x:v>
      </x:c>
      <x:c r="AT257" t="n">
        <x:f>F257+P257</x:f>
        <x:v>2938.142640000001</x:v>
      </x:c>
      <x:c r="AU257" t="n">
        <x:f>G257+Q257</x:f>
        <x:v>3188.132186400001</x:v>
      </x:c>
      <x:c r="AV257" t="n">
        <x:f>H257+R257</x:f>
        <x:v>3461.960275704001</x:v>
      </x:c>
      <x:c r="AW257" t="n">
        <x:f>I257+S257</x:f>
        <x:v>3748.6145033114412</x:v>
      </x:c>
      <x:c r="AX257" t="n">
        <x:f>J257+T257</x:f>
        <x:v>4019.4178079049743</x:v>
      </x:c>
      <x:c r="AY257" t="n">
        <x:f>K257+U257</x:f>
        <x:v>4267.338226780523</x:v>
      </x:c>
      <x:c r="AZ257" t="n">
        <x:f>L257+V257</x:f>
        <x:v>4485.486488119352</x:v>
      </x:c>
      <x:c r="BA257" t="n">
        <x:f>M257+W257</x:f>
        <x:v>4667.418835031923</x:v>
      </x:c>
      <x:c r="BB257" t="n">
        <x:f>N257+X257</x:f>
        <x:v>4807.44140008288</x:v>
      </x:c>
      <x:c r="BC257" t="n">
        <x:f>AS257/'Inputs'!$F$14-1</x:f>
        <x:v>0.10571288102261578</x:v>
      </x:c>
      <x:c r="BD257" t="n">
        <x:f>AT257/AS257-1</x:f>
        <x:v>0.08867515629029543</x:v>
      </x:c>
      <x:c r="BE257" t="n">
        <x:f>AU257/AT257-1</x:f>
        <x:v>0.08508421034317104</x:v>
      </x:c>
      <x:c r="BF257" t="n">
        <x:f>AV257/AU257-1</x:f>
        <x:v>0.08588981676233542</x:v>
      </x:c>
      <x:c r="BG257" t="n">
        <x:f>AW257/AV257-1</x:f>
        <x:v>0.08280113137610967</x:v>
      </x:c>
      <x:c r="BH257" t="n">
        <x:f>AX257/AW257-1</x:f>
        <x:v>0.07224090510088765</x:v>
      </x:c>
      <x:c r="BI257" t="n">
        <x:f>AY257/AX257-1</x:f>
        <x:v>0.06168067882566586</x:v>
      </x:c>
      <x:c r="BJ257" t="n">
        <x:f>AZ257/AY257-1</x:f>
        <x:v>0.05112045255044384</x:v>
      </x:c>
      <x:c r="BK257" t="n">
        <x:f>BA257/AZ257-1</x:f>
        <x:v>0.04056022627522182</x:v>
      </x:c>
      <x:c r="BL257" t="n">
        <x:f>BB257/BA257-1</x:f>
        <x:v>0.030000000000000027</x:v>
      </x:c>
      <x:c r="BM257" t="n">
        <x:f>AH257*(1-'Assumptions'!$F$15)*(1+'Assumptions'!$D$15)*(1-'Assumptions'!$D$15/'Assumptions'!$E$15)</x:f>
        <x:v>521.3615920221793</x:v>
      </x:c>
      <x:c r="BN257" t="n">
        <x:f>SUMPRODUCT(AI257:AR257,'MOD Model'!$B$83:$K$83)+BM257/('Assumptions'!$C$15-'Assumptions'!$D$15)*'MOD Model'!$K$83</x:f>
        <x:v>4437.6607830925495</x:v>
      </x:c>
      <x:c r="BO257" t="n">
        <x:f>'MOD Model'!$B$94</x:f>
        <x:v>553.5</x:v>
      </x:c>
      <x:c r="BP257" t="n">
        <x:f>'Inputs'!$F$8</x:f>
        <x:v>54</x:v>
      </x:c>
    </x:row>
    <x:row r="258">
      <x:c r="A258" t="str">
        <x:v>MOD</x:v>
      </x:c>
      <x:c r="B258" s="22" t="n">
        <x:v>0.12</x:v>
      </x:c>
      <x:c r="C258" s="42" t="n">
        <x:f>(BN258+BO258)/BP258</x:f>
        <x:v>96.07187180585512</x:v>
      </x:c>
      <x:c r="D258" s="22" t="n">
        <x:f>C258/'Inputs'!$F$5-1</x:f>
        <x:v>-0.5064632086414511</x:v>
      </x:c>
      <x:c r="E258" t="n">
        <x:f>'Inputs'!$F$24*(1+$B258)^1</x:f>
        <x:v>1561.7280000000003</x:v>
      </x:c>
      <x:c r="F258" t="n">
        <x:f>'Inputs'!$F$24*(1+$B258)^2</x:f>
        <x:v>1749.1353600000004</x:v>
      </x:c>
      <x:c r="G258" t="n">
        <x:f>'Inputs'!$F$24*(1+$B258)^3</x:f>
        <x:v>1959.0316032000007</x:v>
      </x:c>
      <x:c r="H258" t="n">
        <x:f>'Inputs'!$F$24*(1+$B258)^4</x:f>
        <x:v>2194.1153955840005</x:v>
      </x:c>
      <x:c r="I258" t="n">
        <x:f>'Inputs'!$F$24*(1+$B258)^5</x:f>
        <x:v>2457.409243054081</x:v>
      </x:c>
      <x:c r="J258" t="n">
        <x:f>I258*(1+($BG258+('Assumptions'!$D$15-$BG258)*(6-5)/5))</x:f>
        <x:v>2648.2902550814565</x:v>
      </x:c>
      <x:c r="K258" t="n">
        <x:f>J258*(1+($BG258+('Assumptions'!$D$15-$BG258)*(7-5)/5))</x:f>
        <x:v>2822.4333048673957</x:v>
      </x:c>
      <x:c r="L258" t="n">
        <x:f>K258*(1+($BG258+('Assumptions'!$D$15-$BG258)*(8-5)/5))</x:f>
        <x:v>2974.387062358607</x:v>
      </x:c>
      <x:c r="M258" t="n">
        <x:f>L258*(1+($BG258+('Assumptions'!$D$15-$BG258)*(9-5)/5))</x:f>
        <x:v>3099.0701792875175</x:v>
      </x:c>
      <x:c r="N258" t="n">
        <x:f>M258*(1+($BG258+('Assumptions'!$D$15-$BG258)*(10-5)/5))</x:f>
        <x:v>3192.042284666143</x:v>
      </x:c>
      <x:c r="O258" t="n">
        <x:f>'MOD Model'!$B$68</x:f>
        <x:v>1151.0400000000002</x:v>
      </x:c>
      <x:c r="P258" t="n">
        <x:f>'MOD Model'!$C$68</x:f>
        <x:v>1220.1024000000002</x:v>
      </x:c>
      <x:c r="Q258" t="n">
        <x:f>'MOD Model'!$D$68</x:f>
        <x:v>1281.1075200000002</x:v>
      </x:c>
      <x:c r="R258" t="n">
        <x:f>'MOD Model'!$E$68</x:f>
        <x:v>1345.1628960000003</x:v>
      </x:c>
      <x:c r="S258" t="n">
        <x:f>'MOD Model'!$F$68</x:f>
        <x:v>1398.9694118400002</x:v>
      </x:c>
      <x:c r="T258" t="n">
        <x:f>S258*(1+($BG258+('Assumptions'!$D$15-$BG258)*(6-5)/5))</x:f>
        <x:v>1507.6353566280516</x:v>
      </x:c>
      <x:c r="U258" t="n">
        <x:f>T258*(1+($BG258+('Assumptions'!$D$15-$BG258)*(7-5)/5))</x:f>
        <x:v>1606.772608847501</x:v>
      </x:c>
      <x:c r="V258" t="n">
        <x:f>U258*(1+($BG258+('Assumptions'!$D$15-$BG258)*(8-5)/5))</x:f>
        <x:v>1693.277800990493</x:v>
      </x:c>
      <x:c r="W258" t="n">
        <x:f>V258*(1+($BG258+('Assumptions'!$D$15-$BG258)*(9-5)/5))</x:f>
        <x:v>1764.2581911104699</x:v>
      </x:c>
      <x:c r="X258" t="n">
        <x:f>W258*(1+($BG258+('Assumptions'!$D$15-$BG258)*(10-5)/5))</x:f>
        <x:v>1817.185936843784</x:v>
      </x:c>
      <x:c r="Y258" t="n">
        <x:f>E258*'MOD Model'!$B$62+O258*'MOD Model'!$B$63+'MOD Model'!$B$73+'MOD Model'!$B$74</x:f>
        <x:v>345.65664000000004</x:v>
      </x:c>
      <x:c r="Z258" t="n">
        <x:f>F258*'MOD Model'!$C$62+P258*'MOD Model'!$C$63+'MOD Model'!$C$73+'MOD Model'!$C$74</x:f>
        <x:v>425.31192000000016</x:v>
      </x:c>
      <x:c r="AA258" t="n">
        <x:f>G258*'MOD Model'!$D$62+Q258*'MOD Model'!$D$63+'MOD Model'!$D$73+'MOD Model'!$D$74</x:f>
        <x:v>506.8564226880001</x:v>
      </x:c>
      <x:c r="AB258" t="n">
        <x:f>H258*'MOD Model'!$E$62+R258*'MOD Model'!$E$63+'MOD Model'!$E$73+'MOD Model'!$E$74</x:f>
        <x:v>572.6532464284801</x:v>
      </x:c>
      <x:c r="AC258" t="n">
        <x:f>I258*'MOD Model'!$F$62+S258*'MOD Model'!$F$63+'MOD Model'!$F$73+'MOD Model'!$F$74</x:f>
        <x:v>633.0575414978978</x:v>
      </x:c>
      <x:c r="AD258" t="n">
        <x:f>AX258*$AC258/$AW258</x:f>
        <x:v>682.2307366155748</x:v>
      </x:c>
      <x:c r="AE258" t="n">
        <x:f>AY258*$AC258/$AW258</x:f>
        <x:v>727.0920356759716</x:v>
      </x:c>
      <x:c r="AF258" t="n">
        <x:f>AZ258*$AC258/$AW258</x:f>
        <x:v>766.237111902348</x:v>
      </x:c>
      <x:c r="AG258" t="n">
        <x:f>BA258*$AC258/$AW258</x:f>
        <x:v>798.3569501801654</x:v>
      </x:c>
      <x:c r="AH258" t="n">
        <x:f>BB258*$AC258/$AW258</x:f>
        <x:v>822.3076586855705</x:v>
      </x:c>
      <x:c r="AI258" t="n">
        <x:f>Y258*(1-'Assumptions'!$F$15)+AS258*'Assumptions'!$G$15-AS258*'MOD Model'!$B$65-(AS258-'Inputs'!$F$14)*'Assumptions'!$H$15-'Assumptions'!$I$15</x:f>
        <x:v>123.5003999999999</x:v>
      </x:c>
      <x:c r="AJ258" t="n">
        <x:f>Z258*(1-'Assumptions'!$F$15)+AT258*'Assumptions'!$G$15-AT258*'MOD Model'!$C$65-(AT258-AS258)*'Assumptions'!$H$15-0</x:f>
        <x:v>191.43634320000004</x:v>
      </x:c>
      <x:c r="AK258" t="n">
        <x:f>AA258*(1-'Assumptions'!$F$15)+AU258*'Assumptions'!$G$15-AU258*'MOD Model'!$D$65-(AU258-AT258)*'Assumptions'!$H$15-0</x:f>
        <x:v>258.50363445600004</x:v>
      </x:c>
      <x:c r="AL258" t="n">
        <x:f>AB258*(1-'Assumptions'!$F$15)+AV258*'Assumptions'!$G$15-AV258*'MOD Model'!$E$65-(AV258-AU258)*'Assumptions'!$H$15-0</x:f>
        <x:v>313.83349373208006</x:v>
      </x:c>
      <x:c r="AM258" t="n">
        <x:f>AC258*(1-'Assumptions'!$F$15)+AW258*'Assumptions'!$G$15-AW258*'MOD Model'!$F$65-(AW258-AV258)*'Assumptions'!$H$15-0</x:f>
        <x:v>369.3824218035</x:v>
      </x:c>
      <x:c r="AN258" t="n">
        <x:f>AD258*(1-'Assumptions'!$F$15)+AX258*'Assumptions'!$G$15-AX258*'MOD Model'!$G$65-(AX258-AW258)*'Assumptions'!$H$15-0</x:f>
        <x:v>404.4021247637244</x:v>
      </x:c>
      <x:c r="AO258" t="n">
        <x:f>AE258*(1-'Assumptions'!$F$15)+AY258*'Assumptions'!$G$15-AY258*'MOD Model'!$H$65-(AY258-AX258)*'Assumptions'!$H$15-0</x:f>
        <x:v>437.8888927504468</x:v>
      </x:c>
      <x:c r="AP258" t="n">
        <x:f>AF258*(1-'Assumptions'!$F$15)+AZ258*'Assumptions'!$G$15-AZ258*'MOD Model'!$I$65-(AZ258-AY258)*'Assumptions'!$H$15-0</x:f>
        <x:v>468.89401853139395</x:v>
      </x:c>
      <x:c r="AQ258" t="n">
        <x:f>AG258*(1-'Assumptions'!$F$15)+BA258*'Assumptions'!$G$15-BA258*'MOD Model'!$J$65-(BA258-AZ258)*'Assumptions'!$H$15-0</x:f>
        <x:v>496.4682610218213</x:v>
      </x:c>
      <x:c r="AR258" t="n">
        <x:f>AH258*(1-'Assumptions'!$F$15)+BB258*'Assumptions'!$G$15-BB258*'MOD Model'!$K$65-(BB258-BA258)*'Assumptions'!$H$15-0</x:f>
        <x:v>519.7073430247378</x:v>
      </x:c>
      <x:c r="AS258" t="n">
        <x:f>E258+O258</x:f>
        <x:v>2712.7680000000005</x:v>
      </x:c>
      <x:c r="AT258" t="n">
        <x:f>F258+P258</x:f>
        <x:v>2969.237760000001</x:v>
      </x:c>
      <x:c r="AU258" t="n">
        <x:f>G258+Q258</x:f>
        <x:v>3240.139123200001</x:v>
      </x:c>
      <x:c r="AV258" t="n">
        <x:f>H258+R258</x:f>
        <x:v>3539.2782915840007</x:v>
      </x:c>
      <x:c r="AW258" t="n">
        <x:f>I258+S258</x:f>
        <x:v>3856.378654894081</x:v>
      </x:c>
      <x:c r="AX258" t="n">
        <x:f>J258+T258</x:f>
        <x:v>4155.925611709508</x:v>
      </x:c>
      <x:c r="AY258" t="n">
        <x:f>K258+U258</x:f>
        <x:v>4429.205913714897</x:v>
      </x:c>
      <x:c r="AZ258" t="n">
        <x:f>L258+V258</x:f>
        <x:v>4667.6648633491</x:v>
      </x:c>
      <x:c r="BA258" t="n">
        <x:f>M258+W258</x:f>
        <x:v>4863.328370397987</x:v>
      </x:c>
      <x:c r="BB258" t="n">
        <x:f>N258+X258</x:f>
        <x:v>5009.228221509928</x:v>
      </x:c>
      <x:c r="BC258" t="n">
        <x:f>AS258/'Inputs'!$F$14-1</x:f>
        <x:v>0.11142576204523125</x:v>
      </x:c>
      <x:c r="BD258" t="n">
        <x:f>AT258/AS258-1</x:f>
        <x:v>0.09454172269799721</x:v>
      </x:c>
      <x:c r="BE258" t="n">
        <x:f>AU258/AT258-1</x:f>
        <x:v>0.09123599559773887</x:v>
      </x:c>
      <x:c r="BF258" t="n">
        <x:f>AV258/AU258-1</x:f>
        <x:v>0.09232293954358539</x:v>
      </x:c>
      <x:c r="BG258" t="n">
        <x:f>AW258/AV258-1</x:f>
        <x:v>0.08959463969366555</x:v>
      </x:c>
      <x:c r="BH258" t="n">
        <x:f>AX258/AW258-1</x:f>
        <x:v>0.07767571175493249</x:v>
      </x:c>
      <x:c r="BI258" t="n">
        <x:f>AY258/AX258-1</x:f>
        <x:v>0.06575678381619943</x:v>
      </x:c>
      <x:c r="BJ258" t="n">
        <x:f>AZ258/AY258-1</x:f>
        <x:v>0.053837855877466145</x:v>
      </x:c>
      <x:c r="BK258" t="n">
        <x:f>BA258/AZ258-1</x:f>
        <x:v>0.041918927938732864</x:v>
      </x:c>
      <x:c r="BL258" t="n">
        <x:f>BB258/BA258-1</x:f>
        <x:v>0.03000000000000025</x:v>
      </x:c>
      <x:c r="BM258" t="n">
        <x:f>AH258*(1-'Assumptions'!$F$15)*(1+'Assumptions'!$D$15)*(1-'Assumptions'!$D$15/'Assumptions'!$E$15)</x:f>
        <x:v>548.6100300162483</x:v>
      </x:c>
      <x:c r="BN258" t="n">
        <x:f>SUMPRODUCT(AI258:AR258,'MOD Model'!$B$83:$K$83)+BM258/('Assumptions'!$C$15-'Assumptions'!$D$15)*'MOD Model'!$K$83</x:f>
        <x:v>4634.381077516176</x:v>
      </x:c>
      <x:c r="BO258" t="n">
        <x:f>'MOD Model'!$B$94</x:f>
        <x:v>553.5</x:v>
      </x:c>
      <x:c r="BP258" t="n">
        <x:f>'Inputs'!$F$8</x:f>
        <x:v>54</x:v>
      </x:c>
    </x:row>
    <x:row r="259">
      <x:c r="A259" t="str">
        <x:v>MOD</x:v>
      </x:c>
      <x:c r="B259" s="22" t="n">
        <x:v>0.13</x:v>
      </x:c>
      <x:c r="C259" s="42" t="n">
        <x:f>(BN259+BO259)/BP259</x:f>
        <x:v>99.9008040912484</x:v>
      </x:c>
      <x:c r="D259" s="22" t="n">
        <x:f>C259/'Inputs'!$F$5-1</x:f>
        <x:v>-0.4867933623176389</x:v>
      </x:c>
      <x:c r="E259" t="n">
        <x:f>'Inputs'!$F$24*(1+$B259)^1</x:f>
        <x:v>1575.672</x:v>
      </x:c>
      <x:c r="F259" t="n">
        <x:f>'Inputs'!$F$24*(1+$B259)^2</x:f>
        <x:v>1780.5093599999998</x:v>
      </x:c>
      <x:c r="G259" t="n">
        <x:f>'Inputs'!$F$24*(1+$B259)^3</x:f>
        <x:v>2011.9755767999993</x:v>
      </x:c>
      <x:c r="H259" t="n">
        <x:f>'Inputs'!$F$24*(1+$B259)^4</x:f>
        <x:v>2273.532401783999</x:v>
      </x:c>
      <x:c r="I259" t="n">
        <x:f>'Inputs'!$F$24*(1+$B259)^5</x:f>
        <x:v>2569.091614015919</x:v>
      </x:c>
      <x:c r="J259" t="n">
        <x:f>I259*(1+($BG259+('Assumptions'!$D$15-$BG259)*(6-5)/5))</x:f>
        <x:v>2782.9318366797265</x:v>
      </x:c>
      <x:c r="K259" t="n">
        <x:f>J259*(1+($BG259+('Assumptions'!$D$15-$BG259)*(7-5)/5))</x:f>
        <x:v>2977.53335315067</x:v>
      </x:c>
      <x:c r="L259" t="n">
        <x:f>K259*(1+($BG259+('Assumptions'!$D$15-$BG259)*(8-5)/5))</x:f>
        <x:v>3146.1149384748296</x:v>
      </x:c>
      <x:c r="M259" t="n">
        <x:f>L259*(1+($BG259+('Assumptions'!$D$15-$BG259)*(9-5)/5))</x:f>
        <x:v>3282.3698200441913</x:v>
      </x:c>
      <x:c r="N259" t="n">
        <x:f>M259*(1+($BG259+('Assumptions'!$D$15-$BG259)*(10-5)/5))</x:f>
        <x:v>3380.840914645517</x:v>
      </x:c>
      <x:c r="O259" t="n">
        <x:f>'MOD Model'!$B$68</x:f>
        <x:v>1151.0400000000002</x:v>
      </x:c>
      <x:c r="P259" t="n">
        <x:f>'MOD Model'!$C$68</x:f>
        <x:v>1220.1024000000002</x:v>
      </x:c>
      <x:c r="Q259" t="n">
        <x:f>'MOD Model'!$D$68</x:f>
        <x:v>1281.1075200000002</x:v>
      </x:c>
      <x:c r="R259" t="n">
        <x:f>'MOD Model'!$E$68</x:f>
        <x:v>1345.1628960000003</x:v>
      </x:c>
      <x:c r="S259" t="n">
        <x:f>'MOD Model'!$F$68</x:f>
        <x:v>1398.9694118400002</x:v>
      </x:c>
      <x:c r="T259" t="n">
        <x:f>S259*(1+($BG259+('Assumptions'!$D$15-$BG259)*(6-5)/5))</x:f>
        <x:v>1515.413655749267</x:v>
      </x:c>
      <x:c r="U259" t="n">
        <x:f>T259*(1+($BG259+('Assumptions'!$D$15-$BG259)*(7-5)/5))</x:f>
        <x:v>1621.3816825628257</x:v>
      </x:c>
      <x:c r="V259" t="n">
        <x:f>U259*(1+($BG259+('Assumptions'!$D$15-$BG259)*(8-5)/5))</x:f>
        <x:v>1713.1808539046901</x:v>
      </x:c>
      <x:c r="W259" t="n">
        <x:f>V259*(1+($BG259+('Assumptions'!$D$15-$BG259)*(9-5)/5))</x:f>
        <x:v>1787.3768889894232</x:v>
      </x:c>
      <x:c r="X259" t="n">
        <x:f>W259*(1+($BG259+('Assumptions'!$D$15-$BG259)*(10-5)/5))</x:f>
        <x:v>1840.998195659106</x:v>
      </x:c>
      <x:c r="Y259" t="n">
        <x:f>E259*'MOD Model'!$B$62+O259*'MOD Model'!$B$63+'MOD Model'!$B$73+'MOD Model'!$B$74</x:f>
        <x:v>348.16656</x:v>
      </x:c>
      <x:c r="Z259" t="n">
        <x:f>F259*'MOD Model'!$C$62+P259*'MOD Model'!$C$63+'MOD Model'!$C$73+'MOD Model'!$C$74</x:f>
        <x:v>431.58671999999996</x:v>
      </x:c>
      <x:c r="AA259" t="n">
        <x:f>G259*'MOD Model'!$D$62+Q259*'MOD Model'!$D$63+'MOD Model'!$D$73+'MOD Model'!$D$74</x:f>
        <x:v>518.239377012</x:v>
      </x:c>
      <x:c r="AB259" t="n">
        <x:f>H259*'MOD Model'!$E$62+R259*'MOD Model'!$E$63+'MOD Model'!$E$73+'MOD Model'!$E$74</x:f>
        <x:v>590.1249877924797</x:v>
      </x:c>
      <x:c r="AC259" t="n">
        <x:f>I259*'MOD Model'!$F$62+S259*'MOD Model'!$F$63+'MOD Model'!$F$73+'MOD Model'!$F$74</x:f>
        <x:v>657.6276631095021</x:v>
      </x:c>
      <x:c r="AD259" t="n">
        <x:f>AX259*$AC259/$AW259</x:f>
        <x:v>712.3657834404434</x:v>
      </x:c>
      <x:c r="AE259" t="n">
        <x:f>AY259*$AC259/$AW259</x:f>
        <x:v>762.1792427254959</x:v>
      </x:c>
      <x:c r="AF259" t="n">
        <x:f>AZ259*$AC259/$AW259</x:f>
        <x:v>805.3322051948737</x:v>
      </x:c>
      <x:c r="AG259" t="n">
        <x:f>BA259*$AC259/$AW259</x:f>
        <x:v>840.2102838374852</x:v>
      </x:c>
      <x:c r="AH259" t="n">
        <x:f>BB259*$AC259/$AW259</x:f>
        <x:v>865.41659235261</x:v>
      </x:c>
      <x:c r="AI259" t="n">
        <x:f>Y259*(1-'Assumptions'!$F$15)+AS259*'Assumptions'!$G$15-AS259*'MOD Model'!$B$65-(AS259-'Inputs'!$F$14)*'Assumptions'!$H$15-'Assumptions'!$I$15</x:f>
        <x:v>122.80319999999996</x:v>
      </x:c>
      <x:c r="AJ259" t="n">
        <x:f>Z259*(1-'Assumptions'!$F$15)+AT259*'Assumptions'!$G$15-AT259*'MOD Model'!$C$65-(AT259-AS259)*'Assumptions'!$H$15-0</x:f>
        <x:v>192.58672320000008</x:v>
      </x:c>
      <x:c r="AK259" t="n">
        <x:f>AA259*(1-'Assumptions'!$F$15)+AU259*'Assumptions'!$G$15-AU259*'MOD Model'!$D$65-(AU259-AT259)*'Assumptions'!$H$15-0</x:f>
        <x:v>262.48175481900006</x:v>
      </x:c>
      <x:c r="AL259" t="n">
        <x:f>AB259*(1-'Assumptions'!$F$15)+AV259*'Assumptions'!$G$15-AV259*'MOD Model'!$E$65-(AV259-AU259)*'Assumptions'!$H$15-0</x:f>
        <x:v>321.37800474107985</x:v>
      </x:c>
      <x:c r="AM259" t="n">
        <x:f>AC259*(1-'Assumptions'!$F$15)+AW259*'Assumptions'!$G$15-AW259*'MOD Model'!$F$65-(AW259-AV259)*'Assumptions'!$H$15-0</x:f>
        <x:v>381.29497273349983</x:v>
      </x:c>
      <x:c r="AN259" t="n">
        <x:f>AD259*(1-'Assumptions'!$F$15)+AX259*'Assumptions'!$G$15-AX259*'MOD Model'!$G$65-(AX259-AW259)*'Assumptions'!$H$15-0</x:f>
        <x:v>420.25648520793635</x:v>
      </x:c>
      <x:c r="AO259" t="n">
        <x:f>AE259*(1-'Assumptions'!$F$15)+AY259*'Assumptions'!$G$15-AY259*'MOD Model'!$H$65-(AY259-AX259)*'Assumptions'!$H$15-0</x:f>
        <x:v>457.56527501574413</x:v>
      </x:c>
      <x:c r="AP259" t="n">
        <x:f>AF259*(1-'Assumptions'!$F$15)+AZ259*'Assumptions'!$G$15-AZ259*'MOD Model'!$I$65-(AZ259-AY259)*'Assumptions'!$H$15-0</x:f>
        <x:v>492.052603510559</x:v>
      </x:c>
      <x:c r="AQ259" t="n">
        <x:f>AG259*(1-'Assumptions'!$F$15)+BA259*'Assumptions'!$G$15-BA259*'MOD Model'!$J$65-(BA259-AZ259)*'Assumptions'!$H$15-0</x:f>
        <x:v>522.5438747444956</x:v>
      </x:c>
      <x:c r="AR259" t="n">
        <x:f>AH259*(1-'Assumptions'!$F$15)+BB259*'Assumptions'!$G$15-BB259*'MOD Model'!$K$65-(BB259-BA259)*'Assumptions'!$H$15-0</x:f>
        <x:v>547.9209974192368</x:v>
      </x:c>
      <x:c r="AS259" t="n">
        <x:f>E259+O259</x:f>
        <x:v>2726.7120000000004</x:v>
      </x:c>
      <x:c r="AT259" t="n">
        <x:f>F259+P259</x:f>
        <x:v>3000.61176</x:v>
      </x:c>
      <x:c r="AU259" t="n">
        <x:f>G259+Q259</x:f>
        <x:v>3293.0830967999996</x:v>
      </x:c>
      <x:c r="AV259" t="n">
        <x:f>H259+R259</x:f>
        <x:v>3618.695297783999</x:v>
      </x:c>
      <x:c r="AW259" t="n">
        <x:f>I259+S259</x:f>
        <x:v>3968.061025855919</x:v>
      </x:c>
      <x:c r="AX259" t="n">
        <x:f>J259+T259</x:f>
        <x:v>4298.345492428994</x:v>
      </x:c>
      <x:c r="AY259" t="n">
        <x:f>K259+U259</x:f>
        <x:v>4598.915035713496</x:v>
      </x:c>
      <x:c r="AZ259" t="n">
        <x:f>L259+V259</x:f>
        <x:v>4859.29579237952</x:v>
      </x:c>
      <x:c r="BA259" t="n">
        <x:f>M259+W259</x:f>
        <x:v>5069.746709033614</x:v>
      </x:c>
      <x:c r="BB259" t="n">
        <x:f>N259+X259</x:f>
        <x:v>5221.839110304623</x:v>
      </x:c>
      <x:c r="BC259" t="n">
        <x:f>AS259/'Inputs'!$F$14-1</x:f>
        <x:v>0.11713864306784671</x:v>
      </x:c>
      <x:c r="BD259" t="n">
        <x:f>AT259/AS259-1</x:f>
        <x:v>0.10045056463608892</x:v>
      </x:c>
      <x:c r="BE259" t="n">
        <x:f>AU259/AT259-1</x:f>
        <x:v>0.09747056940148768</x:v>
      </x:c>
      <x:c r="BF259" t="n">
        <x:f>AV259/AU259-1</x:f>
        <x:v>0.09887761450672405</x:v>
      </x:c>
      <x:c r="BG259" t="n">
        <x:f>AW259/AV259-1</x:f>
        <x:v>0.0965446657766027</x:v>
      </x:c>
      <x:c r="BH259" t="n">
        <x:f>AX259/AW259-1</x:f>
        <x:v>0.08323573262128225</x:v>
      </x:c>
      <x:c r="BI259" t="n">
        <x:f>AY259/AX259-1</x:f>
        <x:v>0.06992679946596159</x:v>
      </x:c>
      <x:c r="BJ259" t="n">
        <x:f>AZ259/AY259-1</x:f>
        <x:v>0.05661786631064114</x:v>
      </x:c>
      <x:c r="BK259" t="n">
        <x:f>BA259/AZ259-1</x:f>
        <x:v>0.04330893315532025</x:v>
      </x:c>
      <x:c r="BL259" t="n">
        <x:f>BB259/BA259-1</x:f>
        <x:v>0.03000000000000025</x:v>
      </x:c>
      <x:c r="BM259" t="n">
        <x:f>AH259*(1-'Assumptions'!$F$15)*(1+'Assumptions'!$D$15)*(1-'Assumptions'!$D$15/'Assumptions'!$E$15)</x:f>
        <x:v>577.3705470116107</x:v>
      </x:c>
      <x:c r="BN259" t="n">
        <x:f>SUMPRODUCT(AI259:AR259,'MOD Model'!$B$83:$K$83)+BM259/('Assumptions'!$C$15-'Assumptions'!$D$15)*'MOD Model'!$K$83</x:f>
        <x:v>4841.143420927414</x:v>
      </x:c>
      <x:c r="BO259" t="n">
        <x:f>'MOD Model'!$B$94</x:f>
        <x:v>553.5</x:v>
      </x:c>
      <x:c r="BP259" t="n">
        <x:f>'Inputs'!$F$8</x:f>
        <x:v>54</x:v>
      </x:c>
    </x:row>
    <x:row r="260">
      <x:c r="A260" t="str">
        <x:v>MOD</x:v>
      </x:c>
      <x:c r="B260" s="22" t="n">
        <x:v>0.14</x:v>
      </x:c>
      <x:c r="C260" s="42" t="n">
        <x:f>(BN260+BO260)/BP260</x:f>
        <x:v>103.92460160453795</x:v>
      </x:c>
      <x:c r="D260" s="22" t="n">
        <x:f>C260/'Inputs'!$F$5-1</x:f>
        <x:v>-0.4661224617048292</x:v>
      </x:c>
      <x:c r="E260" t="n">
        <x:f>'Inputs'!$F$24*(1+$B260)^1</x:f>
        <x:v>1589.6160000000002</x:v>
      </x:c>
      <x:c r="F260" t="n">
        <x:f>'Inputs'!$F$24*(1+$B260)^2</x:f>
        <x:v>1812.1622400000006</x:v>
      </x:c>
      <x:c r="G260" t="n">
        <x:f>'Inputs'!$F$24*(1+$B260)^3</x:f>
        <x:v>2065.8649536000007</x:v>
      </x:c>
      <x:c r="H260" t="n">
        <x:f>'Inputs'!$F$24*(1+$B260)^4</x:f>
        <x:v>2355.0860471040014</x:v>
      </x:c>
      <x:c r="I260" t="n">
        <x:f>'Inputs'!$F$24*(1+$B260)^5</x:f>
        <x:v>2684.798093698562</x:v>
      </x:c>
      <x:c r="J260" t="n">
        <x:f>I260*(1+($BG260+('Assumptions'!$D$15-$BG260)*(6-5)/5))</x:f>
        <x:v>2923.5232350856136</x:v>
      </x:c>
      <x:c r="K260" t="n">
        <x:f>J260*(1+($BG260+('Assumptions'!$D$15-$BG260)*(7-5)/5))</x:f>
        <x:v>3140.413621242822</x:v>
      </x:c>
      <x:c r="L260" t="n">
        <x:f>K260*(1+($BG260+('Assumptions'!$D$15-$BG260)*(8-5)/5))</x:f>
        <x:v>3327.138459734479</x:v>
      </x:c>
      <x:c r="M260" t="n">
        <x:f>L260*(1+($BG260+('Assumptions'!$D$15-$BG260)*(9-5)/5))</x:f>
        <x:v>3475.959161786573</x:v>
      </x:c>
      <x:c r="N260" t="n">
        <x:f>M260*(1+($BG260+('Assumptions'!$D$15-$BG260)*(10-5)/5))</x:f>
        <x:v>3580.2379366401706</x:v>
      </x:c>
      <x:c r="O260" t="n">
        <x:f>'MOD Model'!$B$68</x:f>
        <x:v>1151.0400000000002</x:v>
      </x:c>
      <x:c r="P260" t="n">
        <x:f>'MOD Model'!$C$68</x:f>
        <x:v>1220.1024000000002</x:v>
      </x:c>
      <x:c r="Q260" t="n">
        <x:f>'MOD Model'!$D$68</x:f>
        <x:v>1281.1075200000002</x:v>
      </x:c>
      <x:c r="R260" t="n">
        <x:f>'MOD Model'!$E$68</x:f>
        <x:v>1345.1628960000003</x:v>
      </x:c>
      <x:c r="S260" t="n">
        <x:f>'MOD Model'!$F$68</x:f>
        <x:v>1398.9694118400002</x:v>
      </x:c>
      <x:c r="T260" t="n">
        <x:f>S260*(1+($BG260+('Assumptions'!$D$15-$BG260)*(6-5)/5))</x:f>
        <x:v>1523.362069679529</x:v>
      </x:c>
      <x:c r="U260" t="n">
        <x:f>T260*(1+($BG260+('Assumptions'!$D$15-$BG260)*(7-5)/5))</x:f>
        <x:v>1636.3772780366337</x:v>
      </x:c>
      <x:c r="V260" t="n">
        <x:f>U260*(1+($BG260+('Assumptions'!$D$15-$BG260)*(8-5)/5))</x:f>
        <x:v>1733.6741057175318</x:v>
      </x:c>
      <x:c r="W260" t="n">
        <x:f>V260*(1+($BG260+('Assumptions'!$D$15-$BG260)*(9-5)/5))</x:f>
        <x:v>1811.2202014586178</x:v>
      </x:c>
      <x:c r="X260" t="n">
        <x:f>W260*(1+($BG260+('Assumptions'!$D$15-$BG260)*(10-5)/5))</x:f>
        <x:v>1865.5568075023764</x:v>
      </x:c>
      <x:c r="Y260" t="n">
        <x:f>E260*'MOD Model'!$B$62+O260*'MOD Model'!$B$63+'MOD Model'!$B$73+'MOD Model'!$B$74</x:f>
        <x:v>350.6764800000001</x:v>
      </x:c>
      <x:c r="Z260" t="n">
        <x:f>F260*'MOD Model'!$C$62+P260*'MOD Model'!$C$63+'MOD Model'!$C$73+'MOD Model'!$C$74</x:f>
        <x:v>437.91729600000014</x:v>
      </x:c>
      <x:c r="AA260" t="n">
        <x:f>G260*'MOD Model'!$D$62+Q260*'MOD Model'!$D$63+'MOD Model'!$D$73+'MOD Model'!$D$74</x:f>
        <x:v>529.8255930240002</x:v>
      </x:c>
      <x:c r="AB260" t="n">
        <x:f>H260*'MOD Model'!$E$62+R260*'MOD Model'!$E$63+'MOD Model'!$E$73+'MOD Model'!$E$74</x:f>
        <x:v>608.0667897628803</x:v>
      </x:c>
      <x:c r="AC260" t="n">
        <x:f>I260*'MOD Model'!$F$62+S260*'MOD Model'!$F$63+'MOD Model'!$F$73+'MOD Model'!$F$74</x:f>
        <x:v>683.0830886396835</x:v>
      </x:c>
      <x:c r="AD260" t="n">
        <x:f>AX260*$AC260/$AW260</x:f>
        <x:v>743.8210291564579</x:v>
      </x:c>
      <x:c r="AE260" t="n">
        <x:f>AY260*$AC260/$AW260</x:f>
        <x:v>799.0036349621791</x:v>
      </x:c>
      <x:c r="AF260" t="n">
        <x:f>AZ260*$AC260/$AW260</x:f>
        <x:v>846.5113338472438</x:v>
      </x:c>
      <x:c r="AG260" t="n">
        <x:f>BA260*$AC260/$AW260</x:f>
        <x:v>884.3752257540011</x:v>
      </x:c>
      <x:c r="AH260" t="n">
        <x:f>BB260*$AC260/$AW260</x:f>
        <x:v>910.9064825266213</x:v>
      </x:c>
      <x:c r="AI260" t="n">
        <x:f>Y260*(1-'Assumptions'!$F$15)+AS260*'Assumptions'!$G$15-AS260*'MOD Model'!$B$65-(AS260-'Inputs'!$F$14)*'Assumptions'!$H$15-'Assumptions'!$I$15</x:f>
        <x:v>122.10600000000005</x:v>
      </x:c>
      <x:c r="AJ260" t="n">
        <x:f>Z260*(1-'Assumptions'!$F$15)+AT260*'Assumptions'!$G$15-AT260*'MOD Model'!$C$65-(AT260-AS260)*'Assumptions'!$H$15-0</x:f>
        <x:v>193.7287368</x:v>
      </x:c>
      <x:c r="AK260" t="n">
        <x:f>AA260*(1-'Assumptions'!$F$15)+AU260*'Assumptions'!$G$15-AU260*'MOD Model'!$D$65-(AU260-AT260)*'Assumptions'!$H$15-0</x:f>
        <x:v>266.48870788800014</x:v>
      </x:c>
      <x:c r="AL260" t="n">
        <x:f>AB260*(1-'Assumptions'!$F$15)+AV260*'Assumptions'!$G$15-AV260*'MOD Model'!$E$65-(AV260-AU260)*'Assumptions'!$H$15-0</x:f>
        <x:v>329.05364303447993</x:v>
      </x:c>
      <x:c r="AM260" t="n">
        <x:f>AC260*(1-'Assumptions'!$F$15)+AW260*'Assumptions'!$G$15-AW260*'MOD Model'!$F$65-(AW260-AV260)*'Assumptions'!$H$15-0</x:f>
        <x:v>393.52801953150015</x:v>
      </x:c>
      <x:c r="AN260" t="n">
        <x:f>AD260*(1-'Assumptions'!$F$15)+AX260*'Assumptions'!$G$15-AX260*'MOD Model'!$G$65-(AX260-AW260)*'Assumptions'!$H$15-0</x:f>
        <x:v>436.6948224118792</x:v>
      </x:c>
      <x:c r="AO260" t="n">
        <x:f>AE260*(1-'Assumptions'!$F$15)+AY260*'Assumptions'!$G$15-AY260*'MOD Model'!$H$65-(AY260-AX260)*'Assumptions'!$H$15-0</x:f>
        <x:v>478.1150235552957</x:v>
      </x:c>
      <x:c r="AP260" t="n">
        <x:f>AF260*(1-'Assumptions'!$F$15)+AZ260*'Assumptions'!$G$15-AZ260*'MOD Model'!$I$65-(AZ260-AY260)*'Assumptions'!$H$15-0</x:f>
        <x:v>516.3680619777693</x:v>
      </x:c>
      <x:c r="AQ260" t="n">
        <x:f>AG260*(1-'Assumptions'!$F$15)+BA260*'Assumptions'!$G$15-BA260*'MOD Model'!$J$65-(BA260-AZ260)*'Assumptions'!$H$15-0</x:f>
        <x:v>550.0187091978461</x:v>
      </x:c>
      <x:c r="AR260" t="n">
        <x:f>AH260*(1-'Assumptions'!$F$15)+BB260*'Assumptions'!$G$15-BB260*'MOD Model'!$K$65-(BB260-BA260)*'Assumptions'!$H$15-0</x:f>
        <x:v>577.7006335982244</x:v>
      </x:c>
      <x:c r="AS260" t="n">
        <x:f>E260+O260</x:f>
        <x:v>2740.6560000000004</x:v>
      </x:c>
      <x:c r="AT260" t="n">
        <x:f>F260+P260</x:f>
        <x:v>3032.264640000001</x:v>
      </x:c>
      <x:c r="AU260" t="n">
        <x:f>G260+Q260</x:f>
        <x:v>3346.9724736000007</x:v>
      </x:c>
      <x:c r="AV260" t="n">
        <x:f>H260+R260</x:f>
        <x:v>3700.2489431040017</x:v>
      </x:c>
      <x:c r="AW260" t="n">
        <x:f>I260+S260</x:f>
        <x:v>4083.767505538562</x:v>
      </x:c>
      <x:c r="AX260" t="n">
        <x:f>J260+T260</x:f>
        <x:v>4446.885304765143</x:v>
      </x:c>
      <x:c r="AY260" t="n">
        <x:f>K260+U260</x:f>
        <x:v>4776.7908992794555</x:v>
      </x:c>
      <x:c r="AZ260" t="n">
        <x:f>L260+V260</x:f>
        <x:v>5060.812565452011</x:v>
      </x:c>
      <x:c r="BA260" t="n">
        <x:f>M260+W260</x:f>
        <x:v>5287.179363245191</x:v>
      </x:c>
      <x:c r="BB260" t="n">
        <x:f>N260+X260</x:f>
        <x:v>5445.794744142547</x:v>
      </x:c>
      <x:c r="BC260" t="n">
        <x:f>AS260/'Inputs'!$F$14-1</x:f>
        <x:v>0.12285152409046218</x:v>
      </x:c>
      <x:c r="BD260" t="n">
        <x:f>AT260/AS260-1</x:f>
        <x:v>0.10640103683205782</x:v>
      </x:c>
      <x:c r="BE260" t="n">
        <x:f>AU260/AT260-1</x:f>
        <x:v>0.10378640091255353</x:v>
      </x:c>
      <x:c r="BF260" t="n">
        <x:f>AV260/AU260-1</x:f>
        <x:v>0.10555105316537516</x:v>
      </x:c>
      <x:c r="BG260" t="n">
        <x:f>AW260/AV260-1</x:f>
        <x:v>0.10364669197441634</x:v>
      </x:c>
      <x:c r="BH260" t="n">
        <x:f>AX260/AW260-1</x:f>
        <x:v>0.08891735357953312</x:v>
      </x:c>
      <x:c r="BI260" t="n">
        <x:f>AY260/AX260-1</x:f>
        <x:v>0.0741880151846499</x:v>
      </x:c>
      <x:c r="BJ260" t="n">
        <x:f>AZ260/AY260-1</x:f>
        <x:v>0.05945867678976646</x:v>
      </x:c>
      <x:c r="BK260" t="n">
        <x:f>BA260/AZ260-1</x:f>
        <x:v>0.044729338394883245</x:v>
      </x:c>
      <x:c r="BL260" t="n">
        <x:f>BB260/BA260-1</x:f>
        <x:v>0.030000000000000027</x:v>
      </x:c>
      <x:c r="BM260" t="n">
        <x:f>AH260*(1-'Assumptions'!$F$15)*(1+'Assumptions'!$D$15)*(1-'Assumptions'!$D$15/'Assumptions'!$E$15)</x:f>
        <x:v>607.7195407856583</x:v>
      </x:c>
      <x:c r="BN260" t="n">
        <x:f>SUMPRODUCT(AI260:AR260,'MOD Model'!$B$83:$K$83)+BM260/('Assumptions'!$C$15-'Assumptions'!$D$15)*'MOD Model'!$K$83</x:f>
        <x:v>5058.42848664505</x:v>
      </x:c>
      <x:c r="BO260" t="n">
        <x:f>'MOD Model'!$B$94</x:f>
        <x:v>553.5</x:v>
      </x:c>
      <x:c r="BP260" t="n">
        <x:f>'Inputs'!$F$8</x:f>
        <x:v>54</x:v>
      </x:c>
    </x:row>
    <x:row r="261">
      <x:c r="A261" t="str">
        <x:v>MOD</x:v>
      </x:c>
      <x:c r="B261" s="22" t="n">
        <x:v>0.15</x:v>
      </x:c>
      <x:c r="C261" s="42" t="n">
        <x:f>(BN261+BO261)/BP261</x:f>
        <x:v>108.15253496896403</x:v>
      </x:c>
      <x:c r="D261" s="22" t="n">
        <x:f>C261/'Inputs'!$F$5-1</x:f>
        <x:v>-0.4444028821074487</x:v>
      </x:c>
      <x:c r="E261" t="n">
        <x:f>'Inputs'!$F$24*(1+$B261)^1</x:f>
        <x:v>1603.56</x:v>
      </x:c>
      <x:c r="F261" t="n">
        <x:f>'Inputs'!$F$24*(1+$B261)^2</x:f>
        <x:v>1844.0939999999998</x:v>
      </x:c>
      <x:c r="G261" t="n">
        <x:f>'Inputs'!$F$24*(1+$B261)^3</x:f>
        <x:v>2120.7080999999994</x:v>
      </x:c>
      <x:c r="H261" t="n">
        <x:f>'Inputs'!$F$24*(1+$B261)^4</x:f>
        <x:v>2438.814314999999</x:v>
      </x:c>
      <x:c r="I261" t="n">
        <x:f>'Inputs'!$F$24*(1+$B261)^5</x:f>
        <x:v>2804.636462249999</x:v>
      </x:c>
      <x:c r="J261" t="n">
        <x:f>I261*(1+($BG261+('Assumptions'!$D$15-$BG261)*(6-5)/5))</x:f>
        <x:v>3070.283083776576</x:v>
      </x:c>
      <x:c r="K261" t="n">
        <x:f>J261*(1+($BG261+('Assumptions'!$D$15-$BG261)*(7-5)/5))</x:f>
        <x:v>3311.4161020842157</x:v>
      </x:c>
      <x:c r="L261" t="n">
        <x:f>K261*(1+($BG261+('Assumptions'!$D$15-$BG261)*(8-5)/5))</x:f>
        <x:v>3517.9109661825323</x:v>
      </x:c>
      <x:c r="M261" t="n">
        <x:f>L261*(1+($BG261+('Assumptions'!$D$15-$BG261)*(9-5)/5))</x:f>
        <x:v>3680.3654153180732</x:v>
      </x:c>
      <x:c r="N261" t="n">
        <x:f>M261*(1+($BG261+('Assumptions'!$D$15-$BG261)*(10-5)/5))</x:f>
        <x:v>3790.7763777776154</x:v>
      </x:c>
      <x:c r="O261" t="n">
        <x:f>'MOD Model'!$B$68</x:f>
        <x:v>1151.0400000000002</x:v>
      </x:c>
      <x:c r="P261" t="n">
        <x:f>'MOD Model'!$C$68</x:f>
        <x:v>1220.1024000000002</x:v>
      </x:c>
      <x:c r="Q261" t="n">
        <x:f>'MOD Model'!$D$68</x:f>
        <x:v>1281.1075200000002</x:v>
      </x:c>
      <x:c r="R261" t="n">
        <x:f>'MOD Model'!$E$68</x:f>
        <x:v>1345.1628960000003</x:v>
      </x:c>
      <x:c r="S261" t="n">
        <x:f>'MOD Model'!$F$68</x:f>
        <x:v>1398.9694118400002</x:v>
      </x:c>
      <x:c r="T261" t="n">
        <x:f>S261*(1+($BG261+('Assumptions'!$D$15-$BG261)*(6-5)/5))</x:f>
        <x:v>1531.4755326426157</x:v>
      </x:c>
      <x:c r="U261" t="n">
        <x:f>T261*(1+($BG261+('Assumptions'!$D$15-$BG261)*(7-5)/5))</x:f>
        <x:v>1651.7541218065091</x:v>
      </x:c>
      <x:c r="V261" t="n">
        <x:f>U261*(1+($BG261+('Assumptions'!$D$15-$BG261)*(8-5)/5))</x:f>
        <x:v>1754.7549928512544</x:v>
      </x:c>
      <x:c r="W261" t="n">
        <x:f>V261*(1+($BG261+('Assumptions'!$D$15-$BG261)*(9-5)/5))</x:f>
        <x:v>1835.7882419788843</x:v>
      </x:c>
      <x:c r="X261" t="n">
        <x:f>W261*(1+($BG261+('Assumptions'!$D$15-$BG261)*(10-5)/5))</x:f>
        <x:v>1890.861889238251</x:v>
      </x:c>
      <x:c r="Y261" t="n">
        <x:f>E261*'MOD Model'!$B$62+O261*'MOD Model'!$B$63+'MOD Model'!$B$73+'MOD Model'!$B$74</x:f>
        <x:v>353.18639999999994</x:v>
      </x:c>
      <x:c r="Z261" t="n">
        <x:f>F261*'MOD Model'!$C$62+P261*'MOD Model'!$C$63+'MOD Model'!$C$73+'MOD Model'!$C$74</x:f>
        <x:v>444.303648</x:v>
      </x:c>
      <x:c r="AA261" t="n">
        <x:f>G261*'MOD Model'!$D$62+Q261*'MOD Model'!$D$63+'MOD Model'!$D$73+'MOD Model'!$D$74</x:f>
        <x:v>541.6168694999999</x:v>
      </x:c>
      <x:c r="AB261" t="n">
        <x:f>H261*'MOD Model'!$E$62+R261*'MOD Model'!$E$63+'MOD Model'!$E$73+'MOD Model'!$E$74</x:f>
        <x:v>626.4870086999998</x:v>
      </x:c>
      <x:c r="AC261" t="n">
        <x:f>I261*'MOD Model'!$F$62+S261*'MOD Model'!$F$63+'MOD Model'!$F$73+'MOD Model'!$F$74</x:f>
        <x:v>709.4475297209998</x:v>
      </x:c>
      <x:c r="AD261" t="n">
        <x:f>AX261*$AC261/$AW261</x:f>
        <x:v>776.6442384415186</x:v>
      </x:c>
      <x:c r="AE261" t="n">
        <x:f>AY261*$AC261/$AW261</x:f>
        <x:v>837.6401024242906</x:v>
      </x:c>
      <x:c r="AF261" t="n">
        <x:f>AZ261*$AC261/$AW261</x:f>
        <x:v>889.8740632981709</x:v>
      </x:c>
      <x:c r="AG261" t="n">
        <x:f>BA261*$AC261/$AW261</x:f>
        <x:v>930.9677698026262</x:v>
      </x:c>
      <x:c r="AH261" t="n">
        <x:f>BB261*$AC261/$AW261</x:f>
        <x:v>958.8968028967049</x:v>
      </x:c>
      <x:c r="AI261" t="n">
        <x:f>Y261*(1-'Assumptions'!$F$15)+AS261*'Assumptions'!$G$15-AS261*'MOD Model'!$B$65-(AS261-'Inputs'!$F$14)*'Assumptions'!$H$15-'Assumptions'!$I$15</x:f>
        <x:v>121.4087999999999</x:v>
      </x:c>
      <x:c r="AJ261" t="n">
        <x:f>Z261*(1-'Assumptions'!$F$15)+AT261*'Assumptions'!$G$15-AT261*'MOD Model'!$C$65-(AT261-AS261)*'Assumptions'!$H$15-0</x:f>
        <x:v>194.86238400000008</x:v>
      </x:c>
      <x:c r="AK261" t="n">
        <x:f>AA261*(1-'Assumptions'!$F$15)+AU261*'Assumptions'!$G$15-AU261*'MOD Model'!$D$65-(AU261-AT261)*'Assumptions'!$H$15-0</x:f>
        <x:v>270.524378625</x:v>
      </x:c>
      <x:c r="AL261" t="n">
        <x:f>AB261*(1-'Assumptions'!$F$15)+AV261*'Assumptions'!$G$15-AV261*'MOD Model'!$E$65-(AV261-AU261)*'Assumptions'!$H$15-0</x:f>
        <x:v>336.8614736549998</x:v>
      </x:c>
      <x:c r="AM261" t="n">
        <x:f>AC261*(1-'Assumptions'!$F$15)+AW261*'Assumptions'!$G$15-AW261*'MOD Model'!$F$65-(AW261-AV261)*'Assumptions'!$H$15-0</x:f>
        <x:v>406.08725971589996</x:v>
      </x:c>
      <x:c r="AN261" t="n">
        <x:f>AD261*(1-'Assumptions'!$F$15)+AX261*'Assumptions'!$G$15-AX261*'MOD Model'!$G$65-(AX261-AW261)*'Assumptions'!$H$15-0</x:f>
        <x:v>453.73388823547214</x:v>
      </x:c>
      <x:c r="AO261" t="n">
        <x:f>AE261*(1-'Assumptions'!$F$15)+AY261*'Assumptions'!$G$15-AY261*'MOD Model'!$H$65-(AY261-AX261)*'Assumptions'!$H$15-0</x:f>
        <x:v>499.57078233912716</x:v>
      </x:c>
      <x:c r="AP261" t="n">
        <x:f>AF261*(1-'Assumptions'!$F$15)+AZ261*'Assumptions'!$G$15-AZ261*'MOD Model'!$I$65-(AZ261-AY261)*'Assumptions'!$H$15-0</x:f>
        <x:v>541.891197816662</x:v>
      </x:c>
      <x:c r="AQ261" t="n">
        <x:f>AG261*(1-'Assumptions'!$F$15)+BA261*'Assumptions'!$G$15-BA261*'MOD Model'!$J$65-(BA261-AZ261)*'Assumptions'!$H$15-0</x:f>
        <x:v>578.9603677530396</x:v>
      </x:c>
      <x:c r="AR261" t="n">
        <x:f>AH261*(1-'Assumptions'!$F$15)+BB261*'Assumptions'!$G$15-BB261*'MOD Model'!$K$65-(BB261-BA261)*'Assumptions'!$H$15-0</x:f>
        <x:v>609.1253367094544</x:v>
      </x:c>
      <x:c r="AS261" t="n">
        <x:f>E261+O261</x:f>
        <x:v>2754.6000000000004</x:v>
      </x:c>
      <x:c r="AT261" t="n">
        <x:f>F261+P261</x:f>
        <x:v>3064.1964</x:v>
      </x:c>
      <x:c r="AU261" t="n">
        <x:f>G261+Q261</x:f>
        <x:v>3401.8156199999994</x:v>
      </x:c>
      <x:c r="AV261" t="n">
        <x:f>H261+R261</x:f>
        <x:v>3783.9772109999994</x:v>
      </x:c>
      <x:c r="AW261" t="n">
        <x:f>I261+S261</x:f>
        <x:v>4203.605874089999</x:v>
      </x:c>
      <x:c r="AX261" t="n">
        <x:f>J261+T261</x:f>
        <x:v>4601.758616419192</x:v>
      </x:c>
      <x:c r="AY261" t="n">
        <x:f>K261+U261</x:f>
        <x:v>4963.170223890725</x:v>
      </x:c>
      <x:c r="AZ261" t="n">
        <x:f>L261+V261</x:f>
        <x:v>5272.665959033787</x:v>
      </x:c>
      <x:c r="BA261" t="n">
        <x:f>M261+W261</x:f>
        <x:v>5516.153657296958</x:v>
      </x:c>
      <x:c r="BB261" t="n">
        <x:f>N261+X261</x:f>
        <x:v>5681.638267015866</x:v>
      </x:c>
      <x:c r="BC261" t="n">
        <x:f>AS261/'Inputs'!$F$14-1</x:f>
        <x:v>0.12856440511307765</x:v>
      </x:c>
      <x:c r="BD261" t="n">
        <x:f>AT261/AS261-1</x:f>
        <x:v>0.11239250707906745</x:v>
      </x:c>
      <x:c r="BE261" t="n">
        <x:f>AU261/AT261-1</x:f>
        <x:v>0.11018197789149542</x:v>
      </x:c>
      <x:c r="BF261" t="n">
        <x:f>AV261/AU261-1</x:f>
        <x:v>0.11234047746538356</x:v>
      </x:c>
      <x:c r="BG261" t="n">
        <x:f>AW261/AV261-1</x:f>
        <x:v>0.11089619194062306</x:v>
      </x:c>
      <x:c r="BH261" t="n">
        <x:f>AX261/AW261-1</x:f>
        <x:v>0.09471695355249854</x:v>
      </x:c>
      <x:c r="BI261" t="n">
        <x:f>AY261/AX261-1</x:f>
        <x:v>0.0785377151643738</x:v>
      </x:c>
      <x:c r="BJ261" t="n">
        <x:f>AZ261/AY261-1</x:f>
        <x:v>0.06235847677624928</x:v>
      </x:c>
      <x:c r="BK261" t="n">
        <x:f>BA261/AZ261-1</x:f>
        <x:v>0.046179238388124766</x:v>
      </x:c>
      <x:c r="BL261" t="n">
        <x:f>BB261/BA261-1</x:f>
        <x:v>0.030000000000000027</x:v>
      </x:c>
      <x:c r="BM261" t="n">
        <x:f>AH261*(1-'Assumptions'!$F$15)*(1+'Assumptions'!$D$15)*(1-'Assumptions'!$D$15/'Assumptions'!$E$15)</x:f>
        <x:v>639.7367192961995</x:v>
      </x:c>
      <x:c r="BN261" t="n">
        <x:f>SUMPRODUCT(AI261:AR261,'MOD Model'!$B$83:$K$83)+BM261/('Assumptions'!$C$15-'Assumptions'!$D$15)*'MOD Model'!$K$83</x:f>
        <x:v>5286.736888324058</x:v>
      </x:c>
      <x:c r="BO261" t="n">
        <x:f>'MOD Model'!$B$94</x:f>
        <x:v>553.5</x:v>
      </x:c>
      <x:c r="BP261" t="n">
        <x:f>'Inputs'!$F$8</x:f>
        <x:v>54</x:v>
      </x:c>
    </x:row>
    <x:row r="262">
      <x:c r="A262" t="str">
        <x:v>MOD</x:v>
      </x:c>
      <x:c r="B262" s="22" t="n">
        <x:v>0.16</x:v>
      </x:c>
      <x:c r="C262" s="42" t="n">
        <x:f>(BN262+BO262)/BP262</x:f>
        <x:v>112.59425586617535</x:v>
      </x:c>
      <x:c r="D262" s="22" t="n">
        <x:f>C262/'Inputs'!$F$5-1</x:f>
        <x:v>-0.42158504127106056</x:v>
      </x:c>
      <x:c r="E262" t="n">
        <x:f>'Inputs'!$F$24*(1+$B262)^1</x:f>
        <x:v>1617.504</x:v>
      </x:c>
      <x:c r="F262" t="n">
        <x:f>'Inputs'!$F$24*(1+$B262)^2</x:f>
        <x:v>1876.30464</x:v>
      </x:c>
      <x:c r="G262" t="n">
        <x:f>'Inputs'!$F$24*(1+$B262)^3</x:f>
        <x:v>2176.5133824</x:v>
      </x:c>
      <x:c r="H262" t="n">
        <x:f>'Inputs'!$F$24*(1+$B262)^4</x:f>
        <x:v>2524.7555235839995</x:v>
      </x:c>
      <x:c r="I262" t="n">
        <x:f>'Inputs'!$F$24*(1+$B262)^5</x:f>
        <x:v>2928.7164073574395</x:v>
      </x:c>
      <x:c r="J262" t="n">
        <x:f>I262*(1+($BG262+('Assumptions'!$D$15-$BG262)*(6-5)/5))</x:f>
        <x:v>3223.435818198924</x:v>
      </x:c>
      <x:c r="K262" t="n">
        <x:f>J262*(1+($BG262+('Assumptions'!$D$15-$BG262)*(7-5)/5))</x:f>
        <x:v>3490.894557876503</x:v>
      </x:c>
      <x:c r="L262" t="n">
        <x:f>K262*(1+($BG262+('Assumptions'!$D$15-$BG262)*(8-5)/5))</x:f>
        <x:v>3718.9039324086716</x:v>
      </x:c>
      <x:c r="M262" t="n">
        <x:f>L262*(1+($BG262+('Assumptions'!$D$15-$BG262)*(9-5)/5))</x:f>
        <x:v>3896.1384469472264</x:v>
      </x:c>
      <x:c r="N262" t="n">
        <x:f>M262*(1+($BG262+('Assumptions'!$D$15-$BG262)*(10-5)/5))</x:f>
        <x:v>4013.022600355643</x:v>
      </x:c>
      <x:c r="O262" t="n">
        <x:f>'MOD Model'!$B$68</x:f>
        <x:v>1151.0400000000002</x:v>
      </x:c>
      <x:c r="P262" t="n">
        <x:f>'MOD Model'!$C$68</x:f>
        <x:v>1220.1024000000002</x:v>
      </x:c>
      <x:c r="Q262" t="n">
        <x:f>'MOD Model'!$D$68</x:f>
        <x:v>1281.1075200000002</x:v>
      </x:c>
      <x:c r="R262" t="n">
        <x:f>'MOD Model'!$E$68</x:f>
        <x:v>1345.1628960000003</x:v>
      </x:c>
      <x:c r="S262" t="n">
        <x:f>'MOD Model'!$F$68</x:f>
        <x:v>1398.9694118400002</x:v>
      </x:c>
      <x:c r="T262" t="n">
        <x:f>S262*(1+($BG262+('Assumptions'!$D$15-$BG262)*(6-5)/5))</x:f>
        <x:v>1539.7489833297375</x:v>
      </x:c>
      <x:c r="U262" t="n">
        <x:f>T262*(1+($BG262+('Assumptions'!$D$15-$BG262)*(7-5)/5))</x:f>
        <x:v>1667.5068621049713</x:v>
      </x:c>
      <x:c r="V262" t="n">
        <x:f>U262*(1+($BG262+('Assumptions'!$D$15-$BG262)*(8-5)/5))</x:f>
        <x:v>1776.4208354012408</x:v>
      </x:c>
      <x:c r="W262" t="n">
        <x:f>V262*(1+($BG262+('Assumptions'!$D$15-$BG262)*(9-5)/5))</x:f>
        <x:v>1861.0810175680315</x:v>
      </x:c>
      <x:c r="X262" t="n">
        <x:f>W262*(1+($BG262+('Assumptions'!$D$15-$BG262)*(10-5)/5))</x:f>
        <x:v>1916.9134480950725</x:v>
      </x:c>
      <x:c r="Y262" t="n">
        <x:f>E262*'MOD Model'!$B$62+O262*'MOD Model'!$B$63+'MOD Model'!$B$73+'MOD Model'!$B$74</x:f>
        <x:v>355.69632</x:v>
      </x:c>
      <x:c r="Z262" t="n">
        <x:f>F262*'MOD Model'!$C$62+P262*'MOD Model'!$C$63+'MOD Model'!$C$73+'MOD Model'!$C$74</x:f>
        <x:v>450.74577600000003</x:v>
      </x:c>
      <x:c r="AA262" t="n">
        <x:f>G262*'MOD Model'!$D$62+Q262*'MOD Model'!$D$63+'MOD Model'!$D$73+'MOD Model'!$D$74</x:f>
        <x:v>553.6150052160001</x:v>
      </x:c>
      <x:c r="AB262" t="n">
        <x:f>H262*'MOD Model'!$E$62+R262*'MOD Model'!$E$63+'MOD Model'!$E$73+'MOD Model'!$E$74</x:f>
        <x:v>645.3940745884798</x:v>
      </x:c>
      <x:c r="AC262" t="n">
        <x:f>I262*'MOD Model'!$F$62+S262*'MOD Model'!$F$63+'MOD Model'!$F$73+'MOD Model'!$F$74</x:f>
        <x:v>736.7451176446366</x:v>
      </x:c>
      <x:c r="AD262" t="n">
        <x:f>AX262*$AC262/$AW262</x:f>
        <x:v>810.8844527018281</x:v>
      </x:c>
      <x:c r="AE262" t="n">
        <x:f>AY262*$AC262/$AW262</x:f>
        <x:v>878.1661192141005</x:v>
      </x:c>
      <x:c r="AF262" t="n">
        <x:f>AZ262*$AC262/$AW262</x:f>
        <x:v>935.5239409006853</x:v>
      </x:c>
      <x:c r="AG262" t="n">
        <x:f>BA262*$AC262/$AW262</x:f>
        <x:v>980.1088870348915</x:v>
      </x:c>
      <x:c r="AH262" t="n">
        <x:f>BB262*$AC262/$AW262</x:f>
        <x:v>1009.5121536459383</x:v>
      </x:c>
      <x:c r="AI262" t="n">
        <x:f>Y262*(1-'Assumptions'!$F$15)+AS262*'Assumptions'!$G$15-AS262*'MOD Model'!$B$65-(AS262-'Inputs'!$F$14)*'Assumptions'!$H$15-'Assumptions'!$I$15</x:f>
        <x:v>120.7116000000001</x:v>
      </x:c>
      <x:c r="AJ262" t="n">
        <x:f>Z262*(1-'Assumptions'!$F$15)+AT262*'Assumptions'!$G$15-AT262*'MOD Model'!$C$65-(AT262-AS262)*'Assumptions'!$H$15-0</x:f>
        <x:v>195.98766480000006</x:v>
      </x:c>
      <x:c r="AK262" t="n">
        <x:f>AA262*(1-'Assumptions'!$F$15)+AU262*'Assumptions'!$G$15-AU262*'MOD Model'!$D$65-(AU262-AT262)*'Assumptions'!$H$15-0</x:f>
        <x:v>274.5886519920001</x:v>
      </x:c>
      <x:c r="AL262" t="n">
        <x:f>AB262*(1-'Assumptions'!$F$15)+AV262*'Assumptions'!$G$15-AV262*'MOD Model'!$E$65-(AV262-AU262)*'Assumptions'!$H$15-0</x:f>
        <x:v>344.8025599720799</x:v>
      </x:c>
      <x:c r="AM262" t="n">
        <x:f>AC262*(1-'Assumptions'!$F$15)+AW262*'Assumptions'!$G$15-AW262*'MOD Model'!$F$65-(AW262-AV262)*'Assumptions'!$H$15-0</x:f>
        <x:v>418.9784410034998</x:v>
      </x:c>
      <x:c r="AN262" t="n">
        <x:f>AD262*(1-'Assumptions'!$F$15)+AX262*'Assumptions'!$G$15-AX262*'MOD Model'!$G$65-(AX262-AW262)*'Assumptions'!$H$15-0</x:f>
        <x:v>471.39072015375797</x:v>
      </x:c>
      <x:c r="AO262" t="n">
        <x:f>AE262*(1-'Assumptions'!$F$15)+AY262*'Assumptions'!$G$15-AY262*'MOD Model'!$H$65-(AY262-AX262)*'Assumptions'!$H$15-0</x:f>
        <x:v>521.9660753429314</x:v>
      </x:c>
      <x:c r="AP262" t="n">
        <x:f>AF262*(1-'Assumptions'!$F$15)+AZ262*'Assumptions'!$G$15-AZ262*'MOD Model'!$I$65-(AZ262-AY262)*'Assumptions'!$H$15-0</x:f>
        <x:v>568.6745819840995</x:v>
      </x:c>
      <x:c r="AQ262" t="n">
        <x:f>AG262*(1-'Assumptions'!$F$15)+BA262*'Assumptions'!$G$15-BA262*'MOD Model'!$J$65-(BA262-AZ262)*'Assumptions'!$H$15-0</x:f>
        <x:v>609.439168802638</x:v>
      </x:c>
      <x:c r="AR262" t="n">
        <x:f>AH262*(1-'Assumptions'!$F$15)+BB262*'Assumptions'!$G$15-BB262*'MOD Model'!$K$65-(BB262-BA262)*'Assumptions'!$H$15-0</x:f>
        <x:v>642.2775869173743</x:v>
      </x:c>
      <x:c r="AS262" t="n">
        <x:f>E262+O262</x:f>
        <x:v>2768.544</x:v>
      </x:c>
      <x:c r="AT262" t="n">
        <x:f>F262+P262</x:f>
        <x:v>3096.40704</x:v>
      </x:c>
      <x:c r="AU262" t="n">
        <x:f>G262+Q262</x:f>
        <x:v>3457.6209024</x:v>
      </x:c>
      <x:c r="AV262" t="n">
        <x:f>H262+R262</x:f>
        <x:v>3869.918419584</x:v>
      </x:c>
      <x:c r="AW262" t="n">
        <x:f>I262+S262</x:f>
        <x:v>4327.68581919744</x:v>
      </x:c>
      <x:c r="AX262" t="n">
        <x:f>J262+T262</x:f>
        <x:v>4763.184801528661</x:v>
      </x:c>
      <x:c r="AY262" t="n">
        <x:f>K262+U262</x:f>
        <x:v>5158.401419981474</x:v>
      </x:c>
      <x:c r="AZ262" t="n">
        <x:f>L262+V262</x:f>
        <x:v>5495.324767809912</x:v>
      </x:c>
      <x:c r="BA262" t="n">
        <x:f>M262+W262</x:f>
        <x:v>5757.219464515258</x:v>
      </x:c>
      <x:c r="BB262" t="n">
        <x:f>N262+X262</x:f>
        <x:v>5929.936048450716</x:v>
      </x:c>
      <x:c r="BC262" t="n">
        <x:f>AS262/'Inputs'!$F$14-1</x:f>
        <x:v>0.13427728613569312</x:v>
      </x:c>
      <x:c r="BD262" t="n">
        <x:f>AT262/AS262-1</x:f>
        <x:v>0.11842435590693157</x:v>
      </x:c>
      <x:c r="BE262" t="n">
        <x:f>AU262/AT262-1</x:f>
        <x:v>0.11665580711249124</x:v>
      </x:c>
      <x:c r="BF262" t="n">
        <x:f>AV262/AU262-1</x:f>
        <x:v>0.11924312376114354</x:v>
      </x:c>
      <x:c r="BG262" t="n">
        <x:f>AW262/AV262-1</x:f>
        <x:v>0.1182886433204573</x:v>
      </x:c>
      <x:c r="BH262" t="n">
        <x:f>AX262/AW262-1</x:f>
        <x:v>0.10063091465636576</x:v>
      </x:c>
      <x:c r="BI262" t="n">
        <x:f>AY262/AX262-1</x:f>
        <x:v>0.08297318599227443</x:v>
      </x:c>
      <x:c r="BJ262" t="n">
        <x:f>AZ262/AY262-1</x:f>
        <x:v>0.06531545732818311</x:v>
      </x:c>
      <x:c r="BK262" t="n">
        <x:f>BA262/AZ262-1</x:f>
        <x:v>0.04765772866409135</x:v>
      </x:c>
      <x:c r="BL262" t="n">
        <x:f>BB262/BA262-1</x:f>
        <x:v>0.030000000000000027</x:v>
      </x:c>
      <x:c r="BM262" t="n">
        <x:f>AH262*(1-'Assumptions'!$F$15)*(1+'Assumptions'!$D$15)*(1-'Assumptions'!$D$15/'Assumptions'!$E$15)</x:f>
        <x:v>673.5052106881027</x:v>
      </x:c>
      <x:c r="BN262" t="n">
        <x:f>SUMPRODUCT(AI262:AR262,'MOD Model'!$B$83:$K$83)+BM262/('Assumptions'!$C$15-'Assumptions'!$D$15)*'MOD Model'!$K$83</x:f>
        <x:v>5526.589816773469</x:v>
      </x:c>
      <x:c r="BO262" t="n">
        <x:f>'MOD Model'!$B$94</x:f>
        <x:v>553.5</x:v>
      </x:c>
      <x:c r="BP262" t="n">
        <x:f>'Inputs'!$F$8</x:f>
        <x:v>54</x:v>
      </x:c>
    </x:row>
    <x:row r="263">
      <x:c r="A263" t="str">
        <x:v>MOD</x:v>
      </x:c>
      <x:c r="B263" s="22" t="n">
        <x:v>0.17</x:v>
      </x:c>
      <x:c r="C263" s="42" t="n">
        <x:f>(BN263+BO263)/BP263</x:f>
        <x:v>117.25980909824233</x:v>
      </x:c>
      <x:c r="D263" s="22" t="n">
        <x:f>C263/'Inputs'!$F$5-1</x:f>
        <x:v>-0.3976173374178448</x:v>
      </x:c>
      <x:c r="E263" t="n">
        <x:f>'Inputs'!$F$24*(1+$B263)^1</x:f>
        <x:v>1631.448</x:v>
      </x:c>
      <x:c r="F263" t="n">
        <x:f>'Inputs'!$F$24*(1+$B263)^2</x:f>
        <x:v>1908.79416</x:v>
      </x:c>
      <x:c r="G263" t="n">
        <x:f>'Inputs'!$F$24*(1+$B263)^3</x:f>
        <x:v>2233.2891671999996</x:v>
      </x:c>
      <x:c r="H263" t="n">
        <x:f>'Inputs'!$F$24*(1+$B263)^4</x:f>
        <x:v>2612.9483256239996</x:v>
      </x:c>
      <x:c r="I263" t="n">
        <x:f>'Inputs'!$F$24*(1+$B263)^5</x:f>
        <x:v>3057.149540980079</x:v>
      </x:c>
      <x:c r="J263" t="n">
        <x:f>I263*(1+($BG263+('Assumptions'!$D$15-$BG263)*(6-5)/5))</x:f>
        <x:v>3383.211756169927</x:v>
      </x:c>
      <x:c r="K263" t="n">
        <x:f>J263*(1+($BG263+('Assumptions'!$D$15-$BG263)*(7-5)/5))</x:f>
        <x:v>3679.2147843601406</x:v>
      </x:c>
      <x:c r="L263" t="n">
        <x:f>K263*(1+($BG263+('Assumptions'!$D$15-$BG263)*(8-5)/5))</x:f>
        <x:v>3930.607494435119</x:v>
      </x:c>
      <x:c r="M263" t="n">
        <x:f>L263*(1+($BG263+('Assumptions'!$D$15-$BG263)*(9-5)/5))</x:f>
        <x:v>4123.851519282888</x:v>
      </x:c>
      <x:c r="N263" t="n">
        <x:f>M263*(1+($BG263+('Assumptions'!$D$15-$BG263)*(10-5)/5))</x:f>
        <x:v>4247.567064861375</x:v>
      </x:c>
      <x:c r="O263" t="n">
        <x:f>'MOD Model'!$B$68</x:f>
        <x:v>1151.0400000000002</x:v>
      </x:c>
      <x:c r="P263" t="n">
        <x:f>'MOD Model'!$C$68</x:f>
        <x:v>1220.1024000000002</x:v>
      </x:c>
      <x:c r="Q263" t="n">
        <x:f>'MOD Model'!$D$68</x:f>
        <x:v>1281.1075200000002</x:v>
      </x:c>
      <x:c r="R263" t="n">
        <x:f>'MOD Model'!$E$68</x:f>
        <x:v>1345.1628960000003</x:v>
      </x:c>
      <x:c r="S263" t="n">
        <x:f>'MOD Model'!$F$68</x:f>
        <x:v>1398.9694118400002</x:v>
      </x:c>
      <x:c r="T263" t="n">
        <x:f>S263*(1+($BG263+('Assumptions'!$D$15-$BG263)*(6-5)/5))</x:f>
        <x:v>1548.1773780493186</x:v>
      </x:c>
      <x:c r="U263" t="n">
        <x:f>T263*(1+($BG263+('Assumptions'!$D$15-$BG263)*(7-5)/5))</x:f>
        <x:v>1683.6300854485673</x:v>
      </x:c>
      <x:c r="V263" t="n">
        <x:f>U263*(1+($BG263+('Assumptions'!$D$15-$BG263)*(8-5)/5))</x:f>
        <x:v>1798.6688518027015</x:v>
      </x:c>
      <x:c r="W263" t="n">
        <x:f>V263*(1+($BG263+('Assumptions'!$D$15-$BG263)*(9-5)/5))</x:f>
        <x:v>1887.0984415754708</x:v>
      </x:c>
      <x:c r="X263" t="n">
        <x:f>W263*(1+($BG263+('Assumptions'!$D$15-$BG263)*(10-5)/5))</x:f>
        <x:v>1943.711394822735</x:v>
      </x:c>
      <x:c r="Y263" t="n">
        <x:f>E263*'MOD Model'!$B$62+O263*'MOD Model'!$B$63+'MOD Model'!$B$73+'MOD Model'!$B$74</x:f>
        <x:v>358.20624</x:v>
      </x:c>
      <x:c r="Z263" t="n">
        <x:f>F263*'MOD Model'!$C$62+P263*'MOD Model'!$C$63+'MOD Model'!$C$73+'MOD Model'!$C$74</x:f>
        <x:v>457.24368</x:v>
      </x:c>
      <x:c r="AA263" t="n">
        <x:f>G263*'MOD Model'!$D$62+Q263*'MOD Model'!$D$63+'MOD Model'!$D$73+'MOD Model'!$D$74</x:f>
        <x:v>565.821798948</x:v>
      </x:c>
      <x:c r="AB263" t="n">
        <x:f>H263*'MOD Model'!$E$62+R263*'MOD Model'!$E$63+'MOD Model'!$E$73+'MOD Model'!$E$74</x:f>
        <x:v>664.7964910372799</x:v>
      </x:c>
      <x:c r="AC263" t="n">
        <x:f>I263*'MOD Model'!$F$62+S263*'MOD Model'!$F$63+'MOD Model'!$F$73+'MOD Model'!$F$74</x:f>
        <x:v>765.0004070416173</x:v>
      </x:c>
      <x:c r="AD263" t="n">
        <x:f>AX263*$AC263/$AW263</x:f>
        <x:v>846.5920086291401</x:v>
      </x:c>
      <x:c r="AE263" t="n">
        <x:f>AY263*$AC263/$AW263</x:f>
        <x:v>920.6618027349497</x:v>
      </x:c>
      <x:c r="AF263" t="n">
        <x:f>AZ263*$AC263/$AW263</x:f>
        <x:v>983.568612806465</x:v>
      </x:c>
      <x:c r="AG263" t="n">
        <x:f>BA263*$AC263/$AW263</x:f>
        <x:v>1031.9246894998907</x:v>
      </x:c>
      <x:c r="AH263" t="n">
        <x:f>BB263*$AC263/$AW263</x:f>
        <x:v>1062.8824301848874</x:v>
      </x:c>
      <x:c r="AI263" t="n">
        <x:f>Y263*(1-'Assumptions'!$F$15)+AS263*'Assumptions'!$G$15-AS263*'MOD Model'!$B$65-(AS263-'Inputs'!$F$14)*'Assumptions'!$H$15-'Assumptions'!$I$15</x:f>
        <x:v>120.01439999999997</x:v>
      </x:c>
      <x:c r="AJ263" t="n">
        <x:f>Z263*(1-'Assumptions'!$F$15)+AT263*'Assumptions'!$G$15-AT263*'MOD Model'!$C$65-(AT263-AS263)*'Assumptions'!$H$15-0</x:f>
        <x:v>197.1045792</x:v>
      </x:c>
      <x:c r="AK263" t="n">
        <x:f>AA263*(1-'Assumptions'!$F$15)+AU263*'Assumptions'!$G$15-AU263*'MOD Model'!$D$65-(AU263-AT263)*'Assumptions'!$H$15-0</x:f>
        <x:v>278.681412951</x:v>
      </x:c>
      <x:c r="AL263" t="n">
        <x:f>AB263*(1-'Assumptions'!$F$15)+AV263*'Assumptions'!$G$15-AV263*'MOD Model'!$E$65-(AV263-AU263)*'Assumptions'!$H$15-0</x:f>
        <x:v>352.8779636818799</x:v>
      </x:c>
      <x:c r="AM263" t="n">
        <x:f>AC263*(1-'Assumptions'!$F$15)+AW263*'Assumptions'!$G$15-AW263*'MOD Model'!$F$65-(AW263-AV263)*'Assumptions'!$H$15-0</x:f>
        <x:v>432.2073613095</x:v>
      </x:c>
      <x:c r="AN263" t="n">
        <x:f>AD263*(1-'Assumptions'!$F$15)+AX263*'Assumptions'!$G$15-AX263*'MOD Model'!$G$65-(AX263-AW263)*'Assumptions'!$H$15-0</x:f>
        <x:v>489.6826422486915</x:v>
      </x:c>
      <x:c r="AO263" t="n">
        <x:f>AE263*(1-'Assumptions'!$F$15)+AY263*'Assumptions'!$G$15-AY263*'MOD Model'!$H$65-(AY263-AX263)*'Assumptions'!$H$15-0</x:f>
        <x:v>545.3353186656624</x:v>
      </x:c>
      <x:c r="AP263" t="n">
        <x:f>AF263*(1-'Assumptions'!$F$15)+AZ263*'Assumptions'!$G$15-AZ263*'MOD Model'!$I$65-(AZ263-AY263)*'Assumptions'!$H$15-0</x:f>
        <x:v>596.7725929469145</x:v>
      </x:c>
      <x:c r="AQ263" t="n">
        <x:f>AG263*(1-'Assumptions'!$F$15)+BA263*'Assumptions'!$G$15-BA263*'MOD Model'!$J$65-(BA263-AZ263)*'Assumptions'!$H$15-0</x:f>
        <x:v>641.5282255189619</x:v>
      </x:c>
      <x:c r="AR263" t="n">
        <x:f>AH263*(1-'Assumptions'!$F$15)+BB263*'Assumptions'!$G$15-BB263*'MOD Model'!$K$65-(BB263-BA263)*'Assumptions'!$H$15-0</x:f>
        <x:v>677.2433709195413</x:v>
      </x:c>
      <x:c r="AS263" t="n">
        <x:f>E263+O263</x:f>
        <x:v>2782.4880000000003</x:v>
      </x:c>
      <x:c r="AT263" t="n">
        <x:f>F263+P263</x:f>
        <x:v>3128.89656</x:v>
      </x:c>
      <x:c r="AU263" t="n">
        <x:f>G263+Q263</x:f>
        <x:v>3514.3966872</x:v>
      </x:c>
      <x:c r="AV263" t="n">
        <x:f>H263+R263</x:f>
        <x:v>3958.111221624</x:v>
      </x:c>
      <x:c r="AW263" t="n">
        <x:f>I263+S263</x:f>
        <x:v>4456.118952820079</x:v>
      </x:c>
      <x:c r="AX263" t="n">
        <x:f>J263+T263</x:f>
        <x:v>4931.3891342192455</x:v>
      </x:c>
      <x:c r="AY263" t="n">
        <x:f>K263+U263</x:f>
        <x:v>5362.844869808708</x:v>
      </x:c>
      <x:c r="AZ263" t="n">
        <x:f>L263+V263</x:f>
        <x:v>5729.276346237821</x:v>
      </x:c>
      <x:c r="BA263" t="n">
        <x:f>M263+W263</x:f>
        <x:v>6010.949960858359</x:v>
      </x:c>
      <x:c r="BB263" t="n">
        <x:f>N263+X263</x:f>
        <x:v>6191.27845968411</x:v>
      </x:c>
      <x:c r="BC263" t="n">
        <x:f>AS263/'Inputs'!$F$14-1</x:f>
        <x:v>0.1399901671583088</x:v>
      </x:c>
      <x:c r="BD263" t="n">
        <x:f>AT263/AS263-1</x:f>
        <x:v>0.12449597626297026</x:v>
      </x:c>
      <x:c r="BE263" t="n">
        <x:f>AU263/AT263-1</x:f>
        <x:v>0.1232064147240457</x:v>
      </x:c>
      <x:c r="BF263" t="n">
        <x:f>AV263/AU263-1</x:f>
        <x:v>0.12625624649604283</x:v>
      </x:c>
      <x:c r="BG263" t="n">
        <x:f>AW263/AV263-1</x:f>
        <x:v>0.1258195395003956</x:v>
      </x:c>
      <x:c r="BH263" t="n">
        <x:f>AX263/AW263-1</x:f>
        <x:v>0.10665563160031644</x:v>
      </x:c>
      <x:c r="BI263" t="n">
        <x:f>AY263/AX263-1</x:f>
        <x:v>0.08749172370023728</x:v>
      </x:c>
      <x:c r="BJ263" t="n">
        <x:f>AZ263/AY263-1</x:f>
        <x:v>0.06832781580015834</x:v>
      </x:c>
      <x:c r="BK263" t="n">
        <x:f>BA263/AZ263-1</x:f>
        <x:v>0.049163907900079185</x:v>
      </x:c>
      <x:c r="BL263" t="n">
        <x:f>BB263/BA263-1</x:f>
        <x:v>0.030000000000000027</x:v>
      </x:c>
      <x:c r="BM263" t="n">
        <x:f>AH263*(1-'Assumptions'!$F$15)*(1+'Assumptions'!$D$15)*(1-'Assumptions'!$D$15/'Assumptions'!$E$15)</x:f>
        <x:v>709.1116758653949</x:v>
      </x:c>
      <x:c r="BN263" t="n">
        <x:f>SUMPRODUCT(AI263:AR263,'MOD Model'!$B$83:$K$83)+BM263/('Assumptions'!$C$15-'Assumptions'!$D$15)*'MOD Model'!$K$83</x:f>
        <x:v>5778.529691305086</x:v>
      </x:c>
      <x:c r="BO263" t="n">
        <x:f>'MOD Model'!$B$94</x:f>
        <x:v>553.5</x:v>
      </x:c>
      <x:c r="BP263" t="n">
        <x:f>'Inputs'!$F$8</x:f>
        <x:v>54</x:v>
      </x:c>
    </x:row>
    <x:row r="264">
      <x:c r="A264" t="str">
        <x:v>MOD</x:v>
      </x:c>
      <x:c r="B264" s="22" t="n">
        <x:v>0.18</x:v>
      </x:c>
      <x:c r="C264" s="42" t="n">
        <x:f>(BN264+BO264)/BP264</x:f>
        <x:v>122.15964492438016</x:v>
      </x:c>
      <x:c r="D264" s="22" t="n">
        <x:f>C264/'Inputs'!$F$5-1</x:f>
        <x:v>-0.37244608587085093</x:v>
      </x:c>
      <x:c r="E264" t="n">
        <x:f>'Inputs'!$F$24*(1+$B264)^1</x:f>
        <x:v>1645.392</x:v>
      </x:c>
      <x:c r="F264" t="n">
        <x:f>'Inputs'!$F$24*(1+$B264)^2</x:f>
        <x:v>1941.5625599999998</x:v>
      </x:c>
      <x:c r="G264" t="n">
        <x:f>'Inputs'!$F$24*(1+$B264)^3</x:f>
        <x:v>2291.0438208</x:v>
      </x:c>
      <x:c r="H264" t="n">
        <x:f>'Inputs'!$F$24*(1+$B264)^4</x:f>
        <x:v>2703.431708544</x:v>
      </x:c>
      <x:c r="I264" t="n">
        <x:f>'Inputs'!$F$24*(1+$B264)^5</x:f>
        <x:v>3190.049416081919</x:v>
      </x:c>
      <x:c r="J264" t="n">
        <x:f>I264*(1+($BG264+('Assumptions'!$D$15-$BG264)*(6-5)/5))</x:f>
        <x:v>3549.8471795005507</x:v>
      </x:c>
      <x:c r="K264" t="n">
        <x:f>J264*(1+($BG264+('Assumptions'!$D$15-$BG264)*(7-5)/5))</x:f>
        <x:v>3876.75487908209</x:v>
      </x:c>
      <x:c r="L264" t="n">
        <x:f>K264*(1+($BG264+('Assumptions'!$D$15-$BG264)*(8-5)/5))</x:f>
        <x:v>4153.530987167294</x:v>
      </x:c>
      <x:c r="M264" t="n">
        <x:f>L264*(1+($BG264+('Assumptions'!$D$15-$BG264)*(9-5)/5))</x:f>
        <x:v>4364.102049558478</x:v>
      </x:c>
      <x:c r="N264" t="n">
        <x:f>M264*(1+($BG264+('Assumptions'!$D$15-$BG264)*(10-5)/5))</x:f>
        <x:v>4495.025111045233</x:v>
      </x:c>
      <x:c r="O264" t="n">
        <x:f>'MOD Model'!$B$68</x:f>
        <x:v>1151.0400000000002</x:v>
      </x:c>
      <x:c r="P264" t="n">
        <x:f>'MOD Model'!$C$68</x:f>
        <x:v>1220.1024000000002</x:v>
      </x:c>
      <x:c r="Q264" t="n">
        <x:f>'MOD Model'!$D$68</x:f>
        <x:v>1281.1075200000002</x:v>
      </x:c>
      <x:c r="R264" t="n">
        <x:f>'MOD Model'!$E$68</x:f>
        <x:v>1345.1628960000003</x:v>
      </x:c>
      <x:c r="S264" t="n">
        <x:f>'MOD Model'!$F$68</x:f>
        <x:v>1398.9694118400002</x:v>
      </x:c>
      <x:c r="T264" t="n">
        <x:f>S264*(1+($BG264+('Assumptions'!$D$15-$BG264)*(6-5)/5))</x:f>
        <x:v>1556.7557028402603</x:v>
      </x:c>
      <x:c r="U264" t="n">
        <x:f>T264*(1+($BG264+('Assumptions'!$D$15-$BG264)*(7-5)/5))</x:f>
        <x:v>1700.1183322415502</x:v>
      </x:c>
      <x:c r="V264" t="n">
        <x:f>U264*(1+($BG264+('Assumptions'!$D$15-$BG264)*(8-5)/5))</x:f>
        <x:v>1821.4961727186706</x:v>
      </x:c>
      <x:c r="W264" t="n">
        <x:f>V264*(1+($BG264+('Assumptions'!$D$15-$BG264)*(9-5)/5))</x:f>
        <x:v>1913.8403457646573</x:v>
      </x:c>
      <x:c r="X264" t="n">
        <x:f>W264*(1+($BG264+('Assumptions'!$D$15-$BG264)*(10-5)/5))</x:f>
        <x:v>1971.255556137597</x:v>
      </x:c>
      <x:c r="Y264" t="n">
        <x:f>E264*'MOD Model'!$B$62+O264*'MOD Model'!$B$63+'MOD Model'!$B$73+'MOD Model'!$B$74</x:f>
        <x:v>360.71616000000006</x:v>
      </x:c>
      <x:c r="Z264" t="n">
        <x:f>F264*'MOD Model'!$C$62+P264*'MOD Model'!$C$63+'MOD Model'!$C$73+'MOD Model'!$C$74</x:f>
        <x:v>463.79735999999997</x:v>
      </x:c>
      <x:c r="AA264" t="n">
        <x:f>G264*'MOD Model'!$D$62+Q264*'MOD Model'!$D$63+'MOD Model'!$D$73+'MOD Model'!$D$74</x:f>
        <x:v>578.239049472</x:v>
      </x:c>
      <x:c r="AB264" t="n">
        <x:f>H264*'MOD Model'!$E$62+R264*'MOD Model'!$E$63+'MOD Model'!$E$73+'MOD Model'!$E$74</x:f>
        <x:v>684.7028352796799</x:v>
      </x:c>
      <x:c r="AC264" t="n">
        <x:f>I264*'MOD Model'!$F$62+S264*'MOD Model'!$F$63+'MOD Model'!$F$73+'MOD Model'!$F$74</x:f>
        <x:v>794.2383795640221</x:v>
      </x:c>
      <x:c r="AD264" t="n">
        <x:f>AX264*$AC264/$AW264</x:f>
        <x:v>883.8185569580625</x:v>
      </x:c>
      <x:c r="AE264" t="n">
        <x:f>AY264*$AC264/$AW264</x:f>
        <x:v>965.2099737410484</x:v>
      </x:c>
      <x:c r="AF264" t="n">
        <x:f>AZ264*$AC264/$AW264</x:f>
        <x:v>1034.1199431225336</x:v>
      </x:c>
      <x:c r="AG264" t="n">
        <x:f>BA264*$AC264/$AW264</x:f>
        <x:v>1086.5465978738757</x:v>
      </x:c>
      <x:c r="AH264" t="n">
        <x:f>BB264*$AC264/$AW264</x:f>
        <x:v>1119.142995810092</x:v>
      </x:c>
      <x:c r="AI264" t="n">
        <x:f>Y264*(1-'Assumptions'!$F$15)+AS264*'Assumptions'!$G$15-AS264*'MOD Model'!$B$65-(AS264-'Inputs'!$F$14)*'Assumptions'!$H$15-'Assumptions'!$I$15</x:f>
        <x:v>119.31720000000006</x:v>
      </x:c>
      <x:c r="AJ264" t="n">
        <x:f>Z264*(1-'Assumptions'!$F$15)+AT264*'Assumptions'!$G$15-AT264*'MOD Model'!$C$65-(AT264-AS264)*'Assumptions'!$H$15-0</x:f>
        <x:v>198.2131272</x:v>
      </x:c>
      <x:c r="AK264" t="n">
        <x:f>AA264*(1-'Assumptions'!$F$15)+AU264*'Assumptions'!$G$15-AU264*'MOD Model'!$D$65-(AU264-AT264)*'Assumptions'!$H$15-0</x:f>
        <x:v>282.80254646399993</x:v>
      </x:c>
      <x:c r="AL264" t="n">
        <x:f>AB264*(1-'Assumptions'!$F$15)+AV264*'Assumptions'!$G$15-AV264*'MOD Model'!$E$65-(AV264-AU264)*'Assumptions'!$H$15-0</x:f>
        <x:v>361.08874480727997</x:v>
      </x:c>
      <x:c r="AM264" t="n">
        <x:f>AC264*(1-'Assumptions'!$F$15)+AW264*'Assumptions'!$G$15-AW264*'MOD Model'!$F$65-(AW264-AV264)*'Assumptions'!$H$15-0</x:f>
        <x:v>445.7798687474999</x:v>
      </x:c>
      <x:c r="AN264" t="n">
        <x:f>AD264*(1-'Assumptions'!$F$15)+AX264*'Assumptions'!$G$15-AX264*'MOD Model'!$G$65-(AX264-AW264)*'Assumptions'!$H$15-0</x:f>
        <x:v>508.627266320601</x:v>
      </x:c>
      <x:c r="AO264" t="n">
        <x:f>AE264*(1-'Assumptions'!$F$15)+AY264*'Assumptions'!$G$15-AY264*'MOD Model'!$H$65-(AY264-AX264)*'Assumptions'!$H$15-0</x:f>
        <x:v>569.7138327885074</x:v>
      </x:c>
      <x:c r="AP264" t="n">
        <x:f>AF264*(1-'Assumptions'!$F$15)+AZ264*'Assumptions'!$G$15-AZ264*'MOD Model'!$I$65-(AZ264-AY264)*'Assumptions'!$H$15-0</x:f>
        <x:v>626.241457659262</x:v>
      </x:c>
      <x:c r="AQ264" t="n">
        <x:f>AG264*(1-'Assumptions'!$F$15)+BA264*'Assumptions'!$G$15-BA264*'MOD Model'!$J$65-(BA264-AZ264)*'Assumptions'!$H$15-0</x:f>
        <x:v>675.3035271599842</x:v>
      </x:c>
      <x:c r="AR264" t="n">
        <x:f>AH264*(1-'Assumptions'!$F$15)+BB264*'Assumptions'!$G$15-BB264*'MOD Model'!$K$65-(BB264-BA264)*'Assumptions'!$H$15-0</x:f>
        <x:v>714.1122960708725</x:v>
      </x:c>
      <x:c r="AS264" t="n">
        <x:f>E264+O264</x:f>
        <x:v>2796.4320000000002</x:v>
      </x:c>
      <x:c r="AT264" t="n">
        <x:f>F264+P264</x:f>
        <x:v>3161.66496</x:v>
      </x:c>
      <x:c r="AU264" t="n">
        <x:f>G264+Q264</x:f>
        <x:v>3572.1513408</x:v>
      </x:c>
      <x:c r="AV264" t="n">
        <x:f>H264+R264</x:f>
        <x:v>4048.594604544</x:v>
      </x:c>
      <x:c r="AW264" t="n">
        <x:f>I264+S264</x:f>
        <x:v>4589.018827921919</x:v>
      </x:c>
      <x:c r="AX264" t="n">
        <x:f>J264+T264</x:f>
        <x:v>5106.6028823408105</x:v>
      </x:c>
      <x:c r="AY264" t="n">
        <x:f>K264+U264</x:f>
        <x:v>5576.87321132364</x:v>
      </x:c>
      <x:c r="AZ264" t="n">
        <x:f>L264+V264</x:f>
        <x:v>5975.027159885965</x:v>
      </x:c>
      <x:c r="BA264" t="n">
        <x:f>M264+W264</x:f>
        <x:v>6277.942395323135</x:v>
      </x:c>
      <x:c r="BB264" t="n">
        <x:f>N264+X264</x:f>
        <x:v>6466.280667182829</x:v>
      </x:c>
      <x:c r="BC264" t="n">
        <x:f>AS264/'Inputs'!$F$14-1</x:f>
        <x:v>0.14570304818092428</x:v>
      </x:c>
      <x:c r="BD264" t="n">
        <x:f>AT264/AS264-1</x:f>
        <x:v>0.13060677320242364</x:v>
      </x:c>
      <x:c r="BE264" t="n">
        <x:f>AU264/AT264-1</x:f>
        <x:v>0.12983234656211007</x:v>
      </x:c>
      <x:c r="BF264" t="n">
        <x:f>AV264/AU264-1</x:f>
        <x:v>0.13337712159678494</x:v>
      </x:c>
      <x:c r="BG264" t="n">
        <x:f>AW264/AV264-1</x:f>
        <x:v>0.13348440043153897</x:v>
      </x:c>
      <x:c r="BH264" t="n">
        <x:f>AX264/AW264-1</x:f>
        <x:v>0.11278752034523087</x:v>
      </x:c>
      <x:c r="BI264" t="n">
        <x:f>AY264/AX264-1</x:f>
        <x:v>0.09209064025892344</x:v>
      </x:c>
      <x:c r="BJ264" t="n">
        <x:f>AZ264/AY264-1</x:f>
        <x:v>0.07139376017261578</x:v>
      </x:c>
      <x:c r="BK264" t="n">
        <x:f>BA264/AZ264-1</x:f>
        <x:v>0.05069688008630768</x:v>
      </x:c>
      <x:c r="BL264" t="n">
        <x:f>BB264/BA264-1</x:f>
        <x:v>0.030000000000000027</x:v>
      </x:c>
      <x:c r="BM264" t="n">
        <x:f>AH264*(1-'Assumptions'!$F$15)*(1+'Assumptions'!$D$15)*(1-'Assumptions'!$D$15/'Assumptions'!$E$15)</x:f>
        <x:v>746.6464236819377</x:v>
      </x:c>
      <x:c r="BN264" t="n">
        <x:f>SUMPRODUCT(AI264:AR264,'MOD Model'!$B$83:$K$83)+BM264/('Assumptions'!$C$15-'Assumptions'!$D$15)*'MOD Model'!$K$83</x:f>
        <x:v>6043.120825916529</x:v>
      </x:c>
      <x:c r="BO264" t="n">
        <x:f>'MOD Model'!$B$94</x:f>
        <x:v>553.5</x:v>
      </x:c>
      <x:c r="BP264" t="n">
        <x:f>'Inputs'!$F$8</x:f>
        <x:v>54</x:v>
      </x:c>
    </x:row>
    <x:row r="265">
      <x:c r="A265" t="str">
        <x:v>MOD</x:v>
      </x:c>
      <x:c r="B265" s="22" t="n">
        <x:v>0.19</x:v>
      </x:c>
      <x:c r="C265" s="42" t="n">
        <x:f>(BN265+BO265)/BP265</x:f>
        <x:v>127.30463167808341</x:v>
      </x:c>
      <x:c r="D265" s="22" t="n">
        <x:f>C265/'Inputs'!$F$5-1</x:f>
        <x:v>-0.3460154542377304</x:v>
      </x:c>
      <x:c r="E265" t="n">
        <x:f>'Inputs'!$F$24*(1+$B265)^1</x:f>
        <x:v>1659.336</x:v>
      </x:c>
      <x:c r="F265" t="n">
        <x:f>'Inputs'!$F$24*(1+$B265)^2</x:f>
        <x:v>1974.60984</x:v>
      </x:c>
      <x:c r="G265" t="n">
        <x:f>'Inputs'!$F$24*(1+$B265)^3</x:f>
        <x:v>2349.7857096</x:v>
      </x:c>
      <x:c r="H265" t="n">
        <x:f>'Inputs'!$F$24*(1+$B265)^4</x:f>
        <x:v>2796.2449944239997</x:v>
      </x:c>
      <x:c r="I265" t="n">
        <x:f>'Inputs'!$F$24*(1+$B265)^5</x:f>
        <x:v>3327.5315433645596</x:v>
      </x:c>
      <x:c r="J265" t="n">
        <x:f>I265*(1+($BG265+('Assumptions'!$D$15-$BG265)*(6-5)/5))</x:f>
        <x:v>3723.584416885537</x:v>
      </x:c>
      <x:c r="K265" t="n">
        <x:f>J265*(1+($BG265+('Assumptions'!$D$15-$BG265)*(7-5)/5))</x:f>
        <x:v>4083.9055137604055</x:v>
      </x:c>
      <x:c r="L265" t="n">
        <x:f>K265*(1+($BG265+('Assumptions'!$D$15-$BG265)*(8-5)/5))</x:f>
        <x:v>4388.203492612931</x:v>
      </x:c>
      <x:c r="M265" t="n">
        <x:f>L265*(1+($BG265+('Assumptions'!$D$15-$BG265)*(9-5)/5))</x:f>
        <x:v>4617.512385834686</x:v>
      </x:c>
      <x:c r="N265" t="n">
        <x:f>M265*(1+($BG265+('Assumptions'!$D$15-$BG265)*(10-5)/5))</x:f>
        <x:v>4756.0377574097265</x:v>
      </x:c>
      <x:c r="O265" t="n">
        <x:f>'MOD Model'!$B$68</x:f>
        <x:v>1151.0400000000002</x:v>
      </x:c>
      <x:c r="P265" t="n">
        <x:f>'MOD Model'!$C$68</x:f>
        <x:v>1220.1024000000002</x:v>
      </x:c>
      <x:c r="Q265" t="n">
        <x:f>'MOD Model'!$D$68</x:f>
        <x:v>1281.1075200000002</x:v>
      </x:c>
      <x:c r="R265" t="n">
        <x:f>'MOD Model'!$E$68</x:f>
        <x:v>1345.1628960000003</x:v>
      </x:c>
      <x:c r="S265" t="n">
        <x:f>'MOD Model'!$F$68</x:f>
        <x:v>1398.9694118400002</x:v>
      </x:c>
      <x:c r="T265" t="n">
        <x:f>S265*(1+($BG265+('Assumptions'!$D$15-$BG265)*(6-5)/5))</x:f>
        <x:v>1565.4789845687842</x:v>
      </x:c>
      <x:c r="U265" t="n">
        <x:f>T265*(1+($BG265+('Assumptions'!$D$15-$BG265)*(7-5)/5))</x:f>
        <x:v>1716.9661114072246</x:v>
      </x:c>
      <x:c r="V265" t="n">
        <x:f>U265*(1+($BG265+('Assumptions'!$D$15-$BG265)*(8-5)/5))</x:f>
        <x:v>1844.8998541686763</x:v>
      </x:c>
      <x:c r="W265" t="n">
        <x:f>V265*(1+($BG265+('Assumptions'!$D$15-$BG265)*(9-5)/5))</x:f>
        <x:v>1941.306491731533</x:v>
      </x:c>
      <x:c r="X265" t="n">
        <x:f>W265*(1+($BG265+('Assumptions'!$D$15-$BG265)*(10-5)/5))</x:f>
        <x:v>1999.5456864834791</x:v>
      </x:c>
      <x:c r="Y265" t="n">
        <x:f>E265*'MOD Model'!$B$62+O265*'MOD Model'!$B$63+'MOD Model'!$B$73+'MOD Model'!$B$74</x:f>
        <x:v>363.22608</x:v>
      </x:c>
      <x:c r="Z265" t="n">
        <x:f>F265*'MOD Model'!$C$62+P265*'MOD Model'!$C$63+'MOD Model'!$C$73+'MOD Model'!$C$74</x:f>
        <x:v>470.406816</x:v>
      </x:c>
      <x:c r="AA265" t="n">
        <x:f>G265*'MOD Model'!$D$62+Q265*'MOD Model'!$D$63+'MOD Model'!$D$73+'MOD Model'!$D$74</x:f>
        <x:v>590.8685555640001</x:v>
      </x:c>
      <x:c r="AB265" t="n">
        <x:f>H265*'MOD Model'!$E$62+R265*'MOD Model'!$E$63+'MOD Model'!$E$73+'MOD Model'!$E$74</x:f>
        <x:v>705.1217581732799</x:v>
      </x:c>
      <x:c r="AC265" t="n">
        <x:f>I265*'MOD Model'!$F$62+S265*'MOD Model'!$F$63+'MOD Model'!$F$73+'MOD Model'!$F$74</x:f>
        <x:v>824.484447566203</x:v>
      </x:c>
      <x:c r="AD265" t="n">
        <x:f>AX265*$AC265/$AW265</x:f>
        <x:v>922.6170814350249</x:v>
      </x:c>
      <x:c r="AE265" t="n">
        <x:f>AY265*$AC265/$AW265</x:f>
        <x:v>1011.8962172243554</x:v>
      </x:c>
      <x:c r="AF265" t="n">
        <x:f>AZ265*$AC265/$AW265</x:f>
        <x:v>1087.2941353868546</x:v>
      </x:c>
      <x:c r="AG265" t="n">
        <x:f>BA265*$AC265/$AW265</x:f>
        <x:v>1144.111512979252</x:v>
      </x:c>
      <x:c r="AH265" t="n">
        <x:f>BB265*$AC265/$AW265</x:f>
        <x:v>1178.4348583686294</x:v>
      </x:c>
      <x:c r="AI265" t="n">
        <x:f>Y265*(1-'Assumptions'!$F$15)+AS265*'Assumptions'!$G$15-AS265*'MOD Model'!$B$65-(AS265-'Inputs'!$F$14)*'Assumptions'!$H$15-'Assumptions'!$I$15</x:f>
        <x:v>118.62000000000003</x:v>
      </x:c>
      <x:c r="AJ265" t="n">
        <x:f>Z265*(1-'Assumptions'!$F$15)+AT265*'Assumptions'!$G$15-AT265*'MOD Model'!$C$65-(AT265-AS265)*'Assumptions'!$H$15-0</x:f>
        <x:v>199.31330880000002</x:v>
      </x:c>
      <x:c r="AK265" t="n">
        <x:f>AA265*(1-'Assumptions'!$F$15)+AU265*'Assumptions'!$G$15-AU265*'MOD Model'!$D$65-(AU265-AT265)*'Assumptions'!$H$15-0</x:f>
        <x:v>286.95193749300006</x:v>
      </x:c>
      <x:c r="AL265" t="n">
        <x:f>AB265*(1-'Assumptions'!$F$15)+AV265*'Assumptions'!$G$15-AV265*'MOD Model'!$E$65-(AV265-AU265)*'Assumptions'!$H$15-0</x:f>
        <x:v>369.43596169788003</x:v>
      </x:c>
      <x:c r="AM265" t="n">
        <x:f>AC265*(1-'Assumptions'!$F$15)+AW265*'Assumptions'!$G$15-AW265*'MOD Model'!$F$65-(AW265-AV265)*'Assumptions'!$H$15-0</x:f>
        <x:v>459.7018616294999</x:v>
      </x:c>
      <x:c r="AN265" t="n">
        <x:f>AD265*(1-'Assumptions'!$F$15)+AX265*'Assumptions'!$G$15-AX265*'MOD Model'!$G$65-(AX265-AW265)*'Assumptions'!$H$15-0</x:f>
        <x:v>528.2424931169896</x:v>
      </x:c>
      <x:c r="AO265" t="n">
        <x:f>AE265*(1-'Assumptions'!$F$15)+AY265*'Assumptions'!$G$15-AY265*'MOD Model'!$H$65-(AY265-AX265)*'Assumptions'!$H$15-0</x:f>
        <x:v>595.1378549837556</x:v>
      </x:c>
      <x:c r="AP265" t="n">
        <x:f>AF265*(1-'Assumptions'!$F$15)+AZ265*'Assumptions'!$G$15-AZ265*'MOD Model'!$I$65-(AZ265-AY265)*'Assumptions'!$H$15-0</x:f>
        <x:v>657.1392930963204</x:v>
      </x:c>
      <x:c r="AQ265" t="n">
        <x:f>AG265*(1-'Assumptions'!$F$15)+BA265*'Assumptions'!$G$15-BA265*'MOD Model'!$J$65-(BA265-AZ265)*'Assumptions'!$H$15-0</x:f>
        <x:v>710.8440219532538</x:v>
      </x:c>
      <x:c r="AR265" t="n">
        <x:f>AH265*(1-'Assumptions'!$F$15)+BB265*'Assumptions'!$G$15-BB265*'MOD Model'!$K$65-(BB265-BA265)*'Assumptions'!$H$15-0</x:f>
        <x:v>752.9777071690261</x:v>
      </x:c>
      <x:c r="AS265" t="n">
        <x:f>E265+O265</x:f>
        <x:v>2810.376</x:v>
      </x:c>
      <x:c r="AT265" t="n">
        <x:f>F265+P265</x:f>
        <x:v>3194.7122400000003</x:v>
      </x:c>
      <x:c r="AU265" t="n">
        <x:f>G265+Q265</x:f>
        <x:v>3630.8932296000003</x:v>
      </x:c>
      <x:c r="AV265" t="n">
        <x:f>H265+R265</x:f>
        <x:v>4141.407890424</x:v>
      </x:c>
      <x:c r="AW265" t="n">
        <x:f>I265+S265</x:f>
        <x:v>4726.500955204559</x:v>
      </x:c>
      <x:c r="AX265" t="n">
        <x:f>J265+T265</x:f>
        <x:v>5289.063401454321</x:v>
      </x:c>
      <x:c r="AY265" t="n">
        <x:f>K265+U265</x:f>
        <x:v>5800.871625167631</x:v>
      </x:c>
      <x:c r="AZ265" t="n">
        <x:f>L265+V265</x:f>
        <x:v>6233.103346781607</x:v>
      </x:c>
      <x:c r="BA265" t="n">
        <x:f>M265+W265</x:f>
        <x:v>6558.818877566219</x:v>
      </x:c>
      <x:c r="BB265" t="n">
        <x:f>N265+X265</x:f>
        <x:v>6755.583443893205</x:v>
      </x:c>
      <x:c r="BC265" t="n">
        <x:f>AS265/'Inputs'!$F$14-1</x:f>
        <x:v>0.15141592920353975</x:v>
      </x:c>
      <x:c r="BD265" t="n">
        <x:f>AT265/AS265-1</x:f>
        <x:v>0.13675616358807496</x:v>
      </x:c>
      <x:c r="BE265" t="n">
        <x:f>AU265/AT265-1</x:f>
        <x:v>0.13653216841839866</x:v>
      </x:c>
      <x:c r="BF265" t="n">
        <x:f>AV265/AU265-1</x:f>
        <x:v>0.14060304959180536</x:v>
      </x:c>
      <x:c r="BG265" t="n">
        <x:f>AW265/AV265-1</x:f>
        <x:v>0.14127878254480697</x:v>
      </x:c>
      <x:c r="BH265" t="n">
        <x:f>AX265/AW265-1</x:f>
        <x:v>0.11902302603584558</x:v>
      </x:c>
      <x:c r="BI265" t="n">
        <x:f>AY265/AX265-1</x:f>
        <x:v>0.09676726952688419</x:v>
      </x:c>
      <x:c r="BJ265" t="n">
        <x:f>AZ265/AY265-1</x:f>
        <x:v>0.0745115130179228</x:v>
      </x:c>
      <x:c r="BK265" t="n">
        <x:f>BA265/AZ265-1</x:f>
        <x:v>0.052255756508961415</x:v>
      </x:c>
      <x:c r="BL265" t="n">
        <x:f>BB265/BA265-1</x:f>
        <x:v>0.029999999999999805</x:v>
      </x:c>
      <x:c r="BM265" t="n">
        <x:f>AH265*(1-'Assumptions'!$F$15)*(1+'Assumptions'!$D$15)*(1-'Assumptions'!$D$15/'Assumptions'!$E$15)</x:f>
        <x:v>786.2035288047981</x:v>
      </x:c>
      <x:c r="BN265" t="n">
        <x:f>SUMPRODUCT(AI265:AR265,'MOD Model'!$B$83:$K$83)+BM265/('Assumptions'!$C$15-'Assumptions'!$D$15)*'MOD Model'!$K$83</x:f>
        <x:v>6320.950110616504</x:v>
      </x:c>
      <x:c r="BO265" t="n">
        <x:f>'MOD Model'!$B$94</x:f>
        <x:v>553.5</x:v>
      </x:c>
      <x:c r="BP265" t="n">
        <x:f>'Inputs'!$F$8</x:f>
        <x:v>54</x:v>
      </x:c>
    </x:row>
    <x:row r="266">
      <x:c r="A266" t="str">
        <x:v>MOD</x:v>
      </x:c>
      <x:c r="B266" s="22" t="n">
        <x:v>0.2</x:v>
      </x:c>
      <x:c r="C266" s="42" t="n">
        <x:f>(BN266+BO266)/BP266</x:f>
        <x:v>132.70606867045606</x:v>
      </x:c>
      <x:c r="D266" s="22" t="n">
        <x:f>C266/'Inputs'!$F$5-1</x:f>
        <x:v>-0.3182673961242368</x:v>
      </x:c>
      <x:c r="E266" t="n">
        <x:f>'Inputs'!$F$24*(1+$B266)^1</x:f>
        <x:v>1673.28</x:v>
      </x:c>
      <x:c r="F266" t="n">
        <x:f>'Inputs'!$F$24*(1+$B266)^2</x:f>
        <x:v>2007.9360000000001</x:v>
      </x:c>
      <x:c r="G266" t="n">
        <x:f>'Inputs'!$F$24*(1+$B266)^3</x:f>
        <x:v>2409.5232</x:v>
      </x:c>
      <x:c r="H266" t="n">
        <x:f>'Inputs'!$F$24*(1+$B266)^4</x:f>
        <x:v>2891.42784</x:v>
      </x:c>
      <x:c r="I266" t="n">
        <x:f>'Inputs'!$F$24*(1+$B266)^5</x:f>
        <x:v>3469.713408</x:v>
      </x:c>
      <x:c r="J266" t="n">
        <x:f>I266*(1+($BG266+('Assumptions'!$D$15-$BG266)*(6-5)/5))</x:f>
        <x:v>3904.6719280994716</x:v>
      </x:c>
      <x:c r="K266" t="n">
        <x:f>J266*(1+($BG266+('Assumptions'!$D$15-$BG266)*(7-5)/5))</x:f>
        <x:v>4301.070210848026</x:v>
      </x:c>
      <x:c r="L266" t="n">
        <x:f>K266*(1+($BG266+('Assumptions'!$D$15-$BG266)*(8-5)/5))</x:f>
        <x:v>4635.174399077028</x:v>
      </x:c>
      <x:c r="M266" t="n">
        <x:f>L266*(1+($BG266+('Assumptions'!$D$15-$BG266)*(9-5)/5))</x:f>
        <x:v>4884.730601436591</x:v>
      </x:c>
      <x:c r="N266" t="n">
        <x:f>M266*(1+($BG266+('Assumptions'!$D$15-$BG266)*(10-5)/5))</x:f>
        <x:v>5031.272519479689</x:v>
      </x:c>
      <x:c r="O266" t="n">
        <x:f>'MOD Model'!$B$68</x:f>
        <x:v>1151.0400000000002</x:v>
      </x:c>
      <x:c r="P266" t="n">
        <x:f>'MOD Model'!$C$68</x:f>
        <x:v>1220.1024000000002</x:v>
      </x:c>
      <x:c r="Q266" t="n">
        <x:f>'MOD Model'!$D$68</x:f>
        <x:v>1281.1075200000002</x:v>
      </x:c>
      <x:c r="R266" t="n">
        <x:f>'MOD Model'!$E$68</x:f>
        <x:v>1345.1628960000003</x:v>
      </x:c>
      <x:c r="S266" t="n">
        <x:f>'MOD Model'!$F$68</x:f>
        <x:v>1398.9694118400002</x:v>
      </x:c>
      <x:c r="T266" t="n">
        <x:f>S266*(1+($BG266+('Assumptions'!$D$15-$BG266)*(6-5)/5))</x:f>
        <x:v>1574.3423010346444</x:v>
      </x:c>
      <x:c r="U266" t="n">
        <x:f>T266*(1+($BG266+('Assumptions'!$D$15-$BG266)*(7-5)/5))</x:f>
        <x:v>1734.167914064391</x:v>
      </x:c>
      <x:c r="V266" t="n">
        <x:f>U266*(1+($BG266+('Assumptions'!$D$15-$BG266)*(8-5)/5))</x:f>
        <x:v>1868.8768899188044</x:v>
      </x:c>
      <x:c r="W266" t="n">
        <x:f>V266*(1+($BG266+('Assumptions'!$D$15-$BG266)*(9-5)/5))</x:f>
        <x:v>1969.496581686725</x:v>
      </x:c>
      <x:c r="X266" t="n">
        <x:f>W266*(1+($BG266+('Assumptions'!$D$15-$BG266)*(10-5)/5))</x:f>
        <x:v>2028.5814791373268</x:v>
      </x:c>
      <x:c r="Y266" t="n">
        <x:f>E266*'MOD Model'!$B$62+O266*'MOD Model'!$B$63+'MOD Model'!$B$73+'MOD Model'!$B$74</x:f>
        <x:v>365.736</x:v>
      </x:c>
      <x:c r="Z266" t="n">
        <x:f>F266*'MOD Model'!$C$62+P266*'MOD Model'!$C$63+'MOD Model'!$C$73+'MOD Model'!$C$74</x:f>
        <x:v>477.07204800000005</x:v>
      </x:c>
      <x:c r="AA266" t="n">
        <x:f>G266*'MOD Model'!$D$62+Q266*'MOD Model'!$D$63+'MOD Model'!$D$73+'MOD Model'!$D$74</x:f>
        <x:v>603.7121160000002</x:v>
      </x:c>
      <x:c r="AB266" t="n">
        <x:f>H266*'MOD Model'!$E$62+R266*'MOD Model'!$E$63+'MOD Model'!$E$73+'MOD Model'!$E$74</x:f>
        <x:v>726.0619842</x:v>
      </x:c>
      <x:c r="AC266" t="n">
        <x:f>I266*'MOD Model'!$F$62+S266*'MOD Model'!$F$63+'MOD Model'!$F$73+'MOD Model'!$F$74</x:f>
        <x:v>855.764457786</x:v>
      </x:c>
      <x:c r="AD266" t="n">
        <x:f>AX266*$AC266/$AW266</x:f>
        <x:v>963.041918009114</x:v>
      </x:c>
      <x:c r="AE266" t="n">
        <x:f>AY266*$AC266/$AW266</x:f>
        <x:v>1060.8089441621912</x:v>
      </x:c>
      <x:c r="AF266" t="n">
        <x:f>AZ266*$AC266/$AW266</x:f>
        <x:v>1143.211856409814</x:v>
      </x:c>
      <x:c r="AG266" t="n">
        <x:f>BA266*$AC266/$AW266</x:f>
        <x:v>1204.7619912731036</x:v>
      </x:c>
      <x:c r="AH266" t="n">
        <x:f>BB266*$AC266/$AW266</x:f>
        <x:v>1240.9048510112966</x:v>
      </x:c>
      <x:c r="AI266" t="n">
        <x:f>Y266*(1-'Assumptions'!$F$15)+AS266*'Assumptions'!$G$15-AS266*'MOD Model'!$B$65-(AS266-'Inputs'!$F$14)*'Assumptions'!$H$15-'Assumptions'!$I$15</x:f>
        <x:v>117.92280000000002</x:v>
      </x:c>
      <x:c r="AJ266" t="n">
        <x:f>Z266*(1-'Assumptions'!$F$15)+AT266*'Assumptions'!$G$15-AT266*'MOD Model'!$C$65-(AT266-AS266)*'Assumptions'!$H$15-0</x:f>
        <x:v>200.405124</x:v>
      </x:c>
      <x:c r="AK266" t="n">
        <x:f>AA266*(1-'Assumptions'!$F$15)+AU266*'Assumptions'!$G$15-AU266*'MOD Model'!$D$65-(AU266-AT266)*'Assumptions'!$H$15-0</x:f>
        <x:v>291.1294710000002</x:v>
      </x:c>
      <x:c r="AL266" t="n">
        <x:f>AB266*(1-'Assumptions'!$F$15)+AV266*'Assumptions'!$G$15-AV266*'MOD Model'!$E$65-(AV266-AU266)*'Assumptions'!$H$15-0</x:f>
        <x:v>377.92067103</x:v>
      </x:c>
      <x:c r="AM266" t="n">
        <x:f>AC266*(1-'Assumptions'!$F$15)+AW266*'Assumptions'!$G$15-AW266*'MOD Model'!$F$65-(AW266-AV266)*'Assumptions'!$H$15-0</x:f>
        <x:v>473.97928846589997</x:v>
      </x:c>
      <x:c r="AN266" t="n">
        <x:f>AD266*(1-'Assumptions'!$F$15)+AX266*'Assumptions'!$G$15-AX266*'MOD Model'!$G$65-(AX266-AW266)*'Assumptions'!$H$15-0</x:f>
        <x:v>548.5465136757063</x:v>
      </x:c>
      <x:c r="AO266" t="n">
        <x:f>AE266*(1-'Assumptions'!$F$15)+AY266*'Assumptions'!$G$15-AY266*'MOD Model'!$H$65-(AY266-AX266)*'Assumptions'!$H$15-0</x:f>
        <x:v>621.6445518812118</x:v>
      </x:c>
      <x:c r="AP266" t="n">
        <x:f>AF266*(1-'Assumptions'!$F$15)+AZ266*'Assumptions'!$G$15-AZ266*'MOD Model'!$I$65-(AZ266-AY266)*'Assumptions'!$H$15-0</x:f>
        <x:v>689.5261483599106</x:v>
      </x:c>
      <x:c r="AQ266" t="n">
        <x:f>AG266*(1-'Assumptions'!$F$15)+BA266*'Assumptions'!$G$15-BA266*'MOD Model'!$J$65-(BA266-AZ266)*'Assumptions'!$H$15-0</x:f>
        <x:v>748.2317015888555</x:v>
      </x:c>
      <x:c r="AR266" t="n">
        <x:f>AH266*(1-'Assumptions'!$F$15)+BB266*'Assumptions'!$G$15-BB266*'MOD Model'!$K$65-(BB266-BA266)*'Assumptions'!$H$15-0</x:f>
        <x:v>793.9368059551622</x:v>
      </x:c>
      <x:c r="AS266" t="n">
        <x:f>E266+O266</x:f>
        <x:v>2824.32</x:v>
      </x:c>
      <x:c r="AT266" t="n">
        <x:f>F266+P266</x:f>
        <x:v>3228.0384000000004</x:v>
      </x:c>
      <x:c r="AU266" t="n">
        <x:f>G266+Q266</x:f>
        <x:v>3690.63072</x:v>
      </x:c>
      <x:c r="AV266" t="n">
        <x:f>H266+R266</x:f>
        <x:v>4236.590736</x:v>
      </x:c>
      <x:c r="AW266" t="n">
        <x:f>I266+S266</x:f>
        <x:v>4868.68281984</x:v>
      </x:c>
      <x:c r="AX266" t="n">
        <x:f>J266+T266</x:f>
        <x:v>5479.014229134116</x:v>
      </x:c>
      <x:c r="AY266" t="n">
        <x:f>K266+U266</x:f>
        <x:v>6035.238124912417</x:v>
      </x:c>
      <x:c r="AZ266" t="n">
        <x:f>L266+V266</x:f>
        <x:v>6504.051288995833</x:v>
      </x:c>
      <x:c r="BA266" t="n">
        <x:f>M266+W266</x:f>
        <x:v>6854.2271831233165</x:v>
      </x:c>
      <x:c r="BB266" t="n">
        <x:f>N266+X266</x:f>
        <x:v>7059.853998617016</x:v>
      </x:c>
      <x:c r="BC266" t="n">
        <x:f>AS266/'Inputs'!$F$14-1</x:f>
        <x:v>0.15712881022615544</x:v>
      </x:c>
      <x:c r="BD266" t="n">
        <x:f>AT266/AS266-1</x:f>
        <x:v>0.14294357579877648</x:v>
      </x:c>
      <x:c r="BE266" t="n">
        <x:f>AU266/AT266-1</x:f>
        <x:v>0.14330446626657212</x:v>
      </x:c>
      <x:c r="BF266" t="n">
        <x:f>AV266/AU266-1</x:f>
        <x:v>0.14793135846438732</x:v>
      </x:c>
      <x:c r="BG266" t="n">
        <x:f>AW266/AV266-1</x:f>
        <x:v>0.14919828778098898</x:v>
      </x:c>
      <x:c r="BH266" t="n">
        <x:f>AX266/AW266-1</x:f>
        <x:v>0.12535863022479132</x:v>
      </x:c>
      <x:c r="BI266" t="n">
        <x:f>AY266/AX266-1</x:f>
        <x:v>0.10151897266859344</x:v>
      </x:c>
      <x:c r="BJ266" t="n">
        <x:f>AZ266/AY266-1</x:f>
        <x:v>0.07767931511239556</x:v>
      </x:c>
      <x:c r="BK266" t="n">
        <x:f>BA266/AZ266-1</x:f>
        <x:v>0.053839657556197906</x:v>
      </x:c>
      <x:c r="BL266" t="n">
        <x:f>BB266/BA266-1</x:f>
        <x:v>0.030000000000000027</x:v>
      </x:c>
      <x:c r="BM266" t="n">
        <x:f>AH266*(1-'Assumptions'!$F$15)*(1+'Assumptions'!$D$15)*(1-'Assumptions'!$D$15/'Assumptions'!$E$15)</x:f>
        <x:v>827.8809523053776</x:v>
      </x:c>
      <x:c r="BN266" t="n">
        <x:f>SUMPRODUCT(AI266:AR266,'MOD Model'!$B$83:$K$83)+BM266/('Assumptions'!$C$15-'Assumptions'!$D$15)*'MOD Model'!$K$83</x:f>
        <x:v>6612.627708204628</x:v>
      </x:c>
      <x:c r="BO266" t="n">
        <x:f>'MOD Model'!$B$94</x:f>
        <x:v>553.5</x:v>
      </x:c>
      <x:c r="BP266" t="n">
        <x:f>'Inputs'!$F$8</x:f>
        <x:v>54</x:v>
      </x:c>
    </x:row>
    <x:row r="267">
      <x:c r="A267" t="str">
        <x:v>MOD</x:v>
      </x:c>
      <x:c r="B267" s="22" t="n">
        <x:v>0.21</x:v>
      </x:c>
      <x:c r="C267" s="42" t="n">
        <x:f>(BN267+BO267)/BP267</x:f>
        <x:v>138.37569938559741</x:v>
      </x:c>
      <x:c r="D267" s="22" t="n">
        <x:f>C267/'Inputs'!$F$5-1</x:f>
        <x:v>-0.28914158334738815</x:v>
      </x:c>
      <x:c r="E267" t="n">
        <x:f>'Inputs'!$F$24*(1+$B267)^1</x:f>
        <x:v>1687.2240000000002</x:v>
      </x:c>
      <x:c r="F267" t="n">
        <x:f>'Inputs'!$F$24*(1+$B267)^2</x:f>
        <x:v>2041.54104</x:v>
      </x:c>
      <x:c r="G267" t="n">
        <x:f>'Inputs'!$F$24*(1+$B267)^3</x:f>
        <x:v>2470.2646584</x:v>
      </x:c>
      <x:c r="H267" t="n">
        <x:f>'Inputs'!$F$24*(1+$B267)^4</x:f>
        <x:v>2989.020236664</x:v>
      </x:c>
      <x:c r="I267" t="n">
        <x:f>'Inputs'!$F$24*(1+$B267)^5</x:f>
        <x:v>3616.71448636344</x:v>
      </x:c>
      <x:c r="J267" t="n">
        <x:f>I267*(1+($BG267+('Assumptions'!$D$15-$BG267)*(6-5)/5))</x:f>
        <x:v>4093.3643895299374</x:v>
      </x:c>
      <x:c r="K267" t="n">
        <x:f>J267*(1+($BG267+('Assumptions'!$D$15-$BG267)*(7-5)/5))</x:f>
        <x:v>4528.665624393462</x:v>
      </x:c>
      <x:c r="L267" t="n">
        <x:f>K267*(1+($BG267+('Assumptions'!$D$15-$BG267)*(8-5)/5))</x:f>
        <x:v>4895.0139715413015</x:v>
      </x:c>
      <x:c r="M267" t="n">
        <x:f>L267*(1+($BG267+('Assumptions'!$D$15-$BG267)*(9-5)/5))</x:f>
        <x:v>5166.4313079873245</x:v>
      </x:c>
      <x:c r="N267" t="n">
        <x:f>M267*(1+($BG267+('Assumptions'!$D$15-$BG267)*(10-5)/5))</x:f>
        <x:v>5321.424247226944</x:v>
      </x:c>
      <x:c r="O267" t="n">
        <x:f>'MOD Model'!$B$68</x:f>
        <x:v>1151.0400000000002</x:v>
      </x:c>
      <x:c r="P267" t="n">
        <x:f>'MOD Model'!$C$68</x:f>
        <x:v>1220.1024000000002</x:v>
      </x:c>
      <x:c r="Q267" t="n">
        <x:f>'MOD Model'!$D$68</x:f>
        <x:v>1281.1075200000002</x:v>
      </x:c>
      <x:c r="R267" t="n">
        <x:f>'MOD Model'!$E$68</x:f>
        <x:v>1345.1628960000003</x:v>
      </x:c>
      <x:c r="S267" t="n">
        <x:f>'MOD Model'!$F$68</x:f>
        <x:v>1398.9694118400002</x:v>
      </x:c>
      <x:c r="T267" t="n">
        <x:f>S267*(1+($BG267+('Assumptions'!$D$15-$BG267)*(6-5)/5))</x:f>
        <x:v>1583.3407901173343</x:v>
      </x:c>
      <x:c r="U267" t="n">
        <x:f>T267*(1+($BG267+('Assumptions'!$D$15-$BG267)*(7-5)/5))</x:f>
        <x:v>1751.7182262700471</x:v>
      </x:c>
      <x:c r="V267" t="n">
        <x:f>U267*(1+($BG267+('Assumptions'!$D$15-$BG267)*(8-5)/5))</x:f>
        <x:v>1893.424223154886</x:v>
      </x:c>
      <x:c r="W267" t="n">
        <x:f>V267*(1+($BG267+('Assumptions'!$D$15-$BG267)*(9-5)/5))</x:f>
        <x:v>1998.4102686286776</x:v>
      </x:c>
      <x:c r="X267" t="n">
        <x:f>W267*(1+($BG267+('Assumptions'!$D$15-$BG267)*(10-5)/5))</x:f>
        <x:v>2058.362576687538</x:v>
      </x:c>
      <x:c r="Y267" t="n">
        <x:f>E267*'MOD Model'!$B$62+O267*'MOD Model'!$B$63+'MOD Model'!$B$73+'MOD Model'!$B$74</x:f>
        <x:v>368.24592000000007</x:v>
      </x:c>
      <x:c r="Z267" t="n">
        <x:f>F267*'MOD Model'!$C$62+P267*'MOD Model'!$C$63+'MOD Model'!$C$73+'MOD Model'!$C$74</x:f>
        <x:v>483.79305600000004</x:v>
      </x:c>
      <x:c r="AA267" t="n">
        <x:f>G267*'MOD Model'!$D$62+Q267*'MOD Model'!$D$63+'MOD Model'!$D$73+'MOD Model'!$D$74</x:f>
        <x:v>616.7715295560001</x:v>
      </x:c>
      <x:c r="AB267" t="n">
        <x:f>H267*'MOD Model'!$E$62+R267*'MOD Model'!$E$63+'MOD Model'!$E$73+'MOD Model'!$E$74</x:f>
        <x:v>747.53231146608</x:v>
      </x:c>
      <x:c r="AC267" t="n">
        <x:f>I267*'MOD Model'!$F$62+S267*'MOD Model'!$F$63+'MOD Model'!$F$73+'MOD Model'!$F$74</x:f>
        <x:v>888.1046950259567</x:v>
      </x:c>
      <x:c r="AD267" t="n">
        <x:f>AX267*$AC267/$AW267</x:f>
        <x:v>1005.1487742536403</x:v>
      </x:c>
      <x:c r="AE267" t="n">
        <x:f>AY267*$AC267/$AW267</x:f>
        <x:v>1112.0394541484773</x:v>
      </x:c>
      <x:c r="AF267" t="n">
        <x:f>AZ267*$AC267/$AW267</x:f>
        <x:v>1201.9983625289217</x:v>
      </x:c>
      <x:c r="AG267" t="n">
        <x:f>BA267*$AC267/$AW267</x:f>
        <x:v>1268.646424386722</x:v>
      </x:c>
      <x:c r="AH267" t="n">
        <x:f>BB267*$AC267/$AW267</x:f>
        <x:v>1306.7058171183237</x:v>
      </x:c>
      <x:c r="AI267" t="n">
        <x:f>Y267*(1-'Assumptions'!$F$15)+AS267*'Assumptions'!$G$15-AS267*'MOD Model'!$B$65-(AS267-'Inputs'!$F$14)*'Assumptions'!$H$15-'Assumptions'!$I$15</x:f>
        <x:v>117.22560000000004</x:v>
      </x:c>
      <x:c r="AJ267" t="n">
        <x:f>Z267*(1-'Assumptions'!$F$15)+AT267*'Assumptions'!$G$15-AT267*'MOD Model'!$C$65-(AT267-AS267)*'Assumptions'!$H$15-0</x:f>
        <x:v>201.48857280000001</x:v>
      </x:c>
      <x:c r="AK267" t="n">
        <x:f>AA267*(1-'Assumptions'!$F$15)+AU267*'Assumptions'!$G$15-AU267*'MOD Model'!$D$65-(AU267-AT267)*'Assumptions'!$H$15-0</x:f>
        <x:v>295.3350319470002</x:v>
      </x:c>
      <x:c r="AL267" t="n">
        <x:f>AB267*(1-'Assumptions'!$F$15)+AV267*'Assumptions'!$G$15-AV267*'MOD Model'!$E$65-(AV267-AU267)*'Assumptions'!$H$15-0</x:f>
        <x:v>386.54392780668</x:v>
      </x:c>
      <x:c r="AM267" t="n">
        <x:f>AC267*(1-'Assumptions'!$F$15)+AW267*'Assumptions'!$G$15-AW267*'MOD Model'!$F$65-(AW267-AV267)*'Assumptions'!$H$15-0</x:f>
        <x:v>488.61814796549993</x:v>
      </x:c>
      <x:c r="AN267" t="n">
        <x:f>AD267*(1-'Assumptions'!$F$15)+AX267*'Assumptions'!$G$15-AX267*'MOD Model'!$G$65-(AX267-AW267)*'Assumptions'!$H$15-0</x:f>
        <x:v>569.5578107789465</x:v>
      </x:c>
      <x:c r="AO267" t="n">
        <x:f>AE267*(1-'Assumptions'!$F$15)+AY267*'Assumptions'!$G$15-AY267*'MOD Model'!$H$65-(AY267-AX267)*'Assumptions'!$H$15-0</x:f>
        <x:v>649.2720321989697</x:v>
      </x:c>
      <x:c r="AP267" t="n">
        <x:f>AF267*(1-'Assumptions'!$F$15)+AZ267*'Assumptions'!$G$15-AZ267*'MOD Model'!$I$65-(AZ267-AY267)*'Assumptions'!$H$15-0</x:f>
        <x:v>723.4640473713466</x:v>
      </x:c>
      <x:c r="AQ267" t="n">
        <x:f>AG267*(1-'Assumptions'!$F$15)+BA267*'Assumptions'!$G$15-BA267*'MOD Model'!$J$65-(BA267-AZ267)*'Assumptions'!$H$15-0</x:f>
        <x:v>787.5516873528293</x:v>
      </x:c>
      <x:c r="AR267" t="n">
        <x:f>AH267*(1-'Assumptions'!$F$15)+BB267*'Assumptions'!$G$15-BB267*'MOD Model'!$K$65-(BB267-BA267)*'Assumptions'!$H$15-0</x:f>
        <x:v>837.0907733852537</x:v>
      </x:c>
      <x:c r="AS267" t="n">
        <x:f>E267+O267</x:f>
        <x:v>2838.264</x:v>
      </x:c>
      <x:c r="AT267" t="n">
        <x:f>F267+P267</x:f>
        <x:v>3261.6434400000003</x:v>
      </x:c>
      <x:c r="AU267" t="n">
        <x:f>G267+Q267</x:f>
        <x:v>3751.3721784</x:v>
      </x:c>
      <x:c r="AV267" t="n">
        <x:f>H267+R267</x:f>
        <x:v>4334.183132664</x:v>
      </x:c>
      <x:c r="AW267" t="n">
        <x:f>I267+S267</x:f>
        <x:v>5015.683898203441</x:v>
      </x:c>
      <x:c r="AX267" t="n">
        <x:f>J267+T267</x:f>
        <x:v>5676.7051796472715</x:v>
      </x:c>
      <x:c r="AY267" t="n">
        <x:f>K267+U267</x:f>
        <x:v>6280.383850663509</x:v>
      </x:c>
      <x:c r="AZ267" t="n">
        <x:f>L267+V267</x:f>
        <x:v>6788.438194696188</x:v>
      </x:c>
      <x:c r="BA267" t="n">
        <x:f>M267+W267</x:f>
        <x:v>7164.841576616002</x:v>
      </x:c>
      <x:c r="BB267" t="n">
        <x:f>N267+X267</x:f>
        <x:v>7379.786823914483</x:v>
      </x:c>
      <x:c r="BC267" t="n">
        <x:f>AS267/'Inputs'!$F$14-1</x:f>
        <x:v>0.1628416912487709</x:v>
      </x:c>
      <x:c r="BD267" t="n">
        <x:f>AT267/AS267-1</x:f>
        <x:v>0.14916844944656327</x:v>
      </x:c>
      <x:c r="BE267" t="n">
        <x:f>AU267/AT267-1</x:f>
        <x:v>0.15014784644884416</x:v>
      </x:c>
      <x:c r="BF267" t="n">
        <x:f>AV267/AU267-1</x:f>
        <x:v>0.15535940625133482</x:v>
      </x:c>
      <x:c r="BG267" t="n">
        <x:f>AW267/AV267-1</x:f>
        <x:v>0.1572385717630156</x:v>
      </x:c>
      <x:c r="BH267" t="n">
        <x:f>AX267/AW267-1</x:f>
        <x:v>0.1317908574104123</x:v>
      </x:c>
      <x:c r="BI267" t="n">
        <x:f>AY267/AX267-1</x:f>
        <x:v>0.10634314305780945</x:v>
      </x:c>
      <x:c r="BJ267" t="n">
        <x:f>AZ267/AY267-1</x:f>
        <x:v>0.08089542870520616</x:v>
      </x:c>
      <x:c r="BK267" t="n">
        <x:f>BA267/AZ267-1</x:f>
        <x:v>0.055447714352603095</x:v>
      </x:c>
      <x:c r="BL267" t="n">
        <x:f>BB267/BA267-1</x:f>
        <x:v>0.030000000000000027</x:v>
      </x:c>
      <x:c r="BM267" t="n">
        <x:f>AH267*(1-'Assumptions'!$F$15)*(1+'Assumptions'!$D$15)*(1-'Assumptions'!$D$15/'Assumptions'!$E$15)</x:f>
        <x:v>871.7806650342817</x:v>
      </x:c>
      <x:c r="BN267" t="n">
        <x:f>SUMPRODUCT(AI267:AR267,'MOD Model'!$B$83:$K$83)+BM267/('Assumptions'!$C$15-'Assumptions'!$D$15)*'MOD Model'!$K$83</x:f>
        <x:v>6918.787766822261</x:v>
      </x:c>
      <x:c r="BO267" t="n">
        <x:f>'MOD Model'!$B$94</x:f>
        <x:v>553.5</x:v>
      </x:c>
      <x:c r="BP267" t="n">
        <x:f>'Inputs'!$F$8</x:f>
        <x:v>54</x:v>
      </x:c>
    </x:row>
    <x:row r="268">
      <x:c r="A268" t="str">
        <x:v>MOD</x:v>
      </x:c>
      <x:c r="B268" s="22" t="n">
        <x:v>0.22</x:v>
      </x:c>
      <x:c r="C268" s="42" t="n">
        <x:f>(BN268+BO268)/BP268</x:f>
        <x:v>144.3257249739745</x:v>
      </x:c>
      <x:c r="D268" s="22" t="n">
        <x:f>C268/'Inputs'!$F$5-1</x:f>
        <x:v>-0.2585753366178234</x:v>
      </x:c>
      <x:c r="E268" t="n">
        <x:f>'Inputs'!$F$24*(1+$B268)^1</x:f>
        <x:v>1701.1680000000001</x:v>
      </x:c>
      <x:c r="F268" t="n">
        <x:f>'Inputs'!$F$24*(1+$B268)^2</x:f>
        <x:v>2075.4249600000003</x:v>
      </x:c>
      <x:c r="G268" t="n">
        <x:f>'Inputs'!$F$24*(1+$B268)^3</x:f>
        <x:v>2532.0184512</x:v>
      </x:c>
      <x:c r="H268" t="n">
        <x:f>'Inputs'!$F$24*(1+$B268)^4</x:f>
        <x:v>3089.062510464</x:v>
      </x:c>
      <x:c r="I268" t="n">
        <x:f>'Inputs'!$F$24*(1+$B268)^5</x:f>
        <x:v>3768.6562627660796</x:v>
      </x:c>
      <x:c r="J268" t="n">
        <x:f>I268*(1+($BG268+('Assumptions'!$D$15-$BG268)*(6-5)/5))</x:f>
        <x:v>4289.922781071718</x:v>
      </x:c>
      <x:c r="K268" t="n">
        <x:f>J268*(1+($BG268+('Assumptions'!$D$15-$BG268)*(7-5)/5))</x:f>
        <x:v>4767.1218252914005</x:v>
      </x:c>
      <x:c r="L268" t="n">
        <x:f>K268*(1+($BG268+('Assumptions'!$D$15-$BG268)*(8-5)/5))</x:f>
        <x:v>5168.313933437742</x:v>
      </x:c>
      <x:c r="M268" t="n">
        <x:f>L268*(1+($BG268+('Assumptions'!$D$15-$BG268)*(9-5)/5))</x:f>
        <x:v>5463.316487406199</x:v>
      </x:c>
      <x:c r="N268" t="n">
        <x:f>M268*(1+($BG268+('Assumptions'!$D$15-$BG268)*(10-5)/5))</x:f>
        <x:v>5627.215982028385</x:v>
      </x:c>
      <x:c r="O268" t="n">
        <x:f>'MOD Model'!$B$68</x:f>
        <x:v>1151.0400000000002</x:v>
      </x:c>
      <x:c r="P268" t="n">
        <x:f>'MOD Model'!$C$68</x:f>
        <x:v>1220.1024000000002</x:v>
      </x:c>
      <x:c r="Q268" t="n">
        <x:f>'MOD Model'!$D$68</x:f>
        <x:v>1281.1075200000002</x:v>
      </x:c>
      <x:c r="R268" t="n">
        <x:f>'MOD Model'!$E$68</x:f>
        <x:v>1345.1628960000003</x:v>
      </x:c>
      <x:c r="S268" t="n">
        <x:f>'MOD Model'!$F$68</x:f>
        <x:v>1398.9694118400002</x:v>
      </x:c>
      <x:c r="T268" t="n">
        <x:f>S268*(1+($BG268+('Assumptions'!$D$15-$BG268)*(6-5)/5))</x:f>
        <x:v>1592.4696579968856</x:v>
      </x:c>
      <x:c r="U268" t="n">
        <x:f>T268*(1+($BG268+('Assumptions'!$D$15-$BG268)*(7-5)/5))</x:f>
        <x:v>1769.6115408526678</x:v>
      </x:c>
      <x:c r="V268" t="n">
        <x:f>U268*(1+($BG268+('Assumptions'!$D$15-$BG268)*(8-5)/5))</x:f>
        <x:v>1918.5387574612719</x:v>
      </x:c>
      <x:c r="W268" t="n">
        <x:f>V268*(1+($BG268+('Assumptions'!$D$15-$BG268)*(9-5)/5))</x:f>
        <x:v>2028.047165934068</x:v>
      </x:c>
      <x:c r="X268" t="n">
        <x:f>W268*(1+($BG268+('Assumptions'!$D$15-$BG268)*(10-5)/5))</x:f>
        <x:v>2088.88858091209</x:v>
      </x:c>
      <x:c r="Y268" t="n">
        <x:f>E268*'MOD Model'!$B$62+O268*'MOD Model'!$B$63+'MOD Model'!$B$73+'MOD Model'!$B$74</x:f>
        <x:v>370.75584000000003</x:v>
      </x:c>
      <x:c r="Z268" t="n">
        <x:f>F268*'MOD Model'!$C$62+P268*'MOD Model'!$C$63+'MOD Model'!$C$73+'MOD Model'!$C$74</x:f>
        <x:v>490.56984000000006</x:v>
      </x:c>
      <x:c r="AA268" t="n">
        <x:f>G268*'MOD Model'!$D$62+Q268*'MOD Model'!$D$63+'MOD Model'!$D$73+'MOD Model'!$D$74</x:f>
        <x:v>630.0485950080001</x:v>
      </x:c>
      <x:c r="AB268" t="n">
        <x:f>H268*'MOD Model'!$E$62+R268*'MOD Model'!$E$63+'MOD Model'!$E$73+'MOD Model'!$E$74</x:f>
        <x:v>769.54161170208</x:v>
      </x:c>
      <x:c r="AC268" t="n">
        <x:f>I268*'MOD Model'!$F$62+S268*'MOD Model'!$F$63+'MOD Model'!$F$73+'MOD Model'!$F$74</x:f>
        <x:v>921.5318858345374</x:v>
      </x:c>
      <x:c r="AD268" t="n">
        <x:f>AX268*$AC268/$AW268</x:f>
        <x:v>1048.9947490259992</x:v>
      </x:c>
      <x:c r="AE268" t="n">
        <x:f>AY268*$AC268/$AW268</x:f>
        <x:v>1165.6819989306737</x:v>
      </x:c>
      <x:c r="AF268" t="n">
        <x:f>AZ268*$AC268/$AW268</x:f>
        <x:v>1263.7836283243491</x:v>
      </x:c>
      <x:c r="AG268" t="n">
        <x:f>BA268*$AC268/$AW268</x:f>
        <x:v>1335.919222798817</x:v>
      </x:c>
      <x:c r="AH268" t="n">
        <x:f>BB268*$AC268/$AW268</x:f>
        <x:v>1375.9967994827814</x:v>
      </x:c>
      <x:c r="AI268" t="n">
        <x:f>Y268*(1-'Assumptions'!$F$15)+AS268*'Assumptions'!$G$15-AS268*'MOD Model'!$B$65-(AS268-'Inputs'!$F$14)*'Assumptions'!$H$15-'Assumptions'!$I$15</x:f>
        <x:v>116.52839999999992</x:v>
      </x:c>
      <x:c r="AJ268" t="n">
        <x:f>Z268*(1-'Assumptions'!$F$15)+AT268*'Assumptions'!$G$15-AT268*'MOD Model'!$C$65-(AT268-AS268)*'Assumptions'!$H$15-0</x:f>
        <x:v>202.56365520000003</x:v>
      </x:c>
      <x:c r="AK268" t="n">
        <x:f>AA268*(1-'Assumptions'!$F$15)+AU268*'Assumptions'!$G$15-AU268*'MOD Model'!$D$65-(AU268-AT268)*'Assumptions'!$H$15-0</x:f>
        <x:v>299.56850529600024</x:v>
      </x:c>
      <x:c r="AL268" t="n">
        <x:f>AB268*(1-'Assumptions'!$F$15)+AV268*'Assumptions'!$G$15-AV268*'MOD Model'!$E$65-(AV268-AU268)*'Assumptions'!$H$15-0</x:f>
        <x:v>395.30678535768004</x:v>
      </x:c>
      <x:c r="AM268" t="n">
        <x:f>AC268*(1-'Assumptions'!$F$15)+AW268*'Assumptions'!$G$15-AW268*'MOD Model'!$F$65-(AW268-AV268)*'Assumptions'!$H$15-0</x:f>
        <x:v>503.62448903550006</x:v>
      </x:c>
      <x:c r="AN268" t="n">
        <x:f>AD268*(1-'Assumptions'!$F$15)+AX268*'Assumptions'!$G$15-AX268*'MOD Model'!$G$65-(AX268-AW268)*'Assumptions'!$H$15-0</x:f>
        <x:v>591.2951605140918</x:v>
      </x:c>
      <x:c r="AO268" t="n">
        <x:f>AE268*(1-'Assumptions'!$F$15)+AY268*'Assumptions'!$G$15-AY268*'MOD Model'!$H$65-(AY268-AX268)*'Assumptions'!$H$15-0</x:f>
        <x:v>678.0593596445246</x:v>
      </x:c>
      <x:c r="AP268" t="n">
        <x:f>AF268*(1-'Assumptions'!$F$15)+AZ268*'Assumptions'!$G$15-AZ268*'MOD Model'!$I$65-(AZ268-AY268)*'Assumptions'!$H$15-0</x:f>
        <x:v>759.0170321665349</x:v>
      </x:c>
      <x:c r="AQ268" t="n">
        <x:f>AG268*(1-'Assumptions'!$F$15)+BA268*'Assumptions'!$G$15-BA268*'MOD Model'!$J$65-(BA268-AZ268)*'Assumptions'!$H$15-0</x:f>
        <x:v>828.8923179328207</x:v>
      </x:c>
      <x:c r="AR268" t="n">
        <x:f>AH268*(1-'Assumptions'!$F$15)+BB268*'Assumptions'!$G$15-BB268*'MOD Model'!$K$65-(BB268-BA268)*'Assumptions'!$H$15-0</x:f>
        <x:v>882.5448947279476</x:v>
      </x:c>
      <x:c r="AS268" t="n">
        <x:f>E268+O268</x:f>
        <x:v>2852.2080000000005</x:v>
      </x:c>
      <x:c r="AT268" t="n">
        <x:f>F268+P268</x:f>
        <x:v>3295.5273600000005</x:v>
      </x:c>
      <x:c r="AU268" t="n">
        <x:f>G268+Q268</x:f>
        <x:v>3813.1259712</x:v>
      </x:c>
      <x:c r="AV268" t="n">
        <x:f>H268+R268</x:f>
        <x:v>4434.225406464</x:v>
      </x:c>
      <x:c r="AW268" t="n">
        <x:f>I268+S268</x:f>
        <x:v>5167.62567460608</x:v>
      </x:c>
      <x:c r="AX268" t="n">
        <x:f>J268+T268</x:f>
        <x:v>5882.392439068604</x:v>
      </x:c>
      <x:c r="AY268" t="n">
        <x:f>K268+U268</x:f>
        <x:v>6536.733366144068</x:v>
      </x:c>
      <x:c r="AZ268" t="n">
        <x:f>L268+V268</x:f>
        <x:v>7086.852690899013</x:v>
      </x:c>
      <x:c r="BA268" t="n">
        <x:f>M268+W268</x:f>
        <x:v>7491.363653340267</x:v>
      </x:c>
      <x:c r="BB268" t="n">
        <x:f>N268+X268</x:f>
        <x:v>7716.104562940475</x:v>
      </x:c>
      <x:c r="BC268" t="n">
        <x:f>AS268/'Inputs'!$F$14-1</x:f>
        <x:v>0.1685545722713866</x:v>
      </x:c>
      <x:c r="BD268" t="n">
        <x:f>AT268/AS268-1</x:f>
        <x:v>0.15543023510206821</x:v>
      </x:c>
      <x:c r="BE268" t="n">
        <x:f>AU268/AT268-1</x:f>
        <x:v>0.15706093582545755</x:v>
      </x:c>
      <x:c r="BF268" t="n">
        <x:f>AV268/AU268-1</x:f>
        <x:v>0.16288458339826062</x:v>
      </x:c>
      <x:c r="BG268" t="n">
        <x:f>AW268/AV268-1</x:f>
        <x:v>0.16539535114136594</x:v>
      </x:c>
      <x:c r="BH268" t="n">
        <x:f>AX268/AW268-1</x:f>
        <x:v>0.13831628091309267</x:v>
      </x:c>
      <x:c r="BI268" t="n">
        <x:f>AY268/AX268-1</x:f>
        <x:v>0.11123721068481962</x:v>
      </x:c>
      <x:c r="BJ268" t="n">
        <x:f>AZ268/AY268-1</x:f>
        <x:v>0.08415814045654635</x:v>
      </x:c>
      <x:c r="BK268" t="n">
        <x:f>BA268/AZ268-1</x:f>
        <x:v>0.05707907022827352</x:v>
      </x:c>
      <x:c r="BL268" t="n">
        <x:f>BB268/BA268-1</x:f>
        <x:v>0.030000000000000027</x:v>
      </x:c>
      <x:c r="BM268" t="n">
        <x:f>AH268*(1-'Assumptions'!$F$15)*(1+'Assumptions'!$D$15)*(1-'Assumptions'!$D$15/'Assumptions'!$E$15)</x:f>
        <x:v>918.0087738367512</x:v>
      </x:c>
      <x:c r="BN268" t="n">
        <x:f>SUMPRODUCT(AI268:AR268,'MOD Model'!$B$83:$K$83)+BM268/('Assumptions'!$C$15-'Assumptions'!$D$15)*'MOD Model'!$K$83</x:f>
        <x:v>7240.089148594623</x:v>
      </x:c>
      <x:c r="BO268" t="n">
        <x:f>'MOD Model'!$B$94</x:f>
        <x:v>553.5</x:v>
      </x:c>
      <x:c r="BP268" t="n">
        <x:f>'Inputs'!$F$8</x:f>
        <x:v>54</x:v>
      </x:c>
    </x:row>
    <x:row r="269">
      <x:c r="A269" t="str">
        <x:v>MOD</x:v>
      </x:c>
      <x:c r="B269" s="22" t="n">
        <x:v>0.23</x:v>
      </x:c>
      <x:c r="C269" s="42" t="n">
        <x:f>(BN269+BO269)/BP269</x:f>
        <x:v>150.56881804977775</x:v>
      </x:c>
      <x:c r="D269" s="22" t="n">
        <x:f>C269/'Inputs'!$F$5-1</x:f>
        <x:v>-0.22650355466054783</x:v>
      </x:c>
      <x:c r="E269" t="n">
        <x:f>'Inputs'!$F$24*(1+$B269)^1</x:f>
        <x:v>1715.112</x:v>
      </x:c>
      <x:c r="F269" t="n">
        <x:f>'Inputs'!$F$24*(1+$B269)^2</x:f>
        <x:v>2109.58776</x:v>
      </x:c>
      <x:c r="G269" t="n">
        <x:f>'Inputs'!$F$24*(1+$B269)^3</x:f>
        <x:v>2594.7929448</x:v>
      </x:c>
      <x:c r="H269" t="n">
        <x:f>'Inputs'!$F$24*(1+$B269)^4</x:f>
        <x:v>3191.595322104</x:v>
      </x:c>
      <x:c r="I269" t="n">
        <x:f>'Inputs'!$F$24*(1+$B269)^5</x:f>
        <x:v>3925.6622461879197</x:v>
      </x:c>
      <x:c r="J269" t="n">
        <x:f>I269*(1+($BG269+('Assumptions'!$D$15-$BG269)*(6-5)/5))</x:f>
        <x:v>4494.614474399659</x:v>
      </x:c>
      <x:c r="K269" t="n">
        <x:f>J269*(1+($BG269+('Assumptions'!$D$15-$BG269)*(7-5)/5))</x:f>
        <x:v>5016.882591011742</x:v>
      </x:c>
      <x:c r="L269" t="n">
        <x:f>K269*(1+($BG269+('Assumptions'!$D$15-$BG269)*(8-5)/5))</x:f>
        <x:v>5455.688060026698</x:v>
      </x:c>
      <x:c r="M269" t="n">
        <x:f>L269*(1+($BG269+('Assumptions'!$D$15-$BG269)*(9-5)/5))</x:f>
        <x:v>5776.116343244811</x:v>
      </x:c>
      <x:c r="N269" t="n">
        <x:f>M269*(1+($BG269+('Assumptions'!$D$15-$BG269)*(10-5)/5))</x:f>
        <x:v>5949.399833542156</x:v>
      </x:c>
      <x:c r="O269" t="n">
        <x:f>'MOD Model'!$B$68</x:f>
        <x:v>1151.0400000000002</x:v>
      </x:c>
      <x:c r="P269" t="n">
        <x:f>'MOD Model'!$C$68</x:f>
        <x:v>1220.1024000000002</x:v>
      </x:c>
      <x:c r="Q269" t="n">
        <x:f>'MOD Model'!$D$68</x:f>
        <x:v>1281.1075200000002</x:v>
      </x:c>
      <x:c r="R269" t="n">
        <x:f>'MOD Model'!$E$68</x:f>
        <x:v>1345.1628960000003</x:v>
      </x:c>
      <x:c r="S269" t="n">
        <x:f>'MOD Model'!$F$68</x:f>
        <x:v>1398.9694118400002</x:v>
      </x:c>
      <x:c r="T269" t="n">
        <x:f>S269*(1+($BG269+('Assumptions'!$D$15-$BG269)*(6-5)/5))</x:f>
        <x:v>1601.724186487094</x:v>
      </x:c>
      <x:c r="U269" t="n">
        <x:f>T269*(1+($BG269+('Assumptions'!$D$15-$BG269)*(7-5)/5))</x:f>
        <x:v>1787.842368363053</x:v>
      </x:c>
      <x:c r="V269" t="n">
        <x:f>U269*(1+($BG269+('Assumptions'!$D$15-$BG269)*(8-5)/5))</x:f>
        <x:v>1944.2173671282019</x:v>
      </x:c>
      <x:c r="W269" t="n">
        <x:f>V269*(1+($BG269+('Assumptions'!$D$15-$BG269)*(9-5)/5))</x:f>
        <x:v>2058.406856391025</x:v>
      </x:c>
      <x:c r="X269" t="n">
        <x:f>W269*(1+($BG269+('Assumptions'!$D$15-$BG269)*(10-5)/5))</x:f>
        <x:v>2120.159062082756</x:v>
      </x:c>
      <x:c r="Y269" t="n">
        <x:f>E269*'MOD Model'!$B$62+O269*'MOD Model'!$B$63+'MOD Model'!$B$73+'MOD Model'!$B$74</x:f>
        <x:v>373.26576</x:v>
      </x:c>
      <x:c r="Z269" t="n">
        <x:f>F269*'MOD Model'!$C$62+P269*'MOD Model'!$C$63+'MOD Model'!$C$73+'MOD Model'!$C$74</x:f>
        <x:v>497.4024</x:v>
      </x:c>
      <x:c r="AA269" t="n">
        <x:f>G269*'MOD Model'!$D$62+Q269*'MOD Model'!$D$63+'MOD Model'!$D$73+'MOD Model'!$D$74</x:f>
        <x:v>643.5451111320001</x:v>
      </x:c>
      <x:c r="AB269" t="n">
        <x:f>H269*'MOD Model'!$E$62+R269*'MOD Model'!$E$63+'MOD Model'!$E$73+'MOD Model'!$E$74</x:f>
        <x:v>792.0988302628799</x:v>
      </x:c>
      <x:c r="AC269" t="n">
        <x:f>I269*'MOD Model'!$F$62+S269*'MOD Model'!$F$63+'MOD Model'!$F$73+'MOD Model'!$F$74</x:f>
        <x:v>956.0732021873423</x:v>
      </x:c>
      <x:c r="AD269" t="n">
        <x:f>AX269*$AC269/$AW269</x:f>
        <x:v>1094.6383523721915</x:v>
      </x:c>
      <x:c r="AE269" t="n">
        <x:f>AY269*$AC269/$AW269</x:f>
        <x:v>1221.8338468736722</x:v>
      </x:c>
      <x:c r="AF269" t="n">
        <x:f>AZ269*$AC269/$AW269</x:f>
        <x:v>1328.7024778430937</x:v>
      </x:c>
      <x:c r="AG269" t="n">
        <x:f>BA269*$AC269/$AW269</x:f>
        <x:v>1406.7410037262675</x:v>
      </x:c>
      <x:c r="AH269" t="n">
        <x:f>BB269*$AC269/$AW269</x:f>
        <x:v>1448.943233838056</x:v>
      </x:c>
      <x:c r="AI269" t="n">
        <x:f>Y269*(1-'Assumptions'!$F$15)+AS269*'Assumptions'!$G$15-AS269*'MOD Model'!$B$65-(AS269-'Inputs'!$F$14)*'Assumptions'!$H$15-'Assumptions'!$I$15</x:f>
        <x:v>115.83120000000001</x:v>
      </x:c>
      <x:c r="AJ269" t="n">
        <x:f>Z269*(1-'Assumptions'!$F$15)+AT269*'Assumptions'!$G$15-AT269*'MOD Model'!$C$65-(AT269-AS269)*'Assumptions'!$H$15-0</x:f>
        <x:v>203.63037119999996</x:v>
      </x:c>
      <x:c r="AK269" t="n">
        <x:f>AA269*(1-'Assumptions'!$F$15)+AU269*'Assumptions'!$G$15-AU269*'MOD Model'!$D$65-(AU269-AT269)*'Assumptions'!$H$15-0</x:f>
        <x:v>303.8297760090001</x:v>
      </x:c>
      <x:c r="AL269" t="n">
        <x:f>AB269*(1-'Assumptions'!$F$15)+AV269*'Assumptions'!$G$15-AV269*'MOD Model'!$E$65-(AV269-AU269)*'Assumptions'!$H$15-0</x:f>
        <x:v>404.21029533948</x:v>
      </x:c>
      <x:c r="AM269" t="n">
        <x:f>AC269*(1-'Assumptions'!$F$15)+AW269*'Assumptions'!$G$15-AW269*'MOD Model'!$F$65-(AW269-AV269)*'Assumptions'!$H$15-0</x:f>
        <x:v>519.0044107814999</x:v>
      </x:c>
      <x:c r="AN269" t="n">
        <x:f>AD269*(1-'Assumptions'!$F$15)+AX269*'Assumptions'!$G$15-AX269*'MOD Model'!$G$65-(AX269-AW269)*'Assumptions'!$H$15-0</x:f>
        <x:v>613.7776339370174</x:v>
      </x:c>
      <x:c r="AO269" t="n">
        <x:f>AE269*(1-'Assumptions'!$F$15)+AY269*'Assumptions'!$G$15-AY269*'MOD Model'!$H$65-(AY269-AX269)*'Assumptions'!$H$15-0</x:f>
        <x:v>708.0465659914262</x:v>
      </x:c>
      <x:c r="AP269" t="n">
        <x:f>AF269*(1-'Assumptions'!$F$15)+AZ269*'Assumptions'!$G$15-AZ269*'MOD Model'!$I$65-(AZ269-AY269)*'Assumptions'!$H$15-0</x:f>
        <x:v>796.251206807981</x:v>
      </x:c>
      <x:c r="AQ269" t="n">
        <x:f>AG269*(1-'Assumptions'!$F$15)+BA269*'Assumptions'!$G$15-BA269*'MOD Model'!$J$65-(BA269-AZ269)*'Assumptions'!$H$15-0</x:f>
        <x:v>872.3452389280227</x:v>
      </x:c>
      <x:c r="AR269" t="n">
        <x:f>AH269*(1-'Assumptions'!$F$15)+BB269*'Assumptions'!$G$15-BB269*'MOD Model'!$K$65-(BB269-BA269)*'Assumptions'!$H$15-0</x:f>
        <x:v>930.408687545807</x:v>
      </x:c>
      <x:c r="AS269" t="n">
        <x:f>E269+O269</x:f>
        <x:v>2866.152</x:v>
      </x:c>
      <x:c r="AT269" t="n">
        <x:f>F269+P269</x:f>
        <x:v>3329.69016</x:v>
      </x:c>
      <x:c r="AU269" t="n">
        <x:f>G269+Q269</x:f>
        <x:v>3875.9004648</x:v>
      </x:c>
      <x:c r="AV269" t="n">
        <x:f>H269+R269</x:f>
        <x:v>4536.758218104</x:v>
      </x:c>
      <x:c r="AW269" t="n">
        <x:f>I269+S269</x:f>
        <x:v>5324.63165802792</x:v>
      </x:c>
      <x:c r="AX269" t="n">
        <x:f>J269+T269</x:f>
        <x:v>6096.338660886753</x:v>
      </x:c>
      <x:c r="AY269" t="n">
        <x:f>K269+U269</x:f>
        <x:v>6804.724959374795</x:v>
      </x:c>
      <x:c r="AZ269" t="n">
        <x:f>L269+V269</x:f>
        <x:v>7399.905427154899</x:v>
      </x:c>
      <x:c r="BA269" t="n">
        <x:f>M269+W269</x:f>
        <x:v>7834.523199635836</x:v>
      </x:c>
      <x:c r="BB269" t="n">
        <x:f>N269+X269</x:f>
        <x:v>8069.558895624912</x:v>
      </x:c>
      <x:c r="BC269" t="n">
        <x:f>AS269/'Inputs'!$F$14-1</x:f>
        <x:v>0.17426745329400184</x:v>
      </x:c>
      <x:c r="BD269" t="n">
        <x:f>AT269/AS269-1</x:f>
        <x:v>0.16172839402795103</x:v>
      </x:c>
      <x:c r="BE269" t="n">
        <x:f>AU269/AT269-1</x:f>
        <x:v>0.16404238188937081</x:v>
      </x:c>
      <x:c r="BF269" t="n">
        <x:f>AV269/AU269-1</x:f>
        <x:v>0.17050431488263218</x:v>
      </x:c>
      <x:c r="BG269" t="n">
        <x:f>AW269/AV269-1</x:f>
        <x:v>0.17366441014641243</x:v>
      </x:c>
      <x:c r="BH269" t="n">
        <x:f>AX269/AW269-1</x:f>
        <x:v>0.14493152811712995</x:v>
      </x:c>
      <x:c r="BI269" t="n">
        <x:f>AY269/AX269-1</x:f>
        <x:v>0.11619864608784747</x:v>
      </x:c>
      <x:c r="BJ269" t="n">
        <x:f>AZ269/AY269-1</x:f>
        <x:v>0.08746576405856499</x:v>
      </x:c>
      <x:c r="BK269" t="n">
        <x:f>BA269/AZ269-1</x:f>
        <x:v>0.05873288202928251</x:v>
      </x:c>
      <x:c r="BL269" t="n">
        <x:f>BB269/BA269-1</x:f>
        <x:v>0.030000000000000027</x:v>
      </x:c>
      <x:c r="BM269" t="n">
        <x:f>AH269*(1-'Assumptions'!$F$15)*(1+'Assumptions'!$D$15)*(1-'Assumptions'!$D$15/'Assumptions'!$E$15)</x:f>
        <x:v>966.6756506662757</x:v>
      </x:c>
      <x:c r="BN269" t="n">
        <x:f>SUMPRODUCT(AI269:AR269,'MOD Model'!$B$83:$K$83)+BM269/('Assumptions'!$C$15-'Assumptions'!$D$15)*'MOD Model'!$K$83</x:f>
        <x:v>7577.216174687998</x:v>
      </x:c>
      <x:c r="BO269" t="n">
        <x:f>'MOD Model'!$B$94</x:f>
        <x:v>553.5</x:v>
      </x:c>
      <x:c r="BP269" t="n">
        <x:f>'Inputs'!$F$8</x:f>
        <x:v>54</x:v>
      </x:c>
    </x:row>
    <x:row r="270">
      <x:c r="A270" t="str">
        <x:v>MOD</x:v>
      </x:c>
      <x:c r="B270" s="22" t="n">
        <x:v>0.24</x:v>
      </x:c>
      <x:c r="C270" s="42" t="n">
        <x:f>(BN270+BO270)/BP270</x:f>
        <x:v>157.11813679831926</x:v>
      </x:c>
      <x:c r="D270" s="22" t="n">
        <x:f>C270/'Inputs'!$F$5-1</x:f>
        <x:v>-0.1928586417429402</x:v>
      </x:c>
      <x:c r="E270" t="n">
        <x:f>'Inputs'!$F$24*(1+$B270)^1</x:f>
        <x:v>1729.056</x:v>
      </x:c>
      <x:c r="F270" t="n">
        <x:f>'Inputs'!$F$24*(1+$B270)^2</x:f>
        <x:v>2144.0294400000002</x:v>
      </x:c>
      <x:c r="G270" t="n">
        <x:f>'Inputs'!$F$24*(1+$B270)^3</x:f>
        <x:v>2658.5965056000005</x:v>
      </x:c>
      <x:c r="H270" t="n">
        <x:f>'Inputs'!$F$24*(1+$B270)^4</x:f>
        <x:v>3296.6596669440005</x:v>
      </x:c>
      <x:c r="I270" t="n">
        <x:f>'Inputs'!$F$24*(1+$B270)^5</x:f>
        <x:v>4087.8579870105605</x:v>
      </x:c>
      <x:c r="J270" t="n">
        <x:f>I270*(1+($BG270+('Assumptions'!$D$15-$BG270)*(6-5)/5))</x:f>
        <x:v>4707.713322631788</x:v>
      </x:c>
      <x:c r="K270" t="n">
        <x:f>J270*(1+($BG270+('Assumptions'!$D$15-$BG270)*(7-5)/5))</x:f>
        <x:v>5278.405699890952</x:v>
      </x:c>
      <x:c r="L270" t="n">
        <x:f>K270*(1+($BG270+('Assumptions'!$D$15-$BG270)*(8-5)/5))</x:f>
        <x:v>5757.77278359026</x:v>
      </x:c>
      <x:c r="M270" t="n">
        <x:f>L270*(1+($BG270+('Assumptions'!$D$15-$BG270)*(9-5)/5))</x:f>
        <x:v>6105.590171739882</x:v>
      </x:c>
      <x:c r="N270" t="n">
        <x:f>M270*(1+($BG270+('Assumptions'!$D$15-$BG270)*(10-5)/5))</x:f>
        <x:v>6288.7578768920785</x:v>
      </x:c>
      <x:c r="O270" t="n">
        <x:f>'MOD Model'!$B$68</x:f>
        <x:v>1151.0400000000002</x:v>
      </x:c>
      <x:c r="P270" t="n">
        <x:f>'MOD Model'!$C$68</x:f>
        <x:v>1220.1024000000002</x:v>
      </x:c>
      <x:c r="Q270" t="n">
        <x:f>'MOD Model'!$D$68</x:f>
        <x:v>1281.1075200000002</x:v>
      </x:c>
      <x:c r="R270" t="n">
        <x:f>'MOD Model'!$E$68</x:f>
        <x:v>1345.1628960000003</x:v>
      </x:c>
      <x:c r="S270" t="n">
        <x:f>'MOD Model'!$F$68</x:f>
        <x:v>1398.9694118400002</x:v>
      </x:c>
      <x:c r="T270" t="n">
        <x:f>S270*(1+($BG270+('Assumptions'!$D$15-$BG270)*(6-5)/5))</x:f>
        <x:v>1611.0997395214827</x:v>
      </x:c>
      <x:c r="U270" t="n">
        <x:f>T270*(1+($BG270+('Assumptions'!$D$15-$BG270)*(7-5)/5))</x:f>
        <x:v>1806.4052471718785</x:v>
      </x:c>
      <x:c r="V270" t="n">
        <x:f>U270*(1+($BG270+('Assumptions'!$D$15-$BG270)*(8-5)/5))</x:f>
        <x:v>1970.4569068110382</x:v>
      </x:c>
      <x:c r="W270" t="n">
        <x:f>V270*(1+($BG270+('Assumptions'!$D$15-$BG270)*(9-5)/5))</x:f>
        <x:v>2089.488900699662</x:v>
      </x:c>
      <x:c r="X270" t="n">
        <x:f>W270*(1+($BG270+('Assumptions'!$D$15-$BG270)*(10-5)/5))</x:f>
        <x:v>2152.1735677206516</x:v>
      </x:c>
      <x:c r="Y270" t="n">
        <x:f>E270*'MOD Model'!$B$62+O270*'MOD Model'!$B$63+'MOD Model'!$B$73+'MOD Model'!$B$74</x:f>
        <x:v>375.77567999999997</x:v>
      </x:c>
      <x:c r="Z270" t="n">
        <x:f>F270*'MOD Model'!$C$62+P270*'MOD Model'!$C$63+'MOD Model'!$C$73+'MOD Model'!$C$74</x:f>
        <x:v>504.2907360000001</x:v>
      </x:c>
      <x:c r="AA270" t="n">
        <x:f>G270*'MOD Model'!$D$62+Q270*'MOD Model'!$D$63+'MOD Model'!$D$73+'MOD Model'!$D$74</x:f>
        <x:v>657.2628767040002</x:v>
      </x:c>
      <x:c r="AB270" t="n">
        <x:f>H270*'MOD Model'!$E$62+R270*'MOD Model'!$E$63+'MOD Model'!$E$73+'MOD Model'!$E$74</x:f>
        <x:v>815.2129861276801</x:v>
      </x:c>
      <x:c r="AC270" t="n">
        <x:f>I270*'MOD Model'!$F$62+S270*'MOD Model'!$F$63+'MOD Model'!$F$73+'MOD Model'!$F$74</x:f>
        <x:v>991.7562651683234</x:v>
      </x:c>
      <x:c r="AD270" t="n">
        <x:f>AX270*$AC270/$AW270</x:f>
        <x:v>1142.139525681228</x:v>
      </x:c>
      <x:c r="AE270" t="n">
        <x:f>AY270*$AC270/$AW270</x:f>
        <x:v>1280.5953483710189</x:v>
      </x:c>
      <x:c r="AF270" t="n">
        <x:f>AZ270*$AC270/$AW270</x:f>
        <x:v>1396.8947183796934</x:v>
      </x:c>
      <x:c r="AG270" t="n">
        <x:f>BA270*$AC270/$AW270</x:f>
        <x:v>1481.2787833173631</x:v>
      </x:c>
      <x:c r="AH270" t="n">
        <x:f>BB270*$AC270/$AW270</x:f>
        <x:v>1525.7171468168838</x:v>
      </x:c>
      <x:c r="AI270" t="n">
        <x:f>Y270*(1-'Assumptions'!$F$15)+AS270*'Assumptions'!$G$15-AS270*'MOD Model'!$B$65-(AS270-'Inputs'!$F$14)*'Assumptions'!$H$15-'Assumptions'!$I$15</x:f>
        <x:v>115.13399999999994</x:v>
      </x:c>
      <x:c r="AJ270" t="n">
        <x:f>Z270*(1-'Assumptions'!$F$15)+AT270*'Assumptions'!$G$15-AT270*'MOD Model'!$C$65-(AT270-AS270)*'Assumptions'!$H$15-0</x:f>
        <x:v>204.68872080000006</x:v>
      </x:c>
      <x:c r="AK270" t="n">
        <x:f>AA270*(1-'Assumptions'!$F$15)+AU270*'Assumptions'!$G$15-AU270*'MOD Model'!$D$65-(AU270-AT270)*'Assumptions'!$H$15-0</x:f>
        <x:v>308.1187290480001</x:v>
      </x:c>
      <x:c r="AL270" t="n">
        <x:f>AB270*(1-'Assumptions'!$F$15)+AV270*'Assumptions'!$G$15-AV270*'MOD Model'!$E$65-(AV270-AU270)*'Assumptions'!$H$15-0</x:f>
        <x:v>413.25550773528016</x:v>
      </x:c>
      <x:c r="AM270" t="n">
        <x:f>AC270*(1-'Assumptions'!$F$15)+AW270*'Assumptions'!$G$15-AW270*'MOD Model'!$F$65-(AW270-AV270)*'Assumptions'!$H$15-0</x:f>
        <x:v>534.7640625075001</x:v>
      </x:c>
      <x:c r="AN270" t="n">
        <x:f>AD270*(1-'Assumptions'!$F$15)+AX270*'Assumptions'!$G$15-AX270*'MOD Model'!$G$65-(AX270-AW270)*'Assumptions'!$H$15-0</x:f>
        <x:v>637.0245988332154</x:v>
      </x:c>
      <x:c r="AO270" t="n">
        <x:f>AE270*(1-'Assumptions'!$F$15)+AY270*'Assumptions'!$G$15-AY270*'MOD Model'!$H$65-(AY270-AX270)*'Assumptions'!$H$15-0</x:f>
        <x:v>739.2746643358876</x:v>
      </x:c>
      <x:c r="AP270" t="n">
        <x:f>AF270*(1-'Assumptions'!$F$15)+AZ270*'Assumptions'!$G$15-AZ270*'MOD Model'!$I$65-(AZ270-AY270)*'Assumptions'!$H$15-0</x:f>
        <x:v>835.2347819279803</x:v>
      </x:c>
      <x:c r="AQ270" t="n">
        <x:f>AG270*(1-'Assumptions'!$F$15)+BA270*'Assumptions'!$G$15-BA270*'MOD Model'!$J$65-(BA270-AZ270)*'Assumptions'!$H$15-0</x:f>
        <x:v>918.0054940956921</x:v>
      </x:c>
      <x:c r="AR270" t="n">
        <x:f>AH270*(1-'Assumptions'!$F$15)+BB270*'Assumptions'!$G$15-BB270*'MOD Model'!$K$65-(BB270-BA270)*'Assumptions'!$H$15-0</x:f>
        <x:v>980.7960326174941</x:v>
      </x:c>
      <x:c r="AS270" t="n">
        <x:f>E270+O270</x:f>
        <x:v>2880.0960000000005</x:v>
      </x:c>
      <x:c r="AT270" t="n">
        <x:f>F270+P270</x:f>
        <x:v>3364.1318400000005</x:v>
      </x:c>
      <x:c r="AU270" t="n">
        <x:f>G270+Q270</x:f>
        <x:v>3939.704025600001</x:v>
      </x:c>
      <x:c r="AV270" t="n">
        <x:f>H270+R270</x:f>
        <x:v>4641.822562944</x:v>
      </x:c>
      <x:c r="AW270" t="n">
        <x:f>I270+S270</x:f>
        <x:v>5486.827398850561</x:v>
      </x:c>
      <x:c r="AX270" t="n">
        <x:f>J270+T270</x:f>
        <x:v>6318.813062153271</x:v>
      </x:c>
      <x:c r="AY270" t="n">
        <x:f>K270+U270</x:f>
        <x:v>7084.810947062831</x:v>
      </x:c>
      <x:c r="AZ270" t="n">
        <x:f>L270+V270</x:f>
        <x:v>7728.229690401298</x:v>
      </x:c>
      <x:c r="BA270" t="n">
        <x:f>M270+W270</x:f>
        <x:v>8195.079072439545</x:v>
      </x:c>
      <x:c r="BB270" t="n">
        <x:f>N270+X270</x:f>
        <x:v>8440.93144461273</x:v>
      </x:c>
      <x:c r="BC270" t="n">
        <x:f>AS270/'Inputs'!$F$14-1</x:f>
        <x:v>0.17998033431661753</x:v>
      </x:c>
      <x:c r="BD270" t="n">
        <x:f>AT270/AS270-1</x:f>
        <x:v>0.16806239792006927</x:v>
      </x:c>
      <x:c r="BE270" t="n">
        <x:f>AU270/AT270-1</x:f>
        <x:v>0.1710908528483832</x:v>
      </x:c>
      <x:c r="BF270" t="n">
        <x:f>AV270/AU270-1</x:f>
        <x:v>0.1782160621157498</x:v>
      </x:c>
      <x:c r="BG270" t="n">
        <x:f>AW270/AV270-1</x:f>
        <x:v>0.18204160638372824</x:v>
      </x:c>
      <x:c r="BH270" t="n">
        <x:f>AX270/AW270-1</x:f>
        <x:v>0.1516332851069826</x:v>
      </x:c>
      <x:c r="BI270" t="n">
        <x:f>AY270/AX270-1</x:f>
        <x:v>0.12122496383023695</x:v>
      </x:c>
      <x:c r="BJ270" t="n">
        <x:f>AZ270/AY270-1</x:f>
        <x:v>0.09081664255349131</x:v>
      </x:c>
      <x:c r="BK270" t="n">
        <x:f>BA270/AZ270-1</x:f>
        <x:v>0.06040832127674567</x:v>
      </x:c>
      <x:c r="BL270" t="n">
        <x:f>BB270/BA270-1</x:f>
        <x:v>0.029999999999999805</x:v>
      </x:c>
      <x:c r="BM270" t="n">
        <x:f>AH270*(1-'Assumptions'!$F$15)*(1+'Assumptions'!$D$15)*(1-'Assumptions'!$D$15/'Assumptions'!$E$15)</x:f>
        <x:v>1017.8960646547642</x:v>
      </x:c>
      <x:c r="BN270" t="n">
        <x:f>SUMPRODUCT(AI270:AR270,'MOD Model'!$B$83:$K$83)+BM270/('Assumptions'!$C$15-'Assumptions'!$D$15)*'MOD Model'!$K$83</x:f>
        <x:v>7930.87938710924</x:v>
      </x:c>
      <x:c r="BO270" t="n">
        <x:f>'MOD Model'!$B$94</x:f>
        <x:v>553.5</x:v>
      </x:c>
      <x:c r="BP270" t="n">
        <x:f>'Inputs'!$F$8</x:f>
        <x:v>54</x:v>
      </x:c>
    </x:row>
    <x:row r="271">
      <x:c r="A271" t="str">
        <x:v>MOD</x:v>
      </x:c>
      <x:c r="B271" s="22" t="n">
        <x:v>0.25</x:v>
      </x:c>
      <x:c r="C271" s="42" t="n">
        <x:f>(BN271+BO271)/BP271</x:f>
        <x:v>163.98733939959172</x:v>
      </x:c>
      <x:c r="D271" s="22" t="n">
        <x:f>C271/'Inputs'!$F$5-1</x:f>
        <x:v>-0.15757043357858969</x:v>
      </x:c>
      <x:c r="E271" t="n">
        <x:f>'Inputs'!$F$24*(1+$B271)^1</x:f>
        <x:v>1743</x:v>
      </x:c>
      <x:c r="F271" t="n">
        <x:f>'Inputs'!$F$24*(1+$B271)^2</x:f>
        <x:v>2178.75</x:v>
      </x:c>
      <x:c r="G271" t="n">
        <x:f>'Inputs'!$F$24*(1+$B271)^3</x:f>
        <x:v>2723.4375</x:v>
      </x:c>
      <x:c r="H271" t="n">
        <x:f>'Inputs'!$F$24*(1+$B271)^4</x:f>
        <x:v>3404.296875</x:v>
      </x:c>
      <x:c r="I271" t="n">
        <x:f>'Inputs'!$F$24*(1+$B271)^5</x:f>
        <x:v>4255.37109375</x:v>
      </x:c>
      <x:c r="J271" t="n">
        <x:f>I271*(1+($BG271+('Assumptions'!$D$15-$BG271)*(6-5)/5))</x:f>
        <x:v>4929.499751389091</x:v>
      </x:c>
      <x:c r="K271" t="n">
        <x:f>J271*(1+($BG271+('Assumptions'!$D$15-$BG271)*(7-5)/5))</x:f>
        <x:v>5552.163230065272</x:v>
      </x:c>
      <x:c r="L271" t="n">
        <x:f>K271*(1+($BG271+('Assumptions'!$D$15-$BG271)*(8-5)/5))</x:f>
        <x:v>6075.227810652071</x:v>
      </x:c>
      <x:c r="M271" t="n">
        <x:f>L271*(1+($BG271+('Assumptions'!$D$15-$BG271)*(9-5)/5))</x:f>
        <x:v>6452.527252966549</x:v>
      </x:c>
      <x:c r="N271" t="n">
        <x:f>M271*(1+($BG271+('Assumptions'!$D$15-$BG271)*(10-5)/5))</x:f>
        <x:v>6646.103070555546</x:v>
      </x:c>
      <x:c r="O271" t="n">
        <x:f>'MOD Model'!$B$68</x:f>
        <x:v>1151.0400000000002</x:v>
      </x:c>
      <x:c r="P271" t="n">
        <x:f>'MOD Model'!$C$68</x:f>
        <x:v>1220.1024000000002</x:v>
      </x:c>
      <x:c r="Q271" t="n">
        <x:f>'MOD Model'!$D$68</x:f>
        <x:v>1281.1075200000002</x:v>
      </x:c>
      <x:c r="R271" t="n">
        <x:f>'MOD Model'!$E$68</x:f>
        <x:v>1345.1628960000003</x:v>
      </x:c>
      <x:c r="S271" t="n">
        <x:f>'MOD Model'!$F$68</x:f>
        <x:v>1398.9694118400002</x:v>
      </x:c>
      <x:c r="T271" t="n">
        <x:f>S271*(1+($BG271+('Assumptions'!$D$15-$BG271)*(6-5)/5))</x:f>
        <x:v>1620.591768834197</x:v>
      </x:c>
      <x:c r="U271" t="n">
        <x:f>T271*(1+($BG271+('Assumptions'!$D$15-$BG271)*(7-5)/5))</x:f>
        <x:v>1825.2947527448737</x:v>
      </x:c>
      <x:c r="V271" t="n">
        <x:f>U271*(1+($BG271+('Assumptions'!$D$15-$BG271)*(8-5)/5))</x:f>
        <x:v>1997.2542205648713</x:v>
      </x:c>
      <x:c r="W271" t="n">
        <x:f>V271*(1+($BG271+('Assumptions'!$D$15-$BG271)*(9-5)/5))</x:f>
        <x:v>2121.2928454635285</x:v>
      </x:c>
      <x:c r="X271" t="n">
        <x:f>W271*(1+($BG271+('Assumptions'!$D$15-$BG271)*(10-5)/5))</x:f>
        <x:v>2184.931630827434</x:v>
      </x:c>
      <x:c r="Y271" t="n">
        <x:f>E271*'MOD Model'!$B$62+O271*'MOD Model'!$B$63+'MOD Model'!$B$73+'MOD Model'!$B$74</x:f>
        <x:v>378.28560000000004</x:v>
      </x:c>
      <x:c r="Z271" t="n">
        <x:f>F271*'MOD Model'!$C$62+P271*'MOD Model'!$C$63+'MOD Model'!$C$73+'MOD Model'!$C$74</x:f>
        <x:v>511.234848</x:v>
      </x:c>
      <x:c r="AA271" t="n">
        <x:f>G271*'MOD Model'!$D$62+Q271*'MOD Model'!$D$63+'MOD Model'!$D$73+'MOD Model'!$D$74</x:f>
        <x:v>671.2036905000001</x:v>
      </x:c>
      <x:c r="AB271" t="n">
        <x:f>H271*'MOD Model'!$E$62+R271*'MOD Model'!$E$63+'MOD Model'!$E$73+'MOD Model'!$E$74</x:f>
        <x:v>838.8931719</x:v>
      </x:c>
      <x:c r="AC271" t="n">
        <x:f>I271*'MOD Model'!$F$62+S271*'MOD Model'!$F$63+'MOD Model'!$F$73+'MOD Model'!$F$74</x:f>
        <x:v>1028.609148651</x:v>
      </x:c>
      <x:c r="AD271" t="n">
        <x:f>AX271*$AC271/$AW271</x:f>
        <x:v>1191.559662093606</x:v>
      </x:c>
      <x:c r="AE271" t="n">
        <x:f>AY271*$AC271/$AW271</x:f>
        <x:v>1342.070002223017</x:v>
      </x:c>
      <x:c r="AF271" t="n">
        <x:f>AZ271*$AC271/$AW271</x:f>
        <x:v>1468.5052768614853</x:v>
      </x:c>
      <x:c r="AG271" t="n">
        <x:f>BA271*$AC271/$AW271</x:f>
        <x:v>1559.7061732335076</x:v>
      </x:c>
      <x:c r="AH271" t="n">
        <x:f>BB271*$AC271/$AW271</x:f>
        <x:v>1606.4973584305126</x:v>
      </x:c>
      <x:c r="AI271" t="n">
        <x:f>Y271*(1-'Assumptions'!$F$15)+AS271*'Assumptions'!$G$15-AS271*'MOD Model'!$B$65-(AS271-'Inputs'!$F$14)*'Assumptions'!$H$15-'Assumptions'!$I$15</x:f>
        <x:v>114.4368</x:v>
      </x:c>
      <x:c r="AJ271" t="n">
        <x:f>Z271*(1-'Assumptions'!$F$15)+AT271*'Assumptions'!$G$15-AT271*'MOD Model'!$C$65-(AT271-AS271)*'Assumptions'!$H$15-0</x:f>
        <x:v>205.73870399999993</x:v>
      </x:c>
      <x:c r="AK271" t="n">
        <x:f>AA271*(1-'Assumptions'!$F$15)+AU271*'Assumptions'!$G$15-AU271*'MOD Model'!$D$65-(AU271-AT271)*'Assumptions'!$H$15-0</x:f>
        <x:v>312.43524937500007</x:v>
      </x:c>
      <x:c r="AL271" t="n">
        <x:f>AB271*(1-'Assumptions'!$F$15)+AV271*'Assumptions'!$G$15-AV271*'MOD Model'!$E$65-(AV271-AU271)*'Assumptions'!$H$15-0</x:f>
        <x:v>422.44347085500004</x:v>
      </x:c>
      <x:c r="AM271" t="n">
        <x:f>AC271*(1-'Assumptions'!$F$15)+AW271*'Assumptions'!$G$15-AW271*'MOD Model'!$F$65-(AW271-AV271)*'Assumptions'!$H$15-0</x:f>
        <x:v>550.9096437158997</x:v>
      </x:c>
      <x:c r="AN271" t="n">
        <x:f>AD271*(1-'Assumptions'!$F$15)+AX271*'Assumptions'!$G$15-AX271*'MOD Model'!$G$65-(AX271-AW271)*'Assumptions'!$H$15-0</x:f>
        <x:v>661.055721571862</x:v>
      </x:c>
      <x:c r="AO271" t="n">
        <x:f>AE271*(1-'Assumptions'!$F$15)+AY271*'Assumptions'!$G$15-AY271*'MOD Model'!$H$65-(AY271-AX271)*'Assumptions'!$H$15-0</x:f>
        <x:v>771.785662537082</x:v>
      </x:c>
      <x:c r="AP271" t="n">
        <x:f>AF271*(1-'Assumptions'!$F$15)+AZ271*'Assumptions'!$G$15-AZ271*'MOD Model'!$I$65-(AZ271-AY271)*'Assumptions'!$H$15-0</x:f>
        <x:v>876.0381199168403</x:v>
      </x:c>
      <x:c r="AQ271" t="n">
        <x:f>AG271*(1-'Assumptions'!$F$15)+BA271*'Assumptions'!$G$15-BA271*'MOD Model'!$J$65-(BA271-AZ271)*'Assumptions'!$H$15-0</x:f>
        <x:v>965.9716183667091</x:v>
      </x:c>
      <x:c r="AR271" t="n">
        <x:f>AH271*(1-'Assumptions'!$F$15)+BB271*'Assumptions'!$G$15-BB271*'MOD Model'!$K$65-(BB271-BA271)*'Assumptions'!$H$15-0</x:f>
        <x:v>1033.8253078592045</x:v>
      </x:c>
      <x:c r="AS271" t="n">
        <x:f>E271+O271</x:f>
        <x:v>2894.04</x:v>
      </x:c>
      <x:c r="AT271" t="n">
        <x:f>F271+P271</x:f>
        <x:v>3398.8524</x:v>
      </x:c>
      <x:c r="AU271" t="n">
        <x:f>G271+Q271</x:f>
        <x:v>4004.5450200000005</x:v>
      </x:c>
      <x:c r="AV271" t="n">
        <x:f>H271+R271</x:f>
        <x:v>4749.459771</x:v>
      </x:c>
      <x:c r="AW271" t="n">
        <x:f>I271+S271</x:f>
        <x:v>5654.34050559</x:v>
      </x:c>
      <x:c r="AX271" t="n">
        <x:f>J271+T271</x:f>
        <x:v>6550.091520223288</x:v>
      </x:c>
      <x:c r="AY271" t="n">
        <x:f>K271+U271</x:f>
        <x:v>7377.457982810145</x:v>
      </x:c>
      <x:c r="AZ271" t="n">
        <x:f>L271+V271</x:f>
        <x:v>8072.482031216942</x:v>
      </x:c>
      <x:c r="BA271" t="n">
        <x:f>M271+W271</x:f>
        <x:v>8573.820098430078</x:v>
      </x:c>
      <x:c r="BB271" t="n">
        <x:f>N271+X271</x:f>
        <x:v>8831.03470138298</x:v>
      </x:c>
      <x:c r="BC271" t="n">
        <x:f>AS271/'Inputs'!$F$14-1</x:f>
        <x:v>0.185693215339233</x:v>
      </x:c>
      <x:c r="BD271" t="n">
        <x:f>AT271/AS271-1</x:f>
        <x:v>0.17443172865613477</x:v>
      </x:c>
      <x:c r="BE271" t="n">
        <x:f>AU271/AT271-1</x:f>
        <x:v>0.1782050376768347</x:v>
      </x:c>
      <x:c r="BF271" t="n">
        <x:f>AV271/AU271-1</x:f>
        <x:v>0.18601732463479692</x:v>
      </x:c>
      <x:c r="BG271" t="n">
        <x:f>AW271/AV271-1</x:f>
        <x:v>0.19052287591004857</x:v>
      </x:c>
      <x:c r="BH271" t="n">
        <x:f>AX271/AW271-1</x:f>
        <x:v>0.15841830072803886</x:v>
      </x:c>
      <x:c r="BI271" t="n">
        <x:f>AY271/AX271-1</x:f>
        <x:v>0.12631372554602915</x:v>
      </x:c>
      <x:c r="BJ271" t="n">
        <x:f>AZ271/AY271-1</x:f>
        <x:v>0.09420915036401944</x:v>
      </x:c>
      <x:c r="BK271" t="n">
        <x:f>BA271/AZ271-1</x:f>
        <x:v>0.062104575182009736</x:v>
      </x:c>
      <x:c r="BL271" t="n">
        <x:f>BB271/BA271-1</x:f>
        <x:v>0.029999999999999805</x:v>
      </x:c>
      <x:c r="BM271" t="n">
        <x:f>AH271*(1-'Assumptions'!$F$15)*(1+'Assumptions'!$D$15)*(1-'Assumptions'!$D$15/'Assumptions'!$E$15)</x:f>
        <x:v>1071.7893171983567</x:v>
      </x:c>
      <x:c r="BN271" t="n">
        <x:f>SUMPRODUCT(AI271:AR271,'MOD Model'!$B$83:$K$83)+BM271/('Assumptions'!$C$15-'Assumptions'!$D$15)*'MOD Model'!$K$83</x:f>
        <x:v>8301.816327577953</x:v>
      </x:c>
      <x:c r="BO271" t="n">
        <x:f>'MOD Model'!$B$94</x:f>
        <x:v>553.5</x:v>
      </x:c>
      <x:c r="BP271" t="n">
        <x:f>'Inputs'!$F$8</x:f>
        <x:v>54</x:v>
      </x:c>
    </x:row>
    <x:row r="272">
      <x:c r="A272" t="str">
        <x:v>MOD</x:v>
      </x:c>
      <x:c r="B272" s="22" t="n">
        <x:v>0.26</x:v>
      </x:c>
      <x:c r="C272" s="42" t="n">
        <x:f>(BN272+BO272)/BP272</x:f>
        <x:v>171.1905987741569</x:v>
      </x:c>
      <x:c r="D272" s="22" t="n">
        <x:f>C272/'Inputs'!$F$5-1</x:f>
        <x:v>-0.12056612157527524</x:v>
      </x:c>
      <x:c r="E272" t="n">
        <x:f>'Inputs'!$F$24*(1+$B272)^1</x:f>
        <x:v>1756.9440000000002</x:v>
      </x:c>
      <x:c r="F272" t="n">
        <x:f>'Inputs'!$F$24*(1+$B272)^2</x:f>
        <x:v>2213.7494400000005</x:v>
      </x:c>
      <x:c r="G272" t="n">
        <x:f>'Inputs'!$F$24*(1+$B272)^3</x:f>
        <x:v>2789.3242944000003</x:v>
      </x:c>
      <x:c r="H272" t="n">
        <x:f>'Inputs'!$F$24*(1+$B272)^4</x:f>
        <x:v>3514.5486109440008</x:v>
      </x:c>
      <x:c r="I272" t="n">
        <x:f>'Inputs'!$F$24*(1+$B272)^5</x:f>
        <x:v>4428.331249789441</x:v>
      </x:c>
      <x:c r="J272" t="n">
        <x:f>I272*(1+($BG272+('Assumptions'!$D$15-$BG272)*(6-5)/5))</x:f>
        <x:v>5160.260851253471</x:v>
      </x:c>
      <x:c r="K272" t="n">
        <x:f>J272*(1+($BG272+('Assumptions'!$D$15-$BG272)*(7-5)/5))</x:f>
        <x:v>5838.641863120901</x:v>
      </x:c>
      <x:c r="L272" t="n">
        <x:f>K272*(1+($BG272+('Assumptions'!$D$15-$BG272)*(8-5)/5))</x:f>
        <x:v>6408.736751434526</x:v>
      </x:c>
      <x:c r="M272" t="n">
        <x:f>L272*(1+($BG272+('Assumptions'!$D$15-$BG272)*(9-5)/5))</x:f>
        <x:v>6817.747762480418</x:v>
      </x:c>
      <x:c r="N272" t="n">
        <x:f>M272*(1+($BG272+('Assumptions'!$D$15-$BG272)*(10-5)/5))</x:f>
        <x:v>7022.2801953548305</x:v>
      </x:c>
      <x:c r="O272" t="n">
        <x:f>'MOD Model'!$B$68</x:f>
        <x:v>1151.0400000000002</x:v>
      </x:c>
      <x:c r="P272" t="n">
        <x:f>'MOD Model'!$C$68</x:f>
        <x:v>1220.1024000000002</x:v>
      </x:c>
      <x:c r="Q272" t="n">
        <x:f>'MOD Model'!$D$68</x:f>
        <x:v>1281.1075200000002</x:v>
      </x:c>
      <x:c r="R272" t="n">
        <x:f>'MOD Model'!$E$68</x:f>
        <x:v>1345.1628960000003</x:v>
      </x:c>
      <x:c r="S272" t="n">
        <x:f>'MOD Model'!$F$68</x:f>
        <x:v>1398.9694118400002</x:v>
      </x:c>
      <x:c r="T272" t="n">
        <x:f>S272*(1+($BG272+('Assumptions'!$D$15-$BG272)*(6-5)/5))</x:f>
        <x:v>1630.1958188792446</x:v>
      </x:c>
      <x:c r="U272" t="n">
        <x:f>T272*(1+($BG272+('Assumptions'!$D$15-$BG272)*(7-5)/5))</x:f>
        <x:v>1844.5055061278504</x:v>
      </x:c>
      <x:c r="V272" t="n">
        <x:f>U272*(1+($BG272+('Assumptions'!$D$15-$BG272)*(8-5)/5))</x:f>
        <x:v>2024.6061502779519</x:v>
      </x:c>
      <x:c r="W272" t="n">
        <x:f>V272*(1+($BG272+('Assumptions'!$D$15-$BG272)*(9-5)/5))</x:f>
        <x:v>2153.818230694511</x:v>
      </x:c>
      <x:c r="X272" t="n">
        <x:f>W272*(1+($BG272+('Assumptions'!$D$15-$BG272)*(10-5)/5))</x:f>
        <x:v>2218.4327776153464</x:v>
      </x:c>
      <x:c r="Y272" t="n">
        <x:f>E272*'MOD Model'!$B$62+O272*'MOD Model'!$B$63+'MOD Model'!$B$73+'MOD Model'!$B$74</x:f>
        <x:v>380.79552</x:v>
      </x:c>
      <x:c r="Z272" t="n">
        <x:f>F272*'MOD Model'!$C$62+P272*'MOD Model'!$C$63+'MOD Model'!$C$73+'MOD Model'!$C$74</x:f>
        <x:v>518.2347360000001</x:v>
      </x:c>
      <x:c r="AA272" t="n">
        <x:f>G272*'MOD Model'!$D$62+Q272*'MOD Model'!$D$63+'MOD Model'!$D$73+'MOD Model'!$D$74</x:f>
        <x:v>685.3693512960002</x:v>
      </x:c>
      <x:c r="AB272" t="n">
        <x:f>H272*'MOD Model'!$E$62+R272*'MOD Model'!$E$63+'MOD Model'!$E$73+'MOD Model'!$E$74</x:f>
        <x:v>863.1485538076802</x:v>
      </x:c>
      <x:c r="AC272" t="n">
        <x:f>I272*'MOD Model'!$F$62+S272*'MOD Model'!$F$63+'MOD Model'!$F$73+'MOD Model'!$F$74</x:f>
        <x:v>1066.660382979677</x:v>
      </x:c>
      <x:c r="AD272" t="n">
        <x:f>AX272*$AC272/$AW272</x:f>
        <x:v>1242.9616271670684</x:v>
      </x:c>
      <x:c r="AE272" t="n">
        <x:f>AY272*$AC272/$AW272</x:f>
        <x:v>1406.36452300036</x:v>
      </x:c>
      <x:c r="AF272" t="n">
        <x:f>AZ272*$AC272/$AW272</x:f>
        <x:v>1543.6843388863738</x:v>
      </x:c>
      <x:c r="AG272" t="n">
        <x:f>BA272*$AC272/$AW272</x:f>
        <x:v>1642.2035817063095</x:v>
      </x:c>
      <x:c r="AH272" t="n">
        <x:f>BB272*$AC272/$AW272</x:f>
        <x:v>1691.4696891574988</x:v>
      </x:c>
      <x:c r="AI272" t="n">
        <x:f>Y272*(1-'Assumptions'!$F$15)+AS272*'Assumptions'!$G$15-AS272*'MOD Model'!$B$65-(AS272-'Inputs'!$F$14)*'Assumptions'!$H$15-'Assumptions'!$I$15</x:f>
        <x:v>113.73959999999995</x:v>
      </x:c>
      <x:c r="AJ272" t="n">
        <x:f>Z272*(1-'Assumptions'!$F$15)+AT272*'Assumptions'!$G$15-AT272*'MOD Model'!$C$65-(AT272-AS272)*'Assumptions'!$H$15-0</x:f>
        <x:v>206.78032080000003</x:v>
      </x:c>
      <x:c r="AK272" t="n">
        <x:f>AA272*(1-'Assumptions'!$F$15)+AU272*'Assumptions'!$G$15-AU272*'MOD Model'!$D$65-(AU272-AT272)*'Assumptions'!$H$15-0</x:f>
        <x:v>316.77922195200017</x:v>
      </x:c>
      <x:c r="AL272" t="n">
        <x:f>AB272*(1-'Assumptions'!$F$15)+AV272*'Assumptions'!$G$15-AV272*'MOD Model'!$E$65-(AV272-AU272)*'Assumptions'!$H$15-0</x:f>
        <x:v>431.7752313352802</x:v>
      </x:c>
      <x:c r="AM272" t="n">
        <x:f>AC272*(1-'Assumptions'!$F$15)+AW272*'Assumptions'!$G$15-AW272*'MOD Model'!$F$65-(AW272-AV272)*'Assumptions'!$H$15-0</x:f>
        <x:v>567.4474041075</x:v>
      </x:c>
      <x:c r="AN272" t="n">
        <x:f>AD272*(1-'Assumptions'!$F$15)+AX272*'Assumptions'!$G$15-AX272*'MOD Model'!$G$65-(AX272-AW272)*'Assumptions'!$H$15-0</x:f>
        <x:v>685.8909690478196</x:v>
      </x:c>
      <x:c r="AO272" t="n">
        <x:f>AE272*(1-'Assumptions'!$F$15)+AY272*'Assumptions'!$G$15-AY272*'MOD Model'!$H$65-(AY272-AX272)*'Assumptions'!$H$15-0</x:f>
        <x:v>805.6225768441332</x:v>
      </x:c>
      <x:c r="AP272" t="n">
        <x:f>AF272*(1-'Assumptions'!$F$15)+AZ272*'Assumptions'!$G$15-AZ272*'MOD Model'!$I$65-(AZ272-AY272)*'Assumptions'!$H$15-0</x:f>
        <x:v>918.7337807695341</x:v>
      </x:c>
      <x:c r="AQ272" t="n">
        <x:f>AG272*(1-'Assumptions'!$F$15)+BA272*'Assumptions'!$G$15-BA272*'MOD Model'!$J$65-(BA272-AZ272)*'Assumptions'!$H$15-0</x:f>
        <x:v>1016.3457326627406</x:v>
      </x:c>
      <x:c r="AR272" t="n">
        <x:f>AH272*(1-'Assumptions'!$F$15)+BB272*'Assumptions'!$G$15-BB272*'MOD Model'!$K$65-(BB272-BA272)*'Assumptions'!$H$15-0</x:f>
        <x:v>1089.6195253042843</x:v>
      </x:c>
      <x:c r="AS272" t="n">
        <x:f>E272+O272</x:f>
        <x:v>2907.9840000000004</x:v>
      </x:c>
      <x:c r="AT272" t="n">
        <x:f>F272+P272</x:f>
        <x:v>3433.8518400000007</x:v>
      </x:c>
      <x:c r="AU272" t="n">
        <x:f>G272+Q272</x:f>
        <x:v>4070.431814400001</x:v>
      </x:c>
      <x:c r="AV272" t="n">
        <x:f>H272+R272</x:f>
        <x:v>4859.711506944001</x:v>
      </x:c>
      <x:c r="AW272" t="n">
        <x:f>I272+S272</x:f>
        <x:v>5827.3006616294415</x:v>
      </x:c>
      <x:c r="AX272" t="n">
        <x:f>J272+T272</x:f>
        <x:v>6790.456670132715</x:v>
      </x:c>
      <x:c r="AY272" t="n">
        <x:f>K272+U272</x:f>
        <x:v>7683.147369248751</x:v>
      </x:c>
      <x:c r="AZ272" t="n">
        <x:f>L272+V272</x:f>
        <x:v>8433.342901712478</x:v>
      </x:c>
      <x:c r="BA272" t="n">
        <x:f>M272+W272</x:f>
        <x:v>8971.565993174929</x:v>
      </x:c>
      <x:c r="BB272" t="n">
        <x:f>N272+X272</x:f>
        <x:v>9240.712972970177</x:v>
      </x:c>
      <x:c r="BC272" t="n">
        <x:f>AS272/'Inputs'!$F$14-1</x:f>
        <x:v>0.1914060963618487</x:v>
      </x:c>
      <x:c r="BD272" t="n">
        <x:f>AT272/AS272-1</x:f>
        <x:v>0.18083587805159862</x:v>
      </x:c>
      <x:c r="BE272" t="n">
        <x:f>AU272/AT272-1</x:f>
        <x:v>0.18538364613890845</x:v>
      </x:c>
      <x:c r="BF272" t="n">
        <x:f>AV272/AU272-1</x:f>
        <x:v>0.1939056415959992</x:v>
      </x:c>
      <x:c r="BG272" t="n">
        <x:f>AW272/AV272-1</x:f>
        <x:v>0.19910423762868668</x:v>
      </x:c>
      <x:c r="BH272" t="n">
        <x:f>AX272/AW272-1</x:f>
        <x:v>0.16528339010294935</x:v>
      </x:c>
      <x:c r="BI272" t="n">
        <x:f>AY272/AX272-1</x:f>
        <x:v>0.13146254257721202</x:v>
      </x:c>
      <x:c r="BJ272" t="n">
        <x:f>AZ272/AY272-1</x:f>
        <x:v>0.09764169505147491</x:v>
      </x:c>
      <x:c r="BK272" t="n">
        <x:f>BA272/AZ272-1</x:f>
        <x:v>0.06382084752573736</x:v>
      </x:c>
      <x:c r="BL272" t="n">
        <x:f>BB272/BA272-1</x:f>
        <x:v>0.030000000000000027</x:v>
      </x:c>
      <x:c r="BM272" t="n">
        <x:f>AH272*(1-'Assumptions'!$F$15)*(1+'Assumptions'!$D$15)*(1-'Assumptions'!$D$15/'Assumptions'!$E$15)</x:f>
        <x:v>1128.4793801185997</x:v>
      </x:c>
      <x:c r="BN272" t="n">
        <x:f>SUMPRODUCT(AI272:AR272,'MOD Model'!$B$83:$K$83)+BM272/('Assumptions'!$C$15-'Assumptions'!$D$15)*'MOD Model'!$K$83</x:f>
        <x:v>8690.792333804473</x:v>
      </x:c>
      <x:c r="BO272" t="n">
        <x:f>'MOD Model'!$B$94</x:f>
        <x:v>553.5</x:v>
      </x:c>
      <x:c r="BP272" t="n">
        <x:f>'Inputs'!$F$8</x:f>
        <x:v>54</x:v>
      </x:c>
    </x:row>
    <x:row r="273">
      <x:c r="A273" t="str">
        <x:v>MOD</x:v>
      </x:c>
      <x:c r="B273" s="22" t="n">
        <x:v>0.27</x:v>
      </x:c>
      <x:c r="C273" s="42" t="n">
        <x:f>(BN273+BO273)/BP273</x:f>
        <x:v>178.74261765758467</x:v>
      </x:c>
      <x:c r="D273" s="22" t="n">
        <x:f>C273/'Inputs'!$F$5-1</x:f>
        <x:v>-0.08177017539512654</x:v>
      </x:c>
      <x:c r="E273" t="n">
        <x:f>'Inputs'!$F$24*(1+$B273)^1</x:f>
        <x:v>1770.8880000000001</x:v>
      </x:c>
      <x:c r="F273" t="n">
        <x:f>'Inputs'!$F$24*(1+$B273)^2</x:f>
        <x:v>2249.02776</x:v>
      </x:c>
      <x:c r="G273" t="n">
        <x:f>'Inputs'!$F$24*(1+$B273)^3</x:f>
        <x:v>2856.2652552</x:v>
      </x:c>
      <x:c r="H273" t="n">
        <x:f>'Inputs'!$F$24*(1+$B273)^4</x:f>
        <x:v>3627.4568741040002</x:v>
      </x:c>
      <x:c r="I273" t="n">
        <x:f>'Inputs'!$F$24*(1+$B273)^5</x:f>
        <x:v>4606.87023011208</x:v>
      </x:c>
      <x:c r="J273" t="n">
        <x:f>I273*(1+($BG273+('Assumptions'!$D$15-$BG273)*(6-5)/5))</x:f>
        <x:v>5400.290471621226</x:v>
      </x:c>
      <x:c r="K273" t="n">
        <x:f>J273*(1+($BG273+('Assumptions'!$D$15-$BG273)*(7-5)/5))</x:f>
        <x:v>6138.343192532086</x:v>
      </x:c>
      <x:c r="L273" t="n">
        <x:f>K273*(1+($BG273+('Assumptions'!$D$15-$BG273)*(8-5)/5))</x:f>
        <x:v>6759.00776176419</x:v>
      </x:c>
      <x:c r="M273" t="n">
        <x:f>L273*(1+($BG273+('Assumptions'!$D$15-$BG273)*(9-5)/5))</x:f>
        <x:v>7202.103703841095</x:v>
      </x:c>
      <x:c r="N273" t="n">
        <x:f>M273*(1+($BG273+('Assumptions'!$D$15-$BG273)*(10-5)/5))</x:f>
        <x:v>7418.166814956328</x:v>
      </x:c>
      <x:c r="O273" t="n">
        <x:f>'MOD Model'!$B$68</x:f>
        <x:v>1151.0400000000002</x:v>
      </x:c>
      <x:c r="P273" t="n">
        <x:f>'MOD Model'!$C$68</x:f>
        <x:v>1220.1024000000002</x:v>
      </x:c>
      <x:c r="Q273" t="n">
        <x:f>'MOD Model'!$D$68</x:f>
        <x:v>1281.1075200000002</x:v>
      </x:c>
      <x:c r="R273" t="n">
        <x:f>'MOD Model'!$E$68</x:f>
        <x:v>1345.1628960000003</x:v>
      </x:c>
      <x:c r="S273" t="n">
        <x:f>'MOD Model'!$F$68</x:f>
        <x:v>1398.9694118400002</x:v>
      </x:c>
      <x:c r="T273" t="n">
        <x:f>S273*(1+($BG273+('Assumptions'!$D$15-$BG273)*(6-5)/5))</x:f>
        <x:v>1639.9075310322562</x:v>
      </x:c>
      <x:c r="U273" t="n">
        <x:f>T273*(1+($BG273+('Assumptions'!$D$15-$BG273)*(7-5)/5))</x:f>
        <x:v>1864.0321816748371</x:v>
      </x:c>
      <x:c r="V273" t="n">
        <x:f>U273*(1+($BG273+('Assumptions'!$D$15-$BG273)*(8-5)/5))</x:f>
        <x:v>2052.5095435273847</x:v>
      </x:c>
      <x:c r="W273" t="n">
        <x:f>V273*(1+($BG273+('Assumptions'!$D$15-$BG273)*(9-5)/5))</x:f>
        <x:v>2187.0645968528042</x:v>
      </x:c>
      <x:c r="X273" t="n">
        <x:f>W273*(1+($BG273+('Assumptions'!$D$15-$BG273)*(10-5)/5))</x:f>
        <x:v>2252.6765347583882</x:v>
      </x:c>
      <x:c r="Y273" t="n">
        <x:f>E273*'MOD Model'!$B$62+O273*'MOD Model'!$B$63+'MOD Model'!$B$73+'MOD Model'!$B$74</x:f>
        <x:v>383.30544</x:v>
      </x:c>
      <x:c r="Z273" t="n">
        <x:f>F273*'MOD Model'!$C$62+P273*'MOD Model'!$C$63+'MOD Model'!$C$73+'MOD Model'!$C$74</x:f>
        <x:v>525.2904000000001</x:v>
      </x:c>
      <x:c r="AA273" t="n">
        <x:f>G273*'MOD Model'!$D$62+Q273*'MOD Model'!$D$63+'MOD Model'!$D$73+'MOD Model'!$D$74</x:f>
        <x:v>699.761657868</x:v>
      </x:c>
      <x:c r="AB273" t="n">
        <x:f>H273*'MOD Model'!$E$62+R273*'MOD Model'!$E$63+'MOD Model'!$E$73+'MOD Model'!$E$74</x:f>
        <x:v>887.98837170288</x:v>
      </x:c>
      <x:c r="AC273" t="n">
        <x:f>I273*'MOD Model'!$F$62+S273*'MOD Model'!$F$63+'MOD Model'!$F$73+'MOD Model'!$F$74</x:f>
        <x:v>1105.9389586506577</x:v>
      </x:c>
      <x:c r="AD273" t="n">
        <x:f>AX273*$AC273/$AW273</x:f>
        <x:v>1296.4097798019689</x:v>
      </x:c>
      <x:c r="AE273" t="n">
        <x:f>AY273*$AC273/$AW273</x:f>
        <x:v>1473.5889094110923</x:v>
      </x:c>
      <x:c r="AF273" t="n">
        <x:f>AZ273*$AC273/$AW273</x:f>
        <x:v>1622.5874904610328</x:v>
      </x:c>
      <x:c r="AG273" t="n">
        <x:f>BA273*$AC273/$AW273</x:f>
        <x:v>1728.9584191578765</x:v>
      </x:c>
      <x:c r="AH273" t="n">
        <x:f>BB273*$AC273/$AW273</x:f>
        <x:v>1780.8271717326127</x:v>
      </x:c>
      <x:c r="AI273" t="n">
        <x:f>Y273*(1-'Assumptions'!$F$15)+AS273*'Assumptions'!$G$15-AS273*'MOD Model'!$B$65-(AS273-'Inputs'!$F$14)*'Assumptions'!$H$15-'Assumptions'!$I$15</x:f>
        <x:v>113.04239999999993</x:v>
      </x:c>
      <x:c r="AJ273" t="n">
        <x:f>Z273*(1-'Assumptions'!$F$15)+AT273*'Assumptions'!$G$15-AT273*'MOD Model'!$C$65-(AT273-AS273)*'Assumptions'!$H$15-0</x:f>
        <x:v>207.81357120000013</x:v>
      </x:c>
      <x:c r="AK273" t="n">
        <x:f>AA273*(1-'Assumptions'!$F$15)+AU273*'Assumptions'!$G$15-AU273*'MOD Model'!$D$65-(AU273-AT273)*'Assumptions'!$H$15-0</x:f>
        <x:v>321.150531741</x:v>
      </x:c>
      <x:c r="AL273" t="n">
        <x:f>AB273*(1-'Assumptions'!$F$15)+AV273*'Assumptions'!$G$15-AV273*'MOD Model'!$E$65-(AV273-AU273)*'Assumptions'!$H$15-0</x:f>
        <x:v>441.25183413948</x:v>
      </x:c>
      <x:c r="AM273" t="n">
        <x:f>AC273*(1-'Assumptions'!$F$15)+AW273*'Assumptions'!$G$15-AW273*'MOD Model'!$F$65-(AW273-AV273)*'Assumptions'!$H$15-0</x:f>
        <x:v>584.3836435814999</x:v>
      </x:c>
      <x:c r="AN273" t="n">
        <x:f>AD273*(1-'Assumptions'!$F$15)+AX273*'Assumptions'!$G$15-AX273*'MOD Model'!$G$65-(AX273-AW273)*'Assumptions'!$H$15-0</x:f>
        <x:v>711.5506107064641</x:v>
      </x:c>
      <x:c r="AO273" t="n">
        <x:f>AE273*(1-'Assumptions'!$F$15)+AY273*'Assumptions'!$G$15-AY273*'MOD Model'!$H$65-(AY273-AX273)*'Assumptions'!$H$15-0</x:f>
        <x:v>840.8294457121993</x:v>
      </x:c>
      <x:c r="AP273" t="n">
        <x:f>AF273*(1-'Assumptions'!$F$15)+AZ273*'Assumptions'!$G$15-AZ273*'MOD Model'!$I$65-(AZ273-AY273)*'Assumptions'!$H$15-0</x:f>
        <x:v>963.3965686037033</x:v>
      </x:c>
      <x:c r="AQ273" t="n">
        <x:f>AG273*(1-'Assumptions'!$F$15)+BA273*'Assumptions'!$G$15-BA273*'MOD Model'!$J$65-(BA273-AZ273)*'Assumptions'!$H$15-0</x:f>
        <x:v>1069.2336405476503</x:v>
      </x:c>
      <x:c r="AR273" t="n">
        <x:f>AH273*(1-'Assumptions'!$F$15)+BB273*'Assumptions'!$G$15-BB273*'MOD Model'!$K$65-(BB273-BA273)*'Assumptions'!$H$15-0</x:f>
        <x:v>1148.3064712006162</x:v>
      </x:c>
      <x:c r="AS273" t="n">
        <x:f>E273+O273</x:f>
        <x:v>2921.9280000000003</x:v>
      </x:c>
      <x:c r="AT273" t="n">
        <x:f>F273+P273</x:f>
        <x:v>3469.13016</x:v>
      </x:c>
      <x:c r="AU273" t="n">
        <x:f>G273+Q273</x:f>
        <x:v>4137.3727752</x:v>
      </x:c>
      <x:c r="AV273" t="n">
        <x:f>H273+R273</x:f>
        <x:v>4972.619770104</x:v>
      </x:c>
      <x:c r="AW273" t="n">
        <x:f>I273+S273</x:f>
        <x:v>6005.8396419520805</x:v>
      </x:c>
      <x:c r="AX273" t="n">
        <x:f>J273+T273</x:f>
        <x:v>7040.198002653482</x:v>
      </x:c>
      <x:c r="AY273" t="n">
        <x:f>K273+U273</x:f>
        <x:v>8002.375374206923</x:v>
      </x:c>
      <x:c r="AZ273" t="n">
        <x:f>L273+V273</x:f>
        <x:v>8811.517305291574</x:v>
      </x:c>
      <x:c r="BA273" t="n">
        <x:f>M273+W273</x:f>
        <x:v>9389.168300693898</x:v>
      </x:c>
      <x:c r="BB273" t="n">
        <x:f>N273+X273</x:f>
        <x:v>9670.843349714716</x:v>
      </x:c>
      <x:c r="BC273" t="n">
        <x:f>AS273/'Inputs'!$F$14-1</x:f>
        <x:v>0.19711897738446416</x:v>
      </x:c>
      <x:c r="BD273" t="n">
        <x:f>AT273/AS273-1</x:f>
        <x:v>0.1872743476225287</x:v>
      </x:c>
      <x:c r="BE273" t="n">
        <x:f>AU273/AT273-1</x:f>
        <x:v>0.1926254087854693</x:v>
      </x:c>
      <x:c r="BF273" t="n">
        <x:f>AV273/AU273-1</x:f>
        <x:v>0.20187859307978928</x:v>
      </x:c>
      <x:c r="BG273" t="n">
        <x:f>AW273/AV273-1</x:f>
        <x:v>0.20778179704386912</x:v>
      </x:c>
      <x:c r="BH273" t="n">
        <x:f>AX273/AW273-1</x:f>
        <x:v>0.17222543763509535</x:v>
      </x:c>
      <x:c r="BI273" t="n">
        <x:f>AY273/AX273-1</x:f>
        <x:v>0.13666907822632157</x:v>
      </x:c>
      <x:c r="BJ273" t="n">
        <x:f>AZ273/AY273-1</x:f>
        <x:v>0.10111271881754758</x:v>
      </x:c>
      <x:c r="BK273" t="n">
        <x:f>BA273/AZ273-1</x:f>
        <x:v>0.0655563594087738</x:v>
      </x:c>
      <x:c r="BL273" t="n">
        <x:f>BB273/BA273-1</x:f>
        <x:v>0.030000000000000027</x:v>
      </x:c>
      <x:c r="BM273" t="n">
        <x:f>AH273*(1-'Assumptions'!$F$15)*(1+'Assumptions'!$D$15)*(1-'Assumptions'!$D$15/'Assumptions'!$E$15)</x:f>
        <x:v>1188.0950369593374</x:v>
      </x:c>
      <x:c r="BN273" t="n">
        <x:f>SUMPRODUCT(AI273:AR273,'MOD Model'!$B$83:$K$83)+BM273/('Assumptions'!$C$15-'Assumptions'!$D$15)*'MOD Model'!$K$83</x:f>
        <x:v>9098.601353509572</x:v>
      </x:c>
      <x:c r="BO273" t="n">
        <x:f>'MOD Model'!$B$94</x:f>
        <x:v>553.5</x:v>
      </x:c>
      <x:c r="BP273" t="n">
        <x:f>'Inputs'!$F$8</x:f>
        <x:v>54</x:v>
      </x:c>
    </x:row>
    <x:row r="274">
      <x:c r="A274" t="str">
        <x:v>MOD</x:v>
      </x:c>
      <x:c r="B274" s="22" t="n">
        <x:v>0.28</x:v>
      </x:c>
      <x:c r="C274" s="42" t="n">
        <x:f>(BN274+BO274)/BP274</x:f>
        <x:v>186.65864400971185</x:v>
      </x:c>
      <x:c r="D274" s="22" t="n">
        <x:f>C274/'Inputs'!$F$5-1</x:f>
        <x:v>-0.04110426379476084</x:v>
      </x:c>
      <x:c r="E274" t="n">
        <x:f>'Inputs'!$F$24*(1+$B274)^1</x:f>
        <x:v>1784.832</x:v>
      </x:c>
      <x:c r="F274" t="n">
        <x:f>'Inputs'!$F$24*(1+$B274)^2</x:f>
        <x:v>2284.58496</x:v>
      </x:c>
      <x:c r="G274" t="n">
        <x:f>'Inputs'!$F$24*(1+$B274)^3</x:f>
        <x:v>2924.2687488000006</x:v>
      </x:c>
      <x:c r="H274" t="n">
        <x:f>'Inputs'!$F$24*(1+$B274)^4</x:f>
        <x:v>3743.063998464</x:v>
      </x:c>
      <x:c r="I274" t="n">
        <x:f>'Inputs'!$F$24*(1+$B274)^5</x:f>
        <x:v>4791.12191803392</x:v>
      </x:c>
      <x:c r="J274" t="n">
        <x:f>I274*(1+($BG274+('Assumptions'!$D$15-$BG274)*(6-5)/5))</x:f>
        <x:v>5649.889315945705</x:v>
      </x:c>
      <x:c r="K274" t="n">
        <x:f>J274*(1+($BG274+('Assumptions'!$D$15-$BG274)*(7-5)/5))</x:f>
        <x:v>6451.784036954078</x:v>
      </x:c>
      <x:c r="L274" t="n">
        <x:f>K274*(1+($BG274+('Assumptions'!$D$15-$BG274)*(8-5)/5))</x:f>
        <x:v>7126.774197635918</x:v>
      </x:c>
      <x:c r="M274" t="n">
        <x:f>L274*(1+($BG274+('Assumptions'!$D$15-$BG274)*(9-5)/5))</x:f>
        <x:v>7606.479862414048</x:v>
      </x:c>
      <x:c r="N274" t="n">
        <x:f>M274*(1+($BG274+('Assumptions'!$D$15-$BG274)*(10-5)/5))</x:f>
        <x:v>7834.674258286469</x:v>
      </x:c>
      <x:c r="O274" t="n">
        <x:f>'MOD Model'!$B$68</x:f>
        <x:v>1151.0400000000002</x:v>
      </x:c>
      <x:c r="P274" t="n">
        <x:f>'MOD Model'!$C$68</x:f>
        <x:v>1220.1024000000002</x:v>
      </x:c>
      <x:c r="Q274" t="n">
        <x:f>'MOD Model'!$D$68</x:f>
        <x:v>1281.1075200000002</x:v>
      </x:c>
      <x:c r="R274" t="n">
        <x:f>'MOD Model'!$E$68</x:f>
        <x:v>1345.1628960000003</x:v>
      </x:c>
      <x:c r="S274" t="n">
        <x:f>'MOD Model'!$F$68</x:f>
        <x:v>1398.9694118400002</x:v>
      </x:c>
      <x:c r="T274" t="n">
        <x:f>S274*(1+($BG274+('Assumptions'!$D$15-$BG274)*(6-5)/5))</x:f>
        <x:v>1649.7226471191846</x:v>
      </x:c>
      <x:c r="U274" t="n">
        <x:f>T274*(1+($BG274+('Assumptions'!$D$15-$BG274)*(7-5)/5))</x:f>
        <x:v>1883.8695140532318</x:v>
      </x:c>
      <x:c r="V274" t="n">
        <x:f>U274*(1+($BG274+('Assumptions'!$D$15-$BG274)*(8-5)/5))</x:f>
        <x:v>2080.9612608803213</x:v>
      </x:c>
      <x:c r="W274" t="n">
        <x:f>V274*(1+($BG274+('Assumptions'!$D$15-$BG274)*(9-5)/5))</x:f>
        <x:v>2221.0314914425953</x:v>
      </x:c>
      <x:c r="X274" t="n">
        <x:f>W274*(1+($BG274+('Assumptions'!$D$15-$BG274)*(10-5)/5))</x:f>
        <x:v>2287.662436185873</x:v>
      </x:c>
      <x:c r="Y274" t="n">
        <x:f>E274*'MOD Model'!$B$62+O274*'MOD Model'!$B$63+'MOD Model'!$B$73+'MOD Model'!$B$74</x:f>
        <x:v>385.81536000000006</x:v>
      </x:c>
      <x:c r="Z274" t="n">
        <x:f>F274*'MOD Model'!$C$62+P274*'MOD Model'!$C$63+'MOD Model'!$C$73+'MOD Model'!$C$74</x:f>
        <x:v>532.40184</x:v>
      </x:c>
      <x:c r="AA274" t="n">
        <x:f>G274*'MOD Model'!$D$62+Q274*'MOD Model'!$D$63+'MOD Model'!$D$73+'MOD Model'!$D$74</x:f>
        <x:v>714.3824089920003</x:v>
      </x:c>
      <x:c r="AB274" t="n">
        <x:f>H274*'MOD Model'!$E$62+R274*'MOD Model'!$E$63+'MOD Model'!$E$73+'MOD Model'!$E$74</x:f>
        <x:v>913.4219390620801</x:v>
      </x:c>
      <x:c r="AC274" t="n">
        <x:f>I274*'MOD Model'!$F$62+S274*'MOD Model'!$F$63+'MOD Model'!$F$73+'MOD Model'!$F$74</x:f>
        <x:v>1146.4743299934623</x:v>
      </x:c>
      <x:c r="AD274" t="n">
        <x:f>AX274*$AC274/$AW274</x:f>
        <x:v>1351.9699934277926</x:v>
      </x:c>
      <x:c r="AE274" t="n">
        <x:f>AY274*$AC274/$AW274</x:f>
        <x:v>1543.8565136878813</x:v>
      </x:c>
      <x:c r="AF274" t="n">
        <x:f>AZ274*$AC274/$AW274</x:f>
        <x:v>1705.3758624873897</x:v>
      </x:c>
      <x:c r="AG274" t="n">
        <x:f>BA274*$AC274/$AW274</x:f>
        <x:v>1820.1653084729892</x:v>
      </x:c>
      <x:c r="AH274" t="n">
        <x:f>BB274*$AC274/$AW274</x:f>
        <x:v>1874.7702677271784</x:v>
      </x:c>
      <x:c r="AI274" t="n">
        <x:f>Y274*(1-'Assumptions'!$F$15)+AS274*'Assumptions'!$G$15-AS274*'MOD Model'!$B$65-(AS274-'Inputs'!$F$14)*'Assumptions'!$H$15-'Assumptions'!$I$15</x:f>
        <x:v>112.3452</x:v>
      </x:c>
      <x:c r="AJ274" t="n">
        <x:f>Z274*(1-'Assumptions'!$F$15)+AT274*'Assumptions'!$G$15-AT274*'MOD Model'!$C$65-(AT274-AS274)*'Assumptions'!$H$15-0</x:f>
        <x:v>208.83845520000003</x:v>
      </x:c>
      <x:c r="AK274" t="n">
        <x:f>AA274*(1-'Assumptions'!$F$15)+AU274*'Assumptions'!$G$15-AU274*'MOD Model'!$D$65-(AU274-AT274)*'Assumptions'!$H$15-0</x:f>
        <x:v>325.5490637040001</x:v>
      </x:c>
      <x:c r="AL274" t="n">
        <x:f>AB274*(1-'Assumptions'!$F$15)+AV274*'Assumptions'!$G$15-AV274*'MOD Model'!$E$65-(AV274-AU274)*'Assumptions'!$H$15-0</x:f>
        <x:v>450.8743225576801</x:v>
      </x:c>
      <x:c r="AM274" t="n">
        <x:f>AC274*(1-'Assumptions'!$F$15)+AW274*'Assumptions'!$G$15-AW274*'MOD Model'!$F$65-(AW274-AV274)*'Assumptions'!$H$15-0</x:f>
        <x:v>601.7247122355</x:v>
      </x:c>
      <x:c r="AN274" t="n">
        <x:f>AD274*(1-'Assumptions'!$F$15)+AX274*'Assumptions'!$G$15-AX274*'MOD Model'!$G$65-(AX274-AW274)*'Assumptions'!$H$15-0</x:f>
        <x:v>738.055220646226</x:v>
      </x:c>
      <x:c r="AO274" t="n">
        <x:f>AE274*(1-'Assumptions'!$F$15)+AY274*'Assumptions'!$G$15-AY274*'MOD Model'!$H$65-(AY274-AX274)*'Assumptions'!$H$15-0</x:f>
        <x:v>877.4513438094382</x:v>
      </x:c>
      <x:c r="AP274" t="n">
        <x:f>AF274*(1-'Assumptions'!$F$15)+AZ274*'Assumptions'!$G$15-AZ274*'MOD Model'!$I$65-(AZ274-AY274)*'Assumptions'!$H$15-0</x:f>
        <x:v>1010.1035788614593</x:v>
      </x:c>
      <x:c r="AQ274" t="n">
        <x:f>AG274*(1-'Assumptions'!$F$15)+BA274*'Assumptions'!$G$15-BA274*'MOD Model'!$J$65-(BA274-AZ274)*'Assumptions'!$H$15-0</x:f>
        <x:v>1124.7449267458314</x:v>
      </x:c>
      <x:c r="AR274" t="n">
        <x:f>AH274*(1-'Assumptions'!$F$15)+BB274*'Assumptions'!$G$15-BB274*'MOD Model'!$K$65-(BB274-BA274)*'Assumptions'!$H$15-0</x:f>
        <x:v>1210.0188492859438</x:v>
      </x:c>
      <x:c r="AS274" t="n">
        <x:f>E274+O274</x:f>
        <x:v>2935.8720000000003</x:v>
      </x:c>
      <x:c r="AT274" t="n">
        <x:f>F274+P274</x:f>
        <x:v>3504.6873600000004</x:v>
      </x:c>
      <x:c r="AU274" t="n">
        <x:f>G274+Q274</x:f>
        <x:v>4205.376268800001</x:v>
      </x:c>
      <x:c r="AV274" t="n">
        <x:f>H274+R274</x:f>
        <x:v>5088.226894464</x:v>
      </x:c>
      <x:c r="AW274" t="n">
        <x:f>I274+S274</x:f>
        <x:v>6190.091329873921</x:v>
      </x:c>
      <x:c r="AX274" t="n">
        <x:f>J274+T274</x:f>
        <x:v>7299.611963064889</x:v>
      </x:c>
      <x:c r="AY274" t="n">
        <x:f>K274+U274</x:f>
        <x:v>8335.65355100731</x:v>
      </x:c>
      <x:c r="AZ274" t="n">
        <x:f>L274+V274</x:f>
        <x:v>9207.73545851624</x:v>
      </x:c>
      <x:c r="BA274" t="n">
        <x:f>M274+W274</x:f>
        <x:v>9827.511353856644</x:v>
      </x:c>
      <x:c r="BB274" t="n">
        <x:f>N274+X274</x:f>
        <x:v>10122.336694472342</x:v>
      </x:c>
      <x:c r="BC274" t="n">
        <x:f>AS274/'Inputs'!$F$14-1</x:f>
        <x:v>0.20283185840707962</x:v>
      </x:c>
      <x:c r="BD274" t="n">
        <x:f>AT274/AS274-1</x:f>
        <x:v>0.1937466483552417</x:v>
      </x:c>
      <x:c r="BE274" t="n">
        <x:f>AU274/AT274-1</x:f>
        <x:v>0.19992907692627981</x:v>
      </x:c>
      <x:c r="BF274" t="n">
        <x:f>AV274/AU274-1</x:f>
        <x:v>0.20993380121867666</x:v>
      </x:c>
      <x:c r="BG274" t="n">
        <x:f>AW274/AV274-1</x:f>
        <x:v>0.21655174941368105</x:v>
      </x:c>
      <x:c r="BH274" t="n">
        <x:f>AX274/AW274-1</x:f>
        <x:v>0.17924139953094476</x:v>
      </x:c>
      <x:c r="BI274" t="n">
        <x:f>AY274/AX274-1</x:f>
        <x:v>0.14193104964820868</x:v>
      </x:c>
      <x:c r="BJ274" t="n">
        <x:f>AZ274/AY274-1</x:f>
        <x:v>0.10462069976547239</x:v>
      </x:c>
      <x:c r="BK274" t="n">
        <x:f>BA274/AZ274-1</x:f>
        <x:v>0.0673103498827361</x:v>
      </x:c>
      <x:c r="BL274" t="n">
        <x:f>BB274/BA274-1</x:f>
        <x:v>0.029999999999999805</x:v>
      </x:c>
      <x:c r="BM274" t="n">
        <x:f>AH274*(1-'Assumptions'!$F$15)*(1+'Assumptions'!$D$15)*(1-'Assumptions'!$D$15/'Assumptions'!$E$15)</x:f>
        <x:v>1250.7700274802573</x:v>
      </x:c>
      <x:c r="BN274" t="n">
        <x:f>SUMPRODUCT(AI274:AR274,'MOD Model'!$B$83:$K$83)+BM274/('Assumptions'!$C$15-'Assumptions'!$D$15)*'MOD Model'!$K$83</x:f>
        <x:v>9526.06677652444</x:v>
      </x:c>
      <x:c r="BO274" t="n">
        <x:f>'MOD Model'!$B$94</x:f>
        <x:v>553.5</x:v>
      </x:c>
      <x:c r="BP274" t="n">
        <x:f>'Inputs'!$F$8</x:f>
        <x:v>54</x:v>
      </x:c>
    </x:row>
    <x:row r="275">
      <x:c r="A275" t="str">
        <x:v>MOD</x:v>
      </x:c>
      <x:c r="B275" s="22" t="n">
        <x:v>0.29</x:v>
      </x:c>
      <x:c r="C275" s="42" t="n">
        <x:f>(BN275+BO275)/BP275</x:f>
        <x:v>194.95448676502934</x:v>
      </x:c>
      <x:c r="D275" s="22" t="n">
        <x:f>C275/'Inputs'!$F$5-1</x:f>
        <x:v>0.001512826287009883</x:v>
      </x:c>
      <x:c r="E275" t="n">
        <x:f>'Inputs'!$F$24*(1+$B275)^1</x:f>
        <x:v>1798.776</x:v>
      </x:c>
      <x:c r="F275" t="n">
        <x:f>'Inputs'!$F$24*(1+$B275)^2</x:f>
        <x:v>2320.42104</x:v>
      </x:c>
      <x:c r="G275" t="n">
        <x:f>'Inputs'!$F$24*(1+$B275)^3</x:f>
        <x:v>2993.3431416000008</x:v>
      </x:c>
      <x:c r="H275" t="n">
        <x:f>'Inputs'!$F$24*(1+$B275)^4</x:f>
        <x:v>3861.4126526640007</x:v>
      </x:c>
      <x:c r="I275" t="n">
        <x:f>'Inputs'!$F$24*(1+$B275)^5</x:f>
        <x:v>4981.2223219365615</x:v>
      </x:c>
      <x:c r="J275" t="n">
        <x:f>I275*(1+($BG275+('Assumptions'!$D$15-$BG275)*(6-5)/5))</x:f>
        <x:v>5909.3650383594695</x:v>
      </x:c>
      <x:c r="K275" t="n">
        <x:f>J275*(1+($BG275+('Assumptions'!$D$15-$BG275)*(7-5)/5))</x:f>
        <x:v>6779.496758433888</x:v>
      </x:c>
      <x:c r="L275" t="n">
        <x:f>K275*(1+($BG275+('Assumptions'!$D$15-$BG275)*(8-5)/5))</x:f>
        <x:v>7512.795282645431</x:v>
      </x:c>
      <x:c r="M275" t="n">
        <x:f>L275*(1+($BG275+('Assumptions'!$D$15-$BG275)*(9-5)/5))</x:f>
        <x:v>8031.794780851336</x:v>
      </x:c>
      <x:c r="N275" t="n">
        <x:f>M275*(1+($BG275+('Assumptions'!$D$15-$BG275)*(10-5)/5))</x:f>
        <x:v>8272.748624276877</x:v>
      </x:c>
      <x:c r="O275" t="n">
        <x:f>'MOD Model'!$B$68</x:f>
        <x:v>1151.0400000000002</x:v>
      </x:c>
      <x:c r="P275" t="n">
        <x:f>'MOD Model'!$C$68</x:f>
        <x:v>1220.1024000000002</x:v>
      </x:c>
      <x:c r="Q275" t="n">
        <x:f>'MOD Model'!$D$68</x:f>
        <x:v>1281.1075200000002</x:v>
      </x:c>
      <x:c r="R275" t="n">
        <x:f>'MOD Model'!$E$68</x:f>
        <x:v>1345.1628960000003</x:v>
      </x:c>
      <x:c r="S275" t="n">
        <x:f>'MOD Model'!$F$68</x:f>
        <x:v>1398.9694118400002</x:v>
      </x:c>
      <x:c r="T275" t="n">
        <x:f>S275*(1+($BG275+('Assumptions'!$D$15-$BG275)*(6-5)/5))</x:f>
        <x:v>1659.6370123162096</x:v>
      </x:c>
      <x:c r="U275" t="n">
        <x:f>T275*(1+($BG275+('Assumptions'!$D$15-$BG275)*(7-5)/5))</x:f>
        <x:v>1904.0123045602606</x:v>
      </x:c>
      <x:c r="V275" t="n">
        <x:f>U275*(1+($BG275+('Assumptions'!$D$15-$BG275)*(8-5)/5))</x:f>
        <x:v>2109.9581826636368</x:v>
      </x:c>
      <x:c r="W275" t="n">
        <x:f>V275*(1+($BG275+('Assumptions'!$D$15-$BG275)*(9-5)/5))</x:f>
        <x:v>2255.7184751831837</x:v>
      </x:c>
      <x:c r="X275" t="n">
        <x:f>W275*(1+($BG275+('Assumptions'!$D$15-$BG275)*(10-5)/5))</x:f>
        <x:v>2323.3900294386794</x:v>
      </x:c>
      <x:c r="Y275" t="n">
        <x:f>E275*'MOD Model'!$B$62+O275*'MOD Model'!$B$63+'MOD Model'!$B$73+'MOD Model'!$B$74</x:f>
        <x:v>388.32528</x:v>
      </x:c>
      <x:c r="Z275" t="n">
        <x:f>F275*'MOD Model'!$C$62+P275*'MOD Model'!$C$63+'MOD Model'!$C$73+'MOD Model'!$C$74</x:f>
        <x:v>539.569056</x:v>
      </x:c>
      <x:c r="AA275" t="n">
        <x:f>G275*'MOD Model'!$D$62+Q275*'MOD Model'!$D$63+'MOD Model'!$D$73+'MOD Model'!$D$74</x:f>
        <x:v>729.2334034440003</x:v>
      </x:c>
      <x:c r="AB275" t="n">
        <x:f>H275*'MOD Model'!$E$62+R275*'MOD Model'!$E$63+'MOD Model'!$E$73+'MOD Model'!$E$74</x:f>
        <x:v>939.4586429860801</x:v>
      </x:c>
      <x:c r="AC275" t="n">
        <x:f>I275*'MOD Model'!$F$62+S275*'MOD Model'!$F$63+'MOD Model'!$F$73+'MOD Model'!$F$74</x:f>
        <x:v>1188.2964188520434</x:v>
      </x:c>
      <x:c r="AD275" t="n">
        <x:f>AX275*$AC275/$AW275</x:f>
        <x:v>1409.7096774516253</x:v>
      </x:c>
      <x:c r="AE275" t="n">
        <x:f>AY275*$AC275/$AW275</x:f>
        <x:v>1617.2841120116993</x:v>
      </x:c>
      <x:c r="AF275" t="n">
        <x:f>AZ275*$AC275/$AW275</x:f>
        <x:v>1792.216278045055</x:v>
      </x:c>
      <x:c r="AG275" t="n">
        <x:f>BA275*$AC275/$AW275</x:f>
        <x:v>1916.0263000125785</x:v>
      </x:c>
      <x:c r="AH275" t="n">
        <x:f>BB275*$AC275/$AW275</x:f>
        <x:v>1973.5070890129562</x:v>
      </x:c>
      <x:c r="AI275" t="n">
        <x:f>Y275*(1-'Assumptions'!$F$15)+AS275*'Assumptions'!$G$15-AS275*'MOD Model'!$B$65-(AS275-'Inputs'!$F$14)*'Assumptions'!$H$15-'Assumptions'!$I$15</x:f>
        <x:v>111.64800000000001</x:v>
      </x:c>
      <x:c r="AJ275" t="n">
        <x:f>Z275*(1-'Assumptions'!$F$15)+AT275*'Assumptions'!$G$15-AT275*'MOD Model'!$C$65-(AT275-AS275)*'Assumptions'!$H$15-0</x:f>
        <x:v>209.8549728</x:v>
      </x:c>
      <x:c r="AK275" t="n">
        <x:f>AA275*(1-'Assumptions'!$F$15)+AU275*'Assumptions'!$G$15-AU275*'MOD Model'!$D$65-(AU275-AT275)*'Assumptions'!$H$15-0</x:f>
        <x:v>329.9747028030002</x:v>
      </x:c>
      <x:c r="AL275" t="n">
        <x:f>AB275*(1-'Assumptions'!$F$15)+AV275*'Assumptions'!$G$15-AV275*'MOD Model'!$E$65-(AV275-AU275)*'Assumptions'!$H$15-0</x:f>
        <x:v>460.64373820668004</x:v>
      </x:c>
      <x:c r="AM275" t="n">
        <x:f>AC275*(1-'Assumptions'!$F$15)+AW275*'Assumptions'!$G$15-AW275*'MOD Model'!$F$65-(AW275-AV275)*'Assumptions'!$H$15-0</x:f>
        <x:v>619.4770103655001</x:v>
      </x:c>
      <x:c r="AN275" t="n">
        <x:f>AD275*(1-'Assumptions'!$F$15)+AX275*'Assumptions'!$G$15-AX275*'MOD Model'!$G$65-(AX275-AW275)*'Assumptions'!$H$15-0</x:f>
        <x:v>765.4256797937164</x:v>
      </x:c>
      <x:c r="AO275" t="n">
        <x:f>AE275*(1-'Assumptions'!$F$15)+AY275*'Assumptions'!$G$15-AY275*'MOD Model'!$H$65-(AY275-AX275)*'Assumptions'!$H$15-0</x:f>
        <x:v>915.5343962160916</x:v>
      </x:c>
      <x:c r="AP275" t="n">
        <x:f>AF275*(1-'Assumptions'!$F$15)+AZ275*'Assumptions'!$G$15-AZ275*'MOD Model'!$I$65-(AZ275-AY275)*'Assumptions'!$H$15-0</x:f>
        <x:v>1058.9342462069176</x:v>
      </x:c>
      <x:c r="AQ275" t="n">
        <x:f>AG275*(1-'Assumptions'!$F$15)+BA275*'Assumptions'!$G$15-BA275*'MOD Model'!$J$65-(BA275-AZ275)*'Assumptions'!$H$15-0</x:f>
        <x:v>1182.9930575600984</x:v>
      </x:c>
      <x:c r="AR275" t="n">
        <x:f>AH275*(1-'Assumptions'!$F$15)+BB275*'Assumptions'!$G$15-BB275*'MOD Model'!$K$65-(BB275-BA275)*'Assumptions'!$H$15-0</x:f>
        <x:v>1274.8944273018283</x:v>
      </x:c>
      <x:c r="AS275" t="n">
        <x:f>E275+O275</x:f>
        <x:v>2949.8160000000003</x:v>
      </x:c>
      <x:c r="AT275" t="n">
        <x:f>F275+P275</x:f>
        <x:v>3540.5234400000004</x:v>
      </x:c>
      <x:c r="AU275" t="n">
        <x:f>G275+Q275</x:f>
        <x:v>4274.450661600001</x:v>
      </x:c>
      <x:c r="AV275" t="n">
        <x:f>H275+R275</x:f>
        <x:v>5206.575548664001</x:v>
      </x:c>
      <x:c r="AW275" t="n">
        <x:f>I275+S275</x:f>
        <x:v>6380.191733776562</x:v>
      </x:c>
      <x:c r="AX275" t="n">
        <x:f>J275+T275</x:f>
        <x:v>7569.002050675679</x:v>
      </x:c>
      <x:c r="AY275" t="n">
        <x:f>K275+U275</x:f>
        <x:v>8683.50906299415</x:v>
      </x:c>
      <x:c r="AZ275" t="n">
        <x:f>L275+V275</x:f>
        <x:v>9622.753465309068</x:v>
      </x:c>
      <x:c r="BA275" t="n">
        <x:f>M275+W275</x:f>
        <x:v>10287.51325603452</x:v>
      </x:c>
      <x:c r="BB275" t="n">
        <x:f>N275+X275</x:f>
        <x:v>10596.138653715556</x:v>
      </x:c>
      <x:c r="BC275" t="n">
        <x:f>AS275/'Inputs'!$F$14-1</x:f>
        <x:v>0.2085447394296951</x:v>
      </x:c>
      <x:c r="BD275" t="n">
        <x:f>AT275/AS275-1</x:f>
        <x:v>0.20025230048247078</x:v>
      </x:c>
      <x:c r="BE275" t="n">
        <x:f>AU275/AT275-1</x:f>
        <x:v>0.20729342257934613</x:v>
      </x:c>
      <x:c r="BF275" t="n">
        <x:f>AV275/AU275-1</x:f>
        <x:v>0.21806893115829995</x:v>
      </x:c>
      <x:c r="BG275" t="n">
        <x:f>AW275/AV275-1</x:f>
        <x:v>0.22541038234117416</x:v>
      </x:c>
      <x:c r="BH275" t="n">
        <x:f>AX275/AW275-1</x:f>
        <x:v>0.18632830587293925</x:v>
      </x:c>
      <x:c r="BI275" t="n">
        <x:f>AY275/AX275-1</x:f>
        <x:v>0.14724622940470455</x:v>
      </x:c>
      <x:c r="BJ275" t="n">
        <x:f>AZ275/AY275-1</x:f>
        <x:v>0.10816415293646942</x:v>
      </x:c>
      <x:c r="BK275" t="n">
        <x:f>BA275/AZ275-1</x:f>
        <x:v>0.06908207646823472</x:v>
      </x:c>
      <x:c r="BL275" t="n">
        <x:f>BB275/BA275-1</x:f>
        <x:v>0.030000000000000027</x:v>
      </x:c>
      <x:c r="BM275" t="n">
        <x:f>AH275*(1-'Assumptions'!$F$15)*(1+'Assumptions'!$D$15)*(1-'Assumptions'!$D$15/'Assumptions'!$E$15)</x:f>
        <x:v>1316.6431954085301</x:v>
      </x:c>
      <x:c r="BN275" t="n">
        <x:f>SUMPRODUCT(AI275:AR275,'MOD Model'!$B$83:$K$83)+BM275/('Assumptions'!$C$15-'Assumptions'!$D$15)*'MOD Model'!$K$83</x:f>
        <x:v>9974.042285311585</x:v>
      </x:c>
      <x:c r="BO275" t="n">
        <x:f>'MOD Model'!$B$94</x:f>
        <x:v>553.5</x:v>
      </x:c>
      <x:c r="BP275" t="n">
        <x:f>'Inputs'!$F$8</x:f>
        <x:v>54</x:v>
      </x:c>
    </x:row>
    <x:row r="276">
      <x:c r="A276" t="str">
        <x:v>MOD</x:v>
      </x:c>
      <x:c r="B276" s="22" t="n">
        <x:v>0.3</x:v>
      </x:c>
      <x:c r="C276" s="42" t="n">
        <x:f>(BN276+BO276)/BP276</x:f>
        <x:v>203.6465319305506</x:v>
      </x:c>
      <x:c r="D276" s="22" t="n">
        <x:f>C276/'Inputs'!$F$5-1</x:f>
        <x:v>0.04616527242654156</x:v>
      </x:c>
      <x:c r="E276" t="n">
        <x:f>'Inputs'!$F$24*(1+$B276)^1</x:f>
        <x:v>1812.7200000000003</x:v>
      </x:c>
      <x:c r="F276" t="n">
        <x:f>'Inputs'!$F$24*(1+$B276)^2</x:f>
        <x:v>2356.5360000000005</x:v>
      </x:c>
      <x:c r="G276" t="n">
        <x:f>'Inputs'!$F$24*(1+$B276)^3</x:f>
        <x:v>3063.496800000001</x:v>
      </x:c>
      <x:c r="H276" t="n">
        <x:f>'Inputs'!$F$24*(1+$B276)^4</x:f>
        <x:v>3982.545840000001</x:v>
      </x:c>
      <x:c r="I276" t="n">
        <x:f>'Inputs'!$F$24*(1+$B276)^5</x:f>
        <x:v>5177.309592000001</x:v>
      </x:c>
      <x:c r="J276" t="n">
        <x:f>I276*(1+($BG276+('Assumptions'!$D$15-$BG276)*(6-5)/5))</x:f>
        <x:v>6179.032341663636</x:v>
      </x:c>
      <x:c r="K276" t="n">
        <x:f>J276*(1+($BG276+('Assumptions'!$D$15-$BG276)*(7-5)/5))</x:f>
        <x:v>7122.029585598235</x:v>
      </x:c>
      <x:c r="L276" t="n">
        <x:f>K276*(1+($BG276+('Assumptions'!$D$15-$BG276)*(8-5)/5))</x:f>
        <x:v>7917.856788499643</x:v>
      </x:c>
      <x:c r="M276" t="n">
        <x:f>L276*(1+($BG276+('Assumptions'!$D$15-$BG276)*(9-5)/5))</x:f>
        <x:v>8479.00175665558</x:v>
      </x:c>
      <x:c r="N276" t="n">
        <x:f>M276*(1+($BG276+('Assumptions'!$D$15-$BG276)*(10-5)/5))</x:f>
        <x:v>8733.371809355247</x:v>
      </x:c>
      <x:c r="O276" t="n">
        <x:f>'MOD Model'!$B$68</x:f>
        <x:v>1151.0400000000002</x:v>
      </x:c>
      <x:c r="P276" t="n">
        <x:f>'MOD Model'!$C$68</x:f>
        <x:v>1220.1024000000002</x:v>
      </x:c>
      <x:c r="Q276" t="n">
        <x:f>'MOD Model'!$D$68</x:f>
        <x:v>1281.1075200000002</x:v>
      </x:c>
      <x:c r="R276" t="n">
        <x:f>'MOD Model'!$E$68</x:f>
        <x:v>1345.1628960000003</x:v>
      </x:c>
      <x:c r="S276" t="n">
        <x:f>'MOD Model'!$F$68</x:f>
        <x:v>1398.9694118400002</x:v>
      </x:c>
      <x:c r="T276" t="n">
        <x:f>S276*(1+($BG276+('Assumptions'!$D$15-$BG276)*(6-5)/5))</x:f>
        <x:v>1669.6465774646133</x:v>
      </x:c>
      <x:c r="U276" t="n">
        <x:f>T276*(1+($BG276+('Assumptions'!$D$15-$BG276)*(7-5)/5))</x:f>
        <x:v>1924.4554267851943</x:v>
      </x:c>
      <x:c r="V276" t="n">
        <x:f>U276*(1+($BG276+('Assumptions'!$D$15-$BG276)*(8-5)/5))</x:f>
        <x:v>2139.497215224809</x:v>
      </x:c>
      <x:c r="W276" t="n">
        <x:f>V276*(1+($BG276+('Assumptions'!$D$15-$BG276)*(9-5)/5))</x:f>
        <x:v>2291.1251277744295</x:v>
      </x:c>
      <x:c r="X276" t="n">
        <x:f>W276*(1+($BG276+('Assumptions'!$D$15-$BG276)*(10-5)/5))</x:f>
        <x:v>2359.8588816076626</x:v>
      </x:c>
      <x:c r="Y276" t="n">
        <x:f>E276*'MOD Model'!$B$62+O276*'MOD Model'!$B$63+'MOD Model'!$B$73+'MOD Model'!$B$74</x:f>
        <x:v>390.8352</x:v>
      </x:c>
      <x:c r="Z276" t="n">
        <x:f>F276*'MOD Model'!$C$62+P276*'MOD Model'!$C$63+'MOD Model'!$C$73+'MOD Model'!$C$74</x:f>
        <x:v>546.792048</x:v>
      </x:c>
      <x:c r="AA276" t="n">
        <x:f>G276*'MOD Model'!$D$62+Q276*'MOD Model'!$D$63+'MOD Model'!$D$73+'MOD Model'!$D$74</x:f>
        <x:v>744.3164400000003</x:v>
      </x:c>
      <x:c r="AB276" t="n">
        <x:f>H276*'MOD Model'!$E$62+R276*'MOD Model'!$E$63+'MOD Model'!$E$73+'MOD Model'!$E$74</x:f>
        <x:v>966.1079442000002</x:v>
      </x:c>
      <x:c r="AC276" t="n">
        <x:f>I276*'MOD Model'!$F$62+S276*'MOD Model'!$F$63+'MOD Model'!$F$73+'MOD Model'!$F$74</x:f>
        <x:v>1231.4356182660003</x:v>
      </x:c>
      <x:c r="AD276" t="n">
        <x:f>AX276*$AC276/$AW276</x:f>
        <x:v>1469.6977989687446</x:v>
      </x:c>
      <x:c r="AE276" t="n">
        <x:f>AY276*$AC276/$AW276</x:f>
        <x:v>1693.991975987266</x:v>
      </x:c>
      <x:c r="AF276" t="n">
        <x:f>AZ276*$AC276/$AW276</x:f>
        <x:v>1883.281402517237</x:v>
      </x:c>
      <x:c r="AG276" t="n">
        <x:f>BA276*$AC276/$AW276</x:f>
        <x:v>2016.7510914587133</x:v>
      </x:c>
      <x:c r="AH276" t="n">
        <x:f>BB276*$AC276/$AW276</x:f>
        <x:v>2077.2536242024744</x:v>
      </x:c>
      <x:c r="AI276" t="n">
        <x:f>Y276*(1-'Assumptions'!$F$15)+AS276*'Assumptions'!$G$15-AS276*'MOD Model'!$B$65-(AS276-'Inputs'!$F$14)*'Assumptions'!$H$15-'Assumptions'!$I$15</x:f>
        <x:v>110.95079999999997</x:v>
      </x:c>
      <x:c r="AJ276" t="n">
        <x:f>Z276*(1-'Assumptions'!$F$15)+AT276*'Assumptions'!$G$15-AT276*'MOD Model'!$C$65-(AT276-AS276)*'Assumptions'!$H$15-0</x:f>
        <x:v>210.8631239999999</x:v>
      </x:c>
      <x:c r="AK276" t="n">
        <x:f>AA276*(1-'Assumptions'!$F$15)+AU276*'Assumptions'!$G$15-AU276*'MOD Model'!$D$65-(AU276-AT276)*'Assumptions'!$H$15-0</x:f>
        <x:v>334.427334</x:v>
      </x:c>
      <x:c r="AL276" t="n">
        <x:f>AB276*(1-'Assumptions'!$F$15)+AV276*'Assumptions'!$G$15-AV276*'MOD Model'!$E$65-(AV276-AU276)*'Assumptions'!$H$15-0</x:f>
        <x:v>470.5611210300001</x:v>
      </x:c>
      <x:c r="AM276" t="n">
        <x:f>AC276*(1-'Assumptions'!$F$15)+AW276*'Assumptions'!$G$15-AW276*'MOD Model'!$F$65-(AW276-AV276)*'Assumptions'!$H$15-0</x:f>
        <x:v>637.6469884659002</x:v>
      </x:c>
      <x:c r="AN276" t="n">
        <x:f>AD276*(1-'Assumptions'!$F$15)+AX276*'Assumptions'!$G$15-AX276*'MOD Model'!$G$65-(AX276-AW276)*'Assumptions'!$H$15-0</x:f>
        <x:v>793.6831781463975</x:v>
      </x:c>
      <x:c r="AO276" t="n">
        <x:f>AE276*(1-'Assumptions'!$F$15)+AY276*'Assumptions'!$G$15-AY276*'MOD Model'!$H$65-(AY276-AX276)*'Assumptions'!$H$15-0</x:f>
        <x:v>955.1257928164207</x:v>
      </x:c>
      <x:c r="AP276" t="n">
        <x:f>AF276*(1-'Assumptions'!$F$15)+AZ276*'Assumptions'!$G$15-AZ276*'MOD Model'!$I$65-(AZ276-AY276)*'Assumptions'!$H$15-0</x:f>
        <x:v>1109.9703931309073</x:v>
      </x:c>
      <x:c r="AQ276" t="n">
        <x:f>AG276*(1-'Assumptions'!$F$15)+BA276*'Assumptions'!$G$15-BA276*'MOD Model'!$J$65-(BA276-AZ276)*'Assumptions'!$H$15-0</x:f>
        <x:v>1244.0954832217512</x:v>
      </x:c>
      <x:c r="AR276" t="n">
        <x:f>AH276*(1-'Assumptions'!$F$15)+BB276*'Assumptions'!$G$15-BB276*'MOD Model'!$K$65-(BB276-BA276)*'Assumptions'!$H$15-0</x:f>
        <x:v>1343.0761868074771</x:v>
      </x:c>
      <x:c r="AS276" t="n">
        <x:f>E276+O276</x:f>
        <x:v>2963.76</x:v>
      </x:c>
      <x:c r="AT276" t="n">
        <x:f>F276+P276</x:f>
        <x:v>3576.6384000000007</x:v>
      </x:c>
      <x:c r="AU276" t="n">
        <x:f>G276+Q276</x:f>
        <x:v>4344.604320000001</x:v>
      </x:c>
      <x:c r="AV276" t="n">
        <x:f>H276+R276</x:f>
        <x:v>5327.708736000001</x:v>
      </x:c>
      <x:c r="AW276" t="n">
        <x:f>I276+S276</x:f>
        <x:v>6576.279003840002</x:v>
      </x:c>
      <x:c r="AX276" t="n">
        <x:f>J276+T276</x:f>
        <x:v>7848.678919128249</x:v>
      </x:c>
      <x:c r="AY276" t="n">
        <x:f>K276+U276</x:f>
        <x:v>9046.48501238343</x:v>
      </x:c>
      <x:c r="AZ276" t="n">
        <x:f>L276+V276</x:f>
        <x:v>10057.354003724453</x:v>
      </x:c>
      <x:c r="BA276" t="n">
        <x:f>M276+W276</x:f>
        <x:v>10770.12688443001</x:v>
      </x:c>
      <x:c r="BB276" t="n">
        <x:f>N276+X276</x:f>
        <x:v>11093.23069096291</x:v>
      </x:c>
      <x:c r="BC276" t="n">
        <x:f>AS276/'Inputs'!$F$14-1</x:f>
        <x:v>0.21425762045231078</x:v>
      </x:c>
      <x:c r="BD276" t="n">
        <x:f>AT276/AS276-1</x:f>
        <x:v>0.20679083326585168</x:v>
      </x:c>
      <x:c r="BE276" t="n">
        <x:f>AU276/AT276-1</x:f>
        <x:v>0.214717238399051</x:v>
      </x:c>
      <x:c r="BF276" t="n">
        <x:f>AV276/AU276-1</x:f>
        <x:v>0.2262816918618724</x:v>
      </x:c>
      <x:c r="BG276" t="n">
        <x:f>AW276/AV276-1</x:f>
        <x:v>0.23435407784274198</x:v>
      </x:c>
      <x:c r="BH276" t="n">
        <x:f>AX276/AW276-1</x:f>
        <x:v>0.19348326227419355</x:v>
      </x:c>
      <x:c r="BI276" t="n">
        <x:f>AY276/AX276-1</x:f>
        <x:v>0.1526124467056451</x:v>
      </x:c>
      <x:c r="BJ276" t="n">
        <x:f>AZ276/AY276-1</x:f>
        <x:v>0.11174163113709668</x:v>
      </x:c>
      <x:c r="BK276" t="n">
        <x:f>BA276/AZ276-1</x:f>
        <x:v>0.07087081556854846</x:v>
      </x:c>
      <x:c r="BL276" t="n">
        <x:f>BB276/BA276-1</x:f>
        <x:v>0.029999999999999805</x:v>
      </x:c>
      <x:c r="BM276" t="n">
        <x:f>AH276*(1-'Assumptions'!$F$15)*(1+'Assumptions'!$D$15)*(1-'Assumptions'!$D$15/'Assumptions'!$E$15)</x:f>
        <x:v>1385.8586395105372</x:v>
      </x:c>
      <x:c r="BN276" t="n">
        <x:f>SUMPRODUCT(AI276:AR276,'MOD Model'!$B$83:$K$83)+BM276/('Assumptions'!$C$15-'Assumptions'!$D$15)*'MOD Model'!$K$83</x:f>
        <x:v>10443.412724249732</x:v>
      </x:c>
      <x:c r="BO276" t="n">
        <x:f>'MOD Model'!$B$94</x:f>
        <x:v>553.5</x:v>
      </x:c>
      <x:c r="BP276" t="n">
        <x:f>'Inputs'!$F$8</x:f>
        <x:v>54</x:v>
      </x:c>
    </x:row>
    <x:row r="277">
      <x:c r="A277" t="str">
        <x:v>MOD</x:v>
      </x:c>
      <x:c r="B277" s="22" t="n">
        <x:v>0.31</x:v>
      </x:c>
      <x:c r="C277" s="42" t="n">
        <x:f>(BN277+BO277)/BP277</x:f>
        <x:v>212.75175903755445</x:v>
      </x:c>
      <x:c r="D277" s="22" t="n">
        <x:f>C277/'Inputs'!$F$5-1</x:f>
        <x:v>0.09294030123063002</x:v>
      </x:c>
      <x:c r="E277" t="n">
        <x:f>'Inputs'!$F$24*(1+$B277)^1</x:f>
        <x:v>1826.6640000000002</x:v>
      </x:c>
      <x:c r="F277" t="n">
        <x:f>'Inputs'!$F$24*(1+$B277)^2</x:f>
        <x:v>2392.9298400000002</x:v>
      </x:c>
      <x:c r="G277" t="n">
        <x:f>'Inputs'!$F$24*(1+$B277)^3</x:f>
        <x:v>3134.738090400001</x:v>
      </x:c>
      <x:c r="H277" t="n">
        <x:f>'Inputs'!$F$24*(1+$B277)^4</x:f>
        <x:v>4106.5068984240015</x:v>
      </x:c>
      <x:c r="I277" t="n">
        <x:f>'Inputs'!$F$24*(1+$B277)^5</x:f>
        <x:v>5379.524036935442</x:v>
      </x:c>
      <x:c r="J277" t="n">
        <x:f>I277*(1+($BG277+('Assumptions'!$D$15-$BG277)*(6-5)/5))</x:f>
        <x:v>6459.213076669664</x:v>
      </x:c>
      <x:c r="K277" t="n">
        <x:f>J277*(1+($BG277+('Assumptions'!$D$15-$BG277)*(7-5)/5))</x:f>
        <x:v>7479.946941874491</x:v>
      </x:c>
      <x:c r="L277" t="n">
        <x:f>K277*(1+($BG277+('Assumptions'!$D$15-$BG277)*(8-5)/5))</x:f>
        <x:v>8342.771728813095</x:v>
      </x:c>
      <x:c r="M277" t="n">
        <x:f>L277*(1+($BG277+('Assumptions'!$D$15-$BG277)*(9-5)/5))</x:f>
        <x:v>8949.089862234792</x:v>
      </x:c>
      <x:c r="N277" t="n">
        <x:f>M277*(1+($BG277+('Assumptions'!$D$15-$BG277)*(10-5)/5))</x:f>
        <x:v>9217.562558101836</x:v>
      </x:c>
      <x:c r="O277" t="n">
        <x:f>'MOD Model'!$B$68</x:f>
        <x:v>1151.0400000000002</x:v>
      </x:c>
      <x:c r="P277" t="n">
        <x:f>'MOD Model'!$C$68</x:f>
        <x:v>1220.1024000000002</x:v>
      </x:c>
      <x:c r="Q277" t="n">
        <x:f>'MOD Model'!$D$68</x:f>
        <x:v>1281.1075200000002</x:v>
      </x:c>
      <x:c r="R277" t="n">
        <x:f>'MOD Model'!$E$68</x:f>
        <x:v>1345.1628960000003</x:v>
      </x:c>
      <x:c r="S277" t="n">
        <x:f>'MOD Model'!$F$68</x:f>
        <x:v>1398.9694118400002</x:v>
      </x:c>
      <x:c r="T277" t="n">
        <x:f>S277*(1+($BG277+('Assumptions'!$D$15-$BG277)*(6-5)/5))</x:f>
        <x:v>1679.747400843566</x:v>
      </x:c>
      <x:c r="U277" t="n">
        <x:f>T277*(1+($BG277+('Assumptions'!$D$15-$BG277)*(7-5)/5))</x:f>
        <x:v>1945.1938316516423</x:v>
      </x:c>
      <x:c r="V277" t="n">
        <x:f>U277*(1+($BG277+('Assumptions'!$D$15-$BG277)*(8-5)/5))</x:f>
        <x:v>2169.575296706328</x:v>
      </x:c>
      <x:c r="W277" t="n">
        <x:f>V277*(1+($BG277+('Assumptions'!$D$15-$BG277)*(9-5)/5))</x:f>
        <x:v>2327.2510532745773</x:v>
      </x:c>
      <x:c r="X277" t="n">
        <x:f>W277*(1+($BG277+('Assumptions'!$D$15-$BG277)*(10-5)/5))</x:f>
        <x:v>2397.068584872815</x:v>
      </x:c>
      <x:c r="Y277" t="n">
        <x:f>E277*'MOD Model'!$B$62+O277*'MOD Model'!$B$63+'MOD Model'!$B$73+'MOD Model'!$B$74</x:f>
        <x:v>393.34512000000007</x:v>
      </x:c>
      <x:c r="Z277" t="n">
        <x:f>F277*'MOD Model'!$C$62+P277*'MOD Model'!$C$63+'MOD Model'!$C$73+'MOD Model'!$C$74</x:f>
        <x:v>554.0708160000001</x:v>
      </x:c>
      <x:c r="AA277" t="n">
        <x:f>G277*'MOD Model'!$D$62+Q277*'MOD Model'!$D$63+'MOD Model'!$D$73+'MOD Model'!$D$74</x:f>
        <x:v>759.6333174360003</x:v>
      </x:c>
      <x:c r="AB277" t="n">
        <x:f>H277*'MOD Model'!$E$62+R277*'MOD Model'!$E$63+'MOD Model'!$E$73+'MOD Model'!$E$74</x:f>
        <x:v>993.3793770532805</x:v>
      </x:c>
      <x:c r="AC277" t="n">
        <x:f>I277*'MOD Model'!$F$62+S277*'MOD Model'!$F$63+'MOD Model'!$F$73+'MOD Model'!$F$74</x:f>
        <x:v>1275.9227961517972</x:v>
      </x:c>
      <x:c r="AD277" t="n">
        <x:f>AX277*$AC277/$AW277</x:f>
        <x:v>1532.0049047349416</x:v>
      </x:c>
      <x:c r="AE277" t="n">
        <x:f>AY277*$AC277/$AW277</x:f>
        <x:v>1774.1039451847917</x:v>
      </x:c>
      <x:c r="AF277" t="n">
        <x:f>AZ277*$AC277/$AW277</x:f>
        <x:v>1978.7498966074625</x:v>
      </x:c>
      <x:c r="AG277" t="n">
        <x:f>BA277*$AC277/$AW277</x:f>
        <x:v>2122.557252581962</x:v>
      </x:c>
      <x:c r="AH277" t="n">
        <x:f>BB277*$AC277/$AW277</x:f>
        <x:v>2186.233970159421</x:v>
      </x:c>
      <x:c r="AI277" t="n">
        <x:f>Y277*(1-'Assumptions'!$F$15)+AS277*'Assumptions'!$G$15-AS277*'MOD Model'!$B$65-(AS277-'Inputs'!$F$14)*'Assumptions'!$H$15-'Assumptions'!$I$15</x:f>
        <x:v>110.25359999999996</x:v>
      </x:c>
      <x:c r="AJ277" t="n">
        <x:f>Z277*(1-'Assumptions'!$F$15)+AT277*'Assumptions'!$G$15-AT277*'MOD Model'!$C$65-(AT277-AS277)*'Assumptions'!$H$15-0</x:f>
        <x:v>211.86290880000018</x:v>
      </x:c>
      <x:c r="AK277" t="n">
        <x:f>AA277*(1-'Assumptions'!$F$15)+AU277*'Assumptions'!$G$15-AU277*'MOD Model'!$D$65-(AU277-AT277)*'Assumptions'!$H$15-0</x:f>
        <x:v>338.906842257</x:v>
      </x:c>
      <x:c r="AL277" t="n">
        <x:f>AB277*(1-'Assumptions'!$F$15)+AV277*'Assumptions'!$G$15-AV277*'MOD Model'!$E$65-(AV277-AU277)*'Assumptions'!$H$15-0</x:f>
        <x:v>480.62750929788024</x:v>
      </x:c>
      <x:c r="AM277" t="n">
        <x:f>AC277*(1-'Assumptions'!$F$15)+AW277*'Assumptions'!$G$15-AW277*'MOD Model'!$F$65-(AW277-AV277)*'Assumptions'!$H$15-0</x:f>
        <x:v>656.2411472295003</x:v>
      </x:c>
      <x:c r="AN277" t="n">
        <x:f>AD277*(1-'Assumptions'!$F$15)+AX277*'Assumptions'!$G$15-AX277*'MOD Model'!$G$65-(AX277-AW277)*'Assumptions'!$H$15-0</x:f>
        <x:v>822.8492170778395</x:v>
      </x:c>
      <x:c r="AO277" t="n">
        <x:f>AE277*(1-'Assumptions'!$F$15)+AY277*'Assumptions'!$G$15-AY277*'MOD Model'!$H$65-(AY277-AX277)*'Assumptions'!$H$15-0</x:f>
        <x:v>996.2738028837663</x:v>
      </x:c>
      <x:c r="AP277" t="n">
        <x:f>AF277*(1-'Assumptions'!$F$15)+AZ277*'Assumptions'!$G$15-AZ277*'MOD Model'!$I$65-(AZ277-AY277)*'Assumptions'!$H$15-0</x:f>
        <x:v>1163.296279273812</x:v>
      </x:c>
      <x:c r="AQ277" t="n">
        <x:f>AG277*(1-'Assumptions'!$F$15)+BA277*'Assumptions'!$G$15-BA277*'MOD Model'!$J$65-(BA277-AZ277)*'Assumptions'!$H$15-0</x:f>
        <x:v>1308.173742205339</x:v>
      </x:c>
      <x:c r="AR277" t="n">
        <x:f>AH277*(1-'Assumptions'!$F$15)+BB277*'Assumptions'!$G$15-BB277*'MOD Model'!$K$65-(BB277-BA277)*'Assumptions'!$H$15-0</x:f>
        <x:v>1414.7124763551537</x:v>
      </x:c>
      <x:c r="AS277" t="n">
        <x:f>E277+O277</x:f>
        <x:v>2977.7040000000006</x:v>
      </x:c>
      <x:c r="AT277" t="n">
        <x:f>F277+P277</x:f>
        <x:v>3613.0322400000005</x:v>
      </x:c>
      <x:c r="AU277" t="n">
        <x:f>G277+Q277</x:f>
        <x:v>4415.8456104000015</x:v>
      </x:c>
      <x:c r="AV277" t="n">
        <x:f>H277+R277</x:f>
        <x:v>5451.669794424002</x:v>
      </x:c>
      <x:c r="AW277" t="n">
        <x:f>I277+S277</x:f>
        <x:v>6778.493448775443</x:v>
      </x:c>
      <x:c r="AX277" t="n">
        <x:f>J277+T277</x:f>
        <x:v>8138.96047751323</x:v>
      </x:c>
      <x:c r="AY277" t="n">
        <x:f>K277+U277</x:f>
        <x:v>9425.140773526133</x:v>
      </x:c>
      <x:c r="AZ277" t="n">
        <x:f>L277+V277</x:f>
        <x:v>10512.347025519422</x:v>
      </x:c>
      <x:c r="BA277" t="n">
        <x:f>M277+W277</x:f>
        <x:v>11276.340915509369</x:v>
      </x:c>
      <x:c r="BB277" t="n">
        <x:f>N277+X277</x:f>
        <x:v>11614.631142974651</x:v>
      </x:c>
      <x:c r="BC277" t="n">
        <x:f>AS277/'Inputs'!$F$14-1</x:f>
        <x:v>0.21997050147492647</x:v>
      </x:c>
      <x:c r="BD277" t="n">
        <x:f>AT277/AS277-1</x:f>
        <x:v>0.2133617847845184</x:v>
      </x:c>
      <x:c r="BE277" t="n">
        <x:f>AU277/AT277-1</x:f>
        <x:v>0.2221993375846547</x:v>
      </x:c>
      <x:c r="BF277" t="n">
        <x:f>AV277/AU277-1</x:f>
        <x:v>0.23456983676795096</x:v>
      </x:c>
      <x:c r="BG277" t="n">
        <x:f>AW277/AV277-1</x:f>
        <x:v>0.24337931393213186</x:v>
      </x:c>
      <x:c r="BH277" t="n">
        <x:f>AX277/AW277-1</x:f>
        <x:v>0.20070345114570554</x:v>
      </x:c>
      <x:c r="BI277" t="n">
        <x:f>AY277/AX277-1</x:f>
        <x:v>0.15802758835927921</x:v>
      </x:c>
      <x:c r="BJ277" t="n">
        <x:f>AZ277/AY277-1</x:f>
        <x:v>0.11535172557285245</x:v>
      </x:c>
      <x:c r="BK277" t="n">
        <x:f>BA277/AZ277-1</x:f>
        <x:v>0.07267586278642635</x:v>
      </x:c>
      <x:c r="BL277" t="n">
        <x:f>BB277/BA277-1</x:f>
        <x:v>0.030000000000000027</x:v>
      </x:c>
      <x:c r="BM277" t="n">
        <x:f>AH277*(1-'Assumptions'!$F$15)*(1+'Assumptions'!$D$15)*(1-'Assumptions'!$D$15/'Assumptions'!$E$15)</x:f>
        <x:v>1458.565868046132</x:v>
      </x:c>
      <x:c r="BN277" t="n">
        <x:f>SUMPRODUCT(AI277:AR277,'MOD Model'!$B$83:$K$83)+BM277/('Assumptions'!$C$15-'Assumptions'!$D$15)*'MOD Model'!$K$83</x:f>
        <x:v>10935.09498802794</x:v>
      </x:c>
      <x:c r="BO277" t="n">
        <x:f>'MOD Model'!$B$94</x:f>
        <x:v>553.5</x:v>
      </x:c>
      <x:c r="BP277" t="n">
        <x:f>'Inputs'!$F$8</x:f>
        <x:v>54</x:v>
      </x:c>
    </x:row>
    <x:row r="278">
      <x:c r="A278" t="str">
        <x:v>MOD</x:v>
      </x:c>
      <x:c r="B278" s="22" t="n">
        <x:v>0.32</x:v>
      </x:c>
      <x:c r="C278" s="42" t="n">
        <x:f>(BN278+BO278)/BP278</x:f>
        <x:v>222.28775795362702</x:v>
      </x:c>
      <x:c r="D278" s="22" t="n">
        <x:f>C278/'Inputs'!$F$5-1</x:f>
        <x:v>0.1419282747026971</x:v>
      </x:c>
      <x:c r="E278" t="n">
        <x:f>'Inputs'!$F$24*(1+$B278)^1</x:f>
        <x:v>1840.6080000000002</x:v>
      </x:c>
      <x:c r="F278" t="n">
        <x:f>'Inputs'!$F$24*(1+$B278)^2</x:f>
        <x:v>2429.6025600000003</x:v>
      </x:c>
      <x:c r="G278" t="n">
        <x:f>'Inputs'!$F$24*(1+$B278)^3</x:f>
        <x:v>3207.0753792000005</x:v>
      </x:c>
      <x:c r="H278" t="n">
        <x:f>'Inputs'!$F$24*(1+$B278)^4</x:f>
        <x:v>4233.339500544001</x:v>
      </x:c>
      <x:c r="I278" t="n">
        <x:f>'Inputs'!$F$24*(1+$B278)^5</x:f>
        <x:v>5588.008140718082</x:v>
      </x:c>
      <x:c r="J278" t="n">
        <x:f>I278*(1+($BG278+('Assumptions'!$D$15-$BG278)*(6-5)/5))</x:f>
        <x:v>6750.23634287692</x:v>
      </x:c>
      <x:c r="K278" t="n">
        <x:f>J278*(1+($BG278+('Assumptions'!$D$15-$BG278)*(7-5)/5))</x:f>
        <x:v>7853.829778797113</x:v>
      </x:c>
      <x:c r="L278" t="n">
        <x:f>K278*(1+($BG278+('Assumptions'!$D$15-$BG278)*(8-5)/5))</x:f>
        <x:v>8788.38106639802</x:v>
      </x:c>
      <x:c r="M278" t="n">
        <x:f>L278*(1+($BG278+('Assumptions'!$D$15-$BG278)*(9-5)/5))</x:f>
        <x:v>9443.08498785897</x:v>
      </x:c>
      <x:c r="N278" t="n">
        <x:f>M278*(1+($BG278+('Assumptions'!$D$15-$BG278)*(10-5)/5))</x:f>
        <x:v>9726.37753749474</x:v>
      </x:c>
      <x:c r="O278" t="n">
        <x:f>'MOD Model'!$B$68</x:f>
        <x:v>1151.0400000000002</x:v>
      </x:c>
      <x:c r="P278" t="n">
        <x:f>'MOD Model'!$C$68</x:f>
        <x:v>1220.1024000000002</x:v>
      </x:c>
      <x:c r="Q278" t="n">
        <x:f>'MOD Model'!$D$68</x:f>
        <x:v>1281.1075200000002</x:v>
      </x:c>
      <x:c r="R278" t="n">
        <x:f>'MOD Model'!$E$68</x:f>
        <x:v>1345.1628960000003</x:v>
      </x:c>
      <x:c r="S278" t="n">
        <x:f>'MOD Model'!$F$68</x:f>
        <x:v>1398.9694118400002</x:v>
      </x:c>
      <x:c r="T278" t="n">
        <x:f>S278*(1+($BG278+('Assumptions'!$D$15-$BG278)*(6-5)/5))</x:f>
        <x:v>1689.9356494427022</x:v>
      </x:c>
      <x:c r="U278" t="n">
        <x:f>T278*(1+($BG278+('Assumptions'!$D$15-$BG278)*(7-5)/5))</x:f>
        <x:v>1966.222551873979</x:v>
      </x:c>
      <x:c r="V278" t="n">
        <x:f>U278*(1+($BG278+('Assumptions'!$D$15-$BG278)*(8-5)/5))</x:f>
        <x:v>2200.18940235558</x:v>
      </x:c>
      <x:c r="W278" t="n">
        <x:f>V278*(1+($BG278+('Assumptions'!$D$15-$BG278)*(9-5)/5))</x:f>
        <x:v>2364.0958851077453</x:v>
      </x:c>
      <x:c r="X278" t="n">
        <x:f>W278*(1+($BG278+('Assumptions'!$D$15-$BG278)*(10-5)/5))</x:f>
        <x:v>2435.018761660978</x:v>
      </x:c>
      <x:c r="Y278" t="n">
        <x:f>E278*'MOD Model'!$B$62+O278*'MOD Model'!$B$63+'MOD Model'!$B$73+'MOD Model'!$B$74</x:f>
        <x:v>395.85504000000003</x:v>
      </x:c>
      <x:c r="Z278" t="n">
        <x:f>F278*'MOD Model'!$C$62+P278*'MOD Model'!$C$63+'MOD Model'!$C$73+'MOD Model'!$C$74</x:f>
        <x:v>561.40536</x:v>
      </x:c>
      <x:c r="AA278" t="n">
        <x:f>G278*'MOD Model'!$D$62+Q278*'MOD Model'!$D$63+'MOD Model'!$D$73+'MOD Model'!$D$74</x:f>
        <x:v>775.1858345280002</x:v>
      </x:c>
      <x:c r="AB278" t="n">
        <x:f>H278*'MOD Model'!$E$62+R278*'MOD Model'!$E$63+'MOD Model'!$E$73+'MOD Model'!$E$74</x:f>
        <x:v>1021.2825495196803</x:v>
      </x:c>
      <x:c r="AC278" t="n">
        <x:f>I278*'MOD Model'!$F$62+S278*'MOD Model'!$F$63+'MOD Model'!$F$73+'MOD Model'!$F$74</x:f>
        <x:v>1321.7892989839781</x:v>
      </x:c>
      <x:c r="AD278" t="n">
        <x:f>AX278*$AC278/$AW278</x:f>
        <x:v>1596.703143399661</x:v>
      </x:c>
      <x:c r="AE278" t="n">
        <x:f>AY278*$AC278/$AW278</x:f>
        <x:v>1857.7475007618214</x:v>
      </x:c>
      <x:c r="AF278" t="n">
        <x:f>AZ278*$AC278/$AW278</x:f>
        <x:v>2078.8065722942115</x:v>
      </x:c>
      <x:c r="AG278" t="n">
        <x:f>BA278*$AC278/$AW278</x:f>
        <x:v>2233.670455022687</x:v>
      </x:c>
      <x:c r="AH278" t="n">
        <x:f>BB278*$AC278/$AW278</x:f>
        <x:v>2300.6805686733674</x:v>
      </x:c>
      <x:c r="AI278" t="n">
        <x:f>Y278*(1-'Assumptions'!$F$15)+AS278*'Assumptions'!$G$15-AS278*'MOD Model'!$B$65-(AS278-'Inputs'!$F$14)*'Assumptions'!$H$15-'Assumptions'!$I$15</x:f>
        <x:v>109.55640000000005</x:v>
      </x:c>
      <x:c r="AJ278" t="n">
        <x:f>Z278*(1-'Assumptions'!$F$15)+AT278*'Assumptions'!$G$15-AT278*'MOD Model'!$C$65-(AT278-AS278)*'Assumptions'!$H$15-0</x:f>
        <x:v>212.85432719999986</x:v>
      </x:c>
      <x:c r="AK278" t="n">
        <x:f>AA278*(1-'Assumptions'!$F$15)+AU278*'Assumptions'!$G$15-AU278*'MOD Model'!$D$65-(AU278-AT278)*'Assumptions'!$H$15-0</x:f>
        <x:v>343.4131125360001</x:v>
      </x:c>
      <x:c r="AL278" t="n">
        <x:f>AB278*(1-'Assumptions'!$F$15)+AV278*'Assumptions'!$G$15-AV278*'MOD Model'!$E$65-(AV278-AU278)*'Assumptions'!$H$15-0</x:f>
        <x:v>490.84393960728016</x:v>
      </x:c>
      <x:c r="AM278" t="n">
        <x:f>AC278*(1-'Assumptions'!$F$15)+AW278*'Assumptions'!$G$15-AW278*'MOD Model'!$F$65-(AW278-AV278)*'Assumptions'!$H$15-0</x:f>
        <x:v>675.2660375475</x:v>
      </x:c>
      <x:c r="AN278" t="n">
        <x:f>AD278*(1-'Assumptions'!$F$15)+AX278*'Assumptions'!$G$15-AX278*'MOD Model'!$G$65-(AX278-AW278)*'Assumptions'!$H$15-0</x:f>
        <x:v>852.9456117007202</x:v>
      </x:c>
      <x:c r="AO278" t="n">
        <x:f>AE278*(1-'Assumptions'!$F$15)+AY278*'Assumptions'!$G$15-AY278*'MOD Model'!$H$65-(AY278-AX278)*'Assumptions'!$H$15-0</x:f>
        <x:v>1039.0277898585794</x:v>
      </x:c>
      <x:c r="AP278" t="n">
        <x:f>AF278*(1-'Assumptions'!$F$15)+AZ278*'Assumptions'!$G$15-AZ278*'MOD Model'!$I$65-(AZ278-AY278)*'Assumptions'!$H$15-0</x:f>
        <x:v>1218.9986514769782</x:v>
      </x:c>
      <x:c r="AQ278" t="n">
        <x:f>AG278*(1-'Assumptions'!$F$15)+BA278*'Assumptions'!$G$15-BA278*'MOD Model'!$J$65-(BA278-AZ278)*'Assumptions'!$H$15-0</x:f>
        <x:v>1375.3535675405471</x:v>
      </x:c>
      <x:c r="AR278" t="n">
        <x:f>AH278*(1-'Assumptions'!$F$15)+BB278*'Assumptions'!$G$15-BB278*'MOD Model'!$K$65-(BB278-BA278)*'Assumptions'!$H$15-0</x:f>
        <x:v>1489.9571680893391</x:v>
      </x:c>
      <x:c r="AS278" t="n">
        <x:f>E278+O278</x:f>
        <x:v>2991.648</x:v>
      </x:c>
      <x:c r="AT278" t="n">
        <x:f>F278+P278</x:f>
        <x:v>3649.7049600000005</x:v>
      </x:c>
      <x:c r="AU278" t="n">
        <x:f>G278+Q278</x:f>
        <x:v>4488.182899200001</x:v>
      </x:c>
      <x:c r="AV278" t="n">
        <x:f>H278+R278</x:f>
        <x:v>5578.502396544001</x:v>
      </x:c>
      <x:c r="AW278" t="n">
        <x:f>I278+S278</x:f>
        <x:v>6986.977552558083</x:v>
      </x:c>
      <x:c r="AX278" t="n">
        <x:f>J278+T278</x:f>
        <x:v>8440.171992319623</x:v>
      </x:c>
      <x:c r="AY278" t="n">
        <x:f>K278+U278</x:f>
        <x:v>9820.052330671093</x:v>
      </x:c>
      <x:c r="AZ278" t="n">
        <x:f>L278+V278</x:f>
        <x:v>10988.5704687536</x:v>
      </x:c>
      <x:c r="BA278" t="n">
        <x:f>M278+W278</x:f>
        <x:v>11807.180872966715</x:v>
      </x:c>
      <x:c r="BB278" t="n">
        <x:f>N278+X278</x:f>
        <x:v>12161.396299155718</x:v>
      </x:c>
      <x:c r="BC278" t="n">
        <x:f>AS278/'Inputs'!$F$14-1</x:f>
        <x:v>0.22568338249754172</x:v>
      </x:c>
      <x:c r="BD278" t="n">
        <x:f>AT278/AS278-1</x:f>
        <x:v>0.21996470172961535</x:v>
      </x:c>
      <x:c r="BE278" t="n">
        <x:f>AU278/AT278-1</x:f>
        <x:v>0.22973855377065888</x:v>
      </x:c>
      <x:c r="BF278" t="n">
        <x:f>AV278/AU278-1</x:f>
        <x:v>0.24293116431113915</x:v>
      </x:c>
      <x:c r="BG278" t="n">
        <x:f>AW278/AV278-1</x:f>
        <x:v>0.2524826657575088</x:v>
      </x:c>
      <x:c r="BH278" t="n">
        <x:f>AX278/AW278-1</x:f>
        <x:v>0.20798613260600707</x:v>
      </x:c>
      <x:c r="BI278" t="n">
        <x:f>AY278/AX278-1</x:f>
        <x:v>0.16348959945450536</x:v>
      </x:c>
      <x:c r="BJ278" t="n">
        <x:f>AZ278/AY278-1</x:f>
        <x:v>0.11899306630300321</x:v>
      </x:c>
      <x:c r="BK278" t="n">
        <x:f>BA278/AZ278-1</x:f>
        <x:v>0.07449653315150173</x:v>
      </x:c>
      <x:c r="BL278" t="n">
        <x:f>BB278/BA278-1</x:f>
        <x:v>0.030000000000000027</x:v>
      </x:c>
      <x:c r="BM278" t="n">
        <x:f>AH278*(1-'Assumptions'!$F$15)*(1+'Assumptions'!$D$15)*(1-'Assumptions'!$D$15/'Assumptions'!$E$15)</x:f>
        <x:v>1534.919956668334</x:v>
      </x:c>
      <x:c r="BN278" t="n">
        <x:f>SUMPRODUCT(AI278:AR278,'MOD Model'!$B$83:$K$83)+BM278/('Assumptions'!$C$15-'Assumptions'!$D$15)*'MOD Model'!$K$83</x:f>
        <x:v>11450.038929495859</x:v>
      </x:c>
      <x:c r="BO278" t="n">
        <x:f>'MOD Model'!$B$94</x:f>
        <x:v>553.5</x:v>
      </x:c>
      <x:c r="BP278" t="n">
        <x:f>'Inputs'!$F$8</x:f>
        <x:v>54</x:v>
      </x:c>
    </x:row>
    <x:row r="279">
      <x:c r="A279" t="str">
        <x:v>MOD</x:v>
      </x:c>
      <x:c r="B279" s="22" t="n">
        <x:v>0.33</x:v>
      </x:c>
      <x:c r="C279" s="42" t="n">
        <x:f>(BN279+BO279)/BP279</x:f>
        <x:v>232.2727460614679</x:v>
      </x:c>
      <x:c r="D279" s="22" t="n">
        <x:f>C279/'Inputs'!$F$5-1</x:f>
        <x:v>0.19322277849310554</x:v>
      </x:c>
      <x:c r="E279" t="n">
        <x:f>'Inputs'!$F$24*(1+$B279)^1</x:f>
        <x:v>1854.5520000000001</x:v>
      </x:c>
      <x:c r="F279" t="n">
        <x:f>'Inputs'!$F$24*(1+$B279)^2</x:f>
        <x:v>2466.55416</x:v>
      </x:c>
      <x:c r="G279" t="n">
        <x:f>'Inputs'!$F$24*(1+$B279)^3</x:f>
        <x:v>3280.5170328000004</x:v>
      </x:c>
      <x:c r="H279" t="n">
        <x:f>'Inputs'!$F$24*(1+$B279)^4</x:f>
        <x:v>4363.087653624001</x:v>
      </x:c>
      <x:c r="I279" t="n">
        <x:f>'Inputs'!$F$24*(1+$B279)^5</x:f>
        <x:v>5802.9065793199225</x:v>
      </x:c>
      <x:c r="J279" t="n">
        <x:f>I279*(1+($BG279+('Assumptions'!$D$15-$BG279)*(6-5)/5))</x:f>
        <x:v>7052.4385904678</x:v>
      </x:c>
      <x:c r="K279" t="n">
        <x:f>J279*(1+($BG279+('Assumptions'!$D$15-$BG279)*(7-5)/5))</x:f>
        <x:v>8244.27591444902</x:v>
      </x:c>
      <x:c r="L279" t="n">
        <x:f>K279*(1+($BG279+('Assumptions'!$D$15-$BG279)*(8-5)/5))</x:f>
        <x:v>9255.554434254653</x:v>
      </x:c>
      <x:c r="M279" t="n">
        <x:f>L279*(1+($BG279+('Assumptions'!$D$15-$BG279)*(9-5)/5))</x:f>
        <x:v>9962.050907932413</x:v>
      </x:c>
      <x:c r="N279" t="n">
        <x:f>M279*(1+($BG279+('Assumptions'!$D$15-$BG279)*(10-5)/5))</x:f>
        <x:v>10260.912435170385</x:v>
      </x:c>
      <x:c r="O279" t="n">
        <x:f>'MOD Model'!$B$68</x:f>
        <x:v>1151.0400000000002</x:v>
      </x:c>
      <x:c r="P279" t="n">
        <x:f>'MOD Model'!$C$68</x:f>
        <x:v>1220.1024000000002</x:v>
      </x:c>
      <x:c r="Q279" t="n">
        <x:f>'MOD Model'!$D$68</x:f>
        <x:v>1281.1075200000002</x:v>
      </x:c>
      <x:c r="R279" t="n">
        <x:f>'MOD Model'!$E$68</x:f>
        <x:v>1345.1628960000003</x:v>
      </x:c>
      <x:c r="S279" t="n">
        <x:f>'MOD Model'!$F$68</x:f>
        <x:v>1398.9694118400002</x:v>
      </x:c>
      <x:c r="T279" t="n">
        <x:f>S279*(1+($BG279+('Assumptions'!$D$15-$BG279)*(6-5)/5))</x:f>
        <x:v>1700.207599775065</x:v>
      </x:c>
      <x:c r="U279" t="n">
        <x:f>T279*(1+($BG279+('Assumptions'!$D$15-$BG279)*(7-5)/5))</x:f>
        <x:v>1987.5367058614795</x:v>
      </x:c>
      <x:c r="V279" t="n">
        <x:f>U279*(1+($BG279+('Assumptions'!$D$15-$BG279)*(8-5)/5))</x:f>
        <x:v>2231.3365493917395</x:v>
      </x:c>
      <x:c r="W279" t="n">
        <x:f>V279*(1+($BG279+('Assumptions'!$D$15-$BG279)*(9-5)/5))</x:f>
        <x:v>2401.6592907176637</x:v>
      </x:c>
      <x:c r="X279" t="n">
        <x:f>W279*(1+($BG279+('Assumptions'!$D$15-$BG279)*(10-5)/5))</x:f>
        <x:v>2473.7090694391936</x:v>
      </x:c>
      <x:c r="Y279" t="n">
        <x:f>E279*'MOD Model'!$B$62+O279*'MOD Model'!$B$63+'MOD Model'!$B$73+'MOD Model'!$B$74</x:f>
        <x:v>398.36496</x:v>
      </x:c>
      <x:c r="Z279" t="n">
        <x:f>F279*'MOD Model'!$C$62+P279*'MOD Model'!$C$63+'MOD Model'!$C$73+'MOD Model'!$C$74</x:f>
        <x:v>568.79568</x:v>
      </x:c>
      <x:c r="AA279" t="n">
        <x:f>G279*'MOD Model'!$D$62+Q279*'MOD Model'!$D$63+'MOD Model'!$D$73+'MOD Model'!$D$74</x:f>
        <x:v>790.9757900520002</x:v>
      </x:c>
      <x:c r="AB279" t="n">
        <x:f>H279*'MOD Model'!$E$62+R279*'MOD Model'!$E$63+'MOD Model'!$E$73+'MOD Model'!$E$74</x:f>
        <x:v>1049.8271431972803</x:v>
      </x:c>
      <x:c r="AC279" t="n">
        <x:f>I279*'MOD Model'!$F$62+S279*'MOD Model'!$F$63+'MOD Model'!$F$73+'MOD Model'!$F$74</x:f>
        <x:v>1369.0669554763829</x:v>
      </x:c>
      <x:c r="AD279" t="n">
        <x:f>AX279*$AC279/$AW279</x:f>
        <x:v>1663.8662879986366</x:v>
      </x:c>
      <x:c r="AE279" t="n">
        <x:f>AY279*$AC279/$AW279</x:f>
        <x:v>1945.0538401782746</x:v>
      </x:c>
      <x:c r="AF279" t="n">
        <x:f>AZ279*$AC279/$AW279</x:f>
        <x:v>2183.642551770323</x:v>
      </x:c>
      <x:c r="AG279" t="n">
        <x:f>BA279*$AC279/$AW279</x:f>
        <x:v>2350.32470717841</x:v>
      </x:c>
      <x:c r="AH279" t="n">
        <x:f>BB279*$AC279/$AW279</x:f>
        <x:v>2420.8344483937617</x:v>
      </x:c>
      <x:c r="AI279" t="n">
        <x:f>Y279*(1-'Assumptions'!$F$15)+AS279*'Assumptions'!$G$15-AS279*'MOD Model'!$B$65-(AS279-'Inputs'!$F$14)*'Assumptions'!$H$15-'Assumptions'!$I$15</x:f>
        <x:v>108.85919999999997</x:v>
      </x:c>
      <x:c r="AJ279" t="n">
        <x:f>Z279*(1-'Assumptions'!$F$15)+AT279*'Assumptions'!$G$15-AT279*'MOD Model'!$C$65-(AT279-AS279)*'Assumptions'!$H$15-0</x:f>
        <x:v>213.8373792</x:v>
      </x:c>
      <x:c r="AK279" t="n">
        <x:f>AA279*(1-'Assumptions'!$F$15)+AU279*'Assumptions'!$G$15-AU279*'MOD Model'!$D$65-(AU279-AT279)*'Assumptions'!$H$15-0</x:f>
        <x:v>347.946029799</x:v>
      </x:c>
      <x:c r="AL279" t="n">
        <x:f>AB279*(1-'Assumptions'!$F$15)+AV279*'Assumptions'!$G$15-AV279*'MOD Model'!$E$65-(AV279-AU279)*'Assumptions'!$H$15-0</x:f>
        <x:v>501.2114468818801</x:v>
      </x:c>
      <x:c r="AM279" t="n">
        <x:f>AC279*(1-'Assumptions'!$F$15)+AW279*'Assumptions'!$G$15-AW279*'MOD Model'!$F$65-(AW279-AV279)*'Assumptions'!$H$15-0</x:f>
        <x:v>694.7282605095002</x:v>
      </x:c>
      <x:c r="AN279" t="n">
        <x:f>AD279*(1-'Assumptions'!$F$15)+AX279*'Assumptions'!$G$15-AX279*'MOD Model'!$G$65-(AX279-AW279)*'Assumptions'!$H$15-0</x:f>
        <x:v>883.994493282893</x:v>
      </x:c>
      <x:c r="AO279" t="n">
        <x:f>AE279*(1-'Assumptions'!$F$15)+AY279*'Assumptions'!$G$15-AY279*'MOD Model'!$H$65-(AY279-AX279)*'Assumptions'!$H$15-0</x:f>
        <x:v>1083.4382263189036</x:v>
      </x:c>
      <x:c r="AP279" t="n">
        <x:f>AF279*(1-'Assumptions'!$F$15)+AZ279*'Assumptions'!$G$15-AZ279*'MOD Model'!$I$65-(AZ279-AY279)*'Assumptions'!$H$15-0</x:f>
        <x:v>1277.1667945726622</x:v>
      </x:c>
      <x:c r="AQ279" t="n">
        <x:f>AG279*(1-'Assumptions'!$F$15)+BA279*'Assumptions'!$G$15-BA279*'MOD Model'!$J$65-(BA279-AZ279)*'Assumptions'!$H$15-0</x:f>
        <x:v>1445.7649951535036</x:v>
      </x:c>
      <x:c r="AR279" t="n">
        <x:f>AH279*(1-'Assumptions'!$F$15)+BB279*'Assumptions'!$G$15-BB279*'MOD Model'!$K$65-(BB279-BA279)*'Assumptions'!$H$15-0</x:f>
        <x:v>1568.9698178322524</x:v>
      </x:c>
      <x:c r="AS279" t="n">
        <x:f>E279+O279</x:f>
        <x:v>3005.5920000000006</x:v>
      </x:c>
      <x:c r="AT279" t="n">
        <x:f>F279+P279</x:f>
        <x:v>3686.6565600000004</x:v>
      </x:c>
      <x:c r="AU279" t="n">
        <x:f>G279+Q279</x:f>
        <x:v>4561.624552800001</x:v>
      </x:c>
      <x:c r="AV279" t="n">
        <x:f>H279+R279</x:f>
        <x:v>5708.250549624001</x:v>
      </x:c>
      <x:c r="AW279" t="n">
        <x:f>I279+S279</x:f>
        <x:v>7201.875991159923</x:v>
      </x:c>
      <x:c r="AX279" t="n">
        <x:f>J279+T279</x:f>
        <x:v>8752.646190242865</x:v>
      </x:c>
      <x:c r="AY279" t="n">
        <x:f>K279+U279</x:f>
        <x:v>10231.812620310498</x:v>
      </x:c>
      <x:c r="AZ279" t="n">
        <x:f>L279+V279</x:f>
        <x:v>11486.890983646392</x:v>
      </x:c>
      <x:c r="BA279" t="n">
        <x:f>M279+W279</x:f>
        <x:v>12363.710198650077</x:v>
      </x:c>
      <x:c r="BB279" t="n">
        <x:f>N279+X279</x:f>
        <x:v>12734.621504609579</x:v>
      </x:c>
      <x:c r="BC279" t="n">
        <x:f>AS279/'Inputs'!$F$14-1</x:f>
        <x:v>0.2313962635201574</x:v>
      </x:c>
      <x:c r="BD279" t="n">
        <x:f>AT279/AS279-1</x:f>
        <x:v>0.22659913920452257</x:v>
      </x:c>
      <x:c r="BE279" t="n">
        <x:f>AU279/AT279-1</x:f>
        <x:v>0.23733374090045434</x:v>
      </x:c>
      <x:c r="BF279" t="n">
        <x:f>AV279/AU279-1</x:f>
        <x:v>0.2513635183150227</x:v>
      </x:c>
      <x:c r="BG279" t="n">
        <x:f>AW279/AV279-1</x:f>
        <x:v>0.2616608063278347</x:v>
      </x:c>
      <x:c r="BH279" t="n">
        <x:f>AX279/AW279-1</x:f>
        <x:v>0.2153286450622678</x:v>
      </x:c>
      <x:c r="BI279" t="n">
        <x:f>AY279/AX279-1</x:f>
        <x:v>0.16899648379670085</x:v>
      </x:c>
      <x:c r="BJ279" t="n">
        <x:f>AZ279/AY279-1</x:f>
        <x:v>0.1226643225311339</x:v>
      </x:c>
      <x:c r="BK279" t="n">
        <x:f>BA279/AZ279-1</x:f>
        <x:v>0.07633216126556697</x:v>
      </x:c>
      <x:c r="BL279" t="n">
        <x:f>BB279/BA279-1</x:f>
        <x:v>0.030000000000000027</x:v>
      </x:c>
      <x:c r="BM279" t="n">
        <x:f>AH279*(1-'Assumptions'!$F$15)*(1+'Assumptions'!$D$15)*(1-'Assumptions'!$D$15/'Assumptions'!$E$15)</x:f>
        <x:v>1615.0817098317928</x:v>
      </x:c>
      <x:c r="BN279" t="n">
        <x:f>SUMPRODUCT(AI279:AR279,'MOD Model'!$B$83:$K$83)+BM279/('Assumptions'!$C$15-'Assumptions'!$D$15)*'MOD Model'!$K$83</x:f>
        <x:v>11989.228287319267</x:v>
      </x:c>
      <x:c r="BO279" t="n">
        <x:f>'MOD Model'!$B$94</x:f>
        <x:v>553.5</x:v>
      </x:c>
      <x:c r="BP279" t="n">
        <x:f>'Inputs'!$F$8</x:f>
        <x:v>54</x:v>
      </x:c>
    </x:row>
    <x:row r="280">
      <x:c r="A280" t="str">
        <x:v>MOD</x:v>
      </x:c>
      <x:c r="B280" s="22" t="n">
        <x:v>0.34</x:v>
      </x:c>
      <x:c r="C280" s="42" t="n">
        <x:f>(BN280+BO280)/BP280</x:f>
        <x:v>242.72558581095748</x:v>
      </x:c>
      <x:c r="D280" s="22" t="n">
        <x:f>C280/'Inputs'!$F$5-1</x:f>
        <x:v>0.24692071206697563</x:v>
      </x:c>
      <x:c r="E280" t="n">
        <x:f>'Inputs'!$F$24*(1+$B280)^1</x:f>
        <x:v>1868.4960000000003</x:v>
      </x:c>
      <x:c r="F280" t="n">
        <x:f>'Inputs'!$F$24*(1+$B280)^2</x:f>
        <x:v>2503.7846400000008</x:v>
      </x:c>
      <x:c r="G280" t="n">
        <x:f>'Inputs'!$F$24*(1+$B280)^3</x:f>
        <x:v>3355.071417600001</x:v>
      </x:c>
      <x:c r="H280" t="n">
        <x:f>'Inputs'!$F$24*(1+$B280)^4</x:f>
        <x:v>4495.795699584002</x:v>
      </x:c>
      <x:c r="I280" t="n">
        <x:f>'Inputs'!$F$24*(1+$B280)^5</x:f>
        <x:v>6024.366237442563</x:v>
      </x:c>
      <x:c r="J280" t="n">
        <x:f>I280*(1+($BG280+('Assumptions'!$D$15-$BG280)*(6-5)/5))</x:f>
        <x:v>7366.163723600905</x:v>
      </x:c>
      <x:c r="K280" t="n">
        <x:f>J280*(1+($BG280+('Assumptions'!$D$15-$BG280)*(7-5)/5))</x:f>
        <x:v>8651.900377084401</x:v>
      </x:c>
      <x:c r="L280" t="n">
        <x:f>K280*(1+($BG280+('Assumptions'!$D$15-$BG280)*(8-5)/5))</x:f>
        <x:v>9745.190870467404</x:v>
      </x:c>
      <x:c r="M280" t="n">
        <x:f>L280*(1+($BG280+('Assumptions'!$D$15-$BG280)*(9-5)/5))</x:f>
        <x:v>10507.090370998658</x:v>
      </x:c>
      <x:c r="N280" t="n">
        <x:f>M280*(1+($BG280+('Assumptions'!$D$15-$BG280)*(10-5)/5))</x:f>
        <x:v>10822.303082128617</x:v>
      </x:c>
      <x:c r="O280" t="n">
        <x:f>'MOD Model'!$B$68</x:f>
        <x:v>1151.0400000000002</x:v>
      </x:c>
      <x:c r="P280" t="n">
        <x:f>'MOD Model'!$C$68</x:f>
        <x:v>1220.1024000000002</x:v>
      </x:c>
      <x:c r="Q280" t="n">
        <x:f>'MOD Model'!$D$68</x:f>
        <x:v>1281.1075200000002</x:v>
      </x:c>
      <x:c r="R280" t="n">
        <x:f>'MOD Model'!$E$68</x:f>
        <x:v>1345.1628960000003</x:v>
      </x:c>
      <x:c r="S280" t="n">
        <x:f>'MOD Model'!$F$68</x:f>
        <x:v>1398.9694118400002</x:v>
      </x:c>
      <x:c r="T280" t="n">
        <x:f>S280*(1+($BG280+('Assumptions'!$D$15-$BG280)*(6-5)/5))</x:f>
        <x:v>1710.5596382695603</x:v>
      </x:c>
      <x:c r="U280" t="n">
        <x:f>T280*(1+($BG280+('Assumptions'!$D$15-$BG280)*(7-5)/5))</x:f>
        <x:v>2009.131501103138</x:v>
      </x:c>
      <x:c r="V280" t="n">
        <x:f>U280*(1+($BG280+('Assumptions'!$D$15-$BG280)*(8-5)/5))</x:f>
        <x:v>2263.0138014507297</x:v>
      </x:c>
      <x:c r="W280" t="n">
        <x:f>V280*(1+($BG280+('Assumptions'!$D$15-$BG280)*(9-5)/5))</x:f>
        <x:v>2439.940975883584</x:v>
      </x:c>
      <x:c r="X280" t="n">
        <x:f>W280*(1+($BG280+('Assumptions'!$D$15-$BG280)*(10-5)/5))</x:f>
        <x:v>2513.1392051600915</x:v>
      </x:c>
      <x:c r="Y280" t="n">
        <x:f>E280*'MOD Model'!$B$62+O280*'MOD Model'!$B$63+'MOD Model'!$B$73+'MOD Model'!$B$74</x:f>
        <x:v>400.8748800000001</x:v>
      </x:c>
      <x:c r="Z280" t="n">
        <x:f>F280*'MOD Model'!$C$62+P280*'MOD Model'!$C$63+'MOD Model'!$C$73+'MOD Model'!$C$74</x:f>
        <x:v>576.2417760000001</x:v>
      </x:c>
      <x:c r="AA280" t="n">
        <x:f>G280*'MOD Model'!$D$62+Q280*'MOD Model'!$D$63+'MOD Model'!$D$73+'MOD Model'!$D$74</x:f>
        <x:v>807.0049827840003</x:v>
      </x:c>
      <x:c r="AB280" t="n">
        <x:f>H280*'MOD Model'!$E$62+R280*'MOD Model'!$E$63+'MOD Model'!$E$73+'MOD Model'!$E$74</x:f>
        <x:v>1079.0229133084806</x:v>
      </x:c>
      <x:c r="AC280" t="n">
        <x:f>I280*'MOD Model'!$F$62+S280*'MOD Model'!$F$63+'MOD Model'!$F$73+'MOD Model'!$F$74</x:f>
        <x:v>1417.7880802633638</x:v>
      </x:c>
      <x:c r="AD280" t="n">
        <x:f>AX280*$AC280/$AW280</x:f>
        <x:v>1733.5697587043203</x:v>
      </x:c>
      <x:c r="AE280" t="n">
        <x:f>AY280*$AC280/$AW280</x:f>
        <x:v>2036.1579530170982</x:v>
      </x:c>
      <x:c r="AF280" t="n">
        <x:f>AZ280*$AC280/$AW280</x:f>
        <x:v>2293.4554294138347</x:v>
      </x:c>
      <x:c r="AG280" t="n">
        <x:f>BA280*$AC280/$AW280</x:f>
        <x:v>2472.7625942900504</x:v>
      </x:c>
      <x:c r="AH280" t="n">
        <x:f>BB280*$AC280/$AW280</x:f>
        <x:v>2546.9454721187517</x:v>
      </x:c>
      <x:c r="AI280" t="n">
        <x:f>Y280*(1-'Assumptions'!$F$15)+AS280*'Assumptions'!$G$15-AS280*'MOD Model'!$B$65-(AS280-'Inputs'!$F$14)*'Assumptions'!$H$15-'Assumptions'!$I$15</x:f>
        <x:v>108.16199999999995</x:v>
      </x:c>
      <x:c r="AJ280" t="n">
        <x:f>Z280*(1-'Assumptions'!$F$15)+AT280*'Assumptions'!$G$15-AT280*'MOD Model'!$C$65-(AT280-AS280)*'Assumptions'!$H$15-0</x:f>
        <x:v>214.81206479999994</x:v>
      </x:c>
      <x:c r="AK280" t="n">
        <x:f>AA280*(1-'Assumptions'!$F$15)+AU280*'Assumptions'!$G$15-AU280*'MOD Model'!$D$65-(AU280-AT280)*'Assumptions'!$H$15-0</x:f>
        <x:v>352.50547900800007</x:v>
      </x:c>
      <x:c r="AL280" t="n">
        <x:f>AB280*(1-'Assumptions'!$F$15)+AV280*'Assumptions'!$G$15-AV280*'MOD Model'!$E$65-(AV280-AU280)*'Assumptions'!$H$15-0</x:f>
        <x:v>511.73106437208025</x:v>
      </x:c>
      <x:c r="AM280" t="n">
        <x:f>AC280*(1-'Assumptions'!$F$15)+AW280*'Assumptions'!$G$15-AW280*'MOD Model'!$F$65-(AW280-AV280)*'Assumptions'!$H$15-0</x:f>
        <x:v>714.6344674035005</x:v>
      </x:c>
      <x:c r="AN280" t="n">
        <x:f>AD280*(1-'Assumptions'!$F$15)+AX280*'Assumptions'!$G$15-AX280*'MOD Model'!$G$65-(AX280-AW280)*'Assumptions'!$H$15-0</x:f>
        <x:v>916.0183117119981</x:v>
      </x:c>
      <x:c r="AO280" t="n">
        <x:f>AE280*(1-'Assumptions'!$F$15)+AY280*'Assumptions'!$G$15-AY280*'MOD Model'!$H$65-(AY280-AX280)*'Assumptions'!$H$15-0</x:f>
        <x:v>1129.5567091424496</x:v>
      </x:c>
      <x:c r="AP280" t="n">
        <x:f>AF280*(1-'Assumptions'!$F$15)+AZ280*'Assumptions'!$G$15-AZ280*'MOD Model'!$I$65-(AZ280-AY280)*'Assumptions'!$H$15-0</x:f>
        <x:v>1337.8925829220145</x:v>
      </x:c>
      <x:c r="AQ280" t="n">
        <x:f>AG280*(1-'Assumptions'!$F$15)+BA280*'Assumptions'!$G$15-BA280*'MOD Model'!$J$65-(BA280-AZ280)*'Assumptions'!$H$15-0</x:f>
        <x:v>1519.5424742696878</x:v>
      </x:c>
      <x:c r="AR280" t="n">
        <x:f>AH280*(1-'Assumptions'!$F$15)+BB280*'Assumptions'!$G$15-BB280*'MOD Model'!$K$65-(BB280-BA280)*'Assumptions'!$H$15-0</x:f>
        <x:v>1651.9158287187634</x:v>
      </x:c>
      <x:c r="AS280" t="n">
        <x:f>E280+O280</x:f>
        <x:v>3019.5360000000005</x:v>
      </x:c>
      <x:c r="AT280" t="n">
        <x:f>F280+P280</x:f>
        <x:v>3723.887040000001</x:v>
      </x:c>
      <x:c r="AU280" t="n">
        <x:f>G280+Q280</x:f>
        <x:v>4636.1789376000015</x:v>
      </x:c>
      <x:c r="AV280" t="n">
        <x:f>H280+R280</x:f>
        <x:v>5840.958595584003</x:v>
      </x:c>
      <x:c r="AW280" t="n">
        <x:f>I280+S280</x:f>
        <x:v>7423.335649282563</x:v>
      </x:c>
      <x:c r="AX280" t="n">
        <x:f>J280+T280</x:f>
        <x:v>9076.723361870465</x:v>
      </x:c>
      <x:c r="AY280" t="n">
        <x:f>K280+U280</x:f>
        <x:v>10661.03187818754</x:v>
      </x:c>
      <x:c r="AZ280" t="n">
        <x:f>L280+V280</x:f>
        <x:v>12008.204671918134</x:v>
      </x:c>
      <x:c r="BA280" t="n">
        <x:f>M280+W280</x:f>
        <x:v>12947.031346882242</x:v>
      </x:c>
      <x:c r="BB280" t="n">
        <x:f>N280+X280</x:f>
        <x:v>13335.442287288708</x:v>
      </x:c>
      <x:c r="BC280" t="n">
        <x:f>AS280/'Inputs'!$F$14-1</x:f>
        <x:v>0.23710914454277288</x:v>
      </x:c>
      <x:c r="BD280" t="n">
        <x:f>AT280/AS280-1</x:f>
        <x:v>0.23326466053062478</x:v>
      </x:c>
      <x:c r="BE280" t="n">
        <x:f>AU280/AT280-1</x:f>
        <x:v>0.24498377308458852</x:v>
      </x:c>
      <x:c r="BF280" t="n">
        <x:f>AV280/AU280-1</x:f>
        <x:v>0.2598647882662779</x:v>
      </x:c>
      <x:c r="BG280" t="n">
        <x:f>AW280/AV280-1</x:f>
        <x:v>0.2709105068635309</x:v>
      </x:c>
      <x:c r="BH280" t="n">
        <x:f>AX280/AW280-1</x:f>
        <x:v>0.22272840549082473</x:v>
      </x:c>
      <x:c r="BI280" t="n">
        <x:f>AY280/AX280-1</x:f>
        <x:v>0.17454630411811856</x:v>
      </x:c>
      <x:c r="BJ280" t="n">
        <x:f>AZ280/AY280-1</x:f>
        <x:v>0.12636420274541238</x:v>
      </x:c>
      <x:c r="BK280" t="n">
        <x:f>BA280/AZ280-1</x:f>
        <x:v>0.0781821013727062</x:v>
      </x:c>
      <x:c r="BL280" t="n">
        <x:f>BB280/BA280-1</x:f>
        <x:v>0.029999999999999805</x:v>
      </x:c>
      <x:c r="BM280" t="n">
        <x:f>AH280*(1-'Assumptions'!$F$15)*(1+'Assumptions'!$D$15)*(1-'Assumptions'!$D$15/'Assumptions'!$E$15)</x:f>
        <x:v>1699.2178257737717</x:v>
      </x:c>
      <x:c r="BN280" t="n">
        <x:f>SUMPRODUCT(AI280:AR280,'MOD Model'!$B$83:$K$83)+BM280/('Assumptions'!$C$15-'Assumptions'!$D$15)*'MOD Model'!$K$83</x:f>
        <x:v>12553.681633791704</x:v>
      </x:c>
      <x:c r="BO280" t="n">
        <x:f>'MOD Model'!$B$94</x:f>
        <x:v>553.5</x:v>
      </x:c>
      <x:c r="BP280" t="n">
        <x:f>'Inputs'!$F$8</x:f>
        <x:v>54</x:v>
      </x:c>
    </x:row>
    <x:row r="281">
      <x:c r="A281" t="str">
        <x:v>MOD</x:v>
      </x:c>
      <x:c r="B281" s="22" t="n">
        <x:v>0.35</x:v>
      </x:c>
      <x:c r="C281" s="42" t="n">
        <x:f>(BN281+BO281)/BP281</x:f>
        <x:v>253.6658026510161</x:v>
      </x:c>
      <x:c r="D281" s="22" t="n">
        <x:f>C281/'Inputs'!$F$5-1</x:f>
        <x:v>0.3031223808230561</x:v>
      </x:c>
      <x:c r="E281" t="n">
        <x:f>'Inputs'!$F$24*(1+$B281)^1</x:f>
        <x:v>1882.4400000000003</x:v>
      </x:c>
      <x:c r="F281" t="n">
        <x:f>'Inputs'!$F$24*(1+$B281)^2</x:f>
        <x:v>2541.2940000000003</x:v>
      </x:c>
      <x:c r="G281" t="n">
        <x:f>'Inputs'!$F$24*(1+$B281)^3</x:f>
        <x:v>3430.746900000001</x:v>
      </x:c>
      <x:c r="H281" t="n">
        <x:f>'Inputs'!$F$24*(1+$B281)^4</x:f>
        <x:v>4631.508315000002</x:v>
      </x:c>
      <x:c r="I281" t="n">
        <x:f>'Inputs'!$F$24*(1+$B281)^5</x:f>
        <x:v>6252.536225250003</x:v>
      </x:c>
      <x:c r="J281" t="n">
        <x:f>I281*(1+($BG281+('Assumptions'!$D$15-$BG281)*(6-5)/5))</x:f>
        <x:v>7691.76320498187</x:v>
      </x:c>
      <x:c r="K281" t="n">
        <x:f>J281*(1+($BG281+('Assumptions'!$D$15-$BG281)*(7-5)/5))</x:f>
        <x:v>9077.33575397684</x:v>
      </x:c>
      <x:c r="L281" t="n">
        <x:f>K281*(1+($BG281+('Assumptions'!$D$15-$BG281)*(8-5)/5))</x:f>
        <x:v>10258.219567211578</x:v>
      </x:c>
      <x:c r="M281" t="n">
        <x:f>L281*(1+($BG281+('Assumptions'!$D$15-$BG281)*(9-5)/5))</x:f>
        <x:v>11079.346213897796</x:v>
      </x:c>
      <x:c r="N281" t="n">
        <x:f>M281*(1+($BG281+('Assumptions'!$D$15-$BG281)*(10-5)/5))</x:f>
        <x:v>11411.72660031473</x:v>
      </x:c>
      <x:c r="O281" t="n">
        <x:f>'MOD Model'!$B$68</x:f>
        <x:v>1151.0400000000002</x:v>
      </x:c>
      <x:c r="P281" t="n">
        <x:f>'MOD Model'!$C$68</x:f>
        <x:v>1220.1024000000002</x:v>
      </x:c>
      <x:c r="Q281" t="n">
        <x:f>'MOD Model'!$D$68</x:f>
        <x:v>1281.1075200000002</x:v>
      </x:c>
      <x:c r="R281" t="n">
        <x:f>'MOD Model'!$E$68</x:f>
        <x:v>1345.1628960000003</x:v>
      </x:c>
      <x:c r="S281" t="n">
        <x:f>'MOD Model'!$F$68</x:f>
        <x:v>1398.9694118400002</x:v>
      </x:c>
      <x:c r="T281" t="n">
        <x:f>S281*(1+($BG281+('Assumptions'!$D$15-$BG281)*(6-5)/5))</x:f>
        <x:v>1720.988261280452</x:v>
      </x:c>
      <x:c r="U281" t="n">
        <x:f>T281*(1+($BG281+('Assumptions'!$D$15-$BG281)*(7-5)/5))</x:f>
        <x:v>2031.0022370653965</x:v>
      </x:c>
      <x:c r="V281" t="n">
        <x:f>U281*(1+($BG281+('Assumptions'!$D$15-$BG281)*(8-5)/5))</x:f>
        <x:v>2295.2182726288406</x:v>
      </x:c>
      <x:c r="W281" t="n">
        <x:f>V281*(1+($BG281+('Assumptions'!$D$15-$BG281)*(9-5)/5))</x:f>
        <x:v>2478.9406887136574</x:v>
      </x:c>
      <x:c r="X281" t="n">
        <x:f>W281*(1+($BG281+('Assumptions'!$D$15-$BG281)*(10-5)/5))</x:f>
        <x:v>2553.3089093750673</x:v>
      </x:c>
      <x:c r="Y281" t="n">
        <x:f>E281*'MOD Model'!$B$62+O281*'MOD Model'!$B$63+'MOD Model'!$B$73+'MOD Model'!$B$74</x:f>
        <x:v>403.38480000000004</x:v>
      </x:c>
      <x:c r="Z281" t="n">
        <x:f>F281*'MOD Model'!$C$62+P281*'MOD Model'!$C$63+'MOD Model'!$C$73+'MOD Model'!$C$74</x:f>
        <x:v>583.7436480000001</x:v>
      </x:c>
      <x:c r="AA281" t="n">
        <x:f>G281*'MOD Model'!$D$62+Q281*'MOD Model'!$D$63+'MOD Model'!$D$73+'MOD Model'!$D$74</x:f>
        <x:v>823.2752115000003</x:v>
      </x:c>
      <x:c r="AB281" t="n">
        <x:f>H281*'MOD Model'!$E$62+R281*'MOD Model'!$E$63+'MOD Model'!$E$73+'MOD Model'!$E$74</x:f>
        <x:v>1108.8796887000005</x:v>
      </x:c>
      <x:c r="AC281" t="n">
        <x:f>I281*'MOD Model'!$F$62+S281*'MOD Model'!$F$63+'MOD Model'!$F$73+'MOD Model'!$F$74</x:f>
        <x:v>1467.9854775810006</x:v>
      </x:c>
      <x:c r="AD281" t="n">
        <x:f>AX281*$AC281/$AW281</x:f>
        <x:v>1805.890645832092</x:v>
      </x:c>
      <x:c r="AE281" t="n">
        <x:f>AY281*$AC281/$AW281</x:f>
        <x:v>2131.1986979222947</x:v>
      </x:c>
      <x:c r="AF281" t="n">
        <x:f>AZ281*$AC281/$AW281</x:f>
        <x:v>2408.449436836607</x:v>
      </x:c>
      <x:c r="AG281" t="n">
        <x:f>BA281*$AC281/$AW281</x:f>
        <x:v>2601.2355238203663</x:v>
      </x:c>
      <x:c r="AH281" t="n">
        <x:f>BB281*$AC281/$AW281</x:f>
        <x:v>2679.2725895349777</x:v>
      </x:c>
      <x:c r="AI281" t="n">
        <x:f>Y281*(1-'Assumptions'!$F$15)+AS281*'Assumptions'!$G$15-AS281*'MOD Model'!$B$65-(AS281-'Inputs'!$F$14)*'Assumptions'!$H$15-'Assumptions'!$I$15</x:f>
        <x:v>107.46479999999991</x:v>
      </x:c>
      <x:c r="AJ281" t="n">
        <x:f>Z281*(1-'Assumptions'!$F$15)+AT281*'Assumptions'!$G$15-AT281*'MOD Model'!$C$65-(AT281-AS281)*'Assumptions'!$H$15-0</x:f>
        <x:v>215.77838400000007</x:v>
      </x:c>
      <x:c r="AK281" t="n">
        <x:f>AA281*(1-'Assumptions'!$F$15)+AU281*'Assumptions'!$G$15-AU281*'MOD Model'!$D$65-(AU281-AT281)*'Assumptions'!$H$15-0</x:f>
        <x:v>357.09134512500003</x:v>
      </x:c>
      <x:c r="AL281" t="n">
        <x:f>AB281*(1-'Assumptions'!$F$15)+AV281*'Assumptions'!$G$15-AV281*'MOD Model'!$E$65-(AV281-AU281)*'Assumptions'!$H$15-0</x:f>
        <x:v>522.4038236550002</x:v>
      </x:c>
      <x:c r="AM281" t="n">
        <x:f>AC281*(1-'Assumptions'!$F$15)+AW281*'Assumptions'!$G$15-AW281*'MOD Model'!$F$65-(AW281-AV281)*'Assumptions'!$H$15-0</x:f>
        <x:v>734.9913597159003</x:v>
      </x:c>
      <x:c r="AN281" t="n">
        <x:f>AD281*(1-'Assumptions'!$F$15)+AX281*'Assumptions'!$G$15-AX281*'MOD Model'!$G$65-(AX281-AW281)*'Assumptions'!$H$15-0</x:f>
        <x:v>949.0398380042864</x:v>
      </x:c>
      <x:c r="AO281" t="n">
        <x:f>AE281*(1-'Assumptions'!$F$15)+AY281*'Assumptions'!$G$15-AY281*'MOD Model'!$H$65-(AY281-AX281)*'Assumptions'!$H$15-0</x:f>
        <x:v>1177.4359748591</x:v>
      </x:c>
      <x:c r="AP281" t="n">
        <x:f>AF281*(1-'Assumptions'!$F$15)+AZ281*'Assumptions'!$G$15-AZ281*'MOD Model'!$I$65-(AZ281-AY281)*'Assumptions'!$H$15-0</x:f>
        <x:v>1401.2705327101219</x:v>
      </x:c>
      <x:c r="AQ281" t="n">
        <x:f>AG281*(1-'Assumptions'!$F$15)+BA281*'Assumptions'!$G$15-BA281*'MOD Model'!$J$65-(BA281-AZ281)*'Assumptions'!$H$15-0</x:f>
        <x:v>1596.8249799104478</x:v>
      </x:c>
      <x:c r="AR281" t="n">
        <x:f>AH281*(1-'Assumptions'!$F$15)+BB281*'Assumptions'!$G$15-BB281*'MOD Model'!$K$65-(BB281-BA281)*'Assumptions'!$H$15-0</x:f>
        <x:v>1738.9666184441344</x:v>
      </x:c>
      <x:c r="AS281" t="n">
        <x:f>E281+O281</x:f>
        <x:v>3033.4800000000005</x:v>
      </x:c>
      <x:c r="AT281" t="n">
        <x:f>F281+P281</x:f>
        <x:v>3761.3964000000005</x:v>
      </x:c>
      <x:c r="AU281" t="n">
        <x:f>G281+Q281</x:f>
        <x:v>4711.8544200000015</x:v>
      </x:c>
      <x:c r="AV281" t="n">
        <x:f>H281+R281</x:f>
        <x:v>5976.671211000003</x:v>
      </x:c>
      <x:c r="AW281" t="n">
        <x:f>I281+S281</x:f>
        <x:v>7651.505637090003</x:v>
      </x:c>
      <x:c r="AX281" t="n">
        <x:f>J281+T281</x:f>
        <x:v>9412.751466262322</x:v>
      </x:c>
      <x:c r="AY281" t="n">
        <x:f>K281+U281</x:f>
        <x:v>11108.337991042237</x:v>
      </x:c>
      <x:c r="AZ281" t="n">
        <x:f>L281+V281</x:f>
        <x:v>12553.437839840419</x:v>
      </x:c>
      <x:c r="BA281" t="n">
        <x:f>M281+W281</x:f>
        <x:v>13558.286902611453</x:v>
      </x:c>
      <x:c r="BB281" t="n">
        <x:f>N281+X281</x:f>
        <x:v>13965.035509689798</x:v>
      </x:c>
      <x:c r="BC281" t="n">
        <x:f>AS281/'Inputs'!$F$14-1</x:f>
        <x:v>0.24282202556538857</x:v>
      </x:c>
      <x:c r="BD281" t="n">
        <x:f>AT281/AS281-1</x:f>
        <x:v>0.23996083705842786</x:v>
      </x:c>
      <x:c r="BE281" t="n">
        <x:f>AU281/AT281-1</x:f>
        <x:v>0.25268754444493036</x:v>
      </x:c>
      <x:c r="BF281" t="n">
        <x:f>AV281/AU281-1</x:f>
        <x:v>0.26843290947855736</x:v>
      </x:c>
      <x:c r="BG281" t="n">
        <x:f>AW281/AV281-1</x:f>
        <x:v>0.28022863680496335</x:v>
      </x:c>
      <x:c r="BH281" t="n">
        <x:f>AX281/AW281-1</x:f>
        <x:v>0.23018290944397068</x:v>
      </x:c>
      <x:c r="BI281" t="n">
        <x:f>AY281/AX281-1</x:f>
        <x:v>0.18013718208297824</x:v>
      </x:c>
      <x:c r="BJ281" t="n">
        <x:f>AZ281/AY281-1</x:f>
        <x:v>0.13009145472198536</x:v>
      </x:c>
      <x:c r="BK281" t="n">
        <x:f>BA281/AZ281-1</x:f>
        <x:v>0.08004572736099269</x:v>
      </x:c>
      <x:c r="BL281" t="n">
        <x:f>BB281/BA281-1</x:f>
        <x:v>0.030000000000000027</x:v>
      </x:c>
      <x:c r="BM281" t="n">
        <x:f>AH281*(1-'Assumptions'!$F$15)*(1+'Assumptions'!$D$15)*(1-'Assumptions'!$D$15/'Assumptions'!$E$15)</x:f>
        <x:v>1787.5010651318016</x:v>
      </x:c>
      <x:c r="BN281" t="n">
        <x:f>SUMPRODUCT(AI281:AR281,'MOD Model'!$B$83:$K$83)+BM281/('Assumptions'!$C$15-'Assumptions'!$D$15)*'MOD Model'!$K$83</x:f>
        <x:v>13144.45334315487</x:v>
      </x:c>
      <x:c r="BO281" t="n">
        <x:f>'MOD Model'!$B$94</x:f>
        <x:v>553.5</x:v>
      </x:c>
      <x:c r="BP281" t="n">
        <x:f>'Inputs'!$F$8</x:f>
        <x:v>54</x:v>
      </x:c>
    </x:row>
    <x:row r="282">
      <x:c r="A282" t="str">
        <x:v>MOD</x:v>
      </x:c>
      <x:c r="B282" s="22" t="n">
        <x:v>0.36</x:v>
      </x:c>
      <x:c r="C282" s="42" t="n">
        <x:f>(BN282+BO282)/BP282</x:f>
        <x:v>265.11360334781574</x:v>
      </x:c>
      <x:c r="D282" s="22" t="n">
        <x:f>C282/'Inputs'!$F$5-1</x:f>
        <x:v>0.3619315901973479</x:v>
      </x:c>
      <x:c r="E282" t="n">
        <x:f>'Inputs'!$F$24*(1+$B282)^1</x:f>
        <x:v>1896.384</x:v>
      </x:c>
      <x:c r="F282" t="n">
        <x:f>'Inputs'!$F$24*(1+$B282)^2</x:f>
        <x:v>2579.0822399999997</x:v>
      </x:c>
      <x:c r="G282" t="n">
        <x:f>'Inputs'!$F$24*(1+$B282)^3</x:f>
        <x:v>3507.5518463999997</x:v>
      </x:c>
      <x:c r="H282" t="n">
        <x:f>'Inputs'!$F$24*(1+$B282)^4</x:f>
        <x:v>4770.270511103999</x:v>
      </x:c>
      <x:c r="I282" t="n">
        <x:f>'Inputs'!$F$24*(1+$B282)^5</x:f>
        <x:v>6487.567895101439</x:v>
      </x:c>
      <x:c r="J282" t="n">
        <x:f>I282*(1+($BG282+('Assumptions'!$D$15-$BG282)*(6-5)/5))</x:f>
        <x:v>8029.596161690729</x:v>
      </x:c>
      <x:c r="K282" t="n">
        <x:f>J282*(1+($BG282+('Assumptions'!$D$15-$BG282)*(7-5)/5))</x:f>
        <x:v>9521.232545534041</x:v>
      </x:c>
      <x:c r="L282" t="n">
        <x:f>K282*(1+($BG282+('Assumptions'!$D$15-$BG282)*(8-5)/5))</x:f>
        <x:v>10795.60063407417</x:v>
      </x:c>
      <x:c r="M282" t="n">
        <x:f>L282*(1+($BG282+('Assumptions'!$D$15-$BG282)*(9-5)/5))</x:f>
        <x:v>11680.002500498445</x:v>
      </x:c>
      <x:c r="N282" t="n">
        <x:f>M282*(1+($BG282+('Assumptions'!$D$15-$BG282)*(10-5)/5))</x:f>
        <x:v>12030.402575513399</x:v>
      </x:c>
      <x:c r="O282" t="n">
        <x:f>'MOD Model'!$B$68</x:f>
        <x:v>1151.0400000000002</x:v>
      </x:c>
      <x:c r="P282" t="n">
        <x:f>'MOD Model'!$C$68</x:f>
        <x:v>1220.1024000000002</x:v>
      </x:c>
      <x:c r="Q282" t="n">
        <x:f>'MOD Model'!$D$68</x:f>
        <x:v>1281.1075200000002</x:v>
      </x:c>
      <x:c r="R282" t="n">
        <x:f>'MOD Model'!$E$68</x:f>
        <x:v>1345.1628960000003</x:v>
      </x:c>
      <x:c r="S282" t="n">
        <x:f>'MOD Model'!$F$68</x:f>
        <x:v>1398.9694118400002</x:v>
      </x:c>
      <x:c r="T282" t="n">
        <x:f>S282*(1+($BG282+('Assumptions'!$D$15-$BG282)*(6-5)/5))</x:f>
        <x:v>1731.4900747497397</x:v>
      </x:c>
      <x:c r="U282" t="n">
        <x:f>T282*(1+($BG282+('Assumptions'!$D$15-$BG282)*(7-5)/5))</x:f>
        <x:v>2053.1443076341566</x:v>
      </x:c>
      <x:c r="V282" t="n">
        <x:f>U282*(1+($BG282+('Assumptions'!$D$15-$BG282)*(8-5)/5))</x:f>
        <x:v>2327.947131145073</x:v>
      </x:c>
      <x:c r="W282" t="n">
        <x:f>V282*(1+($BG282+('Assumptions'!$D$15-$BG282)*(9-5)/5))</x:f>
        <x:v>2518.6582233304784</x:v>
      </x:c>
      <x:c r="X282" t="n">
        <x:f>W282*(1+($BG282+('Assumptions'!$D$15-$BG282)*(10-5)/5))</x:f>
        <x:v>2594.2179700303927</x:v>
      </x:c>
      <x:c r="Y282" t="n">
        <x:f>E282*'MOD Model'!$B$62+O282*'MOD Model'!$B$63+'MOD Model'!$B$73+'MOD Model'!$B$74</x:f>
        <x:v>405.89472</x:v>
      </x:c>
      <x:c r="Z282" t="n">
        <x:f>F282*'MOD Model'!$C$62+P282*'MOD Model'!$C$63+'MOD Model'!$C$73+'MOD Model'!$C$74</x:f>
        <x:v>591.3012959999999</x:v>
      </x:c>
      <x:c r="AA282" t="n">
        <x:f>G282*'MOD Model'!$D$62+Q282*'MOD Model'!$D$63+'MOD Model'!$D$73+'MOD Model'!$D$74</x:f>
        <x:v>839.788274976</x:v>
      </x:c>
      <x:c r="AB282" t="n">
        <x:f>H282*'MOD Model'!$E$62+R282*'MOD Model'!$E$63+'MOD Model'!$E$73+'MOD Model'!$E$74</x:f>
        <x:v>1139.4073718428797</x:v>
      </x:c>
      <x:c r="AC282" t="n">
        <x:f>I282*'MOD Model'!$F$62+S282*'MOD Model'!$F$63+'MOD Model'!$F$73+'MOD Model'!$F$74</x:f>
        <x:v>1519.6924449483165</x:v>
      </x:c>
      <x:c r="AD282" t="n">
        <x:f>AX282*$AC282/$AW282</x:f>
        <x:v>1880.907733099972</x:v>
      </x:c>
      <x:c r="AE282" t="n">
        <x:f>AY282*$AC282/$AW282</x:f>
        <x:v>2230.3188806655057</x:v>
      </x:c>
      <x:c r="AF282" t="n">
        <x:f>AZ282*$AC282/$AW282</x:f>
        <x:v>2528.835611056869</x:v>
      </x:c>
      <x:c r="AG282" t="n">
        <x:f>BA282*$AC282/$AW282</x:f>
        <x:v>2736.0039762184865</x:v>
      </x:c>
      <x:c r="AH282" t="n">
        <x:f>BB282*$AC282/$AW282</x:f>
        <x:v>2818.084095505041</x:v>
      </x:c>
      <x:c r="AI282" t="n">
        <x:f>Y282*(1-'Assumptions'!$F$15)+AS282*'Assumptions'!$G$15-AS282*'MOD Model'!$B$65-(AS282-'Inputs'!$F$14)*'Assumptions'!$H$15-'Assumptions'!$I$15</x:f>
        <x:v>106.7676</x:v>
      </x:c>
      <x:c r="AJ282" t="n">
        <x:f>Z282*(1-'Assumptions'!$F$15)+AT282*'Assumptions'!$G$15-AT282*'MOD Model'!$C$65-(AT282-AS282)*'Assumptions'!$H$15-0</x:f>
        <x:v>216.7363367999999</x:v>
      </x:c>
      <x:c r="AK282" t="n">
        <x:f>AA282*(1-'Assumptions'!$F$15)+AU282*'Assumptions'!$G$15-AU282*'MOD Model'!$D$65-(AU282-AT282)*'Assumptions'!$H$15-0</x:f>
        <x:v>361.703513112</x:v>
      </x:c>
      <x:c r="AL282" t="n">
        <x:f>AB282*(1-'Assumptions'!$F$15)+AV282*'Assumptions'!$G$15-AV282*'MOD Model'!$E$65-(AV282-AU282)*'Assumptions'!$H$15-0</x:f>
        <x:v>533.2307546344798</x:v>
      </x:c>
      <x:c r="AM282" t="n">
        <x:f>AC282*(1-'Assumptions'!$F$15)+AW282*'Assumptions'!$G$15-AW282*'MOD Model'!$F$65-(AW282-AV282)*'Assumptions'!$H$15-0</x:f>
        <x:v>755.8056891314998</x:v>
      </x:c>
      <x:c r="AN282" t="n">
        <x:f>AD282*(1-'Assumptions'!$F$15)+AX282*'Assumptions'!$G$15-AX282*'MOD Model'!$G$65-(AX282-AW282)*'Assumptions'!$H$15-0</x:f>
        <x:v>983.0821668535173</x:v>
      </x:c>
      <x:c r="AO282" t="n">
        <x:f>AE282*(1-'Assumptions'!$F$15)+AY282*'Assumptions'!$G$15-AY282*'MOD Model'!$H$65-(AY282-AX282)*'Assumptions'!$H$15-0</x:f>
        <x:v>1227.129915192447</x:v>
      </x:c>
      <x:c r="AP282" t="n">
        <x:f>AF282*(1-'Assumptions'!$F$15)+AZ282*'Assumptions'!$G$15-AZ282*'MOD Model'!$I$65-(AZ282-AY282)*'Assumptions'!$H$15-0</x:f>
        <x:v>1467.3978550067065</x:v>
      </x:c>
      <x:c r="AQ282" t="n">
        <x:f>AG282*(1-'Assumptions'!$F$15)+BA282*'Assumptions'!$G$15-BA282*'MOD Model'!$J$65-(BA282-AZ282)*'Assumptions'!$H$15-0</x:f>
        <x:v>1677.756127514979</x:v>
      </x:c>
      <x:c r="AR282" t="n">
        <x:f>AH282*(1-'Assumptions'!$F$15)+BB282*'Assumptions'!$G$15-BB282*'MOD Model'!$K$65-(BB282-BA282)*'Assumptions'!$H$15-0</x:f>
        <x:v>1830.2997901883937</x:v>
      </x:c>
      <x:c r="AS282" t="n">
        <x:f>E282+O282</x:f>
        <x:v>3047.424</x:v>
      </x:c>
      <x:c r="AT282" t="n">
        <x:f>F282+P282</x:f>
        <x:v>3799.18464</x:v>
      </x:c>
      <x:c r="AU282" t="n">
        <x:f>G282+Q282</x:f>
        <x:v>4788.6593664</x:v>
      </x:c>
      <x:c r="AV282" t="n">
        <x:f>H282+R282</x:f>
        <x:v>6115.433407103999</x:v>
      </x:c>
      <x:c r="AW282" t="n">
        <x:f>I282+S282</x:f>
        <x:v>7886.537306941439</x:v>
      </x:c>
      <x:c r="AX282" t="n">
        <x:f>J282+T282</x:f>
        <x:v>9761.08623644047</x:v>
      </x:c>
      <x:c r="AY282" t="n">
        <x:f>K282+U282</x:f>
        <x:v>11574.376853168198</x:v>
      </x:c>
      <x:c r="AZ282" t="n">
        <x:f>L282+V282</x:f>
        <x:v>13123.547765219242</x:v>
      </x:c>
      <x:c r="BA282" t="n">
        <x:f>M282+W282</x:f>
        <x:v>14198.660723828923</x:v>
      </x:c>
      <x:c r="BB282" t="n">
        <x:f>N282+X282</x:f>
        <x:v>14624.620545543792</x:v>
      </x:c>
      <x:c r="BC282" t="n">
        <x:f>AS282/'Inputs'!$F$14-1</x:f>
        <x:v>0.2485349065880038</x:v>
      </x:c>
      <x:c r="BD282" t="n">
        <x:f>AT282/AS282-1</x:f>
        <x:v>0.24668724798387087</x:v>
      </x:c>
      <x:c r="BE282" t="n">
        <x:f>AU282/AT282-1</x:f>
        <x:v>0.26044396894592636</x:v>
      </x:c>
      <x:c r="BF282" t="n">
        <x:f>AV282/AU282-1</x:f>
        <x:v>0.2770658631543961</x:v>
      </x:c>
      <x:c r="BG282" t="n">
        <x:f>AW282/AV282-1</x:f>
        <x:v>0.2896121635107718</x:v>
      </x:c>
      <x:c r="BH282" t="n">
        <x:f>AX282/AW282-1</x:f>
        <x:v>0.23768973080861744</x:v>
      </x:c>
      <x:c r="BI282" t="n">
        <x:f>AY282/AX282-1</x:f>
        <x:v>0.18576729810646286</x:v>
      </x:c>
      <x:c r="BJ282" t="n">
        <x:f>AZ282/AY282-1</x:f>
        <x:v>0.13384486540430873</x:v>
      </x:c>
      <x:c r="BK282" t="n">
        <x:f>BA282/AZ282-1</x:f>
        <x:v>0.08192243270215438</x:v>
      </x:c>
      <x:c r="BL282" t="n">
        <x:f>BB282/BA282-1</x:f>
        <x:v>0.030000000000000027</x:v>
      </x:c>
      <x:c r="BM282" t="n">
        <x:f>AH282*(1-'Assumptions'!$F$15)*(1+'Assumptions'!$D$15)*(1-'Assumptions'!$D$15/'Assumptions'!$E$15)</x:f>
        <x:v>1880.110423262511</x:v>
      </x:c>
      <x:c r="BN282" t="n">
        <x:f>SUMPRODUCT(AI282:AR282,'MOD Model'!$B$83:$K$83)+BM282/('Assumptions'!$C$15-'Assumptions'!$D$15)*'MOD Model'!$K$83</x:f>
        <x:v>13762.63458078205</x:v>
      </x:c>
      <x:c r="BO282" t="n">
        <x:f>'MOD Model'!$B$94</x:f>
        <x:v>553.5</x:v>
      </x:c>
      <x:c r="BP282" t="n">
        <x:f>'Inputs'!$F$8</x:f>
        <x:v>54</x:v>
      </x:c>
    </x:row>
    <x:row r="283">
      <x:c r="A283" t="str">
        <x:v>MOD</x:v>
      </x:c>
      <x:c r="B283" s="22" t="n">
        <x:v>0.37</x:v>
      </x:c>
      <x:c r="C283" s="42" t="n">
        <x:f>(BN283+BO283)/BP283</x:f>
        <x:v>277.08989469594354</x:v>
      </x:c>
      <x:c r="D283" s="22" t="n">
        <x:f>C283/'Inputs'!$F$5-1</x:f>
        <x:v>0.4234557417853875</x:v>
      </x:c>
      <x:c r="E283" t="n">
        <x:f>'Inputs'!$F$24*(1+$B283)^1</x:f>
        <x:v>1910.3280000000002</x:v>
      </x:c>
      <x:c r="F283" t="n">
        <x:f>'Inputs'!$F$24*(1+$B283)^2</x:f>
        <x:v>2617.1493600000003</x:v>
      </x:c>
      <x:c r="G283" t="n">
        <x:f>'Inputs'!$F$24*(1+$B283)^3</x:f>
        <x:v>3585.494623200001</x:v>
      </x:c>
      <x:c r="H283" t="n">
        <x:f>'Inputs'!$F$24*(1+$B283)^4</x:f>
        <x:v>4912.127633784002</x:v>
      </x:c>
      <x:c r="I283" t="n">
        <x:f>'Inputs'!$F$24*(1+$B283)^5</x:f>
        <x:v>6729.614858284083</x:v>
      </x:c>
      <x:c r="J283" t="n">
        <x:f>I283*(1+($BG283+('Assumptions'!$D$15-$BG283)*(6-5)/5))</x:f>
        <x:v>8380.029492244317</x:v>
      </x:c>
      <x:c r="K283" t="n">
        <x:f>J283*(1+($BG283+('Assumptions'!$D$15-$BG283)*(7-5)/5))</x:f>
        <x:v>9984.259524718344</x:v>
      </x:c>
      <x:c r="L283" t="n">
        <x:f>K283*(1+($BG283+('Assumptions'!$D$15-$BG283)*(8-5)/5))</x:f>
        <x:v>11358.325875891584</x:v>
      </x:c>
      <x:c r="M283" t="n">
        <x:f>L283*(1+($BG283+('Assumptions'!$D$15-$BG283)*(9-5)/5))</x:f>
        <x:v>12310.285685429684</x:v>
      </x:c>
      <x:c r="N283" t="n">
        <x:f>M283*(1+($BG283+('Assumptions'!$D$15-$BG283)*(10-5)/5))</x:f>
        <x:v>12679.594255992575</x:v>
      </x:c>
      <x:c r="O283" t="n">
        <x:f>'MOD Model'!$B$68</x:f>
        <x:v>1151.0400000000002</x:v>
      </x:c>
      <x:c r="P283" t="n">
        <x:f>'MOD Model'!$C$68</x:f>
        <x:v>1220.1024000000002</x:v>
      </x:c>
      <x:c r="Q283" t="n">
        <x:f>'MOD Model'!$D$68</x:f>
        <x:v>1281.1075200000002</x:v>
      </x:c>
      <x:c r="R283" t="n">
        <x:f>'MOD Model'!$E$68</x:f>
        <x:v>1345.1628960000003</x:v>
      </x:c>
      <x:c r="S283" t="n">
        <x:f>'MOD Model'!$F$68</x:f>
        <x:v>1398.9694118400002</x:v>
      </x:c>
      <x:c r="T283" t="n">
        <x:f>S283*(1+($BG283+('Assumptions'!$D$15-$BG283)*(6-5)/5))</x:f>
        <x:v>1742.061793556507</x:v>
      </x:c>
      <x:c r="U283" t="n">
        <x:f>T283*(1+($BG283+('Assumptions'!$D$15-$BG283)*(7-5)/5))</x:f>
        <x:v>2075.553203131541</x:v>
      </x:c>
      <x:c r="V283" t="n">
        <x:f>U283*(1+($BG283+('Assumptions'!$D$15-$BG283)*(8-5)/5))</x:f>
        <x:v>2361.1976026418133</x:v>
      </x:c>
      <x:c r="W283" t="n">
        <x:f>V283*(1+($BG283+('Assumptions'!$D$15-$BG283)*(9-5)/5))</x:f>
        <x:v>2559.093423263026</x:v>
      </x:c>
      <x:c r="X283" t="n">
        <x:f>W283*(1+($BG283+('Assumptions'!$D$15-$BG283)*(10-5)/5))</x:f>
        <x:v>2635.866225960917</x:v>
      </x:c>
      <x:c r="Y283" t="n">
        <x:f>E283*'MOD Model'!$B$62+O283*'MOD Model'!$B$63+'MOD Model'!$B$73+'MOD Model'!$B$74</x:f>
        <x:v>408.4046400000001</x:v>
      </x:c>
      <x:c r="Z283" t="n">
        <x:f>F283*'MOD Model'!$C$62+P283*'MOD Model'!$C$63+'MOD Model'!$C$73+'MOD Model'!$C$74</x:f>
        <x:v>598.91472</x:v>
      </x:c>
      <x:c r="AA283" t="n">
        <x:f>G283*'MOD Model'!$D$62+Q283*'MOD Model'!$D$63+'MOD Model'!$D$73+'MOD Model'!$D$74</x:f>
        <x:v>856.5459719880004</x:v>
      </x:c>
      <x:c r="AB283" t="n">
        <x:f>H283*'MOD Model'!$E$62+R283*'MOD Model'!$E$63+'MOD Model'!$E$73+'MOD Model'!$E$74</x:f>
        <x:v>1170.6159388324804</x:v>
      </x:c>
      <x:c r="AC283" t="n">
        <x:f>I283*'MOD Model'!$F$62+S283*'MOD Model'!$F$63+'MOD Model'!$F$73+'MOD Model'!$F$74</x:f>
        <x:v>1572.9427768484982</x:v>
      </x:c>
      <x:c r="AD283" t="n">
        <x:f>AX283*$AC283/$AW283</x:f>
        <x:v>1958.7015211393618</x:v>
      </x:c>
      <x:c r="AE283" t="n">
        <x:f>AY283*$AC283/$AW283</x:f>
        <x:v>2333.6653333517684</x:v>
      </x:c>
      <x:c r="AF283" t="n">
        <x:f>AZ283*$AC283/$AW283</x:f>
        <x:v>2654.8319658415826</x:v>
      </x:c>
      <x:c r="AG283" t="n">
        <x:f>BA283*$AC283/$AW283</x:f>
        <x:v>2877.3377611650358</x:v>
      </x:c>
      <x:c r="AH283" t="n">
        <x:f>BB283*$AC283/$AW283</x:f>
        <x:v>2963.657893999987</x:v>
      </x:c>
      <x:c r="AI283" t="n">
        <x:f>Y283*(1-'Assumptions'!$F$15)+AS283*'Assumptions'!$G$15-AS283*'MOD Model'!$B$65-(AS283-'Inputs'!$F$14)*'Assumptions'!$H$15-'Assumptions'!$I$15</x:f>
        <x:v>106.07039999999999</x:v>
      </x:c>
      <x:c r="AJ283" t="n">
        <x:f>Z283*(1-'Assumptions'!$F$15)+AT283*'Assumptions'!$G$15-AT283*'MOD Model'!$C$65-(AT283-AS283)*'Assumptions'!$H$15-0</x:f>
        <x:v>217.68592320000005</x:v>
      </x:c>
      <x:c r="AK283" t="n">
        <x:f>AA283*(1-'Assumptions'!$F$15)+AU283*'Assumptions'!$G$15-AU283*'MOD Model'!$D$65-(AU283-AT283)*'Assumptions'!$H$15-0</x:f>
        <x:v>366.341867931</x:v>
      </x:c>
      <x:c r="AL283" t="n">
        <x:f>AB283*(1-'Assumptions'!$F$15)+AV283*'Assumptions'!$G$15-AV283*'MOD Model'!$E$65-(AV283-AU283)*'Assumptions'!$H$15-0</x:f>
        <x:v>544.21288554108</x:v>
      </x:c>
      <x:c r="AM283" t="n">
        <x:f>AC283*(1-'Assumptions'!$F$15)+AW283*'Assumptions'!$G$15-AW283*'MOD Model'!$F$65-(AW283-AV283)*'Assumptions'!$H$15-0</x:f>
        <x:v>777.0842575335002</x:v>
      </x:c>
      <x:c r="AN283" t="n">
        <x:f>AD283*(1-'Assumptions'!$F$15)+AX283*'Assumptions'!$G$15-AX283*'MOD Model'!$G$65-(AX283-AW283)*'Assumptions'!$H$15-0</x:f>
        <x:v>1018.168719215998</x:v>
      </x:c>
      <x:c r="AO283" t="n">
        <x:f>AE283*(1-'Assumptions'!$F$15)+AY283*'Assumptions'!$G$15-AY283*'MOD Model'!$H$65-(AY283-AX283)*'Assumptions'!$H$15-0</x:f>
        <x:v>1278.693592788719</x:v>
      </x:c>
      <x:c r="AP283" t="n">
        <x:f>AF283*(1-'Assumptions'!$F$15)+AZ283*'Assumptions'!$G$15-AZ283*'MOD Model'!$I$65-(AZ283-AY283)*'Assumptions'!$H$15-0</x:f>
        <x:v>1536.3745096006596</x:v>
      </x:c>
      <x:c r="AQ283" t="n">
        <x:f>AG283*(1-'Assumptions'!$F$15)+BA283*'Assumptions'!$G$15-BA283*'MOD Model'!$J$65-(BA283-AZ283)*'Assumptions'!$H$15-0</x:f>
        <x:v>1762.484289719489</x:v>
      </x:c>
      <x:c r="AR283" t="n">
        <x:f>AH283*(1-'Assumptions'!$F$15)+BB283*'Assumptions'!$G$15-BB283*'MOD Model'!$K$65-(BB283-BA283)*'Assumptions'!$H$15-0</x:f>
        <x:v>1926.0993072815704</x:v>
      </x:c>
      <x:c r="AS283" t="n">
        <x:f>E283+O283</x:f>
        <x:v>3061.3680000000004</x:v>
      </x:c>
      <x:c r="AT283" t="n">
        <x:f>F283+P283</x:f>
        <x:v>3837.2517600000006</x:v>
      </x:c>
      <x:c r="AU283" t="n">
        <x:f>G283+Q283</x:f>
        <x:v>4866.602143200002</x:v>
      </x:c>
      <x:c r="AV283" t="n">
        <x:f>H283+R283</x:f>
        <x:v>6257.2905297840025</x:v>
      </x:c>
      <x:c r="AW283" t="n">
        <x:f>I283+S283</x:f>
        <x:v>8128.584270124084</x:v>
      </x:c>
      <x:c r="AX283" t="n">
        <x:f>J283+T283</x:f>
        <x:v>10122.091285800823</x:v>
      </x:c>
      <x:c r="AY283" t="n">
        <x:f>K283+U283</x:f>
        <x:v>12059.812727849885</x:v>
      </x:c>
      <x:c r="AZ283" t="n">
        <x:f>L283+V283</x:f>
        <x:v>13719.523478533396</x:v>
      </x:c>
      <x:c r="BA283" t="n">
        <x:f>M283+W283</x:f>
        <x:v>14869.37910869271</x:v>
      </x:c>
      <x:c r="BB283" t="n">
        <x:f>N283+X283</x:f>
        <x:v>15315.460481953492</x:v>
      </x:c>
      <x:c r="BC283" t="n">
        <x:f>AS283/'Inputs'!$F$14-1</x:f>
        <x:v>0.2542477876106195</x:v>
      </x:c>
      <x:c r="BD283" t="n">
        <x:f>AT283/AS283-1</x:f>
        <x:v>0.2534434801696497</x:v>
      </x:c>
      <x:c r="BE283" t="n">
        <x:f>AU283/AT283-1</x:f>
        <x:v>0.2682519802140897</x:v>
      </x:c>
      <x:c r="BF283" t="n">
        <x:f>AV283/AU283-1</x:f>
        <x:v>0.2857616763530135</x:v>
      </x:c>
      <x:c r="BG283" t="n">
        <x:f>AW283/AV283-1</x:f>
        <x:v>0.2990581516765016</x:v>
      </x:c>
      <x:c r="BH283" t="n">
        <x:f>AX283/AW283-1</x:f>
        <x:v>0.2452465213412014</x:v>
      </x:c>
      <x:c r="BI283" t="n">
        <x:f>AY283/AX283-1</x:f>
        <x:v>0.19143489100590116</x:v>
      </x:c>
      <x:c r="BJ283" t="n">
        <x:f>AZ283/AY283-1</x:f>
        <x:v>0.1376232606706005</x:v>
      </x:c>
      <x:c r="BK283" t="n">
        <x:f>BA283/AZ283-1</x:f>
        <x:v>0.08381163033530026</x:v>
      </x:c>
      <x:c r="BL283" t="n">
        <x:f>BB283/BA283-1</x:f>
        <x:v>0.030000000000000027</x:v>
      </x:c>
      <x:c r="BM283" t="n">
        <x:f>AH283*(1-'Assumptions'!$F$15)*(1+'Assumptions'!$D$15)*(1-'Assumptions'!$D$15/'Assumptions'!$E$15)</x:f>
        <x:v>1977.2313063265822</x:v>
      </x:c>
      <x:c r="BN283" t="n">
        <x:f>SUMPRODUCT(AI283:AR283,'MOD Model'!$B$83:$K$83)+BM283/('Assumptions'!$C$15-'Assumptions'!$D$15)*'MOD Model'!$K$83</x:f>
        <x:v>14409.354313580952</x:v>
      </x:c>
      <x:c r="BO283" t="n">
        <x:f>'MOD Model'!$B$94</x:f>
        <x:v>553.5</x:v>
      </x:c>
      <x:c r="BP283" t="n">
        <x:f>'Inputs'!$F$8</x:f>
        <x:v>54</x:v>
      </x:c>
    </x:row>
    <x:row r="284">
      <x:c r="A284" t="str">
        <x:v>MOD</x:v>
      </x:c>
      <x:c r="B284" s="22" t="n">
        <x:v>0.38</x:v>
      </x:c>
      <x:c r="C284" s="42" t="n">
        <x:f>(BN284+BO284)/BP284</x:f>
        <x:v>289.6163026291381</x:v>
      </x:c>
      <x:c r="D284" s="22" t="n">
        <x:f>C284/'Inputs'!$F$5-1</x:f>
        <x:v>0.48780593151719964</x:v>
      </x:c>
      <x:c r="E284" t="n">
        <x:f>'Inputs'!$F$24*(1+$B284)^1</x:f>
        <x:v>1924.272</x:v>
      </x:c>
      <x:c r="F284" t="n">
        <x:f>'Inputs'!$F$24*(1+$B284)^2</x:f>
        <x:v>2655.49536</x:v>
      </x:c>
      <x:c r="G284" t="n">
        <x:f>'Inputs'!$F$24*(1+$B284)^3</x:f>
        <x:v>3664.5835967999997</x:v>
      </x:c>
      <x:c r="H284" t="n">
        <x:f>'Inputs'!$F$24*(1+$B284)^4</x:f>
        <x:v>5057.1253635839985</x:v>
      </x:c>
      <x:c r="I284" t="n">
        <x:f>'Inputs'!$F$24*(1+$B284)^5</x:f>
        <x:v>6978.8330017459175</x:v>
      </x:c>
      <x:c r="J284" t="n">
        <x:f>I284*(1+($BG284+('Assumptions'!$D$15-$BG284)*(6-5)/5))</x:f>
        <x:v>8743.437974871877</x:v>
      </x:c>
      <x:c r="K284" t="n">
        <x:f>J284*(1+($BG284+('Assumptions'!$D$15-$BG284)*(7-5)/5))</x:f>
        <x:v>10467.104101809824</x:v>
      </x:c>
      <x:c r="L284" t="n">
        <x:f>K284*(1+($BG284+('Assumptions'!$D$15-$BG284)*(8-5)/5))</x:f>
        <x:v>11947.419585305726</x:v>
      </x:c>
      <x:c r="M284" t="n">
        <x:f>L284*(1+($BG284+('Assumptions'!$D$15-$BG284)*(9-5)/5))</x:f>
        <x:v>12971.465803240328</x:v>
      </x:c>
      <x:c r="N284" t="n">
        <x:f>M284*(1+($BG284+('Assumptions'!$D$15-$BG284)*(10-5)/5))</x:f>
        <x:v>13360.609777337539</x:v>
      </x:c>
      <x:c r="O284" t="n">
        <x:f>'MOD Model'!$B$68</x:f>
        <x:v>1151.0400000000002</x:v>
      </x:c>
      <x:c r="P284" t="n">
        <x:f>'MOD Model'!$C$68</x:f>
        <x:v>1220.1024000000002</x:v>
      </x:c>
      <x:c r="Q284" t="n">
        <x:f>'MOD Model'!$D$68</x:f>
        <x:v>1281.1075200000002</x:v>
      </x:c>
      <x:c r="R284" t="n">
        <x:f>'MOD Model'!$E$68</x:f>
        <x:v>1345.1628960000003</x:v>
      </x:c>
      <x:c r="S284" t="n">
        <x:f>'MOD Model'!$F$68</x:f>
        <x:v>1398.9694118400002</x:v>
      </x:c>
      <x:c r="T284" t="n">
        <x:f>S284*(1+($BG284+('Assumptions'!$D$15-$BG284)*(6-5)/5))</x:f>
        <x:v>1752.7002405854907</x:v>
      </x:c>
      <x:c r="U284" t="n">
        <x:f>T284*(1+($BG284+('Assumptions'!$D$15-$BG284)*(7-5)/5))</x:f>
        <x:v>2098.2245119368263</x:v>
      </x:c>
      <x:c r="V284" t="n">
        <x:f>U284*(1+($BG284+('Assumptions'!$D$15-$BG284)*(8-5)/5))</x:f>
        <x:v>2394.9669731428503</x:v>
      </x:c>
      <x:c r="W284" t="n">
        <x:f>V284*(1+($BG284+('Assumptions'!$D$15-$BG284)*(9-5)/5))</x:f>
        <x:v>2600.2461845586477</x:v>
      </x:c>
      <x:c r="X284" t="n">
        <x:f>W284*(1+($BG284+('Assumptions'!$D$15-$BG284)*(10-5)/5))</x:f>
        <x:v>2678.253570095407</x:v>
      </x:c>
      <x:c r="Y284" t="n">
        <x:f>E284*'MOD Model'!$B$62+O284*'MOD Model'!$B$63+'MOD Model'!$B$73+'MOD Model'!$B$74</x:f>
        <x:v>410.91455999999994</x:v>
      </x:c>
      <x:c r="Z284" t="n">
        <x:f>F284*'MOD Model'!$C$62+P284*'MOD Model'!$C$63+'MOD Model'!$C$73+'MOD Model'!$C$74</x:f>
        <x:v>606.58392</x:v>
      </x:c>
      <x:c r="AA284" t="n">
        <x:f>G284*'MOD Model'!$D$62+Q284*'MOD Model'!$D$63+'MOD Model'!$D$73+'MOD Model'!$D$74</x:f>
        <x:v>873.550101312</x:v>
      </x:c>
      <x:c r="AB284" t="n">
        <x:f>H284*'MOD Model'!$E$62+R284*'MOD Model'!$E$63+'MOD Model'!$E$73+'MOD Model'!$E$74</x:f>
        <x:v>1202.5154393884795</x:v>
      </x:c>
      <x:c r="AC284" t="n">
        <x:f>I284*'MOD Model'!$F$62+S284*'MOD Model'!$F$63+'MOD Model'!$F$73+'MOD Model'!$F$74</x:f>
        <x:v>1627.7707684101017</x:v>
      </x:c>
      <x:c r="AD284" t="n">
        <x:f>AX284*$AC284/$AW284</x:f>
        <x:v>2039.3542512541442</x:v>
      </x:c>
      <x:c r="AE284" t="n">
        <x:f>AY284*$AC284/$AW284</x:f>
        <x:v>2441.3889947744906</x:v>
      </x:c>
      <x:c r="AF284" t="n">
        <x:f>AZ284*$AC284/$AW284</x:f>
        <x:v>2786.6636662642186</x:v>
      </x:c>
      <x:c r="AG284" t="n">
        <x:f>BA284*$AC284/$AW284</x:f>
        <x:v>3025.5162793927816</x:v>
      </x:c>
      <x:c r="AH284" t="n">
        <x:f>BB284*$AC284/$AW284</x:f>
        <x:v>3116.2817677745647</x:v>
      </x:c>
      <x:c r="AI284" t="n">
        <x:f>Y284*(1-'Assumptions'!$F$15)+AS284*'Assumptions'!$G$15-AS284*'MOD Model'!$B$65-(AS284-'Inputs'!$F$14)*'Assumptions'!$H$15-'Assumptions'!$I$15</x:f>
        <x:v>105.37319999999994</x:v>
      </x:c>
      <x:c r="AJ284" t="n">
        <x:f>Z284*(1-'Assumptions'!$F$15)+AT284*'Assumptions'!$G$15-AT284*'MOD Model'!$C$65-(AT284-AS284)*'Assumptions'!$H$15-0</x:f>
        <x:v>218.6271432000001</x:v>
      </x:c>
      <x:c r="AK284" t="n">
        <x:f>AA284*(1-'Assumptions'!$F$15)+AU284*'Assumptions'!$G$15-AU284*'MOD Model'!$D$65-(AU284-AT284)*'Assumptions'!$H$15-0</x:f>
        <x:v>371.00629454399996</x:v>
      </x:c>
      <x:c r="AL284" t="n">
        <x:f>AB284*(1-'Assumptions'!$F$15)+AV284*'Assumptions'!$G$15-AV284*'MOD Model'!$E$65-(AV284-AU284)*'Assumptions'!$H$15-0</x:f>
        <x:v>555.3512429320799</x:v>
      </x:c>
      <x:c r="AM284" t="n">
        <x:f>AC284*(1-'Assumptions'!$F$15)+AW284*'Assumptions'!$G$15-AW284*'MOD Model'!$F$65-(AW284-AV284)*'Assumptions'!$H$15-0</x:f>
        <x:v>798.8339170034994</x:v>
      </x:c>
      <x:c r="AN284" t="n">
        <x:f>AD284*(1-'Assumptions'!$F$15)+AX284*'Assumptions'!$G$15-AX284*'MOD Model'!$G$65-(AX284-AW284)*'Assumptions'!$H$15-0</x:f>
        <x:v>1054.32324492803</x:v>
      </x:c>
      <x:c r="AO284" t="n">
        <x:f>AE284*(1-'Assumptions'!$F$15)+AY284*'Assumptions'!$G$15-AY284*'MOD Model'!$H$65-(AY284-AX284)*'Assumptions'!$H$15-0</x:f>
        <x:v>1332.1832571312762</x:v>
      </x:c>
      <x:c r="AP284" t="n">
        <x:f>AF284*(1-'Assumptions'!$F$15)+AZ284*'Assumptions'!$G$15-AZ284*'MOD Model'!$I$65-(AZ284-AY284)*'Assumptions'!$H$15-0</x:f>
        <x:v>1608.303259616146</x:v>
      </x:c>
      <x:c r="AQ284" t="n">
        <x:f>AG284*(1-'Assumptions'!$F$15)+BA284*'Assumptions'!$G$15-BA284*'MOD Model'!$J$65-(BA284-AZ284)*'Assumptions'!$H$15-0</x:f>
        <x:v>1851.1627153250417</x:v>
      </x:c>
      <x:c r="AR284" t="n">
        <x:f>AH284*(1-'Assumptions'!$F$15)+BB284*'Assumptions'!$G$15-BB284*'MOD Model'!$K$65-(BB284-BA284)*'Assumptions'!$H$15-0</x:f>
        <x:v>2026.5556716743338</x:v>
      </x:c>
      <x:c r="AS284" t="n">
        <x:f>E284+O284</x:f>
        <x:v>3075.312</x:v>
      </x:c>
      <x:c r="AT284" t="n">
        <x:f>F284+P284</x:f>
        <x:v>3875.59776</x:v>
      </x:c>
      <x:c r="AU284" t="n">
        <x:f>G284+Q284</x:f>
        <x:v>4945.6911168</x:v>
      </x:c>
      <x:c r="AV284" t="n">
        <x:f>H284+R284</x:f>
        <x:v>6402.288259583998</x:v>
      </x:c>
      <x:c r="AW284" t="n">
        <x:f>I284+S284</x:f>
        <x:v>8377.802413585918</x:v>
      </x:c>
      <x:c r="AX284" t="n">
        <x:f>J284+T284</x:f>
        <x:v>10496.138215457368</x:v>
      </x:c>
      <x:c r="AY284" t="n">
        <x:f>K284+U284</x:f>
        <x:v>12565.32861374665</x:v>
      </x:c>
      <x:c r="AZ284" t="n">
        <x:f>L284+V284</x:f>
        <x:v>14342.386558448576</x:v>
      </x:c>
      <x:c r="BA284" t="n">
        <x:f>M284+W284</x:f>
        <x:v>15571.711987798975</x:v>
      </x:c>
      <x:c r="BB284" t="n">
        <x:f>N284+X284</x:f>
        <x:v>16038.863347432945</x:v>
      </x:c>
      <x:c r="BC284" t="n">
        <x:f>AS284/'Inputs'!$F$14-1</x:f>
        <x:v>0.25996066863323497</x:v>
      </x:c>
      <x:c r="BD284" t="n">
        <x:f>AT284/AS284-1</x:f>
        <x:v>0.26022912797140596</x:v>
      </x:c>
      <x:c r="BE284" t="n">
        <x:f>AU284/AT284-1</x:f>
        <x:v>0.27611053134678243</x:v>
      </x:c>
      <x:c r="BF284" t="n">
        <x:f>AV284/AU284-1</x:f>
        <x:v>0.29451842187153354</x:v>
      </x:c>
      <x:c r="BG284" t="n">
        <x:f>AW284/AV284-1</x:f>
        <x:v>0.3085637625023592</x:v>
      </x:c>
      <x:c r="BH284" t="n">
        <x:f>AX284/AW284-1</x:f>
        <x:v>0.2528510100018875</x:v>
      </x:c>
      <x:c r="BI284" t="n">
        <x:f>AY284/AX284-1</x:f>
        <x:v>0.19713825750141556</x:v>
      </x:c>
      <x:c r="BJ284" t="n">
        <x:f>AZ284/AY284-1</x:f>
        <x:v>0.14142550500094364</x:v>
      </x:c>
      <x:c r="BK284" t="n">
        <x:f>BA284/AZ284-1</x:f>
        <x:v>0.08571275250047194</x:v>
      </x:c>
      <x:c r="BL284" t="n">
        <x:f>BB284/BA284-1</x:f>
        <x:v>0.030000000000000027</x:v>
      </x:c>
      <x:c r="BM284" t="n">
        <x:f>AH284*(1-'Assumptions'!$F$15)*(1+'Assumptions'!$D$15)*(1-'Assumptions'!$D$15/'Assumptions'!$E$15)</x:f>
        <x:v>2079.0557112050537</x:v>
      </x:c>
      <x:c r="BN284" t="n">
        <x:f>SUMPRODUCT(AI284:AR284,'MOD Model'!$B$83:$K$83)+BM284/('Assumptions'!$C$15-'Assumptions'!$D$15)*'MOD Model'!$K$83</x:f>
        <x:v>15085.780341973456</x:v>
      </x:c>
      <x:c r="BO284" t="n">
        <x:f>'MOD Model'!$B$94</x:f>
        <x:v>553.5</x:v>
      </x:c>
      <x:c r="BP284" t="n">
        <x:f>'Inputs'!$F$8</x:f>
        <x:v>54</x:v>
      </x:c>
    </x:row>
    <x:row r="285">
      <x:c r="A285" t="str">
        <x:v>MOD</x:v>
      </x:c>
      <x:c r="B285" s="22" t="n">
        <x:v>0.39</x:v>
      </x:c>
      <x:c r="C285" s="42" t="n">
        <x:f>(BN285+BO285)/BP285</x:f>
        <x:v>302.71519173726523</x:v>
      </x:c>
      <x:c r="D285" s="22" t="n">
        <x:f>C285/'Inputs'!$F$5-1</x:f>
        <x:v>0.5550970499191679</x:v>
      </x:c>
      <x:c r="E285" t="n">
        <x:f>'Inputs'!$F$24*(1+$B285)^1</x:f>
        <x:v>1938.2160000000003</x:v>
      </x:c>
      <x:c r="F285" t="n">
        <x:f>'Inputs'!$F$24*(1+$B285)^2</x:f>
        <x:v>2694.1202400000006</x:v>
      </x:c>
      <x:c r="G285" t="n">
        <x:f>'Inputs'!$F$24*(1+$B285)^3</x:f>
        <x:v>3744.8271336000016</x:v>
      </x:c>
      <x:c r="H285" t="n">
        <x:f>'Inputs'!$F$24*(1+$B285)^4</x:f>
        <x:v>5205.309715704002</x:v>
      </x:c>
      <x:c r="I285" t="n">
        <x:f>'Inputs'!$F$24*(1+$B285)^5</x:f>
        <x:v>7235.380504828564</x:v>
      </x:c>
      <x:c r="J285" t="n">
        <x:f>I285*(1+($BG285+('Assumptions'!$D$15-$BG285)*(6-5)/5))</x:f>
        <x:v>9120.204376982318</x:v>
      </x:c>
      <x:c r="K285" t="n">
        <x:f>J285*(1+($BG285+('Assumptions'!$D$15-$BG285)*(7-5)/5))</x:f>
        <x:v>10970.472694547434</x:v>
      </x:c>
      <x:c r="L285" t="n">
        <x:f>K285*(1+($BG285+('Assumptions'!$D$15-$BG285)*(8-5)/5))</x:f>
        <x:v>12563.9393502397</x:v>
      </x:c>
      <x:c r="M285" t="n">
        <x:f>L285*(1+($BG285+('Assumptions'!$D$15-$BG285)*(9-5)/5))</x:f>
        <x:v>13664.85768341623</x:v>
      </x:c>
      <x:c r="N285" t="n">
        <x:f>M285*(1+($BG285+('Assumptions'!$D$15-$BG285)*(10-5)/5))</x:f>
        <x:v>14074.803413918718</x:v>
      </x:c>
      <x:c r="O285" t="n">
        <x:f>'MOD Model'!$B$68</x:f>
        <x:v>1151.0400000000002</x:v>
      </x:c>
      <x:c r="P285" t="n">
        <x:f>'MOD Model'!$C$68</x:f>
        <x:v>1220.1024000000002</x:v>
      </x:c>
      <x:c r="Q285" t="n">
        <x:f>'MOD Model'!$D$68</x:f>
        <x:v>1281.1075200000002</x:v>
      </x:c>
      <x:c r="R285" t="n">
        <x:f>'MOD Model'!$E$68</x:f>
        <x:v>1345.1628960000003</x:v>
      </x:c>
      <x:c r="S285" t="n">
        <x:f>'MOD Model'!$F$68</x:f>
        <x:v>1398.9694118400002</x:v>
      </x:c>
      <x:c r="T285" t="n">
        <x:f>S285*(1+($BG285+('Assumptions'!$D$15-$BG285)*(6-5)/5))</x:f>
        <x:v>1763.4023455453168</x:v>
      </x:c>
      <x:c r="U285" t="n">
        <x:f>T285*(1+($BG285+('Assumptions'!$D$15-$BG285)*(7-5)/5))</x:f>
        <x:v>2121.1539217399386</x:v>
      </x:c>
      <x:c r="V285" t="n">
        <x:f>U285*(1+($BG285+('Assumptions'!$D$15-$BG285)*(8-5)/5))</x:f>
        <x:v>2429.25259168726</x:v>
      </x:c>
      <x:c r="W285" t="n">
        <x:f>V285*(1+($BG285+('Assumptions'!$D$15-$BG285)*(9-5)/5))</x:f>
        <x:v>2642.1164586283307</x:v>
      </x:c>
      <x:c r="X285" t="n">
        <x:f>W285*(1+($BG285+('Assumptions'!$D$15-$BG285)*(10-5)/5))</x:f>
        <x:v>2721.3799523871808</x:v>
      </x:c>
      <x:c r="Y285" t="n">
        <x:f>E285*'MOD Model'!$B$62+O285*'MOD Model'!$B$63+'MOD Model'!$B$73+'MOD Model'!$B$74</x:f>
        <x:v>413.42448</x:v>
      </x:c>
      <x:c r="Z285" t="n">
        <x:f>F285*'MOD Model'!$C$62+P285*'MOD Model'!$C$63+'MOD Model'!$C$73+'MOD Model'!$C$74</x:f>
        <x:v>614.3088960000002</x:v>
      </x:c>
      <x:c r="AA285" t="n">
        <x:f>G285*'MOD Model'!$D$62+Q285*'MOD Model'!$D$63+'MOD Model'!$D$73+'MOD Model'!$D$74</x:f>
        <x:v>890.8024617240004</x:v>
      </x:c>
      <x:c r="AB285" t="n">
        <x:f>H285*'MOD Model'!$E$62+R285*'MOD Model'!$E$63+'MOD Model'!$E$73+'MOD Model'!$E$74</x:f>
        <x:v>1235.1159968548804</x:v>
      </x:c>
      <x:c r="AC285" t="n">
        <x:f>I285*'MOD Model'!$F$62+S285*'MOD Model'!$F$63+'MOD Model'!$F$73+'MOD Model'!$F$74</x:f>
        <x:v>1684.211219088284</x:v>
      </x:c>
      <x:c r="AD285" t="n">
        <x:f>AX285*$AC285/$AW285</x:f>
        <x:v>2122.949929425397</x:v>
      </x:c>
      <x:c r="AE285" t="n">
        <x:f>AY285*$AC285/$AW285</x:f>
        <x:v>2553.6449919293154</x:v>
      </x:c>
      <x:c r="AF285" t="n">
        <x:f>AZ285*$AC285/$AW285</x:f>
        <x:v>2924.56320652342</x:v>
      </x:c>
      <x:c r="AG285" t="n">
        <x:f>BA285*$AC285/$AW285</x:f>
        <x:v>3180.828790178418</x:v>
      </x:c>
      <x:c r="AH285" t="n">
        <x:f>BB285*$AC285/$AW285</x:f>
        <x:v>3276.2536538837708</x:v>
      </x:c>
      <x:c r="AI285" t="n">
        <x:f>Y285*(1-'Assumptions'!$F$15)+AS285*'Assumptions'!$G$15-AS285*'MOD Model'!$B$65-(AS285-'Inputs'!$F$14)*'Assumptions'!$H$15-'Assumptions'!$I$15</x:f>
        <x:v>104.67599999999996</x:v>
      </x:c>
      <x:c r="AJ285" t="n">
        <x:f>Z285*(1-'Assumptions'!$F$15)+AT285*'Assumptions'!$G$15-AT285*'MOD Model'!$C$65-(AT285-AS285)*'Assumptions'!$H$15-0</x:f>
        <x:v>219.55999680000008</x:v>
      </x:c>
      <x:c r="AK285" t="n">
        <x:f>AA285*(1-'Assumptions'!$F$15)+AU285*'Assumptions'!$G$15-AU285*'MOD Model'!$D$65-(AU285-AT285)*'Assumptions'!$H$15-0</x:f>
        <x:v>375.69667791300014</x:v>
      </x:c>
      <x:c r="AL285" t="n">
        <x:f>AB285*(1-'Assumptions'!$F$15)+AV285*'Assumptions'!$G$15-AV285*'MOD Model'!$E$65-(AV285-AU285)*'Assumptions'!$H$15-0</x:f>
        <x:v>566.64685169148</x:v>
      </x:c>
      <x:c r="AM285" t="n">
        <x:f>AC285*(1-'Assumptions'!$F$15)+AW285*'Assumptions'!$G$15-AW285*'MOD Model'!$F$65-(AW285-AV285)*'Assumptions'!$H$15-0</x:f>
        <x:v>821.0615698215004</x:v>
      </x:c>
      <x:c r="AN285" t="n">
        <x:f>AD285*(1-'Assumptions'!$F$15)+AX285*'Assumptions'!$G$15-AX285*'MOD Model'!$G$65-(AX285-AW285)*'Assumptions'!$H$15-0</x:f>
        <x:v>1091.569825352273</x:v>
      </x:c>
      <x:c r="AO285" t="n">
        <x:f>AE285*(1-'Assumptions'!$F$15)+AY285*'Assumptions'!$G$15-AY285*'MOD Model'!$H$65-(AY285-AX285)*'Assumptions'!$H$15-0</x:f>
        <x:v>1387.6563606387153</x:v>
      </x:c>
      <x:c r="AP285" t="n">
        <x:f>AF285*(1-'Assumptions'!$F$15)+AZ285*'Assumptions'!$G$15-AZ285*'MOD Model'!$I$65-(AZ285-AY285)*'Assumptions'!$H$15-0</x:f>
        <x:v>1683.2897269177224</x:v>
      </x:c>
      <x:c r="AQ285" t="n">
        <x:f>AG285*(1-'Assumptions'!$F$15)+BA285*'Assumptions'!$G$15-BA285*'MOD Model'!$J$65-(BA285-AZ285)*'Assumptions'!$H$15-0</x:f>
        <x:v>1943.949650485505</x:v>
      </x:c>
      <x:c r="AR285" t="n">
        <x:f>AH285*(1-'Assumptions'!$F$15)+BB285*'Assumptions'!$G$15-BB285*'MOD Model'!$K$65-(BB285-BA285)*'Assumptions'!$H$15-0</x:f>
        <x:v>2131.866106279039</x:v>
      </x:c>
      <x:c r="AS285" t="n">
        <x:f>E285+O285</x:f>
        <x:v>3089.2560000000003</x:v>
      </x:c>
      <x:c r="AT285" t="n">
        <x:f>F285+P285</x:f>
        <x:v>3914.222640000001</x:v>
      </x:c>
      <x:c r="AU285" t="n">
        <x:f>G285+Q285</x:f>
        <x:v>5025.934653600002</x:v>
      </x:c>
      <x:c r="AV285" t="n">
        <x:f>H285+R285</x:f>
        <x:v>6550.472611704003</x:v>
      </x:c>
      <x:c r="AW285" t="n">
        <x:f>I285+S285</x:f>
        <x:v>8634.349916668565</x:v>
      </x:c>
      <x:c r="AX285" t="n">
        <x:f>J285+T285</x:f>
        <x:v>10883.606722527635</x:v>
      </x:c>
      <x:c r="AY285" t="n">
        <x:f>K285+U285</x:f>
        <x:v>13091.626616287373</x:v>
      </x:c>
      <x:c r="AZ285" t="n">
        <x:f>L285+V285</x:f>
        <x:v>14993.19194192696</x:v>
      </x:c>
      <x:c r="BA285" t="n">
        <x:f>M285+W285</x:f>
        <x:v>16306.97414204456</x:v>
      </x:c>
      <x:c r="BB285" t="n">
        <x:f>N285+X285</x:f>
        <x:v>16796.1833663059</x:v>
      </x:c>
      <x:c r="BC285" t="n">
        <x:f>AS285/'Inputs'!$F$14-1</x:f>
        <x:v>0.26567354965585066</x:v>
      </x:c>
      <x:c r="BD285" t="n">
        <x:f>AT285/AS285-1</x:f>
        <x:v>0.26704379306862247</x:v>
      </x:c>
      <x:c r="BE285" t="n">
        <x:f>AU285/AT285-1</x:f>
        <x:v>0.28401859471131186</x:v>
      </x:c>
      <x:c r="BF285" t="n">
        <x:f>AV285/AU285-1</x:f>
        <x:v>0.30333421804678595</x:v>
      </x:c>
      <x:c r="BG285" t="n">
        <x:f>AW285/AV285-1</x:f>
        <x:v>0.3181262526372848</x:v>
      </x:c>
      <x:c r="BH285" t="n">
        <x:f>AX285/AW285-1</x:f>
        <x:v>0.26050100210982774</x:v>
      </x:c>
      <x:c r="BI285" t="n">
        <x:f>AY285/AX285-1</x:f>
        <x:v>0.20287575158237092</x:v>
      </x:c>
      <x:c r="BJ285" t="n">
        <x:f>AZ285/AY285-1</x:f>
        <x:v>0.14525050105491388</x:v>
      </x:c>
      <x:c r="BK285" t="n">
        <x:f>BA285/AZ285-1</x:f>
        <x:v>0.08762525052745707</x:v>
      </x:c>
      <x:c r="BL285" t="n">
        <x:f>BB285/BA285-1</x:f>
        <x:v>0.03000000000000025</x:v>
      </x:c>
      <x:c r="BM285" t="n">
        <x:f>AH285*(1-'Assumptions'!$F$15)*(1+'Assumptions'!$D$15)*(1-'Assumptions'!$D$15/'Assumptions'!$E$15)</x:f>
        <x:v>2185.782409312684</x:v>
      </x:c>
      <x:c r="BN285" t="n">
        <x:f>SUMPRODUCT(AI285:AR285,'MOD Model'!$B$83:$K$83)+BM285/('Assumptions'!$C$15-'Assumptions'!$D$15)*'MOD Model'!$K$83</x:f>
        <x:v>15793.12035381232</x:v>
      </x:c>
      <x:c r="BO285" t="n">
        <x:f>'MOD Model'!$B$94</x:f>
        <x:v>553.5</x:v>
      </x:c>
      <x:c r="BP285" t="n">
        <x:f>'Inputs'!$F$8</x:f>
        <x:v>54</x:v>
      </x:c>
    </x:row>
    <x:row r="286">
      <x:c r="A286" t="str">
        <x:v>MOD</x:v>
      </x:c>
      <x:c r="B286" s="22" t="n">
        <x:v>0.4</x:v>
      </x:c>
      <x:c r="C286" s="42" t="n">
        <x:f>(BN286+BO286)/BP286</x:f>
        <x:v>316.4096851962153</x:v>
      </x:c>
      <x:c r="D286" s="22" t="n">
        <x:f>C286/'Inputs'!$F$5-1</x:f>
        <x:v>0.6254478844971505</x:v>
      </x:c>
      <x:c r="E286" t="n">
        <x:f>'Inputs'!$F$24*(1+$B286)^1</x:f>
        <x:v>1952.16</x:v>
      </x:c>
      <x:c r="F286" t="n">
        <x:f>'Inputs'!$F$24*(1+$B286)^2</x:f>
        <x:v>2733.024</x:v>
      </x:c>
      <x:c r="G286" t="n">
        <x:f>'Inputs'!$F$24*(1+$B286)^3</x:f>
        <x:v>3826.233599999999</x:v>
      </x:c>
      <x:c r="H286" t="n">
        <x:f>'Inputs'!$F$24*(1+$B286)^4</x:f>
        <x:v>5356.727039999999</x:v>
      </x:c>
      <x:c r="I286" t="n">
        <x:f>'Inputs'!$F$24*(1+$B286)^5</x:f>
        <x:v>7499.417855999998</x:v>
      </x:c>
      <x:c r="J286" t="n">
        <x:f>I286*(1+($BG286+('Assumptions'!$D$15-$BG286)*(6-5)/5))</x:f>
        <x:v>9510.719565801115</x:v>
      </x:c>
      <x:c r="K286" t="n">
        <x:f>J286*(1+($BG286+('Assumptions'!$D$15-$BG286)*(7-5)/5))</x:f>
        <x:v>11495.09110368104</x:v>
      </x:c>
      <x:c r="L286" t="n">
        <x:f>K286*(1+($BG286+('Assumptions'!$D$15-$BG286)*(8-5)/5))</x:f>
        <x:v>13208.976876492421</x:v>
      </x:c>
      <x:c r="M286" t="n">
        <x:f>L286*(1+($BG286+('Assumptions'!$D$15-$BG286)*(9-5)/5))</x:f>
        <x:v>14391.822191687774</x:v>
      </x:c>
      <x:c r="N286" t="n">
        <x:f>M286*(1+($BG286+('Assumptions'!$D$15-$BG286)*(10-5)/5))</x:f>
        <x:v>14823.576857438407</x:v>
      </x:c>
      <x:c r="O286" t="n">
        <x:f>'MOD Model'!$B$68</x:f>
        <x:v>1151.0400000000002</x:v>
      </x:c>
      <x:c r="P286" t="n">
        <x:f>'MOD Model'!$C$68</x:f>
        <x:v>1220.1024000000002</x:v>
      </x:c>
      <x:c r="Q286" t="n">
        <x:f>'MOD Model'!$D$68</x:f>
        <x:v>1281.1075200000002</x:v>
      </x:c>
      <x:c r="R286" t="n">
        <x:f>'MOD Model'!$E$68</x:f>
        <x:v>1345.1628960000003</x:v>
      </x:c>
      <x:c r="S286" t="n">
        <x:f>'MOD Model'!$F$68</x:f>
        <x:v>1398.9694118400002</x:v>
      </x:c>
      <x:c r="T286" t="n">
        <x:f>S286*(1+($BG286+('Assumptions'!$D$15-$BG286)*(6-5)/5))</x:f>
        <x:v>1774.1651435649744</x:v>
      </x:c>
      <x:c r="U286" t="n">
        <x:f>T286*(1+($BG286+('Assumptions'!$D$15-$BG286)*(7-5)/5))</x:f>
        <x:v>2144.337220454767</x:v>
      </x:c>
      <x:c r="V286" t="n">
        <x:f>U286*(1+($BG286+('Assumptions'!$D$15-$BG286)*(8-5)/5))</x:f>
        <x:v>2464.0518726570835</x:v>
      </x:c>
      <x:c r="W286" t="n">
        <x:f>V286*(1+($BG286+('Assumptions'!$D$15-$BG286)*(9-5)/5))</x:f>
        <x:v>2684.7042548380055</x:v>
      </x:c>
      <x:c r="X286" t="n">
        <x:f>W286*(1+($BG286+('Assumptions'!$D$15-$BG286)*(10-5)/5))</x:f>
        <x:v>2765.2453824831455</x:v>
      </x:c>
      <x:c r="Y286" t="n">
        <x:f>E286*'MOD Model'!$B$62+O286*'MOD Model'!$B$63+'MOD Model'!$B$73+'MOD Model'!$B$74</x:f>
        <x:v>415.9344</x:v>
      </x:c>
      <x:c r="Z286" t="n">
        <x:f>F286*'MOD Model'!$C$62+P286*'MOD Model'!$C$63+'MOD Model'!$C$73+'MOD Model'!$C$74</x:f>
        <x:v>622.0896479999999</x:v>
      </x:c>
      <x:c r="AA286" t="n">
        <x:f>G286*'MOD Model'!$D$62+Q286*'MOD Model'!$D$63+'MOD Model'!$D$73+'MOD Model'!$D$74</x:f>
        <x:v>908.3048519999999</x:v>
      </x:c>
      <x:c r="AB286" t="n">
        <x:f>H286*'MOD Model'!$E$62+R286*'MOD Model'!$E$63+'MOD Model'!$E$73+'MOD Model'!$E$74</x:f>
        <x:v>1268.4278081999996</x:v>
      </x:c>
      <x:c r="AC286" t="n">
        <x:f>I286*'MOD Model'!$F$62+S286*'MOD Model'!$F$63+'MOD Model'!$F$73+'MOD Model'!$F$74</x:f>
        <x:v>1742.2994363459995</x:v>
      </x:c>
      <x:c r="AD286" t="n">
        <x:f>AX286*$AC286/$AW286</x:f>
        <x:v>2209.574350558785</x:v>
      </x:c>
      <x:c r="AE286" t="n">
        <x:f>AY286*$AC286/$AW286</x:f>
        <x:v>2670.592722695914</x:v>
      </x:c>
      <x:c r="AF286" t="n">
        <x:f>AZ286*$AC286/$AW286</x:f>
        <x:v>3068.7705910676077</x:v>
      </x:c>
      <x:c r="AG286" t="n">
        <x:f>BA286*$AC286/$AW286</x:f>
        <x:v>3343.5746846014204</x:v>
      </x:c>
      <x:c r="AH286" t="n">
        <x:f>BB286*$AC286/$AW286</x:f>
        <x:v>3443.881925139463</x:v>
      </x:c>
      <x:c r="AI286" t="n">
        <x:f>Y286*(1-'Assumptions'!$F$15)+AS286*'Assumptions'!$G$15-AS286*'MOD Model'!$B$65-(AS286-'Inputs'!$F$14)*'Assumptions'!$H$15-'Assumptions'!$I$15</x:f>
        <x:v>103.97879999999992</x:v>
      </x:c>
      <x:c r="AJ286" t="n">
        <x:f>Z286*(1-'Assumptions'!$F$15)+AT286*'Assumptions'!$G$15-AT286*'MOD Model'!$C$65-(AT286-AS286)*'Assumptions'!$H$15-0</x:f>
        <x:v>220.4844839999999</x:v>
      </x:c>
      <x:c r="AK286" t="n">
        <x:f>AA286*(1-'Assumptions'!$F$15)+AU286*'Assumptions'!$G$15-AU286*'MOD Model'!$D$65-(AU286-AT286)*'Assumptions'!$H$15-0</x:f>
        <x:v>380.41290300000014</x:v>
      </x:c>
      <x:c r="AL286" t="n">
        <x:f>AB286*(1-'Assumptions'!$F$15)+AV286*'Assumptions'!$G$15-AV286*'MOD Model'!$E$65-(AV286-AU286)*'Assumptions'!$H$15-0</x:f>
        <x:v>578.1007350299997</x:v>
      </x:c>
      <x:c r="AM286" t="n">
        <x:f>AC286*(1-'Assumptions'!$F$15)+AW286*'Assumptions'!$G$15-AW286*'MOD Model'!$F$65-(AW286-AV286)*'Assumptions'!$H$15-0</x:f>
        <x:v>843.7741684659</x:v>
      </x:c>
      <x:c r="AN286" t="n">
        <x:f>AD286*(1-'Assumptions'!$F$15)+AX286*'Assumptions'!$G$15-AX286*'MOD Model'!$G$65-(AX286-AW286)*'Assumptions'!$H$15-0</x:f>
        <x:v>1129.932876049684</x:v>
      </x:c>
      <x:c r="AO286" t="n">
        <x:f>AE286*(1-'Assumptions'!$F$15)+AY286*'Assumptions'!$G$15-AY286*'MOD Model'!$H$65-(AY286-AX286)*'Assumptions'!$H$15-0</x:f>
        <x:v>1445.1715749444406</x:v>
      </x:c>
      <x:c r="AP286" t="n">
        <x:f>AF286*(1-'Assumptions'!$F$15)+AZ286*'Assumptions'!$G$15-AZ286*'MOD Model'!$I$65-(AZ286-AY286)*'Assumptions'!$H$15-0</x:f>
        <x:v>1761.4424483114085</x:v>
      </x:c>
      <x:c r="AQ286" t="n">
        <x:f>AG286*(1-'Assumptions'!$F$15)+BA286*'Assumptions'!$G$15-BA286*'MOD Model'!$J$65-(BA286-AZ286)*'Assumptions'!$H$15-0</x:f>
        <x:v>2041.0084621467372</x:v>
      </x:c>
      <x:c r="AR286" t="n">
        <x:f>AH286*(1-'Assumptions'!$F$15)+BB286*'Assumptions'!$G$15-BB286*'MOD Model'!$K$65-(BB286-BA286)*'Assumptions'!$H$15-0</x:f>
        <x:v>2242.234741246408</x:v>
      </x:c>
      <x:c r="AS286" t="n">
        <x:f>E286+O286</x:f>
        <x:v>3103.2000000000003</x:v>
      </x:c>
      <x:c r="AT286" t="n">
        <x:f>F286+P286</x:f>
        <x:v>3953.1264</x:v>
      </x:c>
      <x:c r="AU286" t="n">
        <x:f>G286+Q286</x:f>
        <x:v>5107.341119999999</x:v>
      </x:c>
      <x:c r="AV286" t="n">
        <x:f>H286+R286</x:f>
        <x:v>6701.889936</x:v>
      </x:c>
      <x:c r="AW286" t="n">
        <x:f>I286+S286</x:f>
        <x:v>8898.387267839998</x:v>
      </x:c>
      <x:c r="AX286" t="n">
        <x:f>J286+T286</x:f>
        <x:v>11284.88470936609</x:v>
      </x:c>
      <x:c r="AY286" t="n">
        <x:f>K286+U286</x:f>
        <x:v>13639.428324135806</x:v>
      </x:c>
      <x:c r="AZ286" t="n">
        <x:f>L286+V286</x:f>
        <x:v>15673.028749149504</x:v>
      </x:c>
      <x:c r="BA286" t="n">
        <x:f>M286+W286</x:f>
        <x:v>17076.52644652578</x:v>
      </x:c>
      <x:c r="BB286" t="n">
        <x:f>N286+X286</x:f>
        <x:v>17588.822239921552</x:v>
      </x:c>
      <x:c r="BC286" t="n">
        <x:f>AS286/'Inputs'!$F$14-1</x:f>
        <x:v>0.27138643067846613</x:v>
      </x:c>
      <x:c r="BD286" t="n">
        <x:f>AT286/AS286-1</x:f>
        <x:v>0.27388708430007735</x:v>
      </x:c>
      <x:c r="BE286" t="n">
        <x:f>AU286/AT286-1</x:f>
        <x:v>0.2919751617352784</x:v>
      </x:c>
      <x:c r="BF286" t="n">
        <x:f>AV286/AU286-1</x:f>
        <x:v>0.31220722848447613</x:v>
      </x:c>
      <x:c r="BG286" t="n">
        <x:f>AW286/AV286-1</x:f>
        <x:v>0.32774297292488375</x:v>
      </x:c>
      <x:c r="BH286" t="n">
        <x:f>AX286/AW286-1</x:f>
        <x:v>0.268194378339907</x:v>
      </x:c>
      <x:c r="BI286" t="n">
        <x:f>AY286/AX286-1</x:f>
        <x:v>0.20864578375493026</x:v>
      </x:c>
      <x:c r="BJ286" t="n">
        <x:f>AZ286/AY286-1</x:f>
        <x:v>0.14909718916995351</x:v>
      </x:c>
      <x:c r="BK286" t="n">
        <x:f>BA286/AZ286-1</x:f>
        <x:v>0.08954859458497677</x:v>
      </x:c>
      <x:c r="BL286" t="n">
        <x:f>BB286/BA286-1</x:f>
        <x:v>0.030000000000000027</x:v>
      </x:c>
      <x:c r="BM286" t="n">
        <x:f>AH286*(1-'Assumptions'!$F$15)*(1+'Assumptions'!$D$15)*(1-'Assumptions'!$D$15/'Assumptions'!$E$15)</x:f>
        <x:v>2297.617134374294</x:v>
      </x:c>
      <x:c r="BN286" t="n">
        <x:f>SUMPRODUCT(AI286:AR286,'MOD Model'!$B$83:$K$83)+BM286/('Assumptions'!$C$15-'Assumptions'!$D$15)*'MOD Model'!$K$83</x:f>
        <x:v>16532.623000595628</x:v>
      </x:c>
      <x:c r="BO286" t="n">
        <x:f>'MOD Model'!$B$94</x:f>
        <x:v>553.5</x:v>
      </x:c>
      <x:c r="BP286" t="n">
        <x:f>'Inputs'!$F$8</x:f>
        <x:v>54</x:v>
      </x:c>
    </x:row>
    <x:row r="287">
      <x:c r="A287" t="str">
        <x:v>MOD</x:v>
      </x:c>
      <x:c r="B287" s="22" t="n">
        <x:v>0.41</x:v>
      </x:c>
      <x:c r="C287" s="42" t="n">
        <x:f>(BN287+BO287)/BP287</x:f>
        <x:v>330.72368511746106</x:v>
      </x:c>
      <x:c r="D287" s="22" t="n">
        <x:f>C287/'Inputs'!$F$5-1</x:f>
        <x:v>0.6989812242754601</x:v>
      </x:c>
      <x:c r="E287" t="n">
        <x:f>'Inputs'!$F$24*(1+$B287)^1</x:f>
        <x:v>1966.104</x:v>
      </x:c>
      <x:c r="F287" t="n">
        <x:f>'Inputs'!$F$24*(1+$B287)^2</x:f>
        <x:v>2772.20664</x:v>
      </x:c>
      <x:c r="G287" t="n">
        <x:f>'Inputs'!$F$24*(1+$B287)^3</x:f>
        <x:v>3908.8113623999993</x:v>
      </x:c>
      <x:c r="H287" t="n">
        <x:f>'Inputs'!$F$24*(1+$B287)^4</x:f>
        <x:v>5511.424020983999</x:v>
      </x:c>
      <x:c r="I287" t="n">
        <x:f>'Inputs'!$F$24*(1+$B287)^5</x:f>
        <x:v>7771.107869587438</x:v>
      </x:c>
      <x:c r="J287" t="n">
        <x:f>I287*(1+($BG287+('Assumptions'!$D$15-$BG287)*(6-5)/5))</x:f>
        <x:v>9915.38262015598</x:v>
      </x:c>
      <x:c r="K287" t="n">
        <x:f>J287*(1+($BG287+('Assumptions'!$D$15-$BG287)*(7-5)/5))</x:f>
        <x:v>12041.704893966884</x:v>
      </x:c>
      <x:c r="L287" t="n">
        <x:f>K287*(1+($BG287+('Assumptions'!$D$15-$BG287)*(8-5)/5))</x:f>
        <x:v>13883.658825652134</x:v>
      </x:c>
      <x:c r="M287" t="n">
        <x:f>L287*(1+($BG287+('Assumptions'!$D$15-$BG287)*(9-5)/5))</x:f>
        <x:v>15153.767498063738</x:v>
      </x:c>
      <x:c r="N287" t="n">
        <x:f>M287*(1+($BG287+('Assumptions'!$D$15-$BG287)*(10-5)/5))</x:f>
        <x:v>15608.380523005651</x:v>
      </x:c>
      <x:c r="O287" t="n">
        <x:f>'MOD Model'!$B$68</x:f>
        <x:v>1151.0400000000002</x:v>
      </x:c>
      <x:c r="P287" t="n">
        <x:f>'MOD Model'!$C$68</x:f>
        <x:v>1220.1024000000002</x:v>
      </x:c>
      <x:c r="Q287" t="n">
        <x:f>'MOD Model'!$D$68</x:f>
        <x:v>1281.1075200000002</x:v>
      </x:c>
      <x:c r="R287" t="n">
        <x:f>'MOD Model'!$E$68</x:f>
        <x:v>1345.1628960000003</x:v>
      </x:c>
      <x:c r="S287" t="n">
        <x:f>'MOD Model'!$F$68</x:f>
        <x:v>1398.9694118400002</x:v>
      </x:c>
      <x:c r="T287" t="n">
        <x:f>S287*(1+($BG287+('Assumptions'!$D$15-$BG287)*(6-5)/5))</x:f>
        <x:v>1784.985773595315</x:v>
      </x:c>
      <x:c r="U287" t="n">
        <x:f>T287*(1+($BG287+('Assumptions'!$D$15-$BG287)*(7-5)/5))</x:f>
        <x:v>2167.770296818444</x:v>
      </x:c>
      <x:c r="V287" t="n">
        <x:f>U287*(1+($BG287+('Assumptions'!$D$15-$BG287)*(8-5)/5))</x:f>
        <x:v>2499.3622978162234</x:v>
      </x:c>
      <x:c r="W287" t="n">
        <x:f>V287*(1+($BG287+('Assumptions'!$D$15-$BG287)*(9-5)/5))</x:f>
        <x:v>2728.0096428582733</x:v>
      </x:c>
      <x:c r="X287" t="n">
        <x:f>W287*(1+($BG287+('Assumptions'!$D$15-$BG287)*(10-5)/5))</x:f>
        <x:v>2809.8499321440217</x:v>
      </x:c>
      <x:c r="Y287" t="n">
        <x:f>E287*'MOD Model'!$B$62+O287*'MOD Model'!$B$63+'MOD Model'!$B$73+'MOD Model'!$B$74</x:f>
        <x:v>418.44431999999995</x:v>
      </x:c>
      <x:c r="Z287" t="n">
        <x:f>F287*'MOD Model'!$C$62+P287*'MOD Model'!$C$63+'MOD Model'!$C$73+'MOD Model'!$C$74</x:f>
        <x:v>629.9261759999999</x:v>
      </x:c>
      <x:c r="AA287" t="n">
        <x:f>G287*'MOD Model'!$D$62+Q287*'MOD Model'!$D$63+'MOD Model'!$D$73+'MOD Model'!$D$74</x:f>
        <x:v>926.059070916</x:v>
      </x:c>
      <x:c r="AB287" t="n">
        <x:f>H287*'MOD Model'!$E$62+R287*'MOD Model'!$E$63+'MOD Model'!$E$73+'MOD Model'!$E$74</x:f>
        <x:v>1302.4611440164797</x:v>
      </x:c>
      <x:c r="AC287" t="n">
        <x:f>I287*'MOD Model'!$F$62+S287*'MOD Model'!$F$63+'MOD Model'!$F$73+'MOD Model'!$F$74</x:f>
        <x:v>1802.0712393352362</x:v>
      </x:c>
      <x:c r="AD287" t="n">
        <x:f>AX287*$AC287/$AW287</x:f>
        <x:v>2299.3151229717982</x:v>
      </x:c>
      <x:c r="AE287" t="n">
        <x:f>AY287*$AC287/$AW287</x:f>
        <x:v>2792.3959396965774</x:v>
      </x:c>
      <x:c r="AF287" t="n">
        <x:f>AZ287*$AC287/$AW287</x:f>
        <x:v>3219.5335190706583</x:v>
      </x:c>
      <x:c r="AG287" t="n">
        <x:f>BA287*$AC287/$AW287</x:f>
        <x:v>3514.0637646667374</x:v>
      </x:c>
      <x:c r="AH287" t="n">
        <x:f>BB287*$AC287/$AW287</x:f>
        <x:v>3619.48567760674</x:v>
      </x:c>
      <x:c r="AI287" t="n">
        <x:f>Y287*(1-'Assumptions'!$F$15)+AS287*'Assumptions'!$G$15-AS287*'MOD Model'!$B$65-(AS287-'Inputs'!$F$14)*'Assumptions'!$H$15-'Assumptions'!$I$15</x:f>
        <x:v>103.2815999999999</x:v>
      </x:c>
      <x:c r="AJ287" t="n">
        <x:f>Z287*(1-'Assumptions'!$F$15)+AT287*'Assumptions'!$G$15-AT287*'MOD Model'!$C$65-(AT287-AS287)*'Assumptions'!$H$15-0</x:f>
        <x:v>221.40060480000005</x:v>
      </x:c>
      <x:c r="AK287" t="n">
        <x:f>AA287*(1-'Assumptions'!$F$15)+AU287*'Assumptions'!$G$15-AU287*'MOD Model'!$D$65-(AU287-AT287)*'Assumptions'!$H$15-0</x:f>
        <x:v>385.1548547670002</x:v>
      </x:c>
      <x:c r="AL287" t="n">
        <x:f>AB287*(1-'Assumptions'!$F$15)+AV287*'Assumptions'!$G$15-AV287*'MOD Model'!$E$65-(AV287-AU287)*'Assumptions'!$H$15-0</x:f>
        <x:v>589.7139144850797</x:v>
      </x:c>
      <x:c r="AM287" t="n">
        <x:f>AC287*(1-'Assumptions'!$F$15)+AW287*'Assumptions'!$G$15-AW287*'MOD Model'!$F$65-(AW287-AV287)*'Assumptions'!$H$15-0</x:f>
        <x:v>866.9787156134996</x:v>
      </x:c>
      <x:c r="AN287" t="n">
        <x:f>AD287*(1-'Assumptions'!$F$15)+AX287*'Assumptions'!$G$15-AX287*'MOD Model'!$G$65-(AX287-AW287)*'Assumptions'!$H$15-0</x:f>
        <x:v>1169.4371494740005</x:v>
      </x:c>
      <x:c r="AO287" t="n">
        <x:f>AE287*(1-'Assumptions'!$F$15)+AY287*'Assumptions'!$G$15-AY287*'MOD Model'!$H$65-(AY287-AX287)*'Assumptions'!$H$15-0</x:f>
        <x:v>1504.7888073555487</x:v>
      </x:c>
      <x:c r="AP287" t="n">
        <x:f>AF287*(1-'Assumptions'!$F$15)+AZ287*'Assumptions'!$G$15-AZ287*'MOD Model'!$I$65-(AZ287-AY287)*'Assumptions'!$H$15-0</x:f>
        <x:v>1842.872932548514</x:v>
      </x:c>
      <x:c r="AQ287" t="n">
        <x:f>AG287*(1-'Assumptions'!$F$15)+BA287*'Assumptions'!$G$15-BA287*'MOD Model'!$J$65-(BA287-AZ287)*'Assumptions'!$H$15-0</x:f>
        <x:v>2142.5077637681748</x:v>
      </x:c>
      <x:c r="AR287" t="n">
        <x:f>AH287*(1-'Assumptions'!$F$15)+BB287*'Assumptions'!$G$15-BB287*'MOD Model'!$K$65-(BB287-BA287)*'Assumptions'!$H$15-0</x:f>
        <x:v>2357.872804243661</x:v>
      </x:c>
      <x:c r="AS287" t="n">
        <x:f>E287+O287</x:f>
        <x:v>3117.1440000000002</x:v>
      </x:c>
      <x:c r="AT287" t="n">
        <x:f>F287+P287</x:f>
        <x:v>3992.30904</x:v>
      </x:c>
      <x:c r="AU287" t="n">
        <x:f>G287+Q287</x:f>
        <x:v>5189.918882399999</x:v>
      </x:c>
      <x:c r="AV287" t="n">
        <x:f>H287+R287</x:f>
        <x:v>6856.586916983999</x:v>
      </x:c>
      <x:c r="AW287" t="n">
        <x:f>I287+S287</x:f>
        <x:v>9170.077281427439</x:v>
      </x:c>
      <x:c r="AX287" t="n">
        <x:f>J287+T287</x:f>
        <x:v>11700.368393751296</x:v>
      </x:c>
      <x:c r="AY287" t="n">
        <x:f>K287+U287</x:f>
        <x:v>14209.475190785328</x:v>
      </x:c>
      <x:c r="AZ287" t="n">
        <x:f>L287+V287</x:f>
        <x:v>16383.021123468357</x:v>
      </x:c>
      <x:c r="BA287" t="n">
        <x:f>M287+W287</x:f>
        <x:v>17881.77714092201</x:v>
      </x:c>
      <x:c r="BB287" t="n">
        <x:f>N287+X287</x:f>
        <x:v>18418.230455149675</x:v>
      </x:c>
      <x:c r="BC287" t="n">
        <x:f>AS287/'Inputs'!$F$14-1</x:f>
        <x:v>0.2770993117010816</x:v>
      </x:c>
      <x:c r="BD287" t="n">
        <x:f>AT287/AS287-1</x:f>
        <x:v>0.2807586175037149</x:v>
      </x:c>
      <x:c r="BE287" t="n">
        <x:f>AU287/AT287-1</x:f>
        <x:v>0.29997924268908793</x:v>
      </x:c>
      <x:c r="BF287" t="n">
        <x:f>AV287/AU287-1</x:f>
        <x:v>0.32113566172218744</x:v>
      </x:c>
      <x:c r="BG287" t="n">
        <x:f>AW287/AV287-1</x:f>
        <x:v>0.33741136697514107</x:v>
      </x:c>
      <x:c r="BH287" t="n">
        <x:f>AX287/AW287-1</x:f>
        <x:v>0.27592909358011264</x:v>
      </x:c>
      <x:c r="BI287" t="n">
        <x:f>AY287/AX287-1</x:f>
        <x:v>0.21444682018508465</x:v>
      </x:c>
      <x:c r="BJ287" t="n">
        <x:f>AZ287/AY287-1</x:f>
        <x:v>0.15296454679005644</x:v>
      </x:c>
      <x:c r="BK287" t="n">
        <x:f>BA287/AZ287-1</x:f>
        <x:v>0.09148227339502824</x:v>
      </x:c>
      <x:c r="BL287" t="n">
        <x:f>BB287/BA287-1</x:f>
        <x:v>0.03000000000000025</x:v>
      </x:c>
      <x:c r="BM287" t="n">
        <x:f>AH287*(1-'Assumptions'!$F$15)*(1+'Assumptions'!$D$15)*(1-'Assumptions'!$D$15/'Assumptions'!$E$15)</x:f>
        <x:v>2414.772774230588</x:v>
      </x:c>
      <x:c r="BN287" t="n">
        <x:f>SUMPRODUCT(AI287:AR287,'MOD Model'!$B$83:$K$83)+BM287/('Assumptions'!$C$15-'Assumptions'!$D$15)*'MOD Model'!$K$83</x:f>
        <x:v>17305.578996342898</x:v>
      </x:c>
      <x:c r="BO287" t="n">
        <x:f>'MOD Model'!$B$94</x:f>
        <x:v>553.5</x:v>
      </x:c>
      <x:c r="BP287" t="n">
        <x:f>'Inputs'!$F$8</x:f>
        <x:v>54</x:v>
      </x:c>
    </x:row>
    <x:row r="288">
      <x:c r="A288" t="str">
        <x:v>MOD</x:v>
      </x:c>
      <x:c r="B288" s="22" t="n">
        <x:v>0.42</x:v>
      </x:c>
      <x:c r="C288" s="42" t="n">
        <x:f>(BN288+BO288)/BP288</x:f>
        <x:v>345.68189332401624</x:v>
      </x:c>
      <x:c r="D288" s="22" t="n">
        <x:f>C288/'Inputs'!$F$5-1</x:f>
        <x:v>0.7758239665263345</x:v>
      </x:c>
      <x:c r="E288" t="n">
        <x:f>'Inputs'!$F$24*(1+$B288)^1</x:f>
        <x:v>1980.048</x:v>
      </x:c>
      <x:c r="F288" t="n">
        <x:f>'Inputs'!$F$24*(1+$B288)^2</x:f>
        <x:v>2811.66816</x:v>
      </x:c>
      <x:c r="G288" t="n">
        <x:f>'Inputs'!$F$24*(1+$B288)^3</x:f>
        <x:v>3992.5687872</x:v>
      </x:c>
      <x:c r="H288" t="n">
        <x:f>'Inputs'!$F$24*(1+$B288)^4</x:f>
        <x:v>5669.447677824</x:v>
      </x:c>
      <x:c r="I288" t="n">
        <x:f>'Inputs'!$F$24*(1+$B288)^5</x:f>
        <x:v>8050.615702510078</x:v>
      </x:c>
      <x:c r="J288" t="n">
        <x:f>I288*(1+($BG288+('Assumptions'!$D$15-$BG288)*(6-5)/5))</x:f>
        <x:v>10334.60094338981</x:v>
      </x:c>
      <x:c r="K288" t="n">
        <x:f>J288*(1+($BG288+('Assumptions'!$D$15-$BG288)*(7-5)/5))</x:f>
        <x:v>12611.079780636277</x:v>
      </x:c>
      <x:c r="L288" t="n">
        <x:f>K288*(1+($BG288+('Assumptions'!$D$15-$BG288)*(8-5)/5))</x:f>
        <x:v>14589.14766852638</x:v>
      </x:c>
      <x:c r="M288" t="n">
        <x:f>L288*(1+($BG288+('Assumptions'!$D$15-$BG288)*(9-5)/5))</x:f>
        <x:v>15952.150372028524</x:v>
      </x:c>
      <x:c r="N288" t="n">
        <x:f>M288*(1+($BG288+('Assumptions'!$D$15-$BG288)*(10-5)/5))</x:f>
        <x:v>16430.71488318938</x:v>
      </x:c>
      <x:c r="O288" t="n">
        <x:f>'MOD Model'!$B$68</x:f>
        <x:v>1151.0400000000002</x:v>
      </x:c>
      <x:c r="P288" t="n">
        <x:f>'MOD Model'!$C$68</x:f>
        <x:v>1220.1024000000002</x:v>
      </x:c>
      <x:c r="Q288" t="n">
        <x:f>'MOD Model'!$D$68</x:f>
        <x:v>1281.1075200000002</x:v>
      </x:c>
      <x:c r="R288" t="n">
        <x:f>'MOD Model'!$E$68</x:f>
        <x:v>1345.1628960000003</x:v>
      </x:c>
      <x:c r="S288" t="n">
        <x:f>'MOD Model'!$F$68</x:f>
        <x:v>1398.9694118400002</x:v>
      </x:c>
      <x:c r="T288" t="n">
        <x:f>S288*(1+($BG288+('Assumptions'!$D$15-$BG288)*(6-5)/5))</x:f>
        <x:v>1795.8614766405262</x:v>
      </x:c>
      <x:c r="U288" t="n">
        <x:f>T288*(1+($BG288+('Assumptions'!$D$15-$BG288)*(7-5)/5))</x:f>
        <x:v>2191.449140701542</x:v>
      </x:c>
      <x:c r="V288" t="n">
        <x:f>U288*(1+($BG288+('Assumptions'!$D$15-$BG288)*(8-5)/5))</x:f>
        <x:v>2535.1814180773476</x:v>
      </x:c>
      <x:c r="W288" t="n">
        <x:f>V288*(1+($BG288+('Assumptions'!$D$15-$BG288)*(9-5)/5))</x:f>
        <x:v>2772.032754784453</x:v>
      </x:c>
      <x:c r="X288" t="n">
        <x:f>W288*(1+($BG288+('Assumptions'!$D$15-$BG288)*(10-5)/5))</x:f>
        <x:v>2855.193737427987</x:v>
      </x:c>
      <x:c r="Y288" t="n">
        <x:f>E288*'MOD Model'!$B$62+O288*'MOD Model'!$B$63+'MOD Model'!$B$73+'MOD Model'!$B$74</x:f>
        <x:v>420.95424</x:v>
      </x:c>
      <x:c r="Z288" t="n">
        <x:f>F288*'MOD Model'!$C$62+P288*'MOD Model'!$C$63+'MOD Model'!$C$73+'MOD Model'!$C$74</x:f>
        <x:v>637.8184800000001</x:v>
      </x:c>
      <x:c r="AA288" t="n">
        <x:f>G288*'MOD Model'!$D$62+Q288*'MOD Model'!$D$63+'MOD Model'!$D$73+'MOD Model'!$D$74</x:f>
        <x:v>944.0669172480001</x:v>
      </x:c>
      <x:c r="AB288" t="n">
        <x:f>H288*'MOD Model'!$E$62+R288*'MOD Model'!$E$63+'MOD Model'!$E$73+'MOD Model'!$E$74</x:f>
        <x:v>1337.22634852128</x:v>
      </x:c>
      <x:c r="AC288" t="n">
        <x:f>I288*'MOD Model'!$F$62+S288*'MOD Model'!$F$63+'MOD Model'!$F$73+'MOD Model'!$F$74</x:f>
        <x:v>1863.5629625782171</x:v>
      </x:c>
      <x:c r="AD288" t="n">
        <x:f>AX288*$AC288/$AW288</x:f>
        <x:v>2392.2616931177563</x:v>
      </x:c>
      <x:c r="AE288" t="n">
        <x:f>AY288*$AC288/$AW288</x:f>
        <x:v>2919.222835339826</x:v>
      </x:c>
      <x:c r="AF288" t="n">
        <x:f>AZ288*$AC288/$AW288</x:f>
        <x:v>3377.1075723032345</x:v>
      </x:c>
      <x:c r="AG288" t="n">
        <x:f>BA288*$AC288/$AW288</x:f>
        <x:v>3692.6165283882483</x:v>
      </x:c>
      <x:c r="AH288" t="n">
        <x:f>BB288*$AC288/$AW288</x:f>
        <x:v>3803.3950242398964</x:v>
      </x:c>
      <x:c r="AI288" t="n">
        <x:f>Y288*(1-'Assumptions'!$F$15)+AS288*'Assumptions'!$G$15-AS288*'MOD Model'!$B$65-(AS288-'Inputs'!$F$14)*'Assumptions'!$H$15-'Assumptions'!$I$15</x:f>
        <x:v>102.5844</x:v>
      </x:c>
      <x:c r="AJ288" t="n">
        <x:f>Z288*(1-'Assumptions'!$F$15)+AT288*'Assumptions'!$G$15-AT288*'MOD Model'!$C$65-(AT288-AS288)*'Assumptions'!$H$15-0</x:f>
        <x:v>222.3083592000001</x:v>
      </x:c>
      <x:c r="AK288" t="n">
        <x:f>AA288*(1-'Assumptions'!$F$15)+AU288*'Assumptions'!$G$15-AU288*'MOD Model'!$D$65-(AU288-AT288)*'Assumptions'!$H$15-0</x:f>
        <x:v>389.92241817600006</x:v>
      </x:c>
      <x:c r="AL288" t="n">
        <x:f>AB288*(1-'Assumptions'!$F$15)+AV288*'Assumptions'!$G$15-AV288*'MOD Model'!$E$65-(AV288-AU288)*'Assumptions'!$H$15-0</x:f>
        <x:v>601.4874099208799</x:v>
      </x:c>
      <x:c r="AM288" t="n">
        <x:f>AC288*(1-'Assumptions'!$F$15)+AW288*'Assumptions'!$G$15-AW288*'MOD Model'!$F$65-(AW288-AV288)*'Assumptions'!$H$15-0</x:f>
        <x:v>890.6822641395003</x:v>
      </x:c>
      <x:c r="AN288" t="n">
        <x:f>AD288*(1-'Assumptions'!$F$15)+AX288*'Assumptions'!$G$15-AX288*'MOD Model'!$G$65-(AX288-AW288)*'Assumptions'!$H$15-0</x:f>
        <x:v>1210.1077376858232</x:v>
      </x:c>
      <x:c r="AO288" t="n">
        <x:f>AE288*(1-'Assumptions'!$F$15)+AY288*'Assumptions'!$G$15-AY288*'MOD Model'!$H$65-(AY288-AX288)*'Assumptions'!$H$15-0</x:f>
        <x:v>1566.5692174886797</x:v>
      </x:c>
      <x:c r="AP288" t="n">
        <x:f>AF288*(1-'Assumptions'!$F$15)+AZ288*'Assumptions'!$G$15-AZ288*'MOD Model'!$I$65-(AZ288-AY288)*'Assumptions'!$H$15-0</x:f>
        <x:v>1927.6957181384842</x:v>
      </x:c>
      <x:c r="AQ288" t="n">
        <x:f>AG288*(1-'Assumptions'!$F$15)+BA288*'Assumptions'!$G$15-BA288*'MOD Model'!$J$65-(BA288-AZ288)*'Assumptions'!$H$15-0</x:f>
        <x:v>2248.621543357605</x:v>
      </x:c>
      <x:c r="AR288" t="n">
        <x:f>AH288*(1-'Assumptions'!$F$15)+BB288*'Assumptions'!$G$15-BB288*'MOD Model'!$K$65-(BB288-BA288)*'Assumptions'!$H$15-0</x:f>
        <x:v>2478.998814800003</x:v>
      </x:c>
      <x:c r="AS288" t="n">
        <x:f>E288+O288</x:f>
        <x:v>3131.088</x:v>
      </x:c>
      <x:c r="AT288" t="n">
        <x:f>F288+P288</x:f>
        <x:v>4031.7705600000004</x:v>
      </x:c>
      <x:c r="AU288" t="n">
        <x:f>G288+Q288</x:f>
        <x:v>5273.6763072</x:v>
      </x:c>
      <x:c r="AV288" t="n">
        <x:f>H288+R288</x:f>
        <x:v>7014.610573824</x:v>
      </x:c>
      <x:c r="AW288" t="n">
        <x:f>I288+S288</x:f>
        <x:v>9449.585114350079</x:v>
      </x:c>
      <x:c r="AX288" t="n">
        <x:f>J288+T288</x:f>
        <x:v>12130.462420030337</x:v>
      </x:c>
      <x:c r="AY288" t="n">
        <x:f>K288+U288</x:f>
        <x:v>14802.52892133782</x:v>
      </x:c>
      <x:c r="AZ288" t="n">
        <x:f>L288+V288</x:f>
        <x:v>17124.329086603728</x:v>
      </x:c>
      <x:c r="BA288" t="n">
        <x:f>M288+W288</x:f>
        <x:v>18724.183126812975</x:v>
      </x:c>
      <x:c r="BB288" t="n">
        <x:f>N288+X288</x:f>
        <x:v>19285.908620617367</x:v>
      </x:c>
      <x:c r="BC288" t="n">
        <x:f>AS288/'Inputs'!$F$14-1</x:f>
        <x:v>0.28281219272369706</x:v>
      </x:c>
      <x:c r="BD288" t="n">
        <x:f>AT288/AS288-1</x:f>
        <x:v>0.2876580153607948</x:v>
      </x:c>
      <x:c r="BE288" t="n">
        <x:f>AU288/AT288-1</x:f>
        <x:v>0.3080298664614487</x:v>
      </x:c>
      <x:c r="BF288" t="n">
        <x:f>AV288/AU288-1</x:f>
        <x:v>0.33011777083230376</x:v>
      </x:c>
      <x:c r="BG288" t="n">
        <x:f>AW288/AV288-1</x:f>
        <x:v>0.347128969584217</x:v>
      </x:c>
      <x:c r="BH288" t="n">
        <x:f>AX288/AW288-1</x:f>
        <x:v>0.2837031756673736</x:v>
      </x:c>
      <x:c r="BI288" t="n">
        <x:f>AY288/AX288-1</x:f>
        <x:v>0.22027738175053013</x:v>
      </x:c>
      <x:c r="BJ288" t="n">
        <x:f>AZ288/AY288-1</x:f>
        <x:v>0.1568515878336867</x:v>
      </x:c>
      <x:c r="BK288" t="n">
        <x:f>BA288/AZ288-1</x:f>
        <x:v>0.09342579391684347</x:v>
      </x:c>
      <x:c r="BL288" t="n">
        <x:f>BB288/BA288-1</x:f>
        <x:v>0.030000000000000027</x:v>
      </x:c>
      <x:c r="BM288" t="n">
        <x:f>AH288*(1-'Assumptions'!$F$15)*(1+'Assumptions'!$D$15)*(1-'Assumptions'!$D$15/'Assumptions'!$E$15)</x:f>
        <x:v>2537.4695667400492</x:v>
      </x:c>
      <x:c r="BN288" t="n">
        <x:f>SUMPRODUCT(AI288:AR288,'MOD Model'!$B$83:$K$83)+BM288/('Assumptions'!$C$15-'Assumptions'!$D$15)*'MOD Model'!$K$83</x:f>
        <x:v>18113.322239496876</x:v>
      </x:c>
      <x:c r="BO288" t="n">
        <x:f>'MOD Model'!$B$94</x:f>
        <x:v>553.5</x:v>
      </x:c>
      <x:c r="BP288" t="n">
        <x:f>'Inputs'!$F$8</x:f>
        <x:v>54</x:v>
      </x:c>
    </x:row>
    <x:row r="289">
      <x:c r="A289" t="str">
        <x:v>MOD</x:v>
      </x:c>
      <x:c r="B289" s="22" t="n">
        <x:v>0.43</x:v>
      </x:c>
      <x:c r="C289" s="42" t="n">
        <x:f>(BN289+BO289)/BP289</x:f>
        <x:v>361.3098325596072</x:v>
      </x:c>
      <x:c r="D289" s="22" t="n">
        <x:f>C289/'Inputs'!$F$5-1</x:f>
        <x:v>0.8561072257248905</x:v>
      </x:c>
      <x:c r="E289" t="n">
        <x:f>'Inputs'!$F$24*(1+$B289)^1</x:f>
        <x:v>1993.992</x:v>
      </x:c>
      <x:c r="F289" t="n">
        <x:f>'Inputs'!$F$24*(1+$B289)^2</x:f>
        <x:v>2851.40856</x:v>
      </x:c>
      <x:c r="G289" t="n">
        <x:f>'Inputs'!$F$24*(1+$B289)^3</x:f>
        <x:v>4077.5142407999997</x:v>
      </x:c>
      <x:c r="H289" t="n">
        <x:f>'Inputs'!$F$24*(1+$B289)^4</x:f>
        <x:v>5830.845364343999</x:v>
      </x:c>
      <x:c r="I289" t="n">
        <x:f>'Inputs'!$F$24*(1+$B289)^5</x:f>
        <x:v>8338.108871011918</x:v>
      </x:c>
      <x:c r="J289" t="n">
        <x:f>I289*(1+($BG289+('Assumptions'!$D$15-$BG289)*(6-5)/5))</x:f>
        <x:v>10768.790377380865</x:v>
      </x:c>
      <x:c r="K289" t="n">
        <x:f>J289*(1+($BG289+('Assumptions'!$D$15-$BG289)*(7-5)/5))</x:f>
        <x:v>13204.002021367378</x:v>
      </x:c>
      <x:c r="L289" t="n">
        <x:f>K289*(1+($BG289+('Assumptions'!$D$15-$BG289)*(8-5)/5))</x:f>
        <x:v>15326.642554286967</x:v>
      </x:c>
      <x:c r="M289" t="n">
        <x:f>L289*(1+($BG289+('Assumptions'!$D$15-$BG289)*(9-5)/5))</x:f>
        <x:v>16788.477505344075</x:v>
      </x:c>
      <x:c r="N289" t="n">
        <x:f>M289*(1+($BG289+('Assumptions'!$D$15-$BG289)*(10-5)/5))</x:f>
        <x:v>17292.131830504397</x:v>
      </x:c>
      <x:c r="O289" t="n">
        <x:f>'MOD Model'!$B$68</x:f>
        <x:v>1151.0400000000002</x:v>
      </x:c>
      <x:c r="P289" t="n">
        <x:f>'MOD Model'!$C$68</x:f>
        <x:v>1220.1024000000002</x:v>
      </x:c>
      <x:c r="Q289" t="n">
        <x:f>'MOD Model'!$D$68</x:f>
        <x:v>1281.1075200000002</x:v>
      </x:c>
      <x:c r="R289" t="n">
        <x:f>'MOD Model'!$E$68</x:f>
        <x:v>1345.1628960000003</x:v>
      </x:c>
      <x:c r="S289" t="n">
        <x:f>'MOD Model'!$F$68</x:f>
        <x:v>1398.9694118400002</x:v>
      </x:c>
      <x:c r="T289" t="n">
        <x:f>S289*(1+($BG289+('Assumptions'!$D$15-$BG289)*(6-5)/5))</x:f>
        <x:v>1806.789593842811</x:v>
      </x:c>
      <x:c r="U289" t="n">
        <x:f>T289*(1+($BG289+('Assumptions'!$D$15-$BG289)*(7-5)/5))</x:f>
        <x:v>2215.369843153022</x:v>
      </x:c>
      <x:c r="V289" t="n">
        <x:f>U289*(1+($BG289+('Assumptions'!$D$15-$BG289)*(8-5)/5))</x:f>
        <x:v>2571.506855013108</x:v>
      </x:c>
      <x:c r="W289" t="n">
        <x:f>V289*(1+($BG289+('Assumptions'!$D$15-$BG289)*(9-5)/5))</x:f>
        <x:v>2816.7737870385868</x:v>
      </x:c>
      <x:c r="X289" t="n">
        <x:f>W289*(1+($BG289+('Assumptions'!$D$15-$BG289)*(10-5)/5))</x:f>
        <x:v>2901.2770006497444</x:v>
      </x:c>
      <x:c r="Y289" t="n">
        <x:f>E289*'MOD Model'!$B$62+O289*'MOD Model'!$B$63+'MOD Model'!$B$73+'MOD Model'!$B$74</x:f>
        <x:v>423.46416</x:v>
      </x:c>
      <x:c r="Z289" t="n">
        <x:f>F289*'MOD Model'!$C$62+P289*'MOD Model'!$C$63+'MOD Model'!$C$73+'MOD Model'!$C$74</x:f>
        <x:v>645.76656</x:v>
      </x:c>
      <x:c r="AA289" t="n">
        <x:f>G289*'MOD Model'!$D$62+Q289*'MOD Model'!$D$63+'MOD Model'!$D$73+'MOD Model'!$D$74</x:f>
        <x:v>962.3301897719999</x:v>
      </x:c>
      <x:c r="AB289" t="n">
        <x:f>H289*'MOD Model'!$E$62+R289*'MOD Model'!$E$63+'MOD Model'!$E$73+'MOD Model'!$E$74</x:f>
        <x:v>1372.7338395556797</x:v>
      </x:c>
      <x:c r="AC289" t="n">
        <x:f>I289*'MOD Model'!$F$62+S289*'MOD Model'!$F$63+'MOD Model'!$F$73+'MOD Model'!$F$74</x:f>
        <x:v>1926.811459648622</x:v>
      </x:c>
      <x:c r="AD289" t="n">
        <x:f>AX289*$AC289/$AW289</x:f>
        <x:v>2488.5053705437044</x:v>
      </x:c>
      <x:c r="AE289" t="n">
        <x:f>AY289*$AC289/$AW289</x:f>
        <x:v>3051.246128057167</x:v>
      </x:c>
      <x:c r="AF289" t="n">
        <x:f>AZ289*$AC289/$AW289</x:f>
        <x:v>3541.7564064445214</x:v>
      </x:c>
      <x:c r="AG289" t="n">
        <x:f>BA289*$AC289/$AW289</x:f>
        <x:v>3879.5644609308483</x:v>
      </x:c>
      <x:c r="AH289" t="n">
        <x:f>BB289*$AC289/$AW289</x:f>
        <x:v>3995.951394758774</x:v>
      </x:c>
      <x:c r="AI289" t="n">
        <x:f>Y289*(1-'Assumptions'!$F$15)+AS289*'Assumptions'!$G$15-AS289*'MOD Model'!$B$65-(AS289-'Inputs'!$F$14)*'Assumptions'!$H$15-'Assumptions'!$I$15</x:f>
        <x:v>101.88719999999996</x:v>
      </x:c>
      <x:c r="AJ289" t="n">
        <x:f>Z289*(1-'Assumptions'!$F$15)+AT289*'Assumptions'!$G$15-AT289*'MOD Model'!$C$65-(AT289-AS289)*'Assumptions'!$H$15-0</x:f>
        <x:v>223.20774720000003</x:v>
      </x:c>
      <x:c r="AK289" t="n">
        <x:f>AA289*(1-'Assumptions'!$F$15)+AU289*'Assumptions'!$G$15-AU289*'MOD Model'!$D$65-(AU289-AT289)*'Assumptions'!$H$15-0</x:f>
        <x:v>394.7154781890001</x:v>
      </x:c>
      <x:c r="AL289" t="n">
        <x:f>AB289*(1-'Assumptions'!$F$15)+AV289*'Assumptions'!$G$15-AV289*'MOD Model'!$E$65-(AV289-AU289)*'Assumptions'!$H$15-0</x:f>
        <x:v>613.4222395282798</x:v>
      </x:c>
      <x:c r="AM289" t="n">
        <x:f>AC289*(1-'Assumptions'!$F$15)+AW289*'Assumptions'!$G$15-AW289*'MOD Model'!$F$65-(AW289-AV289)*'Assumptions'!$H$15-0</x:f>
        <x:v>914.8919171174998</x:v>
      </x:c>
      <x:c r="AN289" t="n">
        <x:f>AD289*(1-'Assumptions'!$F$15)+AX289*'Assumptions'!$G$15-AX289*'MOD Model'!$G$65-(AX289-AW289)*'Assumptions'!$H$15-0</x:f>
        <x:v>1251.9700750836591</x:v>
      </x:c>
      <x:c r="AO289" t="n">
        <x:f>AE289*(1-'Assumptions'!$F$15)+AY289*'Assumptions'!$G$15-AY289*'MOD Model'!$H$65-(AY289-AX289)*'Assumptions'!$H$15-0</x:f>
        <x:v>1630.5752340805614</x:v>
      </x:c>
      <x:c r="AP289" t="n">
        <x:f>AF289*(1-'Assumptions'!$F$15)+AZ289*'Assumptions'!$G$15-AZ289*'MOD Model'!$I$65-(AZ289-AY289)*'Assumptions'!$H$15-0</x:f>
        <x:v>2016.0284319769385</x:v>
      </x:c>
      <x:c r="AQ289" t="n">
        <x:f>AG289*(1-'Assumptions'!$F$15)+BA289*'Assumptions'!$G$15-BA289*'MOD Model'!$J$65-(BA289-AZ289)*'Assumptions'!$H$15-0</x:f>
        <x:v>2359.529293850009</x:v>
      </x:c>
      <x:c r="AR289" t="n">
        <x:f>AH289*(1-'Assumptions'!$F$15)+BB289*'Assumptions'!$G$15-BB289*'MOD Model'!$K$65-(BB289-BA289)*'Assumptions'!$H$15-0</x:f>
        <x:v>2605.838782786046</x:v>
      </x:c>
      <x:c r="AS289" t="n">
        <x:f>E289+O289</x:f>
        <x:v>3145.032</x:v>
      </x:c>
      <x:c r="AT289" t="n">
        <x:f>F289+P289</x:f>
        <x:v>4071.51096</x:v>
      </x:c>
      <x:c r="AU289" t="n">
        <x:f>G289+Q289</x:f>
        <x:v>5358.6217608</x:v>
      </x:c>
      <x:c r="AV289" t="n">
        <x:f>H289+R289</x:f>
        <x:v>7176.008260343999</x:v>
      </x:c>
      <x:c r="AW289" t="n">
        <x:f>I289+S289</x:f>
        <x:v>9737.078282851919</x:v>
      </x:c>
      <x:c r="AX289" t="n">
        <x:f>J289+T289</x:f>
        <x:v>12575.579971223677</x:v>
      </x:c>
      <x:c r="AY289" t="n">
        <x:f>K289+U289</x:f>
        <x:v>15419.371864520399</x:v>
      </x:c>
      <x:c r="AZ289" t="n">
        <x:f>L289+V289</x:f>
        <x:v>17898.149409300077</x:v>
      </x:c>
      <x:c r="BA289" t="n">
        <x:f>M289+W289</x:f>
        <x:v>19605.25129238266</x:v>
      </x:c>
      <x:c r="BB289" t="n">
        <x:f>N289+X289</x:f>
        <x:v>20193.40883115414</x:v>
      </x:c>
      <x:c r="BC289" t="n">
        <x:f>AS289/'Inputs'!$F$14-1</x:f>
        <x:v>0.28852507374631275</x:v>
      </x:c>
      <x:c r="BD289" t="n">
        <x:f>AT289/AS289-1</x:f>
        <x:v>0.29458490724418707</x:v>
      </x:c>
      <x:c r="BE289" t="n">
        <x:f>AU289/AT289-1</x:f>
        <x:v>0.31612608032866496</x:v>
      </x:c>
      <x:c r="BF289" t="n">
        <x:f>AV289/AU289-1</x:f>
        <x:v>0.33915185297061856</x:v>
      </x:c>
      <x:c r="BG289" t="n">
        <x:f>AW289/AV289-1</x:f>
        <x:v>0.3568934050230803</x:v>
      </x:c>
      <x:c r="BH289" t="n">
        <x:f>AX289/AW289-1</x:f>
        <x:v>0.2915147240184641</x:v>
      </x:c>
      <x:c r="BI289" t="n">
        <x:f>AY289/AX289-1</x:f>
        <x:v>0.22613604301384793</x:v>
      </x:c>
      <x:c r="BJ289" t="n">
        <x:f>AZ289/AY289-1</x:f>
        <x:v>0.1607573620092324</x:v>
      </x:c>
      <x:c r="BK289" t="n">
        <x:f>BA289/AZ289-1</x:f>
        <x:v>0.09537868100461577</x:v>
      </x:c>
      <x:c r="BL289" t="n">
        <x:f>BB289/BA289-1</x:f>
        <x:v>0.030000000000000027</x:v>
      </x:c>
      <x:c r="BM289" t="n">
        <x:f>AH289*(1-'Assumptions'!$F$15)*(1+'Assumptions'!$D$15)*(1-'Assumptions'!$D$15/'Assumptions'!$E$15)</x:f>
        <x:v>2665.9352998441777</x:v>
      </x:c>
      <x:c r="BN289" t="n">
        <x:f>SUMPRODUCT(AI289:AR289,'MOD Model'!$B$83:$K$83)+BM289/('Assumptions'!$C$15-'Assumptions'!$D$15)*'MOD Model'!$K$83</x:f>
        <x:v>18957.230958218788</x:v>
      </x:c>
      <x:c r="BO289" t="n">
        <x:f>'MOD Model'!$B$94</x:f>
        <x:v>553.5</x:v>
      </x:c>
      <x:c r="BP289" t="n">
        <x:f>'Inputs'!$F$8</x:f>
        <x:v>54</x:v>
      </x:c>
    </x:row>
    <x:row r="290">
      <x:c r="A290" t="str">
        <x:v>MOD</x:v>
      </x:c>
      <x:c r="B290" s="22" t="n">
        <x:v>0.44</x:v>
      </x:c>
      <x:c r="C290" s="42" t="n">
        <x:f>(BN290+BO290)/BP290</x:f>
        <x:v>377.6338681378734</x:v>
      </x:c>
      <x:c r="D290" s="22" t="n">
        <x:f>C290/'Inputs'!$F$5-1</x:f>
        <x:v>0.9399664447645812</x:v>
      </x:c>
      <x:c r="E290" t="n">
        <x:f>'Inputs'!$F$24*(1+$B290)^1</x:f>
        <x:v>2007.9360000000001</x:v>
      </x:c>
      <x:c r="F290" t="n">
        <x:f>'Inputs'!$F$24*(1+$B290)^2</x:f>
        <x:v>2891.42784</x:v>
      </x:c>
      <x:c r="G290" t="n">
        <x:f>'Inputs'!$F$24*(1+$B290)^3</x:f>
        <x:v>4163.6560896</x:v>
      </x:c>
      <x:c r="H290" t="n">
        <x:f>'Inputs'!$F$24*(1+$B290)^4</x:f>
        <x:v>5995.664769024</x:v>
      </x:c>
      <x:c r="I290" t="n">
        <x:f>'Inputs'!$F$24*(1+$B290)^5</x:f>
        <x:v>8633.75726739456</x:v>
      </x:c>
      <x:c r="J290" t="n">
        <x:f>I290*(1+($BG290+('Assumptions'!$D$15-$BG290)*(6-5)/5))</x:f>
        <x:v>11218.375317650021</x:v>
      </x:c>
      <x:c r="K290" t="n">
        <x:f>J290*(1+($BG290+('Assumptions'!$D$15-$BG290)*(7-5)/5))</x:f>
        <x:v>13821.278813787927</x:v>
      </x:c>
      <x:c r="L290" t="n">
        <x:f>K290*(1+($BG290+('Assumptions'!$D$15-$BG290)*(8-5)/5))</x:f>
        <x:v>16097.380195526623</x:v>
      </x:c>
      <x:c r="M290" t="n">
        <x:f>L290*(1+($BG290+('Assumptions'!$D$15-$BG290)*(9-5)/5))</x:f>
        <x:v>17664.306862899095</x:v>
      </x:c>
      <x:c r="N290" t="n">
        <x:f>M290*(1+($BG290+('Assumptions'!$D$15-$BG290)*(10-5)/5))</x:f>
        <x:v>18194.236068786067</x:v>
      </x:c>
      <x:c r="O290" t="n">
        <x:f>'MOD Model'!$B$68</x:f>
        <x:v>1151.0400000000002</x:v>
      </x:c>
      <x:c r="P290" t="n">
        <x:f>'MOD Model'!$C$68</x:f>
        <x:v>1220.1024000000002</x:v>
      </x:c>
      <x:c r="Q290" t="n">
        <x:f>'MOD Model'!$D$68</x:f>
        <x:v>1281.1075200000002</x:v>
      </x:c>
      <x:c r="R290" t="n">
        <x:f>'MOD Model'!$E$68</x:f>
        <x:v>1345.1628960000003</x:v>
      </x:c>
      <x:c r="S290" t="n">
        <x:f>'MOD Model'!$F$68</x:f>
        <x:v>1398.9694118400002</x:v>
      </x:c>
      <x:c r="T290" t="n">
        <x:f>S290*(1+($BG290+('Assumptions'!$D$15-$BG290)*(6-5)/5))</x:f>
        <x:v>1817.7675644417684</x:v>
      </x:c>
      <x:c r="U290" t="n">
        <x:f>T290*(1+($BG290+('Assumptions'!$D$15-$BG290)*(7-5)/5))</x:f>
        <x:v>2239.5285962025328</x:v>
      </x:c>
      <x:c r="V290" t="n">
        <x:f>U290*(1+($BG290+('Assumptions'!$D$15-$BG290)*(8-5)/5))</x:f>
        <x:v>2608.336302127314</x:v>
      </x:c>
      <x:c r="W290" t="n">
        <x:f>V290*(1+($BG290+('Assumptions'!$D$15-$BG290)*(9-5)/5))</x:f>
        <x:v>2862.233002064535</x:v>
      </x:c>
      <x:c r="X290" t="n">
        <x:f>W290*(1+($BG290+('Assumptions'!$D$15-$BG290)*(10-5)/5))</x:f>
        <x:v>2948.099992126471</x:v>
      </x:c>
      <x:c r="Y290" t="n">
        <x:f>E290*'MOD Model'!$B$62+O290*'MOD Model'!$B$63+'MOD Model'!$B$73+'MOD Model'!$B$74</x:f>
        <x:v>425.9740800000001</x:v>
      </x:c>
      <x:c r="Z290" t="n">
        <x:f>F290*'MOD Model'!$C$62+P290*'MOD Model'!$C$63+'MOD Model'!$C$73+'MOD Model'!$C$74</x:f>
        <x:v>653.7704160000001</x:v>
      </x:c>
      <x:c r="AA290" t="n">
        <x:f>G290*'MOD Model'!$D$62+Q290*'MOD Model'!$D$63+'MOD Model'!$D$73+'MOD Model'!$D$74</x:f>
        <x:v>980.8506872640002</x:v>
      </x:c>
      <x:c r="AB290" t="n">
        <x:f>H290*'MOD Model'!$E$62+R290*'MOD Model'!$E$63+'MOD Model'!$E$73+'MOD Model'!$E$74</x:f>
        <x:v>1408.99410858528</x:v>
      </x:c>
      <x:c r="AC290" t="n">
        <x:f>I290*'MOD Model'!$F$62+S290*'MOD Model'!$F$63+'MOD Model'!$F$73+'MOD Model'!$F$74</x:f>
        <x:v>1991.8541068528032</x:v>
      </x:c>
      <x:c r="AD290" t="n">
        <x:f>AX290*$AC290/$AW290</x:f>
        <x:v>2588.1393530791906</x:v>
      </x:c>
      <x:c r="AE290" t="n">
        <x:f>AY290*$AC290/$AW290</x:f>
        <x:v>3188.6431497406393</x:v>
      </x:c>
      <x:c r="AF290" t="n">
        <x:f>AZ290*$AC290/$AW290</x:f>
        <x:v>3713.751945878673</x:v>
      </x:c>
      <x:c r="AG290" t="n">
        <x:f>BA290*$AC290/$AW290</x:f>
        <x:v>4075.250331909266</x:v>
      </x:c>
      <x:c r="AH290" t="n">
        <x:f>BB290*$AC290/$AW290</x:f>
        <x:v>4197.5078418665435</x:v>
      </x:c>
      <x:c r="AI290" t="n">
        <x:f>Y290*(1-'Assumptions'!$F$15)+AS290*'Assumptions'!$G$15-AS290*'MOD Model'!$B$65-(AS290-'Inputs'!$F$14)*'Assumptions'!$H$15-'Assumptions'!$I$15</x:f>
        <x:v>101.18999999999996</x:v>
      </x:c>
      <x:c r="AJ290" t="n">
        <x:f>Z290*(1-'Assumptions'!$F$15)+AT290*'Assumptions'!$G$15-AT290*'MOD Model'!$C$65-(AT290-AS290)*'Assumptions'!$H$15-0</x:f>
        <x:v>224.09876880000013</x:v>
      </x:c>
      <x:c r="AK290" t="n">
        <x:f>AA290*(1-'Assumptions'!$F$15)+AU290*'Assumptions'!$G$15-AU290*'MOD Model'!$D$65-(AU290-AT290)*'Assumptions'!$H$15-0</x:f>
        <x:v>399.5339197680001</x:v>
      </x:c>
      <x:c r="AL290" t="n">
        <x:f>AB290*(1-'Assumptions'!$F$15)+AV290*'Assumptions'!$G$15-AV290*'MOD Model'!$E$65-(AV290-AU290)*'Assumptions'!$H$15-0</x:f>
        <x:v>625.5194198248801</x:v>
      </x:c>
      <x:c r="AM290" t="n">
        <x:f>AC290*(1-'Assumptions'!$F$15)+AW290*'Assumptions'!$G$15-AW290*'MOD Model'!$F$65-(AW290-AV290)*'Assumptions'!$H$15-0</x:f>
        <x:v>939.6148278195001</x:v>
      </x:c>
      <x:c r="AN290" t="n">
        <x:f>AD290*(1-'Assumptions'!$F$15)+AX290*'Assumptions'!$G$15-AX290*'MOD Model'!$G$65-(AX290-AW290)*'Assumptions'!$H$15-0</x:f>
        <x:v>1295.049941149432</x:v>
      </x:c>
      <x:c r="AO290" t="n">
        <x:f>AE290*(1-'Assumptions'!$F$15)+AY290*'Assumptions'!$G$15-AY290*'MOD Model'!$H$65-(AY290-AX290)*'Assumptions'!$H$15-0</x:f>
        <x:v>1696.8705719708225</x:v>
      </x:c>
      <x:c r="AP290" t="n">
        <x:f>AF290*(1-'Assumptions'!$F$15)+AZ290*'Assumptions'!$G$15-AZ290*'MOD Model'!$I$65-(AZ290-AY290)*'Assumptions'!$H$15-0</x:f>
        <x:v>2107.991848794674</x:v>
      </x:c>
      <x:c r="AQ290" t="n">
        <x:f>AG290*(1-'Assumptions'!$F$15)+BA290*'Assumptions'!$G$15-BA290*'MOD Model'!$J$65-(BA290-AZ290)*'Assumptions'!$H$15-0</x:f>
        <x:v>2475.416145861041</x:v>
      </x:c>
      <x:c r="AR290" t="n">
        <x:f>AH290*(1-'Assumptions'!$F$15)+BB290*'Assumptions'!$G$15-BB290*'MOD Model'!$K$65-(BB290-BA290)*'Assumptions'!$H$15-0</x:f>
        <x:v>2738.6264110938832</x:v>
      </x:c>
      <x:c r="AS290" t="n">
        <x:f>E290+O290</x:f>
        <x:v>3158.9760000000006</x:v>
      </x:c>
      <x:c r="AT290" t="n">
        <x:f>F290+P290</x:f>
        <x:v>4111.53024</x:v>
      </x:c>
      <x:c r="AU290" t="n">
        <x:f>G290+Q290</x:f>
        <x:v>5444.763609600001</x:v>
      </x:c>
      <x:c r="AV290" t="n">
        <x:f>H290+R290</x:f>
        <x:v>7340.827665024</x:v>
      </x:c>
      <x:c r="AW290" t="n">
        <x:f>I290+S290</x:f>
        <x:v>10032.72667923456</x:v>
      </x:c>
      <x:c r="AX290" t="n">
        <x:f>J290+T290</x:f>
        <x:v>13036.14288209179</x:v>
      </x:c>
      <x:c r="AY290" t="n">
        <x:f>K290+U290</x:f>
        <x:v>16060.807409990459</x:v>
      </x:c>
      <x:c r="AZ290" t="n">
        <x:f>L290+V290</x:f>
        <x:v>18705.716497653935</x:v>
      </x:c>
      <x:c r="BA290" t="n">
        <x:f>M290+W290</x:f>
        <x:v>20526.53986496363</x:v>
      </x:c>
      <x:c r="BB290" t="n">
        <x:f>N290+X290</x:f>
        <x:v>21142.336060912538</x:v>
      </x:c>
      <x:c r="BC290" t="n">
        <x:f>AS290/'Inputs'!$F$14-1</x:f>
        <x:v>0.29423795476892844</x:v>
      </x:c>
      <x:c r="BD290" t="n">
        <x:f>AT290/AS290-1</x:f>
        <x:v>0.301538929070686</x:v>
      </x:c>
      <x:c r="BE290" t="n">
        <x:f>AU290/AT290-1</x:f>
        <x:v>0.32426694971845826</x:v>
      </x:c>
      <x:c r="BF290" t="n">
        <x:f>AV290/AU290-1</x:f>
        <x:v>0.3482362488760635</x:v>
      </x:c>
      <x:c r="BG290" t="n">
        <x:f>AW290/AV290-1</x:f>
        <x:v>0.36670238521418264</x:v>
      </x:c>
      <x:c r="BH290" t="n">
        <x:f>AX290/AW290-1</x:f>
        <x:v>0.2993619081713461</x:v>
      </x:c>
      <x:c r="BI290" t="n">
        <x:f>AY290/AX290-1</x:f>
        <x:v>0.23202143112850937</x:v>
      </x:c>
      <x:c r="BJ290" t="n">
        <x:f>AZ290/AY290-1</x:f>
        <x:v>0.16468095408567307</x:v>
      </x:c>
      <x:c r="BK290" t="n">
        <x:f>BA290/AZ290-1</x:f>
        <x:v>0.09734047704283677</x:v>
      </x:c>
      <x:c r="BL290" t="n">
        <x:f>BB290/BA290-1</x:f>
        <x:v>0.030000000000000027</x:v>
      </x:c>
      <x:c r="BM290" t="n">
        <x:f>AH290*(1-'Assumptions'!$F$15)*(1+'Assumptions'!$D$15)*(1-'Assumptions'!$D$15/'Assumptions'!$E$15)</x:f>
        <x:v>2800.4055158634637</x:v>
      </x:c>
      <x:c r="BN290" t="n">
        <x:f>SUMPRODUCT(AI290:AR290,'MOD Model'!$B$83:$K$83)+BM290/('Assumptions'!$C$15-'Assumptions'!$D$15)*'MOD Model'!$K$83</x:f>
        <x:v>19838.728879445163</x:v>
      </x:c>
      <x:c r="BO290" t="n">
        <x:f>'MOD Model'!$B$94</x:f>
        <x:v>553.5</x:v>
      </x:c>
      <x:c r="BP290" t="n">
        <x:f>'Inputs'!$F$8</x:f>
        <x:v>54</x:v>
      </x:c>
    </x:row>
    <x:row r="291">
      <x:c r="A291" t="str">
        <x:v>MOD</x:v>
      </x:c>
      <x:c r="B291" s="22" t="n">
        <x:v>0.45</x:v>
      </x:c>
      <x:c r="C291" s="42" t="n">
        <x:f>(BN291+BO291)/BP291</x:f>
        <x:v>394.68123003847165</x:v>
      </x:c>
      <x:c r="D291" s="22" t="n">
        <x:f>C291/'Inputs'!$F$5-1</x:f>
        <x:v>1.0275415084684663</x:v>
      </x:c>
      <x:c r="E291" t="n">
        <x:f>'Inputs'!$F$24*(1+$B291)^1</x:f>
        <x:v>2021.88</x:v>
      </x:c>
      <x:c r="F291" t="n">
        <x:f>'Inputs'!$F$24*(1+$B291)^2</x:f>
        <x:v>2931.726</x:v>
      </x:c>
      <x:c r="G291" t="n">
        <x:f>'Inputs'!$F$24*(1+$B291)^3</x:f>
        <x:v>4251.0027</x:v>
      </x:c>
      <x:c r="H291" t="n">
        <x:f>'Inputs'!$F$24*(1+$B291)^4</x:f>
        <x:v>6163.953915</x:v>
      </x:c>
      <x:c r="I291" t="n">
        <x:f>'Inputs'!$F$24*(1+$B291)^5</x:f>
        <x:v>8937.73317675</x:v>
      </x:c>
      <x:c r="J291" t="n">
        <x:f>I291*(1+($BG291+('Assumptions'!$D$15-$BG291)*(6-5)/5))</x:f>
        <x:v>11683.788829535966</x:v>
      </x:c>
      <x:c r="K291" t="n">
        <x:f>J291*(1+($BG291+('Assumptions'!$D$15-$BG291)*(7-5)/5))</x:f>
        <x:v>14463.738698536481</x:v>
      </x:c>
      <x:c r="L291" t="n">
        <x:f>K291*(1+($BG291+('Assumptions'!$D$15-$BG291)*(8-5)/5))</x:f>
        <x:v>16902.63576942446</x:v>
      </x:c>
      <x:c r="M291" t="n">
        <x:f>L291*(1+($BG291+('Assumptions'!$D$15-$BG291)*(9-5)/5))</x:f>
        <x:v>18581.249062051695</x:v>
      </x:c>
      <x:c r="N291" t="n">
        <x:f>M291*(1+($BG291+('Assumptions'!$D$15-$BG291)*(10-5)/5))</x:f>
        <x:v>19138.686533913246</x:v>
      </x:c>
      <x:c r="O291" t="n">
        <x:f>'MOD Model'!$B$68</x:f>
        <x:v>1151.0400000000002</x:v>
      </x:c>
      <x:c r="P291" t="n">
        <x:f>'MOD Model'!$C$68</x:f>
        <x:v>1220.1024000000002</x:v>
      </x:c>
      <x:c r="Q291" t="n">
        <x:f>'MOD Model'!$D$68</x:f>
        <x:v>1281.1075200000002</x:v>
      </x:c>
      <x:c r="R291" t="n">
        <x:f>'MOD Model'!$E$68</x:f>
        <x:v>1345.1628960000003</x:v>
      </x:c>
      <x:c r="S291" t="n">
        <x:f>'MOD Model'!$F$68</x:f>
        <x:v>1398.9694118400002</x:v>
      </x:c>
      <x:c r="T291" t="n">
        <x:f>S291*(1+($BG291+('Assumptions'!$D$15-$BG291)*(6-5)/5))</x:f>
        <x:v>1828.7929236283458</x:v>
      </x:c>
      <x:c r="U291" t="n">
        <x:f>T291*(1+($BG291+('Assumptions'!$D$15-$BG291)*(7-5)/5))</x:f>
        <x:v>2263.92169244157</x:v>
      </x:c>
      <x:c r="V291" t="n">
        <x:f>U291*(1+($BG291+('Assumptions'!$D$15-$BG291)*(8-5)/5))</x:f>
        <x:v>2645.667525901227</x:v>
      </x:c>
      <x:c r="W291" t="n">
        <x:f>V291*(1+($BG291+('Assumptions'!$D$15-$BG291)*(9-5)/5))</x:f>
        <x:v>2908.4107298270615</x:v>
      </x:c>
      <x:c r="X291" t="n">
        <x:f>W291*(1+($BG291+('Assumptions'!$D$15-$BG291)*(10-5)/5))</x:f>
        <x:v>2995.663051721873</x:v>
      </x:c>
      <x:c r="Y291" t="n">
        <x:f>E291*'MOD Model'!$B$62+O291*'MOD Model'!$B$63+'MOD Model'!$B$73+'MOD Model'!$B$74</x:f>
        <x:v>428.48400000000004</x:v>
      </x:c>
      <x:c r="Z291" t="n">
        <x:f>F291*'MOD Model'!$C$62+P291*'MOD Model'!$C$63+'MOD Model'!$C$73+'MOD Model'!$C$74</x:f>
        <x:v>661.830048</x:v>
      </x:c>
      <x:c r="AA291" t="n">
        <x:f>G291*'MOD Model'!$D$62+Q291*'MOD Model'!$D$63+'MOD Model'!$D$73+'MOD Model'!$D$74</x:f>
        <x:v>999.6302085000001</x:v>
      </x:c>
      <x:c r="AB291" t="n">
        <x:f>H291*'MOD Model'!$E$62+R291*'MOD Model'!$E$63+'MOD Model'!$E$73+'MOD Model'!$E$74</x:f>
        <x:v>1446.0177207</x:v>
      </x:c>
      <x:c r="AC291" t="n">
        <x:f>I291*'MOD Model'!$F$62+S291*'MOD Model'!$F$63+'MOD Model'!$F$73+'MOD Model'!$F$74</x:f>
        <x:v>2058.7288069110004</x:v>
      </x:c>
      <x:c r="AD291" t="n">
        <x:f>AX291*$AC291/$AW291</x:f>
        <x:v>2691.258752253023</x:v>
      </x:c>
      <x:c r="AE291" t="n">
        <x:f>AY291*$AC291/$AW291</x:f>
        <x:v>3331.595934388607</x:v>
      </x:c>
      <x:c r="AF291" t="n">
        <x:f>AZ291*$AC291/$AW291</x:f>
        <x:v>3893.374582020347</x:v>
      </x:c>
      <x:c r="AG291" t="n">
        <x:f>BA291*$AC291/$AW291</x:f>
        <x:v>4280.028498942494</x:v>
      </x:c>
      <x:c r="AH291" t="n">
        <x:f>BB291*$AC291/$AW291</x:f>
        <x:v>4408.429353910768</x:v>
      </x:c>
      <x:c r="AI291" t="n">
        <x:f>Y291*(1-'Assumptions'!$F$15)+AS291*'Assumptions'!$G$15-AS291*'MOD Model'!$B$65-(AS291-'Inputs'!$F$14)*'Assumptions'!$H$15-'Assumptions'!$I$15</x:f>
        <x:v>100.49280000000005</x:v>
      </x:c>
      <x:c r="AJ291" t="n">
        <x:f>Z291*(1-'Assumptions'!$F$15)+AT291*'Assumptions'!$G$15-AT291*'MOD Model'!$C$65-(AT291-AS291)*'Assumptions'!$H$15-0</x:f>
        <x:v>224.981424</x:v>
      </x:c>
      <x:c r="AK291" t="n">
        <x:f>AA291*(1-'Assumptions'!$F$15)+AU291*'Assumptions'!$G$15-AU291*'MOD Model'!$D$65-(AU291-AT291)*'Assumptions'!$H$15-0</x:f>
        <x:v>404.3776278749999</x:v>
      </x:c>
      <x:c r="AL291" t="n">
        <x:f>AB291*(1-'Assumptions'!$F$15)+AV291*'Assumptions'!$G$15-AV291*'MOD Model'!$E$65-(AV291-AU291)*'Assumptions'!$H$15-0</x:f>
        <x:v>637.7799656550001</x:v>
      </x:c>
      <x:c r="AM291" t="n">
        <x:f>AC291*(1-'Assumptions'!$F$15)+AW291*'Assumptions'!$G$15-AW291*'MOD Model'!$F$65-(AW291-AV291)*'Assumptions'!$H$15-0</x:f>
        <x:v>964.8581997159004</x:v>
      </x:c>
      <x:c r="AN291" t="n">
        <x:f>AD291*(1-'Assumptions'!$F$15)+AX291*'Assumptions'!$G$15-AX291*'MOD Model'!$G$65-(AX291-AW291)*'Assumptions'!$H$15-0</x:f>
        <x:v>1339.373463206156</x:v>
      </x:c>
      <x:c r="AO291" t="n">
        <x:f>AE291*(1-'Assumptions'!$F$15)+AY291*'Assumptions'!$G$15-AY291*'MOD Model'!$H$65-(AY291-AX291)*'Assumptions'!$H$15-0</x:f>
        <x:v>1765.520249254724</x:v>
      </x:c>
      <x:c r="AP291" t="n">
        <x:f>AF291*(1-'Assumptions'!$F$15)+AZ291*'Assumptions'!$G$15-AZ291*'MOD Model'!$I$65-(AZ291-AY291)*'Assumptions'!$H$15-0</x:f>
        <x:v>2203.709951433229</x:v>
      </x:c>
      <x:c r="AQ291" t="n">
        <x:f>AG291*(1-'Assumptions'!$F$15)+BA291*'Assumptions'!$G$15-BA291*'MOD Model'!$J$65-(BA291-AZ291)*'Assumptions'!$H$15-0</x:f>
        <x:v>2596.4730028457284</x:v>
      </x:c>
      <x:c r="AR291" t="n">
        <x:f>AH291*(1-'Assumptions'!$F$15)+BB291*'Assumptions'!$G$15-BB291*'MOD Model'!$K$65-(BB291-BA291)*'Assumptions'!$H$15-0</x:f>
        <x:v>2877.603302585095</x:v>
      </x:c>
      <x:c r="AS291" t="n">
        <x:f>E291+O291</x:f>
        <x:v>3172.92</x:v>
      </x:c>
      <x:c r="AT291" t="n">
        <x:f>F291+P291</x:f>
        <x:v>4151.8284</x:v>
      </x:c>
      <x:c r="AU291" t="n">
        <x:f>G291+Q291</x:f>
        <x:v>5532.1102200000005</x:v>
      </x:c>
      <x:c r="AV291" t="n">
        <x:f>H291+R291</x:f>
        <x:v>7509.116811</x:v>
      </x:c>
      <x:c r="AW291" t="n">
        <x:f>I291+S291</x:f>
        <x:v>10336.70258859</x:v>
      </x:c>
      <x:c r="AX291" t="n">
        <x:f>J291+T291</x:f>
        <x:v>13512.581753164312</x:v>
      </x:c>
      <x:c r="AY291" t="n">
        <x:f>K291+U291</x:f>
        <x:v>16727.66039097805</x:v>
      </x:c>
      <x:c r="AZ291" t="n">
        <x:f>L291+V291</x:f>
        <x:v>19548.303295325688</x:v>
      </x:c>
      <x:c r="BA291" t="n">
        <x:f>M291+W291</x:f>
        <x:v>21489.659791878756</x:v>
      </x:c>
      <x:c r="BB291" t="n">
        <x:f>N291+X291</x:f>
        <x:v>22134.34958563512</x:v>
      </x:c>
      <x:c r="BC291" t="n">
        <x:f>AS291/'Inputs'!$F$14-1</x:f>
        <x:v>0.2999508357915437</x:v>
      </x:c>
      <x:c r="BD291" t="n">
        <x:f>AT291/AS291-1</x:f>
        <x:v>0.3085197231572181</x:v>
      </x:c>
      <x:c r="BE291" t="n">
        <x:f>AU291/AT291-1</x:f>
        <x:v>0.3324515579690144</x:v>
      </x:c>
      <x:c r="BF291" t="n">
        <x:f>AV291/AU291-1</x:f>
        <x:v>0.35736934232666084</x:v>
      </x:c>
      <x:c r="BG291" t="n">
        <x:f>AW291/AV291-1</x:f>
        <x:v>0.37655370781393493</x:v>
      </x:c>
      <x:c r="BH291" t="n">
        <x:f>AX291/AW291-1</x:f>
        <x:v>0.307242966251148</x:v>
      </x:c>
      <x:c r="BI291" t="n">
        <x:f>AY291/AX291-1</x:f>
        <x:v>0.23793222468836106</x:v>
      </x:c>
      <x:c r="BJ291" t="n">
        <x:f>AZ291/AY291-1</x:f>
        <x:v>0.16862148312557412</x:v>
      </x:c>
      <x:c r="BK291" t="n">
        <x:f>BA291/AZ291-1</x:f>
        <x:v>0.09931074156278696</x:v>
      </x:c>
      <x:c r="BL291" t="n">
        <x:f>BB291/BA291-1</x:f>
        <x:v>0.030000000000000027</x:v>
      </x:c>
      <x:c r="BM291" t="n">
        <x:f>AH291*(1-'Assumptions'!$F$15)*(1+'Assumptions'!$D$15)*(1-'Assumptions'!$D$15/'Assumptions'!$E$15)</x:f>
        <x:v>2941.1237200920596</x:v>
      </x:c>
      <x:c r="BN291" t="n">
        <x:f>SUMPRODUCT(AI291:AR291,'MOD Model'!$B$83:$K$83)+BM291/('Assumptions'!$C$15-'Assumptions'!$D$15)*'MOD Model'!$K$83</x:f>
        <x:v>20759.286422077468</x:v>
      </x:c>
      <x:c r="BO291" t="n">
        <x:f>'MOD Model'!$B$94</x:f>
        <x:v>553.5</x:v>
      </x:c>
      <x:c r="BP291" t="n">
        <x:f>'Inputs'!$F$8</x:f>
        <x:v>54</x:v>
      </x:c>
    </x:row>
    <x:row r="292">
      <x:c r="A292" t="str">
        <x:v>MOD</x:v>
      </x:c>
      <x:c r="B292" s="22" t="n">
        <x:v>0.46</x:v>
      </x:c>
      <x:c r="C292" s="42" t="n">
        <x:f>(BN292+BO292)/BP292</x:f>
        <x:v>412.48003545698083</x:v>
      </x:c>
      <x:c r="D292" s="22" t="n">
        <x:f>C292/'Inputs'!$F$5-1</x:f>
        <x:v>1.1189768594317315</x:v>
      </x:c>
      <x:c r="E292" t="n">
        <x:f>'Inputs'!$F$24*(1+$B292)^1</x:f>
        <x:v>2035.824</x:v>
      </x:c>
      <x:c r="F292" t="n">
        <x:f>'Inputs'!$F$24*(1+$B292)^2</x:f>
        <x:v>2972.30304</x:v>
      </x:c>
      <x:c r="G292" t="n">
        <x:f>'Inputs'!$F$24*(1+$B292)^3</x:f>
        <x:v>4339.562438399999</x:v>
      </x:c>
      <x:c r="H292" t="n">
        <x:f>'Inputs'!$F$24*(1+$B292)^4</x:f>
        <x:v>6335.761160063998</x:v>
      </x:c>
      <x:c r="I292" t="n">
        <x:f>'Inputs'!$F$24*(1+$B292)^5</x:f>
        <x:v>9250.211293693437</x:v>
      </x:c>
      <x:c r="J292" t="n">
        <x:f>I292*(1+($BG292+('Assumptions'!$D$15-$BG292)*(6-5)/5))</x:f>
        <x:v>12165.472765419689</x:v>
      </x:c>
      <x:c r="K292" t="n">
        <x:f>J292*(1+($BG292+('Assumptions'!$D$15-$BG292)*(7-5)/5))</x:f>
        <x:v>15132.231967908485</x:v>
      </x:c>
      <x:c r="L292" t="n">
        <x:f>K292*(1+($BG292+('Assumptions'!$D$15-$BG292)*(8-5)/5))</x:f>
        <x:v>17743.723835216264</x:v>
      </x:c>
      <x:c r="M292" t="n">
        <x:f>L292*(1+($BG292+('Assumptions'!$D$15-$BG292)*(9-5)/5))</x:f>
        <x:v>19540.9687809138</x:v>
      </x:c>
      <x:c r="N292" t="n">
        <x:f>M292*(1+($BG292+('Assumptions'!$D$15-$BG292)*(10-5)/5))</x:f>
        <x:v>20127.197844341215</x:v>
      </x:c>
      <x:c r="O292" t="n">
        <x:f>'MOD Model'!$B$68</x:f>
        <x:v>1151.0400000000002</x:v>
      </x:c>
      <x:c r="P292" t="n">
        <x:f>'MOD Model'!$C$68</x:f>
        <x:v>1220.1024000000002</x:v>
      </x:c>
      <x:c r="Q292" t="n">
        <x:f>'MOD Model'!$D$68</x:f>
        <x:v>1281.1075200000002</x:v>
      </x:c>
      <x:c r="R292" t="n">
        <x:f>'MOD Model'!$E$68</x:f>
        <x:v>1345.1628960000003</x:v>
      </x:c>
      <x:c r="S292" t="n">
        <x:f>'MOD Model'!$F$68</x:f>
        <x:v>1398.9694118400002</x:v>
      </x:c>
      <x:c r="T292" t="n">
        <x:f>S292*(1+($BG292+('Assumptions'!$D$15-$BG292)*(6-5)/5))</x:f>
        <x:v>1839.8633003116302</x:v>
      </x:c>
      <x:c r="U292" t="n">
        <x:f>T292*(1+($BG292+('Assumptions'!$D$15-$BG292)*(7-5)/5))</x:f>
        <x:v>2288.545524403776</x:v>
      </x:c>
      <x:c r="V292" t="n">
        <x:f>U292*(1+($BG292+('Assumptions'!$D$15-$BG292)*(8-5)/5))</x:f>
        <x:v>2683.498366629478</x:v>
      </x:c>
      <x:c r="W292" t="n">
        <x:f>V292*(1+($BG292+('Assumptions'!$D$15-$BG292)*(9-5)/5))</x:f>
        <x:v>2955.307369125354</x:v>
      </x:c>
      <x:c r="X292" t="n">
        <x:f>W292*(1+($BG292+('Assumptions'!$D$15-$BG292)*(10-5)/5))</x:f>
        <x:v>3043.9665901991148</x:v>
      </x:c>
      <x:c r="Y292" t="n">
        <x:f>E292*'MOD Model'!$B$62+O292*'MOD Model'!$B$63+'MOD Model'!$B$73+'MOD Model'!$B$74</x:f>
        <x:v>430.99392</x:v>
      </x:c>
      <x:c r="Z292" t="n">
        <x:f>F292*'MOD Model'!$C$62+P292*'MOD Model'!$C$63+'MOD Model'!$C$73+'MOD Model'!$C$74</x:f>
        <x:v>669.9454559999999</x:v>
      </x:c>
      <x:c r="AA292" t="n">
        <x:f>G292*'MOD Model'!$D$62+Q292*'MOD Model'!$D$63+'MOD Model'!$D$73+'MOD Model'!$D$74</x:f>
        <x:v>1018.670552256</x:v>
      </x:c>
      <x:c r="AB292" t="n">
        <x:f>H292*'MOD Model'!$E$62+R292*'MOD Model'!$E$63+'MOD Model'!$E$73+'MOD Model'!$E$74</x:f>
        <x:v>1483.8153146140796</x:v>
      </x:c>
      <x:c r="AC292" t="n">
        <x:f>I292*'MOD Model'!$F$62+S292*'MOD Model'!$F$63+'MOD Model'!$F$73+'MOD Model'!$F$74</x:f>
        <x:v>2127.4739926385564</x:v>
      </x:c>
      <x:c r="AD292" t="n">
        <x:f>AX292*$AC292/$AW292</x:f>
        <x:v>2797.960618935111</x:v>
      </x:c>
      <x:c r="AE292" t="n">
        <x:f>AY292*$AC292/$AW292</x:f>
        <x:v>3480.2913079669584</x:v>
      </x:c>
      <x:c r="AF292" t="n">
        <x:f>AZ292*$AC292/$AW292</x:f>
        <x:v>4080.9133752133857</x:v>
      </x:c>
      <x:c r="AG292" t="n">
        <x:f>BA292*$AC292/$AW292</x:f>
        <x:v>4494.265217563132</x:v>
      </x:c>
      <x:c r="AH292" t="n">
        <x:f>BB292*$AC292/$AW292</x:f>
        <x:v>4629.093174090025</x:v>
      </x:c>
      <x:c r="AI292" t="n">
        <x:f>Y292*(1-'Assumptions'!$F$15)+AS292*'Assumptions'!$G$15-AS292*'MOD Model'!$B$65-(AS292-'Inputs'!$F$14)*'Assumptions'!$H$15-'Assumptions'!$I$15</x:f>
        <x:v>99.79559999999998</x:v>
      </x:c>
      <x:c r="AJ292" t="n">
        <x:f>Z292*(1-'Assumptions'!$F$15)+AT292*'Assumptions'!$G$15-AT292*'MOD Model'!$C$65-(AT292-AS292)*'Assumptions'!$H$15-0</x:f>
        <x:v>225.85571279999994</x:v>
      </x:c>
      <x:c r="AK292" t="n">
        <x:f>AA292*(1-'Assumptions'!$F$15)+AU292*'Assumptions'!$G$15-AU292*'MOD Model'!$D$65-(AU292-AT292)*'Assumptions'!$H$15-0</x:f>
        <x:v>409.24648747199996</x:v>
      </x:c>
      <x:c r="AL292" t="n">
        <x:f>AB292*(1-'Assumptions'!$F$15)+AV292*'Assumptions'!$G$15-AV292*'MOD Model'!$E$65-(AV292-AU292)*'Assumptions'!$H$15-0</x:f>
        <x:v>650.2048901896799</x:v>
      </x:c>
      <x:c r="AM292" t="n">
        <x:f>AC292*(1-'Assumptions'!$F$15)+AW292*'Assumptions'!$G$15-AW292*'MOD Model'!$F$65-(AW292-AV292)*'Assumptions'!$H$15-0</x:f>
        <x:v>990.6292864754998</x:v>
      </x:c>
      <x:c r="AN292" t="n">
        <x:f>AD292*(1-'Assumptions'!$F$15)+AX292*'Assumptions'!$G$15-AX292*'MOD Model'!$G$65-(AX292-AW292)*'Assumptions'!$H$15-0</x:f>
        <x:v>1384.9671191856817</x:v>
      </x:c>
      <x:c r="AO292" t="n">
        <x:f>AE292*(1-'Assumptions'!$F$15)+AY292*'Assumptions'!$G$15-AY292*'MOD Model'!$H$65-(AY292-AX292)*'Assumptions'!$H$15-0</x:f>
        <x:v>1836.5906046033938</x:v>
      </x:c>
      <x:c r="AP292" t="n">
        <x:f>AF292*(1-'Assumptions'!$F$15)+AZ292*'Assumptions'!$G$15-AZ292*'MOD Model'!$I$65-(AZ292-AY292)*'Assumptions'!$H$15-0</x:f>
        <x:v>2303.309991952331</x:v>
      </x:c>
      <x:c r="AQ292" t="n">
        <x:f>AG292*(1-'Assumptions'!$F$15)+BA292*'Assumptions'!$G$15-BA292*'MOD Model'!$J$65-(BA292-AZ292)*'Assumptions'!$H$15-0</x:f>
        <x:v>2722.8966786927494</x:v>
      </x:c>
      <x:c r="AR292" t="n">
        <x:f>AH292*(1-'Assumptions'!$F$15)+BB292*'Assumptions'!$G$15-BB292*'MOD Model'!$K$65-(BB292-BA292)*'Assumptions'!$H$15-0</x:f>
        <x:v>3023.0191713742374</x:v>
      </x:c>
      <x:c r="AS292" t="n">
        <x:f>E292+O292</x:f>
        <x:v>3186.8640000000005</x:v>
      </x:c>
      <x:c r="AT292" t="n">
        <x:f>F292+P292</x:f>
        <x:v>4192.40544</x:v>
      </x:c>
      <x:c r="AU292" t="n">
        <x:f>G292+Q292</x:f>
        <x:v>5620.6699584</x:v>
      </x:c>
      <x:c r="AV292" t="n">
        <x:f>H292+R292</x:f>
        <x:v>7680.924056063999</x:v>
      </x:c>
      <x:c r="AW292" t="n">
        <x:f>I292+S292</x:f>
        <x:v>10649.180705533438</x:v>
      </x:c>
      <x:c r="AX292" t="n">
        <x:f>J292+T292</x:f>
        <x:v>14005.336065731319</x:v>
      </x:c>
      <x:c r="AY292" t="n">
        <x:f>K292+U292</x:f>
        <x:v>17420.77749231226</x:v>
      </x:c>
      <x:c r="AZ292" t="n">
        <x:f>L292+V292</x:f>
        <x:v>20427.222201845743</x:v>
      </x:c>
      <x:c r="BA292" t="n">
        <x:f>M292+W292</x:f>
        <x:v>22496.276150039157</x:v>
      </x:c>
      <x:c r="BB292" t="n">
        <x:f>N292+X292</x:f>
        <x:v>23171.16443454033</x:v>
      </x:c>
      <x:c r="BC292" t="n">
        <x:f>AS292/'Inputs'!$F$14-1</x:f>
        <x:v>0.3056637168141594</x:v>
      </x:c>
      <x:c r="BD292" t="n">
        <x:f>AT292/AS292-1</x:f>
        <x:v>0.31552693808082166</x:v>
      </x:c>
      <x:c r="BE292" t="n">
        <x:f>AU292/AT292-1</x:f>
        <x:v>0.3406790060839151</x:v>
      </x:c>
      <x:c r="BF292" t="n">
        <x:f>AV292/AU292-1</x:f>
        <x:v>0.3665495595565049</x:v>
      </x:c>
      <x:c r="BG292" t="n">
        <x:f>AW292/AV292-1</x:f>
        <x:v>0.38644525421730136</x:v>
      </x:c>
      <x:c r="BH292" t="n">
        <x:f>AX292/AW292-1</x:f>
        <x:v>0.3151562033738411</x:v>
      </x:c>
      <x:c r="BI292" t="n">
        <x:f>AY292/AX292-1</x:f>
        <x:v>0.2438671525303806</x:v>
      </x:c>
      <x:c r="BJ292" t="n">
        <x:f>AZ292/AY292-1</x:f>
        <x:v>0.17257810168692056</x:v>
      </x:c>
      <x:c r="BK292" t="n">
        <x:f>BA292/AZ292-1</x:f>
        <x:v>0.1012890508434603</x:v>
      </x:c>
      <x:c r="BL292" t="n">
        <x:f>BB292/BA292-1</x:f>
        <x:v>0.029999999999999805</x:v>
      </x:c>
      <x:c r="BM292" t="n">
        <x:f>AH292*(1-'Assumptions'!$F$15)*(1+'Assumptions'!$D$15)*(1-'Assumptions'!$D$15/'Assumptions'!$E$15)</x:f>
        <x:v>3088.341593759379</x:v>
      </x:c>
      <x:c r="BN292" t="n">
        <x:f>SUMPRODUCT(AI292:AR292,'MOD Model'!$B$83:$K$83)+BM292/('Assumptions'!$C$15-'Assumptions'!$D$15)*'MOD Model'!$K$83</x:f>
        <x:v>21720.421914676965</x:v>
      </x:c>
      <x:c r="BO292" t="n">
        <x:f>'MOD Model'!$B$94</x:f>
        <x:v>553.5</x:v>
      </x:c>
      <x:c r="BP292" t="n">
        <x:f>'Inputs'!$F$8</x:f>
        <x:v>54</x:v>
      </x:c>
    </x:row>
    <x:row r="293">
      <x:c r="A293" t="str">
        <x:v>MOD</x:v>
      </x:c>
      <x:c r="B293" s="22" t="n">
        <x:v>0.47</x:v>
      </x:c>
      <x:c r="C293" s="42" t="n">
        <x:f>(BN293+BO293)/BP293</x:f>
        <x:v>431.05931181556156</x:v>
      </x:c>
      <x:c r="D293" s="22" t="n">
        <x:f>C293/'Inputs'!$F$5-1</x:f>
        <x:v>1.2144216162311805</x:v>
      </x:c>
      <x:c r="E293" t="n">
        <x:f>'Inputs'!$F$24*(1+$B293)^1</x:f>
        <x:v>2049.768</x:v>
      </x:c>
      <x:c r="F293" t="n">
        <x:f>'Inputs'!$F$24*(1+$B293)^2</x:f>
        <x:v>3013.1589599999998</x:v>
      </x:c>
      <x:c r="G293" t="n">
        <x:f>'Inputs'!$F$24*(1+$B293)^3</x:f>
        <x:v>4429.343671199999</x:v>
      </x:c>
      <x:c r="H293" t="n">
        <x:f>'Inputs'!$F$24*(1+$B293)^4</x:f>
        <x:v>6511.135196663999</x:v>
      </x:c>
      <x:c r="I293" t="n">
        <x:f>'Inputs'!$F$24*(1+$B293)^5</x:f>
        <x:v>9571.368739096079</x:v>
      </x:c>
      <x:c r="J293" t="n">
        <x:f>I293*(1+($BG293+('Assumptions'!$D$15-$BG293)*(6-5)/5))</x:f>
        <x:v>12663.877882980545</x:v>
      </x:c>
      <x:c r="K293" t="n">
        <x:f>J293*(1+($BG293+('Assumptions'!$D$15-$BG293)*(7-5)/5))</x:f>
        <x:v>15827.631080113317</x:v>
      </x:c>
      <x:c r="L293" t="n">
        <x:f>K293*(1+($BG293+('Assumptions'!$D$15-$BG293)*(8-5)/5))</x:f>
        <x:v>18621.999268166037</x:v>
      </x:c>
      <x:c r="M293" t="n">
        <x:f>L293*(1+($BG293+('Assumptions'!$D$15-$BG293)*(9-5)/5))</x:f>
        <x:v>20545.186196029048</x:v>
      </x:c>
      <x:c r="N293" t="n">
        <x:f>M293*(1+($BG293+('Assumptions'!$D$15-$BG293)*(10-5)/5))</x:f>
        <x:v>21161.54178190992</x:v>
      </x:c>
      <x:c r="O293" t="n">
        <x:f>'MOD Model'!$B$68</x:f>
        <x:v>1151.0400000000002</x:v>
      </x:c>
      <x:c r="P293" t="n">
        <x:f>'MOD Model'!$C$68</x:f>
        <x:v>1220.1024000000002</x:v>
      </x:c>
      <x:c r="Q293" t="n">
        <x:f>'MOD Model'!$D$68</x:f>
        <x:v>1281.1075200000002</x:v>
      </x:c>
      <x:c r="R293" t="n">
        <x:f>'MOD Model'!$E$68</x:f>
        <x:v>1345.1628960000003</x:v>
      </x:c>
      <x:c r="S293" t="n">
        <x:f>'MOD Model'!$F$68</x:f>
        <x:v>1398.9694118400002</x:v>
      </x:c>
      <x:c r="T293" t="n">
        <x:f>S293*(1+($BG293+('Assumptions'!$D$15-$BG293)*(6-5)/5))</x:f>
        <x:v>1850.9764148152562</x:v>
      </x:c>
      <x:c r="U293" t="n">
        <x:f>T293*(1+($BG293+('Assumptions'!$D$15-$BG293)*(7-5)/5))</x:f>
        <x:v>2313.396583763605</x:v>
      </x:c>
      <x:c r="V293" t="n">
        <x:f>U293*(1+($BG293+('Assumptions'!$D$15-$BG293)*(8-5)/5))</x:f>
        <x:v>2721.826739059629</x:v>
      </x:c>
      <x:c r="W293" t="n">
        <x:f>V293*(1+($BG293+('Assumptions'!$D$15-$BG293)*(9-5)/5))</x:f>
        <x:v>3002.923388731176</x:v>
      </x:c>
      <x:c r="X293" t="n">
        <x:f>W293*(1+($BG293+('Assumptions'!$D$15-$BG293)*(10-5)/5))</x:f>
        <x:v>3093.0110903931113</x:v>
      </x:c>
      <x:c r="Y293" t="n">
        <x:f>E293*'MOD Model'!$B$62+O293*'MOD Model'!$B$63+'MOD Model'!$B$73+'MOD Model'!$B$74</x:f>
        <x:v>433.50383999999997</x:v>
      </x:c>
      <x:c r="Z293" t="n">
        <x:f>F293*'MOD Model'!$C$62+P293*'MOD Model'!$C$63+'MOD Model'!$C$73+'MOD Model'!$C$74</x:f>
        <x:v>678.11664</x:v>
      </x:c>
      <x:c r="AA293" t="n">
        <x:f>G293*'MOD Model'!$D$62+Q293*'MOD Model'!$D$63+'MOD Model'!$D$73+'MOD Model'!$D$74</x:f>
        <x:v>1037.9735173079998</x:v>
      </x:c>
      <x:c r="AB293" t="n">
        <x:f>H293*'MOD Model'!$E$62+R293*'MOD Model'!$E$63+'MOD Model'!$E$73+'MOD Model'!$E$74</x:f>
        <x:v>1522.3976026660796</x:v>
      </x:c>
      <x:c r="AC293" t="n">
        <x:f>I293*'MOD Model'!$F$62+S293*'MOD Model'!$F$63+'MOD Model'!$F$73+'MOD Model'!$F$74</x:f>
        <x:v>2198.1286306271377</x:v>
      </x:c>
      <x:c r="AD293" t="n">
        <x:f>AX293*$AC293/$AW293</x:f>
        <x:v>2908.3439692006095</x:v>
      </x:c>
      <x:c r="AE293" t="n">
        <x:f>AY293*$AC293/$AW293</x:f>
        <x:v>3634.9209794927083</x:v>
      </x:c>
      <x:c r="AF293" t="n">
        <x:f>AZ293*$AC293/$AW293</x:f>
        <x:v>4276.666260246822</x:v>
      </x:c>
      <x:c r="AG293" t="n">
        <x:f>BA293*$AC293/$AW293</x:f>
        <x:v>4718.338957581725</x:v>
      </x:c>
      <x:c r="AH293" t="n">
        <x:f>BB293*$AC293/$AW293</x:f>
        <x:v>4859.889126309177</x:v>
      </x:c>
      <x:c r="AI293" t="n">
        <x:f>Y293*(1-'Assumptions'!$F$15)+AS293*'Assumptions'!$G$15-AS293*'MOD Model'!$B$65-(AS293-'Inputs'!$F$14)*'Assumptions'!$H$15-'Assumptions'!$I$15</x:f>
        <x:v>99.09839999999998</x:v>
      </x:c>
      <x:c r="AJ293" t="n">
        <x:f>Z293*(1-'Assumptions'!$F$15)+AT293*'Assumptions'!$G$15-AT293*'MOD Model'!$C$65-(AT293-AS293)*'Assumptions'!$H$15-0</x:f>
        <x:v>226.7216351999999</x:v>
      </x:c>
      <x:c r="AK293" t="n">
        <x:f>AA293*(1-'Assumptions'!$F$15)+AU293*'Assumptions'!$G$15-AU293*'MOD Model'!$D$65-(AU293-AT293)*'Assumptions'!$H$15-0</x:f>
        <x:v>414.140383521</x:v>
      </x:c>
      <x:c r="AL293" t="n">
        <x:f>AB293*(1-'Assumptions'!$F$15)+AV293*'Assumptions'!$G$15-AV293*'MOD Model'!$E$65-(AV293-AU293)*'Assumptions'!$H$15-0</x:f>
        <x:v>662.7952049266796</x:v>
      </x:c>
      <x:c r="AM293" t="n">
        <x:f>AC293*(1-'Assumptions'!$F$15)+AW293*'Assumptions'!$G$15-AW293*'MOD Model'!$F$65-(AW293-AV293)*'Assumptions'!$H$15-0</x:f>
        <x:v>1016.9353919655002</x:v>
      </x:c>
      <x:c r="AN293" t="n">
        <x:f>AD293*(1-'Assumptions'!$F$15)+AX293*'Assumptions'!$G$15-AX293*'MOD Model'!$G$65-(AX293-AW293)*'Assumptions'!$H$15-0</x:f>
        <x:v>1431.8577404045614</x:v>
      </x:c>
      <x:c r="AO293" t="n">
        <x:f>AE293*(1-'Assumptions'!$F$15)+AY293*'Assumptions'!$G$15-AY293*'MOD Model'!$H$65-(AY293-AX293)*'Assumptions'!$H$15-0</x:f>
        <x:v>1910.1493147492101</x:v>
      </x:c>
      <x:c r="AP293" t="n">
        <x:f>AF293*(1-'Assumptions'!$F$15)+AZ293*'Assumptions'!$G$15-AZ293*'MOD Model'!$I$65-(AZ293-AY293)*'Assumptions'!$H$15-0</x:f>
        <x:v>2406.92255357442</x:v>
      </x:c>
      <x:c r="AQ293" t="n">
        <x:f>AG293*(1-'Assumptions'!$F$15)+BA293*'Assumptions'!$G$15-BA293*'MOD Model'!$J$65-(BA293-AZ293)*'Assumptions'!$H$15-0</x:f>
        <x:v>2854.890037784707</x:v>
      </x:c>
      <x:c r="AR293" t="n">
        <x:f>AH293*(1-'Assumptions'!$F$15)+BB293*'Assumptions'!$G$15-BB293*'MOD Model'!$K$65-(BB293-BA293)*'Assumptions'!$H$15-0</x:f>
        <x:v>3175.132058515916</x:v>
      </x:c>
      <x:c r="AS293" t="n">
        <x:f>E293+O293</x:f>
        <x:v>3200.808</x:v>
      </x:c>
      <x:c r="AT293" t="n">
        <x:f>F293+P293</x:f>
        <x:v>4233.26136</x:v>
      </x:c>
      <x:c r="AU293" t="n">
        <x:f>G293+Q293</x:f>
        <x:v>5710.4511912</x:v>
      </x:c>
      <x:c r="AV293" t="n">
        <x:f>H293+R293</x:f>
        <x:v>7856.298092663999</x:v>
      </x:c>
      <x:c r="AW293" t="n">
        <x:f>I293+S293</x:f>
        <x:v>10970.338150936079</x:v>
      </x:c>
      <x:c r="AX293" t="n">
        <x:f>J293+T293</x:f>
        <x:v>14514.854297795802</x:v>
      </x:c>
      <x:c r="AY293" t="n">
        <x:f>K293+U293</x:f>
        <x:v>18141.02766387692</x:v>
      </x:c>
      <x:c r="AZ293" t="n">
        <x:f>L293+V293</x:f>
        <x:v>21343.826007225667</x:v>
      </x:c>
      <x:c r="BA293" t="n">
        <x:f>M293+W293</x:f>
        <x:v>23548.109584760223</x:v>
      </x:c>
      <x:c r="BB293" t="n">
        <x:f>N293+X293</x:f>
        <x:v>24254.552872303033</x:v>
      </x:c>
      <x:c r="BC293" t="n">
        <x:f>AS293/'Inputs'!$F$14-1</x:f>
        <x:v>0.3113765978367746</x:v>
      </x:c>
      <x:c r="BD293" t="n">
        <x:f>AT293/AS293-1</x:f>
        <x:v>0.32256022854229327</x:v>
      </x:c>
      <x:c r="BE293" t="n">
        <x:f>AU293/AT293-1</x:f>
        <x:v>0.3489484124835607</x:v>
      </x:c>
      <x:c r="BF293" t="n">
        <x:f>AV293/AU293-1</x:f>
        <x:v>0.375775368638265</x:v>
      </x:c>
      <x:c r="BG293" t="n">
        <x:f>AW293/AV293-1</x:f>
        <x:v>0.3963749874995053</x:v>
      </x:c>
      <x:c r="BH293" t="n">
        <x:f>AX293/AW293-1</x:f>
        <x:v>0.3230999899996041</x:v>
      </x:c>
      <x:c r="BI293" t="n">
        <x:f>AY293/AX293-1</x:f>
        <x:v>0.24982499249970314</x:v>
      </x:c>
      <x:c r="BJ293" t="n">
        <x:f>AZ293/AY293-1</x:f>
        <x:v>0.1765499949998024</x:v>
      </x:c>
      <x:c r="BK293" t="n">
        <x:f>BA293/AZ293-1</x:f>
        <x:v>0.10327499749990121</x:v>
      </x:c>
      <x:c r="BL293" t="n">
        <x:f>BB293/BA293-1</x:f>
        <x:v>0.03000000000000025</x:v>
      </x:c>
      <x:c r="BM293" t="n">
        <x:f>AH293*(1-'Assumptions'!$F$15)*(1+'Assumptions'!$D$15)*(1-'Assumptions'!$D$15/'Assumptions'!$E$15)</x:f>
        <x:v>3242.319211427407</x:v>
      </x:c>
      <x:c r="BN293" t="n">
        <x:f>SUMPRODUCT(AI293:AR293,'MOD Model'!$B$83:$K$83)+BM293/('Assumptions'!$C$15-'Assumptions'!$D$15)*'MOD Model'!$K$83</x:f>
        <x:v>22723.702838040324</x:v>
      </x:c>
      <x:c r="BO293" t="n">
        <x:f>'MOD Model'!$B$94</x:f>
        <x:v>553.5</x:v>
      </x:c>
      <x:c r="BP293" t="n">
        <x:f>'Inputs'!$F$8</x:f>
        <x:v>54</x:v>
      </x:c>
    </x:row>
    <x:row r="294">
      <x:c r="A294" t="str">
        <x:v>MOD</x:v>
      </x:c>
      <x:c r="B294" s="22" t="n">
        <x:v>0.48</x:v>
      </x:c>
      <x:c r="C294" s="42" t="n">
        <x:f>(BN294+BO294)/BP294</x:f>
        <x:v>450.44902024134</x:v>
      </x:c>
      <x:c r="D294" s="22" t="n">
        <x:f>C294/'Inputs'!$F$5-1</x:f>
        <x:v>1.3140296940375014</x:v>
      </x:c>
      <x:c r="E294" t="n">
        <x:f>'Inputs'!$F$24*(1+$B294)^1</x:f>
        <x:v>2063.712</x:v>
      </x:c>
      <x:c r="F294" t="n">
        <x:f>'Inputs'!$F$24*(1+$B294)^2</x:f>
        <x:v>3054.29376</x:v>
      </x:c>
      <x:c r="G294" t="n">
        <x:f>'Inputs'!$F$24*(1+$B294)^3</x:f>
        <x:v>4520.3547648</x:v>
      </x:c>
      <x:c r="H294" t="n">
        <x:f>'Inputs'!$F$24*(1+$B294)^4</x:f>
        <x:v>6690.125051904</x:v>
      </x:c>
      <x:c r="I294" t="n">
        <x:f>'Inputs'!$F$24*(1+$B294)^5</x:f>
        <x:v>9901.38507681792</x:v>
      </x:c>
      <x:c r="J294" t="n">
        <x:f>I294*(1+($BG294+('Assumptions'!$D$15-$BG294)*(6-5)/5))</x:f>
        <x:v>13179.463964466671</x:v>
      </x:c>
      <x:c r="K294" t="n">
        <x:f>J294*(1+($BG294+('Assumptions'!$D$15-$BG294)*(7-5)/5))</x:f>
        <x:v>16550.831079167252</x:v>
      </x:c>
      <x:c r="L294" t="n">
        <x:f>K294*(1+($BG294+('Assumptions'!$D$15-$BG294)*(8-5)/5))</x:f>
        <x:v>19538.858210234117</x:v>
      </x:c>
      <x:c r="M294" t="n">
        <x:f>L294*(1+($BG294+('Assumptions'!$D$15-$BG294)*(9-5)/5))</x:f>
        <x:v>21595.678449897732</x:v>
      </x:c>
      <x:c r="N294" t="n">
        <x:f>M294*(1+($BG294+('Assumptions'!$D$15-$BG294)*(10-5)/5))</x:f>
        <x:v>22243.548803394664</x:v>
      </x:c>
      <x:c r="O294" t="n">
        <x:f>'MOD Model'!$B$68</x:f>
        <x:v>1151.0400000000002</x:v>
      </x:c>
      <x:c r="P294" t="n">
        <x:f>'MOD Model'!$C$68</x:f>
        <x:v>1220.1024000000002</x:v>
      </x:c>
      <x:c r="Q294" t="n">
        <x:f>'MOD Model'!$D$68</x:f>
        <x:v>1281.1075200000002</x:v>
      </x:c>
      <x:c r="R294" t="n">
        <x:f>'MOD Model'!$E$68</x:f>
        <x:v>1345.1628960000003</x:v>
      </x:c>
      <x:c r="S294" t="n">
        <x:f>'MOD Model'!$F$68</x:f>
        <x:v>1398.9694118400002</x:v>
      </x:c>
      <x:c r="T294" t="n">
        <x:f>S294*(1+($BG294+('Assumptions'!$D$15-$BG294)*(6-5)/5))</x:f>
        <x:v>1862.1300765187355</x:v>
      </x:c>
      <x:c r="U294" t="n">
        <x:f>T294*(1+($BG294+('Assumptions'!$D$15-$BG294)*(7-5)/5))</x:f>
        <x:v>2338.471460371382</x:v>
      </x:c>
      <x:c r="V294" t="n">
        <x:f>U294*(1+($BG294+('Assumptions'!$D$15-$BG294)*(8-5)/5))</x:f>
        <x:v>2760.650632848732</x:v>
      </x:c>
      <x:c r="W294" t="n">
        <x:f>V294*(1+($BG294+('Assumptions'!$D$15-$BG294)*(9-5)/5))</x:f>
        <x:v>3051.259328361417</x:v>
      </x:c>
      <x:c r="X294" t="n">
        <x:f>W294*(1+($BG294+('Assumptions'!$D$15-$BG294)*(10-5)/5))</x:f>
        <x:v>3142.7971082122594</x:v>
      </x:c>
      <x:c r="Y294" t="n">
        <x:f>E294*'MOD Model'!$B$62+O294*'MOD Model'!$B$63+'MOD Model'!$B$73+'MOD Model'!$B$74</x:f>
        <x:v>436.01376000000005</x:v>
      </x:c>
      <x:c r="Z294" t="n">
        <x:f>F294*'MOD Model'!$C$62+P294*'MOD Model'!$C$63+'MOD Model'!$C$73+'MOD Model'!$C$74</x:f>
        <x:v>686.3435999999999</x:v>
      </x:c>
      <x:c r="AA294" t="n">
        <x:f>G294*'MOD Model'!$D$62+Q294*'MOD Model'!$D$63+'MOD Model'!$D$73+'MOD Model'!$D$74</x:f>
        <x:v>1057.540902432</x:v>
      </x:c>
      <x:c r="AB294" t="n">
        <x:f>H294*'MOD Model'!$E$62+R294*'MOD Model'!$E$63+'MOD Model'!$E$73+'MOD Model'!$E$74</x:f>
        <x:v>1561.77537081888</x:v>
      </x:c>
      <x:c r="AC294" t="n">
        <x:f>I294*'MOD Model'!$F$62+S294*'MOD Model'!$F$63+'MOD Model'!$F$73+'MOD Model'!$F$74</x:f>
        <x:v>2270.732224925943</x:v>
      </x:c>
      <x:c r="AD294" t="n">
        <x:f>AX294*$AC294/$AW294</x:f>
        <x:v>3022.5098104135704</x:v>
      </x:c>
      <x:c r="AE294" t="n">
        <x:f>AY294*$AC294/$AW294</x:f>
        <x:v>3795.681633346702</x:v>
      </x:c>
      <x:c r="AF294" t="n">
        <x:f>AZ294*$AC294/$AW294</x:f>
        <x:v>4480.940255532022</x:v>
      </x:c>
      <x:c r="AG294" t="n">
        <x:f>BA294*$AC294/$AW294</x:f>
        <x:v>4952.640726006508</x:v>
      </x:c>
      <x:c r="AH294" t="n">
        <x:f>BB294*$AC294/$AW294</x:f>
        <x:v>5101.219947786704</x:v>
      </x:c>
      <x:c r="AI294" t="n">
        <x:f>Y294*(1-'Assumptions'!$F$15)+AS294*'Assumptions'!$G$15-AS294*'MOD Model'!$B$65-(AS294-'Inputs'!$F$14)*'Assumptions'!$H$15-'Assumptions'!$I$15</x:f>
        <x:v>98.4012</x:v>
      </x:c>
      <x:c r="AJ294" t="n">
        <x:f>Z294*(1-'Assumptions'!$F$15)+AT294*'Assumptions'!$G$15-AT294*'MOD Model'!$C$65-(AT294-AS294)*'Assumptions'!$H$15-0</x:f>
        <x:v>227.57919119999994</x:v>
      </x:c>
      <x:c r="AK294" t="n">
        <x:f>AA294*(1-'Assumptions'!$F$15)+AU294*'Assumptions'!$G$15-AU294*'MOD Model'!$D$65-(AU294-AT294)*'Assumptions'!$H$15-0</x:f>
        <x:v>419.059200984</x:v>
      </x:c>
      <x:c r="AL294" t="n">
        <x:f>AB294*(1-'Assumptions'!$F$15)+AV294*'Assumptions'!$G$15-AV294*'MOD Model'!$E$65-(AV294-AU294)*'Assumptions'!$H$15-0</x:f>
        <x:v>675.55191969048</x:v>
      </x:c>
      <x:c r="AM294" t="n">
        <x:f>AC294*(1-'Assumptions'!$F$15)+AW294*'Assumptions'!$G$15-AW294*'MOD Model'!$F$65-(AW294-AV294)*'Assumptions'!$H$15-0</x:f>
        <x:v>1043.7838702515</x:v>
      </x:c>
      <x:c r="AN294" t="n">
        <x:f>AD294*(1-'Assumptions'!$F$15)+AX294*'Assumptions'!$G$15-AX294*'MOD Model'!$G$65-(AX294-AW294)*'Assumptions'!$H$15-0</x:f>
        <x:v>1480.0725143462741</x:v>
      </x:c>
      <x:c r="AO294" t="n">
        <x:f>AE294*(1-'Assumptions'!$F$15)+AY294*'Assumptions'!$G$15-AY294*'MOD Model'!$H$65-(AY294-AX294)*'Assumptions'!$H$15-0</x:f>
        <x:v>1986.2654121339624</x:v>
      </x:c>
      <x:c r="AP294" t="n">
        <x:f>AF294*(1-'Assumptions'!$F$15)+AZ294*'Assumptions'!$G$15-AZ294*'MOD Model'!$I$65-(AZ294-AY294)*'Assumptions'!$H$15-0</x:f>
        <x:v>2514.6816134711416</x:v>
      </x:c>
      <x:c r="AQ294" t="n">
        <x:f>AG294*(1-'Assumptions'!$F$15)+BA294*'Assumptions'!$G$15-BA294*'MOD Model'!$J$65-(BA294-AZ294)*'Assumptions'!$H$15-0</x:f>
        <x:v>2992.6621375545487</x:v>
      </x:c>
      <x:c r="AR294" t="n">
        <x:f>AH294*(1-'Assumptions'!$F$15)+BB294*'Assumptions'!$G$15-BB294*'MOD Model'!$K$65-(BB294-BA294)*'Assumptions'!$H$15-0</x:f>
        <x:v>3334.208552163758</x:v>
      </x:c>
      <x:c r="AS294" t="n">
        <x:f>E294+O294</x:f>
        <x:v>3214.7520000000004</x:v>
      </x:c>
      <x:c r="AT294" t="n">
        <x:f>F294+P294</x:f>
        <x:v>4274.39616</x:v>
      </x:c>
      <x:c r="AU294" t="n">
        <x:f>G294+Q294</x:f>
        <x:v>5801.462284800001</x:v>
      </x:c>
      <x:c r="AV294" t="n">
        <x:f>H294+R294</x:f>
        <x:v>8035.287947904</x:v>
      </x:c>
      <x:c r="AW294" t="n">
        <x:f>I294+S294</x:f>
        <x:v>11300.35448865792</x:v>
      </x:c>
      <x:c r="AX294" t="n">
        <x:f>J294+T294</x:f>
        <x:v>15041.594040985407</x:v>
      </x:c>
      <x:c r="AY294" t="n">
        <x:f>K294+U294</x:f>
        <x:v>18889.302539538636</x:v>
      </x:c>
      <x:c r="AZ294" t="n">
        <x:f>L294+V294</x:f>
        <x:v>22299.508843082847</x:v>
      </x:c>
      <x:c r="BA294" t="n">
        <x:f>M294+W294</x:f>
        <x:v>24646.937778259147</x:v>
      </x:c>
      <x:c r="BB294" t="n">
        <x:f>N294+X294</x:f>
        <x:v>25386.345911606924</x:v>
      </x:c>
      <x:c r="BC294" t="n">
        <x:f>AS294/'Inputs'!$F$14-1</x:f>
        <x:v>0.31708947885939054</x:v>
      </x:c>
      <x:c r="BD294" t="n">
        <x:f>AT294/AS294-1</x:f>
        <x:v>0.3296192552333741</x:v>
      </x:c>
      <x:c r="BE294" t="n">
        <x:f>AU294/AT294-1</x:f>
        <x:v>0.3572589127536556</x:v>
      </x:c>
      <x:c r="BF294" t="n">
        <x:f>AV294/AU294-1</x:f>
        <x:v>0.3850452788354217</x:v>
      </x:c>
      <x:c r="BG294" t="n">
        <x:f>AW294/AV294-1</x:f>
        <x:v>0.40634095030852135</x:v>
      </x:c>
      <x:c r="BH294" t="n">
        <x:f>AX294/AW294-1</x:f>
        <x:v>0.3310727602468171</x:v>
      </x:c>
      <x:c r="BI294" t="n">
        <x:f>AY294/AX294-1</x:f>
        <x:v>0.25580457018511304</x:v>
      </x:c>
      <x:c r="BJ294" t="n">
        <x:f>AZ294/AY294-1</x:f>
        <x:v>0.18053638012340834</x:v>
      </x:c>
      <x:c r="BK294" t="n">
        <x:f>BA294/AZ294-1</x:f>
        <x:v>0.10526819006170429</x:v>
      </x:c>
      <x:c r="BL294" t="n">
        <x:f>BB294/BA294-1</x:f>
        <x:v>0.030000000000000027</x:v>
      </x:c>
      <x:c r="BM294" t="n">
        <x:f>AH294*(1-'Assumptions'!$F$15)*(1+'Assumptions'!$D$15)*(1-'Assumptions'!$D$15/'Assumptions'!$E$15)</x:f>
        <x:v>3403.325262892698</x:v>
      </x:c>
      <x:c r="BN294" t="n">
        <x:f>SUMPRODUCT(AI294:AR294,'MOD Model'!$B$83:$K$83)+BM294/('Assumptions'!$C$15-'Assumptions'!$D$15)*'MOD Model'!$K$83</x:f>
        <x:v>23770.74709303236</x:v>
      </x:c>
      <x:c r="BO294" t="n">
        <x:f>'MOD Model'!$B$94</x:f>
        <x:v>553.5</x:v>
      </x:c>
      <x:c r="BP294" t="n">
        <x:f>'Inputs'!$F$8</x:f>
        <x:v>54</x:v>
      </x:c>
    </x:row>
    <x:row r="295">
      <x:c r="A295" t="str">
        <x:v>MOD</x:v>
      </x:c>
      <x:c r="B295" s="22" t="n">
        <x:v>0.49</x:v>
      </x:c>
      <x:c r="C295" s="42" t="n">
        <x:f>(BN295+BO295)/BP295</x:f>
        <x:v>470.6800795195612</x:v>
      </x:c>
      <x:c r="D295" s="22" t="n">
        <x:f>C295/'Inputs'!$F$5-1</x:f>
        <x:v>1.4179599276665016</x:v>
      </x:c>
      <x:c r="E295" t="n">
        <x:f>'Inputs'!$F$24*(1+$B295)^1</x:f>
        <x:v>2077.656</x:v>
      </x:c>
      <x:c r="F295" t="n">
        <x:f>'Inputs'!$F$24*(1+$B295)^2</x:f>
        <x:v>3095.70744</x:v>
      </x:c>
      <x:c r="G295" t="n">
        <x:f>'Inputs'!$F$24*(1+$B295)^3</x:f>
        <x:v>4612.6040856</x:v>
      </x:c>
      <x:c r="H295" t="n">
        <x:f>'Inputs'!$F$24*(1+$B295)^4</x:f>
        <x:v>6872.780087544</x:v>
      </x:c>
      <x:c r="I295" t="n">
        <x:f>'Inputs'!$F$24*(1+$B295)^5</x:f>
        <x:v>10240.442330440559</x:v>
      </x:c>
      <x:c r="J295" t="n">
        <x:f>I295*(1+($BG295+('Assumptions'!$D$15-$BG295)*(6-5)/5))</x:f>
        <x:v>13712.699936963634</x:v>
      </x:c>
      <x:c r="K295" t="n">
        <x:f>J295*(1+($BG295+('Assumptions'!$D$15-$BG295)*(7-5)/5))</x:f>
        <x:v>17302.750020447635</x:v>
      </x:c>
      <x:c r="L295" t="n">
        <x:f>K295*(1+($BG295+('Assumptions'!$D$15-$BG295)*(8-5)/5))</x:f>
        <x:v>20495.739037638163</x:v>
      </x:c>
      <x:c r="M295" t="n">
        <x:f>L295*(1+($BG295+('Assumptions'!$D$15-$BG295)*(9-5)/5))</x:f>
        <x:v>22694.28114880689</x:v>
      </x:c>
      <x:c r="N295" t="n">
        <x:f>M295*(1+($BG295+('Assumptions'!$D$15-$BG295)*(10-5)/5))</x:f>
        <x:v>23375.1095832711</x:v>
      </x:c>
      <x:c r="O295" t="n">
        <x:f>'MOD Model'!$B$68</x:f>
        <x:v>1151.0400000000002</x:v>
      </x:c>
      <x:c r="P295" t="n">
        <x:f>'MOD Model'!$C$68</x:f>
        <x:v>1220.1024000000002</x:v>
      </x:c>
      <x:c r="Q295" t="n">
        <x:f>'MOD Model'!$D$68</x:f>
        <x:v>1281.1075200000002</x:v>
      </x:c>
      <x:c r="R295" t="n">
        <x:f>'MOD Model'!$E$68</x:f>
        <x:v>1345.1628960000003</x:v>
      </x:c>
      <x:c r="S295" t="n">
        <x:f>'MOD Model'!$F$68</x:f>
        <x:v>1398.9694118400002</x:v>
      </x:c>
      <x:c r="T295" t="n">
        <x:f>S295*(1+($BG295+('Assumptions'!$D$15-$BG295)*(6-5)/5))</x:f>
        <x:v>1873.3221814576748</x:v>
      </x:c>
      <x:c r="U295" t="n">
        <x:f>T295*(1+($BG295+('Assumptions'!$D$15-$BG295)*(7-5)/5))</x:f>
        <x:v>2363.7668411417926</x:v>
      </x:c>
      <x:c r="V295" t="n">
        <x:f>U295*(1+($BG295+('Assumptions'!$D$15-$BG295)*(8-5)/5))</x:f>
        <x:v>2799.968112849793</x:v>
      </x:c>
      <x:c r="W295" t="n">
        <x:f>V295*(1+($BG295+('Assumptions'!$D$15-$BG295)*(9-5)/5))</x:f>
        <x:v>3100.3157994945814</x:v>
      </x:c>
      <x:c r="X295" t="n">
        <x:f>W295*(1+($BG295+('Assumptions'!$D$15-$BG295)*(10-5)/5))</x:f>
        <x:v>3193.3252734794187</x:v>
      </x:c>
      <x:c r="Y295" t="n">
        <x:f>E295*'MOD Model'!$B$62+O295*'MOD Model'!$B$63+'MOD Model'!$B$73+'MOD Model'!$B$74</x:f>
        <x:v>438.52368</x:v>
      </x:c>
      <x:c r="Z295" t="n">
        <x:f>F295*'MOD Model'!$C$62+P295*'MOD Model'!$C$63+'MOD Model'!$C$73+'MOD Model'!$C$74</x:f>
        <x:v>694.626336</x:v>
      </x:c>
      <x:c r="AA295" t="n">
        <x:f>G295*'MOD Model'!$D$62+Q295*'MOD Model'!$D$63+'MOD Model'!$D$73+'MOD Model'!$D$74</x:f>
        <x:v>1077.374506404</x:v>
      </x:c>
      <x:c r="AB295" t="n">
        <x:f>H295*'MOD Model'!$E$62+R295*'MOD Model'!$E$63+'MOD Model'!$E$73+'MOD Model'!$E$74</x:f>
        <x:v>1601.95947865968</x:v>
      </x:c>
      <x:c r="AC295" t="n">
        <x:f>I295*'MOD Model'!$F$62+S295*'MOD Model'!$F$63+'MOD Model'!$F$73+'MOD Model'!$F$74</x:f>
        <x:v>2345.3248207229235</x:v>
      </x:c>
      <x:c r="AD295" t="n">
        <x:f>AX295*$AC295/$AW295</x:f>
        <x:v>3140.5611675275045</x:v>
      </x:c>
      <x:c r="AE295" t="n">
        <x:f>AY295*$AC295/$AW295</x:f>
        <x:v>3962.775022822093</x:v>
      </x:c>
      <x:c r="AF295" t="n">
        <x:f>AZ295*$AC295/$AW295</x:f>
        <x:v>4694.05167598503</x:v>
      </x:c>
      <x:c r="AG295" t="n">
        <x:f>BA295*$AC295/$AW295</x:f>
        <x:v>5197.574396619965</x:v>
      </x:c>
      <x:c r="AH295" t="n">
        <x:f>BB295*$AC295/$AW295</x:f>
        <x:v>5353.501628518565</x:v>
      </x:c>
      <x:c r="AI295" t="n">
        <x:f>Y295*(1-'Assumptions'!$F$15)+AS295*'Assumptions'!$G$15-AS295*'MOD Model'!$B$65-(AS295-'Inputs'!$F$14)*'Assumptions'!$H$15-'Assumptions'!$I$15</x:f>
        <x:v>97.70400000000006</x:v>
      </x:c>
      <x:c r="AJ295" t="n">
        <x:f>Z295*(1-'Assumptions'!$F$15)+AT295*'Assumptions'!$G$15-AT295*'MOD Model'!$C$65-(AT295-AS295)*'Assumptions'!$H$15-0</x:f>
        <x:v>228.4283808</x:v>
      </x:c>
      <x:c r="AK295" t="n">
        <x:f>AA295*(1-'Assumptions'!$F$15)+AU295*'Assumptions'!$G$15-AU295*'MOD Model'!$D$65-(AU295-AT295)*'Assumptions'!$H$15-0</x:f>
        <x:v>424.00282482299986</x:v>
      </x:c>
      <x:c r="AL295" t="n">
        <x:f>AB295*(1-'Assumptions'!$F$15)+AV295*'Assumptions'!$G$15-AV295*'MOD Model'!$E$65-(AV295-AU295)*'Assumptions'!$H$15-0</x:f>
        <x:v>688.47604263228</x:v>
      </x:c>
      <x:c r="AM295" t="n">
        <x:f>AC295*(1-'Assumptions'!$F$15)+AW295*'Assumptions'!$G$15-AW295*'MOD Model'!$F$65-(AW295-AV295)*'Assumptions'!$H$15-0</x:f>
        <x:v>1071.1821255975005</x:v>
      </x:c>
      <x:c r="AN295" t="n">
        <x:f>AD295*(1-'Assumptions'!$F$15)+AX295*'Assumptions'!$G$15-AX295*'MOD Model'!$G$65-(AX295-AW295)*'Assumptions'!$H$15-0</x:f>
        <x:v>1529.638987448196</x:v>
      </x:c>
      <x:c r="AO295" t="n">
        <x:f>AE295*(1-'Assumptions'!$F$15)+AY295*'Assumptions'!$G$15-AY295*'MOD Model'!$H$65-(AY295-AX295)*'Assumptions'!$H$15-0</x:f>
        <x:v>2065.00930271751</x:v>
      </x:c>
      <x:c r="AP295" t="n">
        <x:f>AF295*(1-'Assumptions'!$F$15)+AZ295*'Assumptions'!$G$15-AZ295*'MOD Model'!$I$65-(AZ295-AY295)*'Assumptions'!$H$15-0</x:f>
        <x:v>2626.724606396674</x:v>
      </x:c>
      <x:c r="AQ295" t="n">
        <x:f>AG295*(1-'Assumptions'!$F$15)+BA295*'Assumptions'!$G$15-BA295*'MOD Model'!$J$65-(BA295-AZ295)*'Assumptions'!$H$15-0</x:f>
        <x:v>3136.428373568425</x:v>
      </x:c>
      <x:c r="AR295" t="n">
        <x:f>AH295*(1-'Assumptions'!$F$15)+BB295*'Assumptions'!$G$15-BB295*'MOD Model'!$K$65-(BB295-BA295)*'Assumptions'!$H$15-0</x:f>
        <x:v>3500.524012270309</x:v>
      </x:c>
      <x:c r="AS295" t="n">
        <x:f>E295+O295</x:f>
        <x:v>3228.696</x:v>
      </x:c>
      <x:c r="AT295" t="n">
        <x:f>F295+P295</x:f>
        <x:v>4315.80984</x:v>
      </x:c>
      <x:c r="AU295" t="n">
        <x:f>G295+Q295</x:f>
        <x:v>5893.7116056</x:v>
      </x:c>
      <x:c r="AV295" t="n">
        <x:f>H295+R295</x:f>
        <x:v>8217.942983544</x:v>
      </x:c>
      <x:c r="AW295" t="n">
        <x:f>I295+S295</x:f>
        <x:v>11639.41174228056</x:v>
      </x:c>
      <x:c r="AX295" t="n">
        <x:f>J295+T295</x:f>
        <x:v>15586.02211842131</x:v>
      </x:c>
      <x:c r="AY295" t="n">
        <x:f>K295+U295</x:f>
        <x:v>19666.51686158943</x:v>
      </x:c>
      <x:c r="AZ295" t="n">
        <x:f>L295+V295</x:f>
        <x:v>23295.707150487957</x:v>
      </x:c>
      <x:c r="BA295" t="n">
        <x:f>M295+W295</x:f>
        <x:v>25794.59694830147</x:v>
      </x:c>
      <x:c r="BB295" t="n">
        <x:f>N295+X295</x:f>
        <x:v>26568.43485675052</x:v>
      </x:c>
      <x:c r="BC295" t="n">
        <x:f>AS295/'Inputs'!$F$14-1</x:f>
        <x:v>0.3228023598820058</x:v>
      </x:c>
      <x:c r="BD295" t="n">
        <x:f>AT295/AS295-1</x:f>
        <x:v>0.33670368470738654</x:v>
      </x:c>
      <x:c r="BE295" t="n">
        <x:f>AU295/AT295-1</x:f>
        <x:v>0.3656096593912952</x:v>
      </x:c>
      <x:c r="BF295" t="n">
        <x:f>AV295/AU295-1</x:f>
        <x:v>0.39435783992816953</x:v>
      </x:c>
      <x:c r="BG295" t="n">
        <x:f>AW295/AV295-1</x:f>
        <x:v>0.4163412627208378</x:v>
      </x:c>
      <x:c r="BH295" t="n">
        <x:f>AX295/AW295-1</x:f>
        <x:v>0.33907301017667013</x:v>
      </x:c>
      <x:c r="BI295" t="n">
        <x:f>AY295/AX295-1</x:f>
        <x:v>0.2618047576325029</x:v>
      </x:c>
      <x:c r="BJ295" t="n">
        <x:f>AZ295/AY295-1</x:f>
        <x:v>0.1845365050883352</x:v>
      </x:c>
      <x:c r="BK295" t="n">
        <x:f>BA295/AZ295-1</x:f>
        <x:v>0.10726825254416772</x:v>
      </x:c>
      <x:c r="BL295" t="n">
        <x:f>BB295/BA295-1</x:f>
        <x:v>0.03000000000000025</x:v>
      </x:c>
      <x:c r="BM295" t="n">
        <x:f>AH295*(1-'Assumptions'!$F$15)*(1+'Assumptions'!$D$15)*(1-'Assumptions'!$D$15/'Assumptions'!$E$15)</x:f>
        <x:v>3571.637279662784</x:v>
      </x:c>
      <x:c r="BN295" t="n">
        <x:f>SUMPRODUCT(AI295:AR295,'MOD Model'!$B$83:$K$83)+BM295/('Assumptions'!$C$15-'Assumptions'!$D$15)*'MOD Model'!$K$83</x:f>
        <x:v>24863.224294056305</x:v>
      </x:c>
      <x:c r="BO295" t="n">
        <x:f>'MOD Model'!$B$94</x:f>
        <x:v>553.5</x:v>
      </x:c>
      <x:c r="BP295" t="n">
        <x:f>'Inputs'!$F$8</x:f>
        <x:v>54</x:v>
      </x:c>
    </x:row>
    <x:row r="296">
      <x:c r="A296" t="str">
        <x:v>MOD</x:v>
      </x:c>
      <x:c r="B296" s="22" t="n">
        <x:v>0.5</x:v>
      </x:c>
      <x:c r="C296" s="42" t="n">
        <x:f>(BN296+BO296)/BP296</x:f>
        <x:v>491.78439052856584</x:v>
      </x:c>
      <x:c r="D296" s="22" t="n">
        <x:f>C296/'Inputs'!$F$5-1</x:f>
        <x:v>1.5263761971055474</x:v>
      </x:c>
      <x:c r="E296" t="n">
        <x:f>'Inputs'!$F$24*(1+$B296)^1</x:f>
        <x:v>2091.6000000000004</x:v>
      </x:c>
      <x:c r="F296" t="n">
        <x:f>'Inputs'!$F$24*(1+$B296)^2</x:f>
        <x:v>3137.4</x:v>
      </x:c>
      <x:c r="G296" t="n">
        <x:f>'Inputs'!$F$24*(1+$B296)^3</x:f>
        <x:v>4706.1</x:v>
      </x:c>
      <x:c r="H296" t="n">
        <x:f>'Inputs'!$F$24*(1+$B296)^4</x:f>
        <x:v>7059.150000000001</x:v>
      </x:c>
      <x:c r="I296" t="n">
        <x:f>'Inputs'!$F$24*(1+$B296)^5</x:f>
        <x:v>10588.725</x:v>
      </x:c>
      <x:c r="J296" t="n">
        <x:f>I296*(1+($BG296+('Assumptions'!$D$15-$BG296)*(6-5)/5))</x:f>
        <x:v>14264.063993645732</x:v>
      </x:c>
      <x:c r="K296" t="n">
        <x:f>J296*(1+($BG296+('Assumptions'!$D$15-$BG296)*(7-5)/5))</x:f>
        <x:v>18084.329401932522</x:v>
      </x:c>
      <x:c r="L296" t="n">
        <x:f>K296*(1+($BG296+('Assumptions'!$D$15-$BG296)*(8-5)/5))</x:f>
        <x:v>21494.12334550226</x:v>
      </x:c>
      <x:c r="M296" t="n">
        <x:f>L296*(1+($BG296+('Assumptions'!$D$15-$BG296)*(9-5)/5))</x:f>
        <x:v>23842.889891424926</x:v>
      </x:c>
      <x:c r="N296" t="n">
        <x:f>M296*(1+($BG296+('Assumptions'!$D$15-$BG296)*(10-5)/5))</x:f>
        <x:v>24558.176588167673</x:v>
      </x:c>
      <x:c r="O296" t="n">
        <x:f>'MOD Model'!$B$68</x:f>
        <x:v>1151.0400000000002</x:v>
      </x:c>
      <x:c r="P296" t="n">
        <x:f>'MOD Model'!$C$68</x:f>
        <x:v>1220.1024000000002</x:v>
      </x:c>
      <x:c r="Q296" t="n">
        <x:f>'MOD Model'!$D$68</x:f>
        <x:v>1281.1075200000002</x:v>
      </x:c>
      <x:c r="R296" t="n">
        <x:f>'MOD Model'!$E$68</x:f>
        <x:v>1345.1628960000003</x:v>
      </x:c>
      <x:c r="S296" t="n">
        <x:f>'MOD Model'!$F$68</x:f>
        <x:v>1398.9694118400002</x:v>
      </x:c>
      <x:c r="T296" t="n">
        <x:f>S296*(1+($BG296+('Assumptions'!$D$15-$BG296)*(6-5)/5))</x:f>
        <x:v>1884.5507098955438</x:v>
      </x:c>
      <x:c r="U296" t="n">
        <x:f>T296*(1+($BG296+('Assumptions'!$D$15-$BG296)*(7-5)/5))</x:f>
        <x:v>2389.279508811718</x:v>
      </x:c>
      <x:c r="V296" t="n">
        <x:f>U296*(1+($BG296+('Assumptions'!$D$15-$BG296)*(8-5)/5))</x:f>
        <x:v>2839.7773192403915</x:v>
      </x:c>
      <x:c r="W296" t="n">
        <x:f>V296*(1+($BG296+('Assumptions'!$D$15-$BG296)*(9-5)/5))</x:f>
        <x:v>3150.0934860403513</x:v>
      </x:c>
      <x:c r="X296" t="n">
        <x:f>W296*(1+($BG296+('Assumptions'!$D$15-$BG296)*(10-5)/5))</x:f>
        <x:v>3244.596290621562</x:v>
      </x:c>
      <x:c r="Y296" t="n">
        <x:f>E296*'MOD Model'!$B$62+O296*'MOD Model'!$B$63+'MOD Model'!$B$73+'MOD Model'!$B$74</x:f>
        <x:v>441.0336000000001</x:v>
      </x:c>
      <x:c r="Z296" t="n">
        <x:f>F296*'MOD Model'!$C$62+P296*'MOD Model'!$C$63+'MOD Model'!$C$73+'MOD Model'!$C$74</x:f>
        <x:v>702.9648480000001</x:v>
      </x:c>
      <x:c r="AA296" t="n">
        <x:f>G296*'MOD Model'!$D$62+Q296*'MOD Model'!$D$63+'MOD Model'!$D$73+'MOD Model'!$D$74</x:f>
        <x:v>1097.476128</x:v>
      </x:c>
      <x:c r="AB296" t="n">
        <x:f>H296*'MOD Model'!$E$62+R296*'MOD Model'!$E$63+'MOD Model'!$E$73+'MOD Model'!$E$74</x:f>
        <x:v>1642.9608594000001</x:v>
      </x:c>
      <x:c r="AC296" t="n">
        <x:f>I296*'MOD Model'!$F$62+S296*'MOD Model'!$F$63+'MOD Model'!$F$73+'MOD Model'!$F$74</x:f>
        <x:v>2421.9470080260003</x:v>
      </x:c>
      <x:c r="AD296" t="n">
        <x:f>AX296*$AC296/$AW296</x:f>
        <x:v>3262.603109600229</x:v>
      </x:c>
      <x:c r="AE296" t="n">
        <x:f>AY296*$AC296/$AW296</x:f>
        <x:v>4136.408064915001</x:v>
      </x:c>
      <x:c r="AF296" t="n">
        <x:f>AZ296*$AC296/$AW296</x:f>
        <x:v>4916.3263496578675</x:v>
      </x:c>
      <x:c r="AG296" t="n">
        <x:f>BA296*$AC296/$AW296</x:f>
        <x:v>5453.557046313882</x:v>
      </x:c>
      <x:c r="AH296" t="n">
        <x:f>BB296*$AC296/$AW296</x:f>
        <x:v>5617.163757703298</x:v>
      </x:c>
      <x:c r="AI296" t="n">
        <x:f>Y296*(1-'Assumptions'!$F$15)+AS296*'Assumptions'!$G$15-AS296*'MOD Model'!$B$65-(AS296-'Inputs'!$F$14)*'Assumptions'!$H$15-'Assumptions'!$I$15</x:f>
        <x:v>97.0068</x:v>
      </x:c>
      <x:c r="AJ296" t="n">
        <x:f>Z296*(1-'Assumptions'!$F$15)+AT296*'Assumptions'!$G$15-AT296*'MOD Model'!$C$65-(AT296-AS296)*'Assumptions'!$H$15-0</x:f>
        <x:v>229.26920400000012</x:v>
      </x:c>
      <x:c r="AK296" t="n">
        <x:f>AA296*(1-'Assumptions'!$F$15)+AU296*'Assumptions'!$G$15-AU296*'MOD Model'!$D$65-(AU296-AT296)*'Assumptions'!$H$15-0</x:f>
        <x:v>428.9711399999999</x:v>
      </x:c>
      <x:c r="AL296" t="n">
        <x:f>AB296*(1-'Assumptions'!$F$15)+AV296*'Assumptions'!$G$15-AV296*'MOD Model'!$E$65-(AV296-AU296)*'Assumptions'!$H$15-0</x:f>
        <x:v>701.5685802300001</x:v>
      </x:c>
      <x:c r="AM296" t="n">
        <x:f>AC296*(1-'Assumptions'!$F$15)+AW296*'Assumptions'!$G$15-AW296*'MOD Model'!$F$65-(AW296-AV296)*'Assumptions'!$H$15-0</x:f>
        <x:v>1099.1376124659005</x:v>
      </x:c>
      <x:c r="AN296" t="n">
        <x:f>AD296*(1-'Assumptions'!$F$15)+AX296*'Assumptions'!$G$15-AX296*'MOD Model'!$G$65-(AX296-AW296)*'Assumptions'!$H$15-0</x:f>
        <x:v>1580.585067891861</x:v>
      </x:c>
      <x:c r="AO296" t="n">
        <x:f>AE296*(1-'Assumptions'!$F$15)+AY296*'Assumptions'!$G$15-AY296*'MOD Model'!$H$65-(AY296-AX296)*'Assumptions'!$H$15-0</x:f>
        <x:v>2146.4527839446428</x:v>
      </x:c>
      <x:c r="AP296" t="n">
        <x:f>AF296*(1-'Assumptions'!$F$15)+AZ296*'Assumptions'!$G$15-AZ296*'MOD Model'!$I$65-(AZ296-AY296)*'Assumptions'!$H$15-0</x:f>
        <x:v>2743.1924891724993</x:v>
      </x:c>
      <x:c r="AQ296" t="n">
        <x:f>AG296*(1-'Assumptions'!$F$15)+BA296*'Assumptions'!$G$15-BA296*'MOD Model'!$J$65-(BA296-AZ296)*'Assumptions'!$H$15-0</x:f>
        <x:v>3286.4106271650385</x:v>
      </x:c>
      <x:c r="AR296" t="n">
        <x:f>AH296*(1-'Assumptions'!$F$15)+BB296*'Assumptions'!$G$15-BB296*'MOD Model'!$K$65-(BB296-BA296)*'Assumptions'!$H$15-0</x:f>
        <x:v>3674.3627998970414</x:v>
      </x:c>
      <x:c r="AS296" t="n">
        <x:f>E296+O296</x:f>
        <x:v>3242.6400000000003</x:v>
      </x:c>
      <x:c r="AT296" t="n">
        <x:f>F296+P296</x:f>
        <x:v>4357.5024</x:v>
      </x:c>
      <x:c r="AU296" t="n">
        <x:f>G296+Q296</x:f>
        <x:v>5987.207520000001</x:v>
      </x:c>
      <x:c r="AV296" t="n">
        <x:f>H296+R296</x:f>
        <x:v>8404.312896000001</x:v>
      </x:c>
      <x:c r="AW296" t="n">
        <x:f>I296+S296</x:f>
        <x:v>11987.69441184</x:v>
      </x:c>
      <x:c r="AX296" t="n">
        <x:f>J296+T296</x:f>
        <x:v>16148.614703541276</x:v>
      </x:c>
      <x:c r="AY296" t="n">
        <x:f>K296+U296</x:f>
        <x:v>20473.60891074424</x:v>
      </x:c>
      <x:c r="AZ296" t="n">
        <x:f>L296+V296</x:f>
        <x:v>24333.90066474265</x:v>
      </x:c>
      <x:c r="BA296" t="n">
        <x:f>M296+W296</x:f>
        <x:v>26992.983377465276</x:v>
      </x:c>
      <x:c r="BB296" t="n">
        <x:f>N296+X296</x:f>
        <x:v>27802.772878789234</x:v>
      </x:c>
      <x:c r="BC296" t="n">
        <x:f>AS296/'Inputs'!$F$14-1</x:f>
        <x:v>0.3285152409046215</x:v>
      </x:c>
      <x:c r="BD296" t="n">
        <x:f>AT296/AS296-1</x:f>
        <x:v>0.34381318925320103</x:v>
      </x:c>
      <x:c r="BE296" t="n">
        <x:f>AU296/AT296-1</x:f>
        <x:v>0.3739998215491518</x:v>
      </x:c>
      <x:c r="BF296" t="n">
        <x:f>AV296/AU296-1</x:f>
        <x:v>0.40371164151664485</x:v>
      </x:c>
      <x:c r="BG296" t="n">
        <x:f>AW296/AV296-1</x:f>
        <x:v>0.4263741200717901</x:v>
      </x:c>
      <x:c r="BH296" t="n">
        <x:f>AX296/AW296-1</x:f>
        <x:v>0.34709929605743195</x:v>
      </x:c>
      <x:c r="BI296" t="n">
        <x:f>AY296/AX296-1</x:f>
        <x:v>0.2678244720430738</x:v>
      </x:c>
      <x:c r="BJ296" t="n">
        <x:f>AZ296/AY296-1</x:f>
        <x:v>0.1885496480287161</x:v>
      </x:c>
      <x:c r="BK296" t="n">
        <x:f>BA296/AZ296-1</x:f>
        <x:v>0.10927482401435817</x:v>
      </x:c>
      <x:c r="BL296" t="n">
        <x:f>BB296/BA296-1</x:f>
        <x:v>0.030000000000000027</x:v>
      </x:c>
      <x:c r="BM296" t="n">
        <x:f>AH296*(1-'Assumptions'!$F$15)*(1+'Assumptions'!$D$15)*(1-'Assumptions'!$D$15/'Assumptions'!$E$15)</x:f>
        <x:v>3747.541866076826</x:v>
      </x:c>
      <x:c r="BN296" t="n">
        <x:f>SUMPRODUCT(AI296:AR296,'MOD Model'!$B$83:$K$83)+BM296/('Assumptions'!$C$15-'Assumptions'!$D$15)*'MOD Model'!$K$83</x:f>
        <x:v>26002.857088542554</x:v>
      </x:c>
      <x:c r="BO296" t="n">
        <x:f>'MOD Model'!$B$94</x:f>
        <x:v>553.5</x:v>
      </x:c>
      <x:c r="BP296" t="n">
        <x:f>'Inputs'!$F$8</x:f>
        <x:v>54</x:v>
      </x:c>
    </x:row>
    <x:row r="297">
      <x:c r="A297" t="str">
        <x:v>MOD</x:v>
      </x:c>
      <x:c r="B297" s="22" t="n">
        <x:v>0.51</x:v>
      </x:c>
      <x:c r="C297" s="42" t="n">
        <x:f>(BN297+BO297)/BP297</x:f>
        <x:v>513.7948611637163</x:v>
      </x:c>
      <x:c r="D297" s="22" t="n">
        <x:f>C297/'Inputs'!$F$5-1</x:f>
        <x:v>1.6394475555518149</x:v>
      </x:c>
      <x:c r="E297" t="n">
        <x:f>'Inputs'!$F$24*(1+$B297)^1</x:f>
        <x:v>2105.5440000000003</x:v>
      </x:c>
      <x:c r="F297" t="n">
        <x:f>'Inputs'!$F$24*(1+$B297)^2</x:f>
        <x:v>3179.3714400000003</x:v>
      </x:c>
      <x:c r="G297" t="n">
        <x:f>'Inputs'!$F$24*(1+$B297)^3</x:f>
        <x:v>4800.8508744</x:v>
      </x:c>
      <x:c r="H297" t="n">
        <x:f>'Inputs'!$F$24*(1+$B297)^4</x:f>
        <x:v>7249.284820344001</x:v>
      </x:c>
      <x:c r="I297" t="n">
        <x:f>'Inputs'!$F$24*(1+$B297)^5</x:f>
        <x:v>10946.42007871944</x:v>
      </x:c>
      <x:c r="J297" t="n">
        <x:f>I297*(1+($BG297+('Assumptions'!$D$15-$BG297)*(6-5)/5))</x:f>
        <x:v>14834.043715995209</x:v>
      </x:c>
      <x:c r="K297" t="n">
        <x:f>J297*(1+($BG297+('Assumptions'!$D$15-$BG297)*(7-5)/5))</x:f>
        <x:v>18896.534601150088</x:v>
      </x:c>
      <x:c r="L297" t="n">
        <x:f>K297*(1+($BG297+('Assumptions'!$D$15-$BG297)*(8-5)/5))</x:f>
        <x:v>22535.536949789985</x:v>
      </x:c>
      <x:c r="M297" t="n">
        <x:f>L297*(1+($BG297+('Assumptions'!$D$15-$BG297)*(9-5)/5))</x:f>
        <x:v>25043.461828624495</x:v>
      </x:c>
      <x:c r="N297" t="n">
        <x:f>M297*(1+($BG297+('Assumptions'!$D$15-$BG297)*(10-5)/5))</x:f>
        <x:v>25794.76568348323</x:v>
      </x:c>
      <x:c r="O297" t="n">
        <x:f>'MOD Model'!$B$68</x:f>
        <x:v>1151.0400000000002</x:v>
      </x:c>
      <x:c r="P297" t="n">
        <x:f>'MOD Model'!$C$68</x:f>
        <x:v>1220.1024000000002</x:v>
      </x:c>
      <x:c r="Q297" t="n">
        <x:f>'MOD Model'!$D$68</x:f>
        <x:v>1281.1075200000002</x:v>
      </x:c>
      <x:c r="R297" t="n">
        <x:f>'MOD Model'!$E$68</x:f>
        <x:v>1345.1628960000003</x:v>
      </x:c>
      <x:c r="S297" t="n">
        <x:f>'MOD Model'!$F$68</x:f>
        <x:v>1398.9694118400002</x:v>
      </x:c>
      <x:c r="T297" t="n">
        <x:f>S297*(1+($BG297+('Assumptions'!$D$15-$BG297)*(6-5)/5))</x:f>
        <x:v>1895.8137238784254</x:v>
      </x:c>
      <x:c r="U297" t="n">
        <x:f>T297*(1+($BG297+('Assumptions'!$D$15-$BG297)*(7-5)/5))</x:f>
        <x:v>2415.006340582328</x:v>
      </x:c>
      <x:c r="V297" t="n">
        <x:f>U297*(1+($BG297+('Assumptions'!$D$15-$BG297)*(8-5)/5))</x:f>
        <x:v>2880.076467505201</x:v>
      </x:c>
      <x:c r="W297" t="n">
        <x:f>V297*(1+($BG297+('Assumptions'!$D$15-$BG297)*(9-5)/5))</x:f>
        <x:v>3200.593144871055</x:v>
      </x:c>
      <x:c r="X297" t="n">
        <x:f>W297*(1+($BG297+('Assumptions'!$D$15-$BG297)*(10-5)/5))</x:f>
        <x:v>3296.6109392171866</x:v>
      </x:c>
      <x:c r="Y297" t="n">
        <x:f>E297*'MOD Model'!$B$62+O297*'MOD Model'!$B$63+'MOD Model'!$B$73+'MOD Model'!$B$74</x:f>
        <x:v>443.54352000000006</x:v>
      </x:c>
      <x:c r="Z297" t="n">
        <x:f>F297*'MOD Model'!$C$62+P297*'MOD Model'!$C$63+'MOD Model'!$C$73+'MOD Model'!$C$74</x:f>
        <x:v>711.359136</x:v>
      </x:c>
      <x:c r="AA297" t="n">
        <x:f>G297*'MOD Model'!$D$62+Q297*'MOD Model'!$D$63+'MOD Model'!$D$73+'MOD Model'!$D$74</x:f>
        <x:v>1117.847565996</x:v>
      </x:c>
      <x:c r="AB297" t="n">
        <x:f>H297*'MOD Model'!$E$62+R297*'MOD Model'!$E$63+'MOD Model'!$E$73+'MOD Model'!$E$74</x:f>
        <x:v>1684.79051987568</x:v>
      </x:c>
      <x:c r="AC297" t="n">
        <x:f>I297*'MOD Model'!$F$62+S297*'MOD Model'!$F$63+'MOD Model'!$F$73+'MOD Model'!$F$74</x:f>
        <x:v>2500.6399253442773</x:v>
      </x:c>
      <x:c r="AD297" t="n">
        <x:f>AX297*$AC297/$AW297</x:f>
        <x:v>3388.7427765205493</x:v>
      </x:c>
      <x:c r="AE297" t="n">
        <x:f>AY297*$AC297/$AW297</x:f>
        <x:v>4316.792936363669</x:v>
      </x:c>
      <x:c r="AF297" t="n">
        <x:f>AZ297*$AC297/$AW297</x:f>
        <x:v>5148.099838162659</x:v>
      </x:c>
      <x:c r="AG297" t="n">
        <x:f>BA297*$AC297/$AW297</x:f>
        <x:v>5721.0192982855015</x:v>
      </x:c>
      <x:c r="AH297" t="n">
        <x:f>BB297*$AC297/$AW297</x:f>
        <x:v>5892.6498772340665</x:v>
      </x:c>
      <x:c r="AI297" t="n">
        <x:f>Y297*(1-'Assumptions'!$F$15)+AS297*'Assumptions'!$G$15-AS297*'MOD Model'!$B$65-(AS297-'Inputs'!$F$14)*'Assumptions'!$H$15-'Assumptions'!$I$15</x:f>
        <x:v>96.30959999999995</x:v>
      </x:c>
      <x:c r="AJ297" t="n">
        <x:f>Z297*(1-'Assumptions'!$F$15)+AT297*'Assumptions'!$G$15-AT297*'MOD Model'!$C$65-(AT297-AS297)*'Assumptions'!$H$15-0</x:f>
        <x:v>230.10166080000002</x:v>
      </x:c>
      <x:c r="AK297" t="n">
        <x:f>AA297*(1-'Assumptions'!$F$15)+AU297*'Assumptions'!$G$15-AU297*'MOD Model'!$D$65-(AU297-AT297)*'Assumptions'!$H$15-0</x:f>
        <x:v>433.96403147700005</x:v>
      </x:c>
      <x:c r="AL297" t="n">
        <x:f>AB297*(1-'Assumptions'!$F$15)+AV297*'Assumptions'!$G$15-AV297*'MOD Model'!$E$65-(AV297-AU297)*'Assumptions'!$H$15-0</x:f>
        <x:v>714.83053728828</x:v>
      </x:c>
      <x:c r="AM297" t="n">
        <x:f>AC297*(1-'Assumptions'!$F$15)+AW297*'Assumptions'!$G$15-AW297*'MOD Model'!$F$65-(AW297-AV297)*'Assumptions'!$H$15-0</x:f>
        <x:v>1127.6578355175002</x:v>
      </x:c>
      <x:c r="AN297" t="n">
        <x:f>AD297*(1-'Assumptions'!$F$15)+AX297*'Assumptions'!$G$15-AX297*'MOD Model'!$G$65-(AX297-AW297)*'Assumptions'!$H$15-0</x:f>
        <x:v>1632.9390283951784</x:v>
      </x:c>
      <x:c r="AO297" t="n">
        <x:f>AE297*(1-'Assumptions'!$F$15)+AY297*'Assumptions'!$G$15-AY297*'MOD Model'!$H$65-(AY297-AX297)*'Assumptions'!$H$15-0</x:f>
        <x:v>2230.669062867948</x:v>
      </x:c>
      <x:c r="AP297" t="n">
        <x:f>AF297*(1-'Assumptions'!$F$15)+AZ297*'Assumptions'!$G$15-AZ297*'MOD Model'!$I$65-(AZ297-AY297)*'Assumptions'!$H$15-0</x:f>
        <x:v>2864.22980602815</x:v>
      </x:c>
      <x:c r="AQ297" t="n">
        <x:f>AG297*(1-'Assumptions'!$F$15)+BA297*'Assumptions'!$G$15-BA297*'MOD Model'!$J$65-(BA297-AZ297)*'Assumptions'!$H$15-0</x:f>
        <x:v>3442.8374156816394</x:v>
      </x:c>
      <x:c r="AR297" t="n">
        <x:f>AH297*(1-'Assumptions'!$F$15)+BB297*'Assumptions'!$G$15-BB297*'MOD Model'!$K$65-(BB297-BA297)*'Assumptions'!$H$15-0</x:f>
        <x:v>3856.0185112043137</x:v>
      </x:c>
      <x:c r="AS297" t="n">
        <x:f>E297+O297</x:f>
        <x:v>3256.5840000000007</x:v>
      </x:c>
      <x:c r="AT297" t="n">
        <x:f>F297+P297</x:f>
        <x:v>4399.473840000001</x:v>
      </x:c>
      <x:c r="AU297" t="n">
        <x:f>G297+Q297</x:f>
        <x:v>6081.9583944000005</x:v>
      </x:c>
      <x:c r="AV297" t="n">
        <x:f>H297+R297</x:f>
        <x:v>8594.447716344</x:v>
      </x:c>
      <x:c r="AW297" t="n">
        <x:f>I297+S297</x:f>
        <x:v>12345.38949055944</x:v>
      </x:c>
      <x:c r="AX297" t="n">
        <x:f>J297+T297</x:f>
        <x:v>16729.857439873635</x:v>
      </x:c>
      <x:c r="AY297" t="n">
        <x:f>K297+U297</x:f>
        <x:v>21311.540941732415</x:v>
      </x:c>
      <x:c r="AZ297" t="n">
        <x:f>L297+V297</x:f>
        <x:v>25415.613417295186</x:v>
      </x:c>
      <x:c r="BA297" t="n">
        <x:f>M297+W297</x:f>
        <x:v>28244.05497349555</x:v>
      </x:c>
      <x:c r="BB297" t="n">
        <x:f>N297+X297</x:f>
        <x:v>29091.376622700416</x:v>
      </x:c>
      <x:c r="BC297" t="n">
        <x:f>AS297/'Inputs'!$F$14-1</x:f>
        <x:v>0.33422812192723717</x:v>
      </x:c>
      <x:c r="BD297" t="n">
        <x:f>AT297/AS297-1</x:f>
        <x:v>0.35094744677244605</x:v>
      </x:c>
      <x:c r="BE297" t="n">
        <x:f>AU297/AT297-1</x:f>
        <x:v>0.3824285847782196</x:v>
      </x:c>
      <x:c r="BF297" t="n">
        <x:f>AV297/AU297-1</x:f>
        <x:v>0.41310531230489667</x:v>
      </x:c>
      <x:c r="BG297" t="n">
        <x:f>AW297/AV297-1</x:f>
        <x:v>0.43643779077069733</x:v>
      </x:c>
      <x:c r="BH297" t="n">
        <x:f>AX297/AW297-1</x:f>
        <x:v>0.35515023261655787</x:v>
      </x:c>
      <x:c r="BI297" t="n">
        <x:f>AY297/AX297-1</x:f>
        <x:v>0.2738626744624184</x:v>
      </x:c>
      <x:c r="BJ297" t="n">
        <x:f>AZ297/AY297-1</x:f>
        <x:v>0.19257511630827895</x:v>
      </x:c>
      <x:c r="BK297" t="n">
        <x:f>BA297/AZ297-1</x:f>
        <x:v>0.11128755815413949</x:v>
      </x:c>
      <x:c r="BL297" t="n">
        <x:f>BB297/BA297-1</x:f>
        <x:v>0.030000000000000027</x:v>
      </x:c>
      <x:c r="BM297" t="n">
        <x:f>AH297*(1-'Assumptions'!$F$15)*(1+'Assumptions'!$D$15)*(1-'Assumptions'!$D$15/'Assumptions'!$E$15)</x:f>
        <x:v>3931.334935141046</x:v>
      </x:c>
      <x:c r="BN297" t="n">
        <x:f>SUMPRODUCT(AI297:AR297,'MOD Model'!$B$83:$K$83)+BM297/('Assumptions'!$C$15-'Assumptions'!$D$15)*'MOD Model'!$K$83</x:f>
        <x:v>27191.42250284068</x:v>
      </x:c>
      <x:c r="BO297" t="n">
        <x:f>'MOD Model'!$B$94</x:f>
        <x:v>553.5</x:v>
      </x:c>
      <x:c r="BP297" t="n">
        <x:f>'Inputs'!$F$8</x:f>
        <x:v>54</x:v>
      </x:c>
    </x:row>
    <x:row r="298">
      <x:c r="A298" t="str">
        <x:v>MOD</x:v>
      </x:c>
      <x:c r="B298" s="22" t="n">
        <x:v>0.52</x:v>
      </x:c>
      <x:c r="C298" s="42" t="n">
        <x:f>(BN298+BO298)/BP298</x:f>
        <x:v>536.7454317574267</x:v>
      </x:c>
      <x:c r="D298" s="22" t="n">
        <x:f>C298/'Inputs'!$F$5-1</x:f>
        <x:v>1.7573483599991095</x:v>
      </x:c>
      <x:c r="E298" t="n">
        <x:f>'Inputs'!$F$24*(1+$B298)^1</x:f>
        <x:v>2119.4880000000003</x:v>
      </x:c>
      <x:c r="F298" t="n">
        <x:f>'Inputs'!$F$24*(1+$B298)^2</x:f>
        <x:v>3221.6217600000004</x:v>
      </x:c>
      <x:c r="G298" t="n">
        <x:f>'Inputs'!$F$24*(1+$B298)^3</x:f>
        <x:v>4896.8650752</x:v>
      </x:c>
      <x:c r="H298" t="n">
        <x:f>'Inputs'!$F$24*(1+$B298)^4</x:f>
        <x:v>7443.234914304</x:v>
      </x:c>
      <x:c r="I298" t="n">
        <x:f>'Inputs'!$F$24*(1+$B298)^5</x:f>
        <x:v>11313.71706974208</x:v>
      </x:c>
      <x:c r="J298" t="n">
        <x:f>I298*(1+($BG298+('Assumptions'!$D$15-$BG298)*(6-5)/5))</x:f>
        <x:v>15423.136196975569</x:v>
      </x:c>
      <x:c r="K298" t="n">
        <x:f>J298*(1+($BG298+('Assumptions'!$D$15-$BG298)*(7-5)/5))</x:f>
        <x:v>19740.355317861937</x:v>
      </x:c>
      <x:c r="L298" t="n">
        <x:f>K298*(1+($BG298+('Assumptions'!$D$15-$BG298)*(8-5)/5))</x:f>
        <x:v>23621.550906717297</x:v>
      </x:c>
      <x:c r="M298" t="n">
        <x:f>L298*(1+($BG298+('Assumptions'!$D$15-$BG298)*(9-5)/5))</x:f>
        <x:v>26298.01725499996</x:v>
      </x:c>
      <x:c r="N298" t="n">
        <x:f>M298*(1+($BG298+('Assumptions'!$D$15-$BG298)*(10-5)/5))</x:f>
        <x:v>27086.95777264996</x:v>
      </x:c>
      <x:c r="O298" t="n">
        <x:f>'MOD Model'!$B$68</x:f>
        <x:v>1151.0400000000002</x:v>
      </x:c>
      <x:c r="P298" t="n">
        <x:f>'MOD Model'!$C$68</x:f>
        <x:v>1220.1024000000002</x:v>
      </x:c>
      <x:c r="Q298" t="n">
        <x:f>'MOD Model'!$D$68</x:f>
        <x:v>1281.1075200000002</x:v>
      </x:c>
      <x:c r="R298" t="n">
        <x:f>'MOD Model'!$E$68</x:f>
        <x:v>1345.1628960000003</x:v>
      </x:c>
      <x:c r="S298" t="n">
        <x:f>'MOD Model'!$F$68</x:f>
        <x:v>1398.9694118400002</x:v>
      </x:c>
      <x:c r="T298" t="n">
        <x:f>S298*(1+($BG298+('Assumptions'!$D$15-$BG298)*(6-5)/5))</x:f>
        <x:v>1907.1093647830642</x:v>
      </x:c>
      <x:c r="U298" t="n">
        <x:f>T298*(1+($BG298+('Assumptions'!$D$15-$BG298)*(7-5)/5))</x:f>
        <x:v>2440.9443066593763</x:v>
      </x:c>
      <x:c r="V298" t="n">
        <x:f>U298*(1+($BG298+('Assumptions'!$D$15-$BG298)*(8-5)/5))</x:f>
        <x:v>2920.863848283619</x:v>
      </x:c>
      <x:c r="W298" t="n">
        <x:f>V298*(1+($BG298+('Assumptions'!$D$15-$BG298)*(9-5)/5))</x:f>
        <x:v>3251.8156062235857</x:v>
      </x:c>
      <x:c r="X298" t="n">
        <x:f>W298*(1+($BG298+('Assumptions'!$D$15-$BG298)*(10-5)/5))</x:f>
        <x:v>3349.3700744102935</x:v>
      </x:c>
      <x:c r="Y298" t="n">
        <x:f>E298*'MOD Model'!$B$62+O298*'MOD Model'!$B$63+'MOD Model'!$B$73+'MOD Model'!$B$74</x:f>
        <x:v>446.05344</x:v>
      </x:c>
      <x:c r="Z298" t="n">
        <x:f>F298*'MOD Model'!$C$62+P298*'MOD Model'!$C$63+'MOD Model'!$C$73+'MOD Model'!$C$74</x:f>
        <x:v>719.8092000000001</x:v>
      </x:c>
      <x:c r="AA298" t="n">
        <x:f>G298*'MOD Model'!$D$62+Q298*'MOD Model'!$D$63+'MOD Model'!$D$73+'MOD Model'!$D$74</x:f>
        <x:v>1138.490619168</x:v>
      </x:c>
      <x:c r="AB298" t="n">
        <x:f>H298*'MOD Model'!$E$62+R298*'MOD Model'!$E$63+'MOD Model'!$E$73+'MOD Model'!$E$74</x:f>
        <x:v>1727.45954054688</x:v>
      </x:c>
      <x:c r="AC298" t="n">
        <x:f>I298*'MOD Model'!$F$62+S298*'MOD Model'!$F$63+'MOD Model'!$F$73+'MOD Model'!$F$74</x:f>
        <x:v>2581.445263369258</x:v>
      </x:c>
      <x:c r="AD298" t="n">
        <x:f>AX298*$AC298/$AW298</x:f>
        <x:v>3519.0894059443876</x:v>
      </x:c>
      <x:c r="AE298" t="n">
        <x:f>AY298*$AC298/$AW298</x:f>
        <x:v>4504.1471709423395</x:v>
      </x:c>
      <x:c r="AF298" t="n">
        <x:f>AZ298*$AC298/$AW298</x:f>
        <x:v>5389.717660932392</x:v>
      </x:c>
      <x:c r="AG298" t="n">
        <x:f>BA298*$AC298/$AW298</x:f>
        <x:v>6000.405672197907</x:v>
      </x:c>
      <x:c r="AH298" t="n">
        <x:f>BB298*$AC298/$AW298</x:f>
        <x:v>6180.417842363845</x:v>
      </x:c>
      <x:c r="AI298" t="n">
        <x:f>Y298*(1-'Assumptions'!$F$15)+AS298*'Assumptions'!$G$15-AS298*'MOD Model'!$B$65-(AS298-'Inputs'!$F$14)*'Assumptions'!$H$15-'Assumptions'!$I$15</x:f>
        <x:v>95.61239999999995</x:v>
      </x:c>
      <x:c r="AJ298" t="n">
        <x:f>Z298*(1-'Assumptions'!$F$15)+AT298*'Assumptions'!$G$15-AT298*'MOD Model'!$C$65-(AT298-AS298)*'Assumptions'!$H$15-0</x:f>
        <x:v>230.92575120000006</x:v>
      </x:c>
      <x:c r="AK298" t="n">
        <x:f>AA298*(1-'Assumptions'!$F$15)+AU298*'Assumptions'!$G$15-AU298*'MOD Model'!$D$65-(AU298-AT298)*'Assumptions'!$H$15-0</x:f>
        <x:v>438.9813842159999</x:v>
      </x:c>
      <x:c r="AL298" t="n">
        <x:f>AB298*(1-'Assumptions'!$F$15)+AV298*'Assumptions'!$G$15-AV298*'MOD Model'!$E$65-(AV298-AU298)*'Assumptions'!$H$15-0</x:f>
        <x:v>728.26291693848</x:v>
      </x:c>
      <x:c r="AM298" t="n">
        <x:f>AC298*(1-'Assumptions'!$F$15)+AW298*'Assumptions'!$G$15-AW298*'MOD Model'!$F$65-(AW298-AV298)*'Assumptions'!$H$15-0</x:f>
        <x:v>1156.7503496115005</x:v>
      </x:c>
      <x:c r="AN298" t="n">
        <x:f>AD298*(1-'Assumptions'!$F$15)+AX298*'Assumptions'!$G$15-AX298*'MOD Model'!$G$65-(AX298-AW298)*'Assumptions'!$H$15-0</x:f>
        <x:v>1686.7295090054283</x:v>
      </x:c>
      <x:c r="AO298" t="n">
        <x:f>AE298*(1-'Assumptions'!$F$15)+AY298*'Assumptions'!$G$15-AY298*'MOD Model'!$H$65-(AY298-AX298)*'Assumptions'!$H$15-0</x:f>
        <x:v>2317.732774424533</x:v>
      </x:c>
      <x:c r="AP298" t="n">
        <x:f>AF298*(1-'Assumptions'!$F$15)+AZ298*'Assumptions'!$G$15-AZ298*'MOD Model'!$I$65-(AZ298-AY298)*'Assumptions'!$H$15-0</x:f>
        <x:v>2989.984754802341</x:v>
      </x:c>
      <x:c r="AQ298" t="n">
        <x:f>AG298*(1-'Assumptions'!$F$15)+BA298*'Assumptions'!$G$15-BA298*'MOD Model'!$J$65-(BA298-AZ298)*'Assumptions'!$H$15-0</x:f>
        <x:v>3605.9440452966824</x:v>
      </x:c>
      <x:c r="AR298" t="n">
        <x:f>AH298*(1-'Assumptions'!$F$15)+BB298*'Assumptions'!$G$15-BB298*'MOD Model'!$K$65-(BB298-BA298)*'Assumptions'!$H$15-0</x:f>
        <x:v>4045.7942161914743</x:v>
      </x:c>
      <x:c r="AS298" t="n">
        <x:f>E298+O298</x:f>
        <x:v>3270.5280000000002</x:v>
      </x:c>
      <x:c r="AT298" t="n">
        <x:f>F298+P298</x:f>
        <x:v>4441.724160000001</x:v>
      </x:c>
      <x:c r="AU298" t="n">
        <x:f>G298+Q298</x:f>
        <x:v>6177.972595200001</x:v>
      </x:c>
      <x:c r="AV298" t="n">
        <x:f>H298+R298</x:f>
        <x:v>8788.397810304</x:v>
      </x:c>
      <x:c r="AW298" t="n">
        <x:f>I298+S298</x:f>
        <x:v>12712.68648158208</x:v>
      </x:c>
      <x:c r="AX298" t="n">
        <x:f>J298+T298</x:f>
        <x:v>17330.245561758635</x:v>
      </x:c>
      <x:c r="AY298" t="n">
        <x:f>K298+U298</x:f>
        <x:v>22181.299624521314</x:v>
      </x:c>
      <x:c r="AZ298" t="n">
        <x:f>L298+V298</x:f>
        <x:v>26542.414755000915</x:v>
      </x:c>
      <x:c r="BA298" t="n">
        <x:f>M298+W298</x:f>
        <x:v>29549.832861223545</x:v>
      </x:c>
      <x:c r="BB298" t="n">
        <x:f>N298+X298</x:f>
        <x:v>30436.327847060253</x:v>
      </x:c>
      <x:c r="BC298" t="n">
        <x:f>AS298/'Inputs'!$F$14-1</x:f>
        <x:v>0.3399410029498524</x:v>
      </x:c>
      <x:c r="BD298" t="n">
        <x:f>AT298/AS298-1</x:f>
        <x:v>0.3581061406598569</x:v>
      </x:c>
      <x:c r="BE298" t="n">
        <x:f>AU298/AT298-1</x:f>
        <x:v>0.3908951507695606</x:v>
      </x:c>
      <x:c r="BF298" t="n">
        <x:f>AV298/AU298-1</x:f>
        <x:v>0.4225375193687617</x:v>
      </x:c>
      <x:c r="BG298" t="n">
        <x:f>AW298/AV298-1</x:f>
        <x:v>0.4465306141100063</x:v>
      </x:c>
      <x:c r="BH298" t="n">
        <x:f>AX298/AW298-1</x:f>
        <x:v>0.3632244912880054</x:v>
      </x:c>
      <x:c r="BI298" t="n">
        <x:f>AY298/AX298-1</x:f>
        <x:v>0.2799183684660038</x:v>
      </x:c>
      <x:c r="BJ298" t="n">
        <x:f>AZ298/AY298-1</x:f>
        <x:v>0.19661224564400226</x:v>
      </x:c>
      <x:c r="BK298" t="n">
        <x:f>BA298/AZ298-1</x:f>
        <x:v>0.11330612282200114</x:v>
      </x:c>
      <x:c r="BL298" t="n">
        <x:f>BB298/BA298-1</x:f>
        <x:v>0.030000000000000027</x:v>
      </x:c>
      <x:c r="BM298" t="n">
        <x:f>AH298*(1-'Assumptions'!$F$15)*(1+'Assumptions'!$D$15)*(1-'Assumptions'!$D$15/'Assumptions'!$E$15)</x:f>
        <x:v>4123.321949149788</x:v>
      </x:c>
      <x:c r="BN298" t="n">
        <x:f>SUMPRODUCT(AI298:AR298,'MOD Model'!$B$83:$K$83)+BM298/('Assumptions'!$C$15-'Assumptions'!$D$15)*'MOD Model'!$K$83</x:f>
        <x:v>28430.75331490104</x:v>
      </x:c>
      <x:c r="BO298" t="n">
        <x:f>'MOD Model'!$B$94</x:f>
        <x:v>553.5</x:v>
      </x:c>
      <x:c r="BP298" t="n">
        <x:f>'Inputs'!$F$8</x:f>
        <x:v>54</x:v>
      </x:c>
    </x:row>
    <x:row r="299">
      <x:c r="A299" t="str">
        <x:v>MOD</x:v>
      </x:c>
      <x:c r="B299" s="22" t="n">
        <x:v>0.53</x:v>
      </x:c>
      <x:c r="C299" s="42" t="n">
        <x:f>(BN299+BO299)/BP299</x:f>
        <x:v>560.671101002514</x:v>
      </x:c>
      <x:c r="D299" s="22" t="n">
        <x:f>C299/'Inputs'!$F$5-1</x:f>
        <x:v>1.8802584044103257</x:v>
      </x:c>
      <x:c r="E299" t="n">
        <x:f>'Inputs'!$F$24*(1+$B299)^1</x:f>
        <x:v>2133.4320000000002</x:v>
      </x:c>
      <x:c r="F299" t="n">
        <x:f>'Inputs'!$F$24*(1+$B299)^2</x:f>
        <x:v>3264.1509600000004</x:v>
      </x:c>
      <x:c r="G299" t="n">
        <x:f>'Inputs'!$F$24*(1+$B299)^3</x:f>
        <x:v>4994.150968800001</x:v>
      </x:c>
      <x:c r="H299" t="n">
        <x:f>'Inputs'!$F$24*(1+$B299)^4</x:f>
        <x:v>7641.050982264001</x:v>
      </x:c>
      <x:c r="I299" t="n">
        <x:f>'Inputs'!$F$24*(1+$B299)^5</x:f>
        <x:v>11690.808002863922</x:v>
      </x:c>
      <x:c r="J299" t="n">
        <x:f>I299*(1+($BG299+('Assumptions'!$D$15-$BG299)*(6-5)/5))</x:f>
        <x:v>16031.848165145779</x:v>
      </x:c>
      <x:c r="K299" t="n">
        <x:f>J299*(1+($BG299+('Assumptions'!$D$15-$BG299)*(7-5)/5))</x:f>
        <x:v>20616.806022504257</x:v>
      </x:c>
      <x:c r="L299" t="n">
        <x:f>K299*(1+($BG299+('Assumptions'!$D$15-$BG299)*(8-5)/5))</x:f>
        <x:v>24753.782549841424</x:v>
      </x:c>
      <x:c r="M299" t="n">
        <x:f>L299*(1+($BG299+('Assumptions'!$D$15-$BG299)*(9-5)/5))</x:f>
        <x:v>27608.641232549344</x:v>
      </x:c>
      <x:c r="N299" t="n">
        <x:f>M299*(1+($BG299+('Assumptions'!$D$15-$BG299)*(10-5)/5))</x:f>
        <x:v>28436.900469525826</x:v>
      </x:c>
      <x:c r="O299" t="n">
        <x:f>'MOD Model'!$B$68</x:f>
        <x:v>1151.0400000000002</x:v>
      </x:c>
      <x:c r="P299" t="n">
        <x:f>'MOD Model'!$C$68</x:f>
        <x:v>1220.1024000000002</x:v>
      </x:c>
      <x:c r="Q299" t="n">
        <x:f>'MOD Model'!$D$68</x:f>
        <x:v>1281.1075200000002</x:v>
      </x:c>
      <x:c r="R299" t="n">
        <x:f>'MOD Model'!$E$68</x:f>
        <x:v>1345.1628960000003</x:v>
      </x:c>
      <x:c r="S299" t="n">
        <x:f>'MOD Model'!$F$68</x:f>
        <x:v>1398.9694118400002</x:v>
      </x:c>
      <x:c r="T299" t="n">
        <x:f>S299*(1+($BG299+('Assumptions'!$D$15-$BG299)*(6-5)/5))</x:f>
        <x:v>1918.4358508674445</x:v>
      </x:c>
      <x:c r="U299" t="n">
        <x:f>T299*(1+($BG299+('Assumptions'!$D$15-$BG299)*(7-5)/5))</x:f>
        <x:v>2467.090468704695</x:v>
      </x:c>
      <x:c r="V299" t="n">
        <x:f>U299*(1+($BG299+('Assumptions'!$D$15-$BG299)*(8-5)/5))</x:f>
        <x:v>2962.1378270931814</x:v>
      </x:c>
      <x:c r="W299" t="n">
        <x:f>V299*(1+($BG299+('Assumptions'!$D$15-$BG299)*(9-5)/5))</x:f>
        <x:v>3303.761773979986</x:v>
      </x:c>
      <x:c r="X299" t="n">
        <x:f>W299*(1+($BG299+('Assumptions'!$D$15-$BG299)*(10-5)/5))</x:f>
        <x:v>3402.874627199386</x:v>
      </x:c>
      <x:c r="Y299" t="n">
        <x:f>E299*'MOD Model'!$B$62+O299*'MOD Model'!$B$63+'MOD Model'!$B$73+'MOD Model'!$B$74</x:f>
        <x:v>448.56336</x:v>
      </x:c>
      <x:c r="Z299" t="n">
        <x:f>F299*'MOD Model'!$C$62+P299*'MOD Model'!$C$63+'MOD Model'!$C$73+'MOD Model'!$C$74</x:f>
        <x:v>728.3150400000002</x:v>
      </x:c>
      <x:c r="AA299" t="n">
        <x:f>G299*'MOD Model'!$D$62+Q299*'MOD Model'!$D$63+'MOD Model'!$D$73+'MOD Model'!$D$74</x:f>
        <x:v>1159.407086292</x:v>
      </x:c>
      <x:c r="AB299" t="n">
        <x:f>H299*'MOD Model'!$E$62+R299*'MOD Model'!$E$63+'MOD Model'!$E$73+'MOD Model'!$E$74</x:f>
        <x:v>1770.9790754980802</x:v>
      </x:c>
      <x:c r="AC299" t="n">
        <x:f>I299*'MOD Model'!$F$62+S299*'MOD Model'!$F$63+'MOD Model'!$F$73+'MOD Model'!$F$74</x:f>
        <x:v>2664.405268656063</x:v>
      </x:c>
      <x:c r="AD299" t="n">
        <x:f>AX299*$AC299/$AW299</x:f>
        <x:v>3653.7543604380794</x:v>
      </x:c>
      <x:c r="AE299" t="n">
        <x:f>AY299*$AC299/$AW299</x:f>
        <x:v>4698.693758016016</x:v>
      </x:c>
      <x:c r="AF299" t="n">
        <x:f>AZ299*$AC299/$AW299</x:f>
        <x:v>5641.535523362209</x:v>
      </x:c>
      <x:c r="AG299" t="n">
        <x:f>BA299*$AC299/$AW299</x:f>
        <x:v>6292.174941408601</x:v>
      </x:c>
      <x:c r="AH299" t="n">
        <x:f>BB299*$AC299/$AW299</x:f>
        <x:v>6480.94018965086</x:v>
      </x:c>
      <x:c r="AI299" t="n">
        <x:f>Y299*(1-'Assumptions'!$F$15)+AS299*'Assumptions'!$G$15-AS299*'MOD Model'!$B$65-(AS299-'Inputs'!$F$14)*'Assumptions'!$H$15-'Assumptions'!$I$15</x:f>
        <x:v>94.91519999999988</x:v>
      </x:c>
      <x:c r="AJ299" t="n">
        <x:f>Z299*(1-'Assumptions'!$F$15)+AT299*'Assumptions'!$G$15-AT299*'MOD Model'!$C$65-(AT299-AS299)*'Assumptions'!$H$15-0</x:f>
        <x:v>231.74147520000014</x:v>
      </x:c>
      <x:c r="AK299" t="n">
        <x:f>AA299*(1-'Assumptions'!$F$15)+AU299*'Assumptions'!$G$15-AU299*'MOD Model'!$D$65-(AU299-AT299)*'Assumptions'!$H$15-0</x:f>
        <x:v>444.023083179</x:v>
      </x:c>
      <x:c r="AL299" t="n">
        <x:f>AB299*(1-'Assumptions'!$F$15)+AV299*'Assumptions'!$G$15-AV299*'MOD Model'!$E$65-(AV299-AU299)*'Assumptions'!$H$15-0</x:f>
        <x:v>741.8667206386799</x:v>
      </x:c>
      <x:c r="AM299" t="n">
        <x:f>AC299*(1-'Assumptions'!$F$15)+AW299*'Assumptions'!$G$15-AW299*'MOD Model'!$F$65-(AW299-AV299)*'Assumptions'!$H$15-0</x:f>
        <x:v>1186.4227598055004</x:v>
      </x:c>
      <x:c r="AN299" t="n">
        <x:f>AD299*(1-'Assumptions'!$F$15)+AX299*'Assumptions'!$G$15-AX299*'MOD Model'!$G$65-(AX299-AW299)*'Assumptions'!$H$15-0</x:f>
        <x:v>1741.9855198919665</x:v>
      </x:c>
      <x:c r="AO299" t="n">
        <x:f>AE299*(1-'Assumptions'!$F$15)+AY299*'Assumptions'!$G$15-AY299*'MOD Model'!$H$65-(AY299-AX299)*'Assumptions'!$H$15-0</x:f>
        <x:v>2407.719999864518</x:v>
      </x:c>
      <x:c r="AP299" t="n">
        <x:f>AF299*(1-'Assumptions'!$F$15)+AZ299*'Assumptions'!$G$15-AZ299*'MOD Model'!$I$65-(AZ299-AY299)*'Assumptions'!$H$15-0</x:f>
        <x:v>3120.6092540087884</x:v>
      </x:c>
      <x:c r="AQ299" t="n">
        <x:f>AG299*(1-'Assumptions'!$F$15)+BA299*'Assumptions'!$G$15-BA299*'MOD Model'!$J$65-(BA299-AZ299)*'Assumptions'!$H$15-0</x:f>
        <x:v>3775.972766519302</x:v>
      </x:c>
      <x:c r="AR299" t="n">
        <x:f>AH299*(1-'Assumptions'!$F$15)+BB299*'Assumptions'!$G$15-BB299*'MOD Model'!$K$65-(BB299-BA299)*'Assumptions'!$H$15-0</x:f>
        <x:v>4244.002702257884</x:v>
      </x:c>
      <x:c r="AS299" t="n">
        <x:f>E299+O299</x:f>
        <x:v>3284.4720000000007</x:v>
      </x:c>
      <x:c r="AT299" t="n">
        <x:f>F299+P299</x:f>
        <x:v>4484.253360000001</x:v>
      </x:c>
      <x:c r="AU299" t="n">
        <x:f>G299+Q299</x:f>
        <x:v>6275.258488800001</x:v>
      </x:c>
      <x:c r="AV299" t="n">
        <x:f>H299+R299</x:f>
        <x:v>8986.213878264001</x:v>
      </x:c>
      <x:c r="AW299" t="n">
        <x:f>I299+S299</x:f>
        <x:v>13089.777414703922</x:v>
      </x:c>
      <x:c r="AX299" t="n">
        <x:f>J299+T299</x:f>
        <x:v>17950.284016013222</x:v>
      </x:c>
      <x:c r="AY299" t="n">
        <x:f>K299+U299</x:f>
        <x:v>23083.89649120895</x:v>
      </x:c>
      <x:c r="AZ299" t="n">
        <x:f>L299+V299</x:f>
        <x:v>27715.920376934606</x:v>
      </x:c>
      <x:c r="BA299" t="n">
        <x:f>M299+W299</x:f>
        <x:v>30912.40300652933</x:v>
      </x:c>
      <x:c r="BB299" t="n">
        <x:f>N299+X299</x:f>
        <x:v>31839.775096725214</x:v>
      </x:c>
      <x:c r="BC299" t="n">
        <x:f>AS299/'Inputs'!$F$14-1</x:f>
        <x:v>0.3456538839724683</x:v>
      </x:c>
      <x:c r="BD299" t="n">
        <x:f>AT299/AS299-1</x:f>
        <x:v>0.3652889596866711</x:v>
      </x:c>
      <x:c r="BE299" t="n">
        <x:f>AU299/AT299-1</x:f>
        <x:v>0.3993987370954437</x:v>
      </x:c>
      <x:c r="BF299" t="n">
        <x:f>AV299/AU299-1</x:f>
        <x:v>0.432006967410582</x:v>
      </x:c>
      <x:c r="BG299" t="n">
        <x:f>AW299/AV299-1</x:f>
        <x:v>0.45665099807669685</x:v>
      </x:c>
      <x:c r="BH299" t="n">
        <x:f>AX299/AW299-1</x:f>
        <x:v>0.3713207984613571</x:v>
      </x:c>
      <x:c r="BI299" t="n">
        <x:f>AY299/AX299-1</x:f>
        <x:v>0.2859905988460181</x:v>
      </x:c>
      <x:c r="BJ299" t="n">
        <x:f>AZ299/AY299-1</x:f>
        <x:v>0.2006603992306788</x:v>
      </x:c>
      <x:c r="BK299" t="n">
        <x:f>BA299/AZ299-1</x:f>
        <x:v>0.11533019961533952</x:v>
      </x:c>
      <x:c r="BL299" t="n">
        <x:f>BB299/BA299-1</x:f>
        <x:v>0.030000000000000027</x:v>
      </x:c>
      <x:c r="BM299" t="n">
        <x:f>AH299*(1-'Assumptions'!$F$15)*(1+'Assumptions'!$D$15)*(1-'Assumptions'!$D$15/'Assumptions'!$E$15)</x:f>
        <x:v>4323.818165163659</x:v>
      </x:c>
      <x:c r="BN299" t="n">
        <x:f>SUMPRODUCT(AI299:AR299,'MOD Model'!$B$83:$K$83)+BM299/('Assumptions'!$C$15-'Assumptions'!$D$15)*'MOD Model'!$K$83</x:f>
        <x:v>29722.739454135757</x:v>
      </x:c>
      <x:c r="BO299" t="n">
        <x:f>'MOD Model'!$B$94</x:f>
        <x:v>553.5</x:v>
      </x:c>
      <x:c r="BP299" t="n">
        <x:f>'Inputs'!$F$8</x:f>
        <x:v>54</x:v>
      </x:c>
    </x:row>
    <x:row r="300">
      <x:c r="A300" t="str">
        <x:v>MOD</x:v>
      </x:c>
      <x:c r="B300" s="22" t="n">
        <x:v>0.54</x:v>
      </x:c>
      <x:c r="C300" s="42" t="n">
        <x:f>(BN300+BO300)/BP300</x:f>
        <x:v>585.6079523861206</x:v>
      </x:c>
      <x:c r="D300" s="22" t="n">
        <x:f>C300/'Inputs'!$F$5-1</x:f>
        <x:v>2.0083630555127945</x:v>
      </x:c>
      <x:c r="E300" t="n">
        <x:f>'Inputs'!$F$24*(1+$B300)^1</x:f>
        <x:v>2147.376</x:v>
      </x:c>
      <x:c r="F300" t="n">
        <x:f>'Inputs'!$F$24*(1+$B300)^2</x:f>
        <x:v>3306.95904</x:v>
      </x:c>
      <x:c r="G300" t="n">
        <x:f>'Inputs'!$F$24*(1+$B300)^3</x:f>
        <x:v>5092.7169216</x:v>
      </x:c>
      <x:c r="H300" t="n">
        <x:f>'Inputs'!$F$24*(1+$B300)^4</x:f>
        <x:v>7842.784059264</x:v>
      </x:c>
      <x:c r="I300" t="n">
        <x:f>'Inputs'!$F$24*(1+$B300)^5</x:f>
        <x:v>12077.887451266559</x:v>
      </x:c>
      <x:c r="J300" t="n">
        <x:f>I300*(1+($BG300+('Assumptions'!$D$15-$BG300)*(6-5)/5))</x:f>
        <x:v>16660.69610970303</x:v>
      </x:c>
      <x:c r="K300" t="n">
        <x:f>J300*(1+($BG300+('Assumptions'!$D$15-$BG300)*(7-5)/5))</x:f>
        <x:v>21526.926410410677</x:v>
      </x:c>
      <x:c r="L300" t="n">
        <x:f>K300*(1+($BG300+('Assumptions'!$D$15-$BG300)*(8-5)/5))</x:f>
        <x:v>25933.896545021867</x:v>
      </x:c>
      <x:c r="M300" t="n">
        <x:f>L300*(1+($BG300+('Assumptions'!$D$15-$BG300)*(9-5)/5))</x:f>
        <x:v>28977.485246993565</x:v>
      </x:c>
      <x:c r="N300" t="n">
        <x:f>M300*(1+($BG300+('Assumptions'!$D$15-$BG300)*(10-5)/5))</x:f>
        <x:v>29846.809804403372</x:v>
      </x:c>
      <x:c r="O300" t="n">
        <x:f>'MOD Model'!$B$68</x:f>
        <x:v>1151.0400000000002</x:v>
      </x:c>
      <x:c r="P300" t="n">
        <x:f>'MOD Model'!$C$68</x:f>
        <x:v>1220.1024000000002</x:v>
      </x:c>
      <x:c r="Q300" t="n">
        <x:f>'MOD Model'!$D$68</x:f>
        <x:v>1281.1075200000002</x:v>
      </x:c>
      <x:c r="R300" t="n">
        <x:f>'MOD Model'!$E$68</x:f>
        <x:v>1345.1628960000003</x:v>
      </x:c>
      <x:c r="S300" t="n">
        <x:f>'MOD Model'!$F$68</x:f>
        <x:v>1398.9694118400002</x:v>
      </x:c>
      <x:c r="T300" t="n">
        <x:f>S300*(1+($BG300+('Assumptions'!$D$15-$BG300)*(6-5)/5))</x:f>
        <x:v>1929.7914748321348</x:v>
      </x:c>
      <x:c r="U300" t="n">
        <x:f>T300*(1+($BG300+('Assumptions'!$D$15-$BG300)*(7-5)/5))</x:f>
        <x:v>2493.441978210941</x:v>
      </x:c>
      <x:c r="V300" t="n">
        <x:f>U300*(1+($BG300+('Assumptions'!$D$15-$BG300)*(8-5)/5))</x:f>
        <x:v>3003.8968439388827</x:v>
      </x:c>
      <x:c r="W300" t="n">
        <x:f>V300*(1+($BG300+('Assumptions'!$D$15-$BG300)*(9-5)/5))</x:f>
        <x:v>3356.4326258345577</x:v>
      </x:c>
      <x:c r="X300" t="n">
        <x:f>W300*(1+($BG300+('Assumptions'!$D$15-$BG300)*(10-5)/5))</x:f>
        <x:v>3457.1256046095946</x:v>
      </x:c>
      <x:c r="Y300" t="n">
        <x:f>E300*'MOD Model'!$B$62+O300*'MOD Model'!$B$63+'MOD Model'!$B$73+'MOD Model'!$B$74</x:f>
        <x:v>451.07328000000007</x:v>
      </x:c>
      <x:c r="Z300" t="n">
        <x:f>F300*'MOD Model'!$C$62+P300*'MOD Model'!$C$63+'MOD Model'!$C$73+'MOD Model'!$C$74</x:f>
        <x:v>736.8766560000001</x:v>
      </x:c>
      <x:c r="AA300" t="n">
        <x:f>G300*'MOD Model'!$D$62+Q300*'MOD Model'!$D$63+'MOD Model'!$D$73+'MOD Model'!$D$74</x:f>
        <x:v>1180.598766144</x:v>
      </x:c>
      <x:c r="AB300" t="n">
        <x:f>H300*'MOD Model'!$E$62+R300*'MOD Model'!$E$63+'MOD Model'!$E$73+'MOD Model'!$E$74</x:f>
        <x:v>1815.3603524380799</x:v>
      </x:c>
      <x:c r="AC300" t="n">
        <x:f>I300*'MOD Model'!$F$62+S300*'MOD Model'!$F$63+'MOD Model'!$F$73+'MOD Model'!$F$74</x:f>
        <x:v>2749.5627473046434</x:v>
      </x:c>
      <x:c r="AD300" t="n">
        <x:f>AX300*$AC300/$AW300</x:f>
        <x:v>3792.8511548266642</x:v>
      </x:c>
      <x:c r="AE300" t="n">
        <x:f>AY300*$AC300/$AW300</x:f>
        <x:v>4900.661242362105</x:v>
      </x:c>
      <x:c r="AF300" t="n">
        <x:f>AZ300*$AC300/$AW300</x:f>
        <x:v>5903.919548875004</x:v>
      </x:c>
      <x:c r="AG300" t="n">
        <x:f>BA300*$AC300/$AW300</x:f>
        <x:v>6596.800497370768</x:v>
      </x:c>
      <x:c r="AH300" t="n">
        <x:f>BB300*$AC300/$AW300</x:f>
        <x:v>6794.704512291892</x:v>
      </x:c>
      <x:c r="AI300" t="n">
        <x:f>Y300*(1-'Assumptions'!$F$15)+AS300*'Assumptions'!$G$15-AS300*'MOD Model'!$B$65-(AS300-'Inputs'!$F$14)*'Assumptions'!$H$15-'Assumptions'!$I$15</x:f>
        <x:v>94.2180000000001</x:v>
      </x:c>
      <x:c r="AJ300" t="n">
        <x:f>Z300*(1-'Assumptions'!$F$15)+AT300*'Assumptions'!$G$15-AT300*'MOD Model'!$C$65-(AT300-AS300)*'Assumptions'!$H$15-0</x:f>
        <x:v>232.5488328</x:v>
      </x:c>
      <x:c r="AK300" t="n">
        <x:f>AA300*(1-'Assumptions'!$F$15)+AU300*'Assumptions'!$G$15-AU300*'MOD Model'!$D$65-(AU300-AT300)*'Assumptions'!$H$15-0</x:f>
        <x:v>449.0890133279998</x:v>
      </x:c>
      <x:c r="AL300" t="n">
        <x:f>AB300*(1-'Assumptions'!$F$15)+AV300*'Assumptions'!$G$15-AV300*'MOD Model'!$E$65-(AV300-AU300)*'Assumptions'!$H$15-0</x:f>
        <x:v>755.64294817368</x:v>
      </x:c>
      <x:c r="AM300" t="n">
        <x:f>AC300*(1-'Assumptions'!$F$15)+AW300*'Assumptions'!$G$15-AW300*'MOD Model'!$F$65-(AW300-AV300)*'Assumptions'!$H$15-0</x:f>
        <x:v>1216.6827213555002</x:v>
      </x:c>
      <x:c r="AN300" t="n">
        <x:f>AD300*(1-'Assumptions'!$F$15)+AX300*'Assumptions'!$G$15-AX300*'MOD Model'!$G$65-(AX300-AW300)*'Assumptions'!$H$15-0</x:f>
        <x:v>1798.7364441376794</x:v>
      </x:c>
      <x:c r="AO300" t="n">
        <x:f>AE300*(1-'Assumptions'!$F$15)+AY300*'Assumptions'!$G$15-AY300*'MOD Model'!$H$65-(AY300-AX300)*'Assumptions'!$H$15-0</x:f>
        <x:v>2500.708285329287</x:v>
      </x:c>
      <x:c r="AP300" t="n">
        <x:f>AF300*(1-'Assumptions'!$F$15)+AZ300*'Assumptions'!$G$15-AZ300*'MOD Model'!$I$65-(AZ300-AY300)*'Assumptions'!$H$15-0</x:f>
        <x:v>3256.259010770971</x:v>
      </x:c>
      <x:c r="AQ300" t="n">
        <x:f>AG300*(1-'Assumptions'!$F$15)+BA300*'Assumptions'!$G$15-BA300*'MOD Model'!$J$65-(BA300-AZ300)*'Assumptions'!$H$15-0</x:f>
        <x:v>3953.172932355549</x:v>
      </x:c>
      <x:c r="AR300" t="n">
        <x:f>AH300*(1-'Assumptions'!$F$15)+BB300*'Assumptions'!$G$15-BB300*'MOD Model'!$K$65-(BB300-BA300)*'Assumptions'!$H$15-0</x:f>
        <x:v>4450.966722655998</x:v>
      </x:c>
      <x:c r="AS300" t="n">
        <x:f>E300+O300</x:f>
        <x:v>3298.416</x:v>
      </x:c>
      <x:c r="AT300" t="n">
        <x:f>F300+P300</x:f>
        <x:v>4527.06144</x:v>
      </x:c>
      <x:c r="AU300" t="n">
        <x:f>G300+Q300</x:f>
        <x:v>6373.824441600001</x:v>
      </x:c>
      <x:c r="AV300" t="n">
        <x:f>H300+R300</x:f>
        <x:v>9187.946955264</x:v>
      </x:c>
      <x:c r="AW300" t="n">
        <x:f>I300+S300</x:f>
        <x:v>13476.85686310656</x:v>
      </x:c>
      <x:c r="AX300" t="n">
        <x:f>J300+T300</x:f>
        <x:v>18590.487584535163</x:v>
      </x:c>
      <x:c r="AY300" t="n">
        <x:f>K300+U300</x:f>
        <x:v>24020.368388621617</x:v>
      </x:c>
      <x:c r="AZ300" t="n">
        <x:f>L300+V300</x:f>
        <x:v>28937.793388960752</x:v>
      </x:c>
      <x:c r="BA300" t="n">
        <x:f>M300+W300</x:f>
        <x:v>32333.917872828122</x:v>
      </x:c>
      <x:c r="BB300" t="n">
        <x:f>N300+X300</x:f>
        <x:v>33303.935409012964</x:v>
      </x:c>
      <x:c r="BC300" t="n">
        <x:f>AS300/'Inputs'!$F$14-1</x:f>
        <x:v>0.35136676499508357</x:v>
      </x:c>
      <x:c r="BD300" t="n">
        <x:f>AT300/AS300-1</x:f>
        <x:v>0.3724955978869857</x:v>
      </x:c>
      <x:c r="BE300" t="n">
        <x:f>AU300/AT300-1</x:f>
        <x:v>0.40793857695026126</x:v>
      </x:c>
      <x:c r="BF300" t="n">
        <x:f>AV300/AU300-1</x:f>
        <x:v>0.44151239800347875</x:v>
      </x:c>
      <x:c r="BG300" t="n">
        <x:f>AW300/AV300-1</x:f>
        <x:v>0.46679741717330403</x:v>
      </x:c>
      <x:c r="BH300" t="n">
        <x:f>AX300/AW300-1</x:f>
        <x:v>0.3794379337386431</x:v>
      </x:c>
      <x:c r="BI300" t="n">
        <x:f>AY300/AX300-1</x:f>
        <x:v>0.2920784503039824</x:v>
      </x:c>
      <x:c r="BJ300" t="n">
        <x:f>AZ300/AY300-1</x:f>
        <x:v>0.2047189668693219</x:v>
      </x:c>
      <x:c r="BK300" t="n">
        <x:f>BA300/AZ300-1</x:f>
        <x:v>0.11735948343466052</x:v>
      </x:c>
      <x:c r="BL300" t="n">
        <x:f>BB300/BA300-1</x:f>
        <x:v>0.030000000000000027</x:v>
      </x:c>
      <x:c r="BM300" t="n">
        <x:f>AH300*(1-'Assumptions'!$F$15)*(1+'Assumptions'!$D$15)*(1-'Assumptions'!$D$15/'Assumptions'!$E$15)</x:f>
        <x:v>4533.1488854165555</x:v>
      </x:c>
      <x:c r="BN300" t="n">
        <x:f>SUMPRODUCT(AI300:AR300,'MOD Model'!$B$83:$K$83)+BM300/('Assumptions'!$C$15-'Assumptions'!$D$15)*'MOD Model'!$K$83</x:f>
        <x:v>31069.329428850513</x:v>
      </x:c>
      <x:c r="BO300" t="n">
        <x:f>'MOD Model'!$B$94</x:f>
        <x:v>553.5</x:v>
      </x:c>
      <x:c r="BP300" t="n">
        <x:f>'Inputs'!$F$8</x:f>
        <x:v>54</x:v>
      </x:c>
    </x:row>
    <x:row r="301">
      <x:c r="A301" t="str">
        <x:v>MOD</x:v>
      </x:c>
      <x:c r="B301" s="22" t="n">
        <x:v>0.55</x:v>
      </x:c>
      <x:c r="C301" s="42" t="n">
        <x:f>(BN301+BO301)/BP301</x:f>
        <x:v>611.5931811415265</x:v>
      </x:c>
      <x:c r="D301" s="22" t="n">
        <x:f>C301/'Inputs'!$F$5-1</x:f>
        <x:v>2.1418533912541178</x:v>
      </x:c>
      <x:c r="E301" t="n">
        <x:f>'Inputs'!$F$24*(1+$B301)^1</x:f>
        <x:v>2161.32</x:v>
      </x:c>
      <x:c r="F301" t="n">
        <x:f>'Inputs'!$F$24*(1+$B301)^2</x:f>
        <x:v>3350.0460000000007</x:v>
      </x:c>
      <x:c r="G301" t="n">
        <x:f>'Inputs'!$F$24*(1+$B301)^3</x:f>
        <x:v>5192.571300000001</x:v>
      </x:c>
      <x:c r="H301" t="n">
        <x:f>'Inputs'!$F$24*(1+$B301)^4</x:f>
        <x:v>8048.485515000002</x:v>
      </x:c>
      <x:c r="I301" t="n">
        <x:f>'Inputs'!$F$24*(1+$B301)^5</x:f>
        <x:v>12475.152548250004</x:v>
      </x:c>
      <x:c r="J301" t="n">
        <x:f>I301*(1+($BG301+('Assumptions'!$D$15-$BG301)*(6-5)/5))</x:f>
        <x:v>17310.20640644242</x:v>
      </x:c>
      <x:c r="K301" t="n">
        <x:f>J301*(1+($BG301+('Assumptions'!$D$15-$BG301)*(7-5)/5))</x:f>
        <x:v>22471.781861840806</x:v>
      </x:c>
      <x:c r="L301" t="n">
        <x:f>K301*(1+($BG301+('Assumptions'!$D$15-$BG301)*(8-5)/5))</x:f>
        <x:v>27163.605963450562</x:v>
      </x:c>
      <x:c r="M301" t="n">
        <x:f>L301*(1+($BG301+('Assumptions'!$D$15-$BG301)*(9-5)/5))</x:f>
        <x:v>30406.76889720996</x:v>
      </x:c>
      <x:c r="N301" t="n">
        <x:f>M301*(1+($BG301+('Assumptions'!$D$15-$BG301)*(10-5)/5))</x:f>
        <x:v>31318.97196412626</x:v>
      </x:c>
      <x:c r="O301" t="n">
        <x:f>'MOD Model'!$B$68</x:f>
        <x:v>1151.0400000000002</x:v>
      </x:c>
      <x:c r="P301" t="n">
        <x:f>'MOD Model'!$C$68</x:f>
        <x:v>1220.1024000000002</x:v>
      </x:c>
      <x:c r="Q301" t="n">
        <x:f>'MOD Model'!$D$68</x:f>
        <x:v>1281.1075200000002</x:v>
      </x:c>
      <x:c r="R301" t="n">
        <x:f>'MOD Model'!$E$68</x:f>
        <x:v>1345.1628960000003</x:v>
      </x:c>
      <x:c r="S301" t="n">
        <x:f>'MOD Model'!$F$68</x:f>
        <x:v>1398.9694118400002</x:v>
      </x:c>
      <x:c r="T301" t="n">
        <x:f>S301*(1+($BG301+('Assumptions'!$D$15-$BG301)*(6-5)/5))</x:f>
        <x:v>1941.174601399708</x:v>
      </x:c>
      <x:c r="U301" t="n">
        <x:f>T301*(1+($BG301+('Assumptions'!$D$15-$BG301)*(7-5)/5))</x:f>
        <x:v>2519.9960748108206</x:v>
      </x:c>
      <x:c r="V301" t="n">
        <x:f>U301*(1+($BG301+('Assumptions'!$D$15-$BG301)*(8-5)/5))</x:f>
        <x:v>3046.1394128180573</x:v>
      </x:c>
      <x:c r="W301" t="n">
        <x:f>V301*(1+($BG301+('Assumptions'!$D$15-$BG301)*(9-5)/5))</x:f>
        <x:v>3409.8292133551363</x:v>
      </x:c>
      <x:c r="X301" t="n">
        <x:f>W301*(1+($BG301+('Assumptions'!$D$15-$BG301)*(10-5)/5))</x:f>
        <x:v>3512.1240897557905</x:v>
      </x:c>
      <x:c r="Y301" t="n">
        <x:f>E301*'MOD Model'!$B$62+O301*'MOD Model'!$B$63+'MOD Model'!$B$73+'MOD Model'!$B$74</x:f>
        <x:v>453.58320000000003</x:v>
      </x:c>
      <x:c r="Z301" t="n">
        <x:f>F301*'MOD Model'!$C$62+P301*'MOD Model'!$C$63+'MOD Model'!$C$73+'MOD Model'!$C$74</x:f>
        <x:v>745.4940480000002</x:v>
      </x:c>
      <x:c r="AA301" t="n">
        <x:f>G301*'MOD Model'!$D$62+Q301*'MOD Model'!$D$63+'MOD Model'!$D$73+'MOD Model'!$D$74</x:f>
        <x:v>1202.0674575000003</x:v>
      </x:c>
      <x:c r="AB301" t="n">
        <x:f>H301*'MOD Model'!$E$62+R301*'MOD Model'!$E$63+'MOD Model'!$E$73+'MOD Model'!$E$74</x:f>
        <x:v>1860.6146727000005</x:v>
      </x:c>
      <x:c r="AC301" t="n">
        <x:f>I301*'MOD Model'!$F$62+S301*'MOD Model'!$F$63+'MOD Model'!$F$73+'MOD Model'!$F$74</x:f>
        <x:v>2836.961068641001</x:v>
      </x:c>
      <x:c r="AD301" t="n">
        <x:f>AX301*$AC301/$AW301</x:f>
        <x:v>3936.4954837450896</x:v>
      </x:c>
      <x:c r="AE301" t="n">
        <x:f>AY301*$AC301/$AW301</x:f>
        <x:v>5110.2838252649935</x:v>
      </x:c>
      <x:c r="AF301" t="n">
        <x:f>AZ301*$AC301/$AW301</x:f>
        <x:v>6177.246514955357</x:v>
      </x:c>
      <x:c r="AG301" t="n">
        <x:f>BA301*$AC301/$AW301</x:f>
        <x:v>6914.770721312706</x:v>
      </x:c>
      <x:c r="AH301" t="n">
        <x:f>BB301*$AC301/$AW301</x:f>
        <x:v>7122.213842952087</x:v>
      </x:c>
      <x:c r="AI301" t="n">
        <x:f>Y301*(1-'Assumptions'!$F$15)+AS301*'Assumptions'!$G$15-AS301*'MOD Model'!$B$65-(AS301-'Inputs'!$F$14)*'Assumptions'!$H$15-'Assumptions'!$I$15</x:f>
        <x:v>93.52079999999995</x:v>
      </x:c>
      <x:c r="AJ301" t="n">
        <x:f>Z301*(1-'Assumptions'!$F$15)+AT301*'Assumptions'!$G$15-AT301*'MOD Model'!$C$65-(AT301-AS301)*'Assumptions'!$H$15-0</x:f>
        <x:v>233.34782400000003</x:v>
      </x:c>
      <x:c r="AK301" t="n">
        <x:f>AA301*(1-'Assumptions'!$F$15)+AU301*'Assumptions'!$G$15-AU301*'MOD Model'!$D$65-(AU301-AT301)*'Assumptions'!$H$15-0</x:f>
        <x:v>454.179059625</x:v>
      </x:c>
      <x:c r="AL301" t="n">
        <x:f>AB301*(1-'Assumptions'!$F$15)+AV301*'Assumptions'!$G$15-AV301*'MOD Model'!$E$65-(AV301-AU301)*'Assumptions'!$H$15-0</x:f>
        <x:v>769.5925976550003</x:v>
      </x:c>
      <x:c r="AM301" t="n">
        <x:f>AC301*(1-'Assumptions'!$F$15)+AW301*'Assumptions'!$G$15-AW301*'MOD Model'!$F$65-(AW301-AV301)*'Assumptions'!$H$15-0</x:f>
        <x:v>1247.5379397159004</x:v>
      </x:c>
      <x:c r="AN301" t="n">
        <x:f>AD301*(1-'Assumptions'!$F$15)+AX301*'Assumptions'!$G$15-AX301*'MOD Model'!$G$65-(AX301-AW301)*'Assumptions'!$H$15-0</x:f>
        <x:v>1857.012040528367</x:v>
      </x:c>
      <x:c r="AO301" t="n">
        <x:f>AE301*(1-'Assumptions'!$F$15)+AY301*'Assumptions'!$G$15-AY301*'MOD Model'!$H$65-(AY301-AX301)*'Assumptions'!$H$15-0</x:f>
        <x:v>2596.7766605775455</x:v>
      </x:c>
      <x:c r="AP301" t="n">
        <x:f>AF301*(1-'Assumptions'!$F$15)+AZ301*'Assumptions'!$G$15-AZ301*'MOD Model'!$I$65-(AZ301-AY301)*'Assumptions'!$H$15-0</x:f>
        <x:v>3397.0935896299397</x:v>
      </x:c>
      <x:c r="AQ301" t="n">
        <x:f>AG301*(1-'Assumptions'!$F$15)+BA301*'Assumptions'!$G$15-BA301*'MOD Model'!$J$65-(BA301-AZ301)*'Assumptions'!$H$15-0</x:f>
        <x:v>4137.801159181582</x:v>
      </x:c>
      <x:c r="AR301" t="n">
        <x:f>AH301*(1-'Assumptions'!$F$15)+BB301*'Assumptions'!$G$15-BB301*'MOD Model'!$K$65-(BB301-BA301)*'Assumptions'!$H$15-0</x:f>
        <x:v>4667.019249908291</x:v>
      </x:c>
      <x:c r="AS301" t="n">
        <x:f>E301+O301</x:f>
        <x:v>3312.3600000000006</x:v>
      </x:c>
      <x:c r="AT301" t="n">
        <x:f>F301+P301</x:f>
        <x:v>4570.148400000001</x:v>
      </x:c>
      <x:c r="AU301" t="n">
        <x:f>G301+Q301</x:f>
        <x:v>6473.678820000002</x:v>
      </x:c>
      <x:c r="AV301" t="n">
        <x:f>H301+R301</x:f>
        <x:v>9393.648411000002</x:v>
      </x:c>
      <x:c r="AW301" t="n">
        <x:f>I301+S301</x:f>
        <x:v>13874.121960090004</x:v>
      </x:c>
      <x:c r="AX301" t="n">
        <x:f>J301+T301</x:f>
        <x:v>19251.381007842127</x:v>
      </x:c>
      <x:c r="AY301" t="n">
        <x:f>K301+U301</x:f>
        <x:v>24991.777936651626</x:v>
      </x:c>
      <x:c r="AZ301" t="n">
        <x:f>L301+V301</x:f>
        <x:v>30209.74537626862</x:v>
      </x:c>
      <x:c r="BA301" t="n">
        <x:f>M301+W301</x:f>
        <x:v>33816.59811056509</x:v>
      </x:c>
      <x:c r="BB301" t="n">
        <x:f>N301+X301</x:f>
        <x:v>34831.09605388205</x:v>
      </x:c>
      <x:c r="BC301" t="n">
        <x:f>AS301/'Inputs'!$F$14-1</x:f>
        <x:v>0.35707964601769926</x:v>
      </x:c>
      <x:c r="BD301" t="n">
        <x:f>AT301/AS301-1</x:f>
        <x:v>0.37972575444698053</x:v>
      </x:c>
      <x:c r="BE301" t="n">
        <x:f>AU301/AT301-1</x:f>
        <x:v>0.41651391889156164</x:v>
      </x:c>
      <x:c r="BF301" t="n">
        <x:f>AV301/AU301-1</x:f>
        <x:v>0.45105258882769217</x:v>
      </x:c>
      <x:c r="BG301" t="n">
        <x:f>AW301/AV301-1</x:f>
        <x:v>0.4769684102550984</x:v>
      </x:c>
      <x:c r="BH301" t="n">
        <x:f>AX301/AW301-1</x:f>
        <x:v>0.3875747282040787</x:v>
      </x:c>
      <x:c r="BI301" t="n">
        <x:f>AY301/AX301-1</x:f>
        <x:v>0.2981810461530592</x:v>
      </x:c>
      <x:c r="BJ301" t="n">
        <x:f>AZ301/AY301-1</x:f>
        <x:v>0.20878736410203924</x:v>
      </x:c>
      <x:c r="BK301" t="n">
        <x:f>BA301/AZ301-1</x:f>
        <x:v>0.11939368205101952</x:v>
      </x:c>
      <x:c r="BL301" t="n">
        <x:f>BB301/BA301-1</x:f>
        <x:v>0.030000000000000027</x:v>
      </x:c>
      <x:c r="BM301" t="n">
        <x:f>AH301*(1-'Assumptions'!$F$15)*(1+'Assumptions'!$D$15)*(1-'Assumptions'!$D$15/'Assumptions'!$E$15)</x:f>
        <x:v>4751.649712724058</x:v>
      </x:c>
      <x:c r="BN301" t="n">
        <x:f>SUMPRODUCT(AI301:AR301,'MOD Model'!$B$83:$K$83)+BM301/('Assumptions'!$C$15-'Assumptions'!$D$15)*'MOD Model'!$K$83</x:f>
        <x:v>32472.531781642436</x:v>
      </x:c>
      <x:c r="BO301" t="n">
        <x:f>'MOD Model'!$B$94</x:f>
        <x:v>553.5</x:v>
      </x:c>
      <x:c r="BP301" t="n">
        <x:f>'Inputs'!$F$8</x:f>
        <x:v>54</x:v>
      </x:c>
    </x:row>
    <x:row r="302">
      <x:c r="A302" t="str">
        <x:v>MOD</x:v>
      </x:c>
      <x:c r="B302" s="22" t="n">
        <x:v>0.56</x:v>
      </x:c>
      <x:c r="C302" s="42" t="n">
        <x:f>(BN302+BO302)/BP302</x:f>
        <x:v>638.6651217252012</x:v>
      </x:c>
      <x:c r="D302" s="22" t="n">
        <x:f>C302/'Inputs'!$F$5-1</x:f>
        <x:v>2.2809263419562376</x:v>
      </x:c>
      <x:c r="E302" t="n">
        <x:f>'Inputs'!$F$24*(1+$B302)^1</x:f>
        <x:v>2175.264</x:v>
      </x:c>
      <x:c r="F302" t="n">
        <x:f>'Inputs'!$F$24*(1+$B302)^2</x:f>
        <x:v>3393.4118400000007</x:v>
      </x:c>
      <x:c r="G302" t="n">
        <x:f>'Inputs'!$F$24*(1+$B302)^3</x:f>
        <x:v>5293.722470400001</x:v>
      </x:c>
      <x:c r="H302" t="n">
        <x:f>'Inputs'!$F$24*(1+$B302)^4</x:f>
        <x:v>8258.207053824002</x:v>
      </x:c>
      <x:c r="I302" t="n">
        <x:f>'Inputs'!$F$24*(1+$B302)^5</x:f>
        <x:v>12882.803003965444</x:v>
      </x:c>
      <x:c r="J302" t="n">
        <x:f>I302*(1+($BG302+('Assumptions'!$D$15-$BG302)*(6-5)/5))</x:f>
        <x:v>17980.91544462259</x:v>
      </x:c>
      <x:c r="K302" t="n">
        <x:f>J302*(1+($BG302+('Assumptions'!$D$15-$BG302)*(7-5)/5))</x:f>
        <x:v>23452.463907838177</x:v>
      </x:c>
      <x:c r="L302" t="n">
        <x:f>K302*(1+($BG302+('Assumptions'!$D$15-$BG302)*(8-5)/5))</x:f>
        <x:v>28444.67337294793</x:v>
      </x:c>
      <x:c r="M302" t="n">
        <x:f>L302*(1+($BG302+('Assumptions'!$D$15-$BG302)*(9-5)/5))</x:f>
        <x:v>31898.78161825936</x:v>
      </x:c>
      <x:c r="N302" t="n">
        <x:f>M302*(1+($BG302+('Assumptions'!$D$15-$BG302)*(10-5)/5))</x:f>
        <x:v>32855.74506680714</x:v>
      </x:c>
      <x:c r="O302" t="n">
        <x:f>'MOD Model'!$B$68</x:f>
        <x:v>1151.0400000000002</x:v>
      </x:c>
      <x:c r="P302" t="n">
        <x:f>'MOD Model'!$C$68</x:f>
        <x:v>1220.1024000000002</x:v>
      </x:c>
      <x:c r="Q302" t="n">
        <x:f>'MOD Model'!$D$68</x:f>
        <x:v>1281.1075200000002</x:v>
      </x:c>
      <x:c r="R302" t="n">
        <x:f>'MOD Model'!$E$68</x:f>
        <x:v>1345.1628960000003</x:v>
      </x:c>
      <x:c r="S302" t="n">
        <x:f>'MOD Model'!$F$68</x:f>
        <x:v>1398.9694118400002</x:v>
      </x:c>
      <x:c r="T302" t="n">
        <x:f>S302*(1+($BG302+('Assumptions'!$D$15-$BG302)*(6-5)/5))</x:f>
        <x:v>1952.583664918697</x:v>
      </x:c>
      <x:c r="U302" t="n">
        <x:f>T302*(1+($BG302+('Assumptions'!$D$15-$BG302)*(7-5)/5))</x:f>
        <x:v>2546.750084531155</x:v>
      </x:c>
      <x:c r="V302" t="n">
        <x:f>U302*(1+($BG302+('Assumptions'!$D$15-$BG302)*(8-5)/5))</x:f>
        <x:v>3088.8641211299414</x:v>
      </x:c>
      <x:c r="W302" t="n">
        <x:f>V302*(1+($BG302+('Assumptions'!$D$15-$BG302)*(9-5)/5))</x:f>
        <x:v>3463.952661945759</x:v>
      </x:c>
      <x:c r="X302" t="n">
        <x:f>W302*(1+($BG302+('Assumptions'!$D$15-$BG302)*(10-5)/5))</x:f>
        <x:v>3567.871241804132</x:v>
      </x:c>
      <x:c r="Y302" t="n">
        <x:f>E302*'MOD Model'!$B$62+O302*'MOD Model'!$B$63+'MOD Model'!$B$73+'MOD Model'!$B$74</x:f>
        <x:v>456.09312</x:v>
      </x:c>
      <x:c r="Z302" t="n">
        <x:f>F302*'MOD Model'!$C$62+P302*'MOD Model'!$C$63+'MOD Model'!$C$73+'MOD Model'!$C$74</x:f>
        <x:v>754.1672160000003</x:v>
      </x:c>
      <x:c r="AA302" t="n">
        <x:f>G302*'MOD Model'!$D$62+Q302*'MOD Model'!$D$63+'MOD Model'!$D$73+'MOD Model'!$D$74</x:f>
        <x:v>1223.8149591360002</x:v>
      </x:c>
      <x:c r="AB302" t="n">
        <x:f>H302*'MOD Model'!$E$62+R302*'MOD Model'!$E$63+'MOD Model'!$E$73+'MOD Model'!$E$74</x:f>
        <x:v>1906.7534112412804</x:v>
      </x:c>
      <x:c r="AC302" t="n">
        <x:f>I302*'MOD Model'!$F$62+S302*'MOD Model'!$F$63+'MOD Model'!$F$73+'MOD Model'!$F$74</x:f>
        <x:v>2926.644168898398</x:v>
      </x:c>
      <x:c r="AD302" t="n">
        <x:f>AX302*$AC302/$AW302</x:f>
        <x:v>4084.8052493903533</x:v>
      </x:c>
      <x:c r="AE302" t="n">
        <x:f>AY302*$AC302/$AW302</x:f>
        <x:v>5327.8014668894375</x:v>
      </x:c>
      <x:c r="AF302" t="n">
        <x:f>AZ302*$AC302/$AW302</x:f>
        <x:v>6461.904093195656</x:v>
      </x:c>
      <x:c r="AG302" t="n">
        <x:f>BA302*$AC302/$AW302</x:f>
        <x:v>7246.589363301312</x:v>
      </x:c>
      <x:c r="AH302" t="n">
        <x:f>BB302*$AC302/$AW302</x:f>
        <x:v>7463.98704420035</x:v>
      </x:c>
      <x:c r="AI302" t="n">
        <x:f>Y302*(1-'Assumptions'!$F$15)+AS302*'Assumptions'!$G$15-AS302*'MOD Model'!$B$65-(AS302-'Inputs'!$F$14)*'Assumptions'!$H$15-'Assumptions'!$I$15</x:f>
        <x:v>92.82360000000003</x:v>
      </x:c>
      <x:c r="AJ302" t="n">
        <x:f>Z302*(1-'Assumptions'!$F$15)+AT302*'Assumptions'!$G$15-AT302*'MOD Model'!$C$65-(AT302-AS302)*'Assumptions'!$H$15-0</x:f>
        <x:v>234.13844880000008</x:v>
      </x:c>
      <x:c r="AK302" t="n">
        <x:f>AA302*(1-'Assumptions'!$F$15)+AU302*'Assumptions'!$G$15-AU302*'MOD Model'!$D$65-(AU302-AT302)*'Assumptions'!$H$15-0</x:f>
        <x:v>459.293107032</x:v>
      </x:c>
      <x:c r="AL302" t="n">
        <x:f>AB302*(1-'Assumptions'!$F$15)+AV302*'Assumptions'!$G$15-AV302*'MOD Model'!$E$65-(AV302-AU302)*'Assumptions'!$H$15-0</x:f>
        <x:v>783.7166655208803</x:v>
      </x:c>
      <x:c r="AM302" t="n">
        <x:f>AC302*(1-'Assumptions'!$F$15)+AW302*'Assumptions'!$G$15-AW302*'MOD Model'!$F$65-(AW302-AV302)*'Assumptions'!$H$15-0</x:f>
        <x:v>1278.9961705395008</x:v>
      </x:c>
      <x:c r="AN302" t="n">
        <x:f>AD302*(1-'Assumptions'!$F$15)+AX302*'Assumptions'!$G$15-AX302*'MOD Model'!$G$65-(AX302-AW302)*'Assumptions'!$H$15-0</x:f>
        <x:v>1916.8424463392694</x:v>
      </x:c>
      <x:c r="AO302" t="n">
        <x:f>AE302*(1-'Assumptions'!$F$15)+AY302*'Assumptions'!$G$15-AY302*'MOD Model'!$H$65-(AY302-AX302)*'Assumptions'!$H$15-0</x:f>
        <x:v>2696.0056578573312</x:v>
      </x:c>
      <x:c r="AP302" t="n">
        <x:f>AF302*(1-'Assumptions'!$F$15)+AZ302*'Assumptions'!$G$15-AZ302*'MOD Model'!$I$65-(AZ302-AY302)*'Assumptions'!$H$15-0</x:f>
        <x:v>3543.276482229294</x:v>
      </x:c>
      <x:c r="AQ302" t="n">
        <x:f>AG302*(1-'Assumptions'!$F$15)+BA302*'Assumptions'!$G$15-BA302*'MOD Model'!$J$65-(BA302-AZ302)*'Assumptions'!$H$15-0</x:f>
        <x:v>4330.12149035382</x:v>
      </x:c>
      <x:c r="AR302" t="n">
        <x:f>AH302*(1-'Assumptions'!$F$15)+BB302*'Assumptions'!$G$15-BB302*'MOD Model'!$K$65-(BB302-BA302)*'Assumptions'!$H$15-0</x:f>
        <x:v>4892.50373426017</x:v>
      </x:c>
      <x:c r="AS302" t="n">
        <x:f>E302+O302</x:f>
        <x:v>3326.304</x:v>
      </x:c>
      <x:c r="AT302" t="n">
        <x:f>F302+P302</x:f>
        <x:v>4613.51424</x:v>
      </x:c>
      <x:c r="AU302" t="n">
        <x:f>G302+Q302</x:f>
        <x:v>6574.829990400001</x:v>
      </x:c>
      <x:c r="AV302" t="n">
        <x:f>H302+R302</x:f>
        <x:v>9603.369949824002</x:v>
      </x:c>
      <x:c r="AW302" t="n">
        <x:f>I302+S302</x:f>
        <x:v>14281.772415805444</x:v>
      </x:c>
      <x:c r="AX302" t="n">
        <x:f>J302+T302</x:f>
        <x:v>19933.499109541288</x:v>
      </x:c>
      <x:c r="AY302" t="n">
        <x:f>K302+U302</x:f>
        <x:v>25999.213992369332</x:v>
      </x:c>
      <x:c r="AZ302" t="n">
        <x:f>L302+V302</x:f>
        <x:v>31533.53749407787</x:v>
      </x:c>
      <x:c r="BA302" t="n">
        <x:f>M302+W302</x:f>
        <x:v>35362.73428020512</x:v>
      </x:c>
      <x:c r="BB302" t="n">
        <x:f>N302+X302</x:f>
        <x:v>36423.61630861127</x:v>
      </x:c>
      <x:c r="BC302" t="n">
        <x:f>AS302/'Inputs'!$F$14-1</x:f>
        <x:v>0.3627925270403145</x:v>
      </x:c>
      <x:c r="BD302" t="n">
        <x:f>AT302/AS302-1</x:f>
        <x:v>0.38697913359692926</x:v>
      </x:c>
      <x:c r="BE302" t="n">
        <x:f>AU302/AT302-1</x:f>
        <x:v>0.4251240265815244</x:v>
      </x:c>
      <x:c r="BF302" t="n">
        <x:f>AV302/AU302-1</x:f>
        <x:v>0.4606263529012937</x:v>
      </x:c>
      <x:c r="BG302" t="n">
        <x:f>AW302/AV302-1</x:f>
        <x:v>0.4871625783891811</x:v>
      </x:c>
      <x:c r="BH302" t="n">
        <x:f>AX302/AW302-1</x:f>
        <x:v>0.3957300627113449</x:v>
      </x:c>
      <x:c r="BI302" t="n">
        <x:f>AY302/AX302-1</x:f>
        <x:v>0.30429754703350875</x:v>
      </x:c>
      <x:c r="BJ302" t="n">
        <x:f>AZ302/AY302-1</x:f>
        <x:v>0.21286503135567258</x:v>
      </x:c>
      <x:c r="BK302" t="n">
        <x:f>BA302/AZ302-1</x:f>
        <x:v>0.1214325156778362</x:v>
      </x:c>
      <x:c r="BL302" t="n">
        <x:f>BB302/BA302-1</x:f>
        <x:v>0.030000000000000027</x:v>
      </x:c>
      <x:c r="BM302" t="n">
        <x:f>AH302*(1-'Assumptions'!$F$15)*(1+'Assumptions'!$D$15)*(1-'Assumptions'!$D$15/'Assumptions'!$E$15)</x:f>
        <x:v>4979.666810965938</x:v>
      </x:c>
      <x:c r="BN302" t="n">
        <x:f>SUMPRODUCT(AI302:AR302,'MOD Model'!$B$83:$K$83)+BM302/('Assumptions'!$C$15-'Assumptions'!$D$15)*'MOD Model'!$K$83</x:f>
        <x:v>33934.41657316087</x:v>
      </x:c>
      <x:c r="BO302" t="n">
        <x:f>'MOD Model'!$B$94</x:f>
        <x:v>553.5</x:v>
      </x:c>
      <x:c r="BP302" t="n">
        <x:f>'Inputs'!$F$8</x:f>
        <x:v>54</x:v>
      </x:c>
    </x:row>
    <x:row r="303">
      <x:c r="A303" t="str">
        <x:v>MOD</x:v>
      </x:c>
      <x:c r="B303" s="22" t="n">
        <x:v>0.57</x:v>
      </x:c>
      <x:c r="C303" s="42" t="n">
        <x:f>(BN303+BO303)/BP303</x:f>
        <x:v>666.8632758265246</x:v>
      </x:c>
      <x:c r="D303" s="22" t="n">
        <x:f>C303/'Inputs'!$F$5-1</x:f>
        <x:v>2.4257848342059214</x:v>
      </x:c>
      <x:c r="E303" t="n">
        <x:f>'Inputs'!$F$24*(1+$B303)^1</x:f>
        <x:v>2189.208</x:v>
      </x:c>
      <x:c r="F303" t="n">
        <x:f>'Inputs'!$F$24*(1+$B303)^2</x:f>
        <x:v>3437.0565599999995</x:v>
      </x:c>
      <x:c r="G303" t="n">
        <x:f>'Inputs'!$F$24*(1+$B303)^3</x:f>
        <x:v>5396.178799199999</x:v>
      </x:c>
      <x:c r="H303" t="n">
        <x:f>'Inputs'!$F$24*(1+$B303)^4</x:f>
        <x:v>8472.000714744</x:v>
      </x:c>
      <x:c r="I303" t="n">
        <x:f>'Inputs'!$F$24*(1+$B303)^5</x:f>
        <x:v>13301.041122148077</x:v>
      </x:c>
      <x:c r="J303" t="n">
        <x:f>I303*(1+($BG303+('Assumptions'!$D$15-$BG303)*(6-5)/5))</x:f>
        <x:v>18673.369754727333</x:v>
      </x:c>
      <x:c r="K303" t="n">
        <x:f>J303*(1+($BG303+('Assumptions'!$D$15-$BG303)*(7-5)/5))</x:f>
        <x:v>24470.09070194213</x:v>
      </x:c>
      <x:c r="L303" t="n">
        <x:f>K303*(1+($BG303+('Assumptions'!$D$15-$BG303)*(8-5)/5))</x:f>
        <x:v>29778.91194772309</x:v>
      </x:c>
      <x:c r="M303" t="n">
        <x:f>L303*(1+($BG303+('Assumptions'!$D$15-$BG303)*(9-5)/5))</x:f>
        <x:v>33455.88443849135</x:v>
      </x:c>
      <x:c r="N303" t="n">
        <x:f>M303*(1+($BG303+('Assumptions'!$D$15-$BG303)*(10-5)/5))</x:f>
        <x:v>34459.56097164609</x:v>
      </x:c>
      <x:c r="O303" t="n">
        <x:f>'MOD Model'!$B$68</x:f>
        <x:v>1151.0400000000002</x:v>
      </x:c>
      <x:c r="P303" t="n">
        <x:f>'MOD Model'!$C$68</x:f>
        <x:v>1220.1024000000002</x:v>
      </x:c>
      <x:c r="Q303" t="n">
        <x:f>'MOD Model'!$D$68</x:f>
        <x:v>1281.1075200000002</x:v>
      </x:c>
      <x:c r="R303" t="n">
        <x:f>'MOD Model'!$E$68</x:f>
        <x:v>1345.1628960000003</x:v>
      </x:c>
      <x:c r="S303" t="n">
        <x:f>'MOD Model'!$F$68</x:f>
        <x:v>1398.9694118400002</x:v>
      </x:c>
      <x:c r="T303" t="n">
        <x:f>S303*(1+($BG303+('Assumptions'!$D$15-$BG303)*(6-5)/5))</x:f>
        <x:v>1964.0171669977428</x:v>
      </x:c>
      <x:c r="U303" t="n">
        <x:f>T303*(1+($BG303+('Assumptions'!$D$15-$BG303)*(7-5)/5))</x:f>
        <x:v>2573.7014180013994</x:v>
      </x:c>
      <x:c r="V303" t="n">
        <x:f>U303*(1+($BG303+('Assumptions'!$D$15-$BG303)*(8-5)/5))</x:f>
        <x:v>3132.06962899859</x:v>
      </x:c>
      <x:c r="W303" t="n">
        <x:f>V303*(1+($BG303+('Assumptions'!$D$15-$BG303)*(9-5)/5))</x:f>
        <x:v>3518.804170717772</x:v>
      </x:c>
      <x:c r="X303" t="n">
        <x:f>W303*(1+($BG303+('Assumptions'!$D$15-$BG303)*(10-5)/5))</x:f>
        <x:v>3624.3682958393056</x:v>
      </x:c>
      <x:c r="Y303" t="n">
        <x:f>E303*'MOD Model'!$B$62+O303*'MOD Model'!$B$63+'MOD Model'!$B$73+'MOD Model'!$B$74</x:f>
        <x:v>458.60303999999996</x:v>
      </x:c>
      <x:c r="Z303" t="n">
        <x:f>F303*'MOD Model'!$C$62+P303*'MOD Model'!$C$63+'MOD Model'!$C$73+'MOD Model'!$C$74</x:f>
        <x:v>762.89616</x:v>
      </x:c>
      <x:c r="AA303" t="n">
        <x:f>G303*'MOD Model'!$D$62+Q303*'MOD Model'!$D$63+'MOD Model'!$D$73+'MOD Model'!$D$74</x:f>
        <x:v>1245.8430698279997</x:v>
      </x:c>
      <x:c r="AB303" t="n">
        <x:f>H303*'MOD Model'!$E$62+R303*'MOD Model'!$E$63+'MOD Model'!$E$73+'MOD Model'!$E$74</x:f>
        <x:v>1953.7880166436798</x:v>
      </x:c>
      <x:c r="AC303" t="n">
        <x:f>I303*'MOD Model'!$F$62+S303*'MOD Model'!$F$63+'MOD Model'!$F$73+'MOD Model'!$F$74</x:f>
        <x:v>3018.6565548985773</x:v>
      </x:c>
      <x:c r="AD303" t="n">
        <x:f>AX303*$AC303/$AW303</x:f>
        <x:v>4237.900589472741</x:v>
      </x:c>
      <x:c r="AE303" t="n">
        <x:f>AY303*$AC303/$AW303</x:f>
        <x:v>5553.459989938824</x:v>
      </x:c>
      <x:c r="AF303" t="n">
        <x:f>AZ303*$AC303/$AW303</x:f>
        <x:v>6758.291093398599</x:v>
      </x:c>
      <x:c r="AG303" t="n">
        <x:f>BA303*$AC303/$AW303</x:f>
        <x:v>7592.775928796717</x:v>
      </x:c>
      <x:c r="AH303" t="n">
        <x:f>BB303*$AC303/$AW303</x:f>
        <x:v>7820.55920666062</x:v>
      </x:c>
      <x:c r="AI303" t="n">
        <x:f>Y303*(1-'Assumptions'!$F$15)+AS303*'Assumptions'!$G$15-AS303*'MOD Model'!$B$65-(AS303-'Inputs'!$F$14)*'Assumptions'!$H$15-'Assumptions'!$I$15</x:f>
        <x:v>92.1263999999999</x:v>
      </x:c>
      <x:c r="AJ303" t="n">
        <x:f>Z303*(1-'Assumptions'!$F$15)+AT303*'Assumptions'!$G$15-AT303*'MOD Model'!$C$65-(AT303-AS303)*'Assumptions'!$H$15-0</x:f>
        <x:v>234.92070720000012</x:v>
      </x:c>
      <x:c r="AK303" t="n">
        <x:f>AA303*(1-'Assumptions'!$F$15)+AU303*'Assumptions'!$G$15-AU303*'MOD Model'!$D$65-(AU303-AT303)*'Assumptions'!$H$15-0</x:f>
        <x:v>464.4310405109998</x:v>
      </x:c>
      <x:c r="AL303" t="n">
        <x:f>AB303*(1-'Assumptions'!$F$15)+AV303*'Assumptions'!$G$15-AV303*'MOD Model'!$E$65-(AV303-AU303)*'Assumptions'!$H$15-0</x:f>
        <x:v>798.01614653628</x:v>
      </x:c>
      <x:c r="AM303" t="n">
        <x:f>AC303*(1-'Assumptions'!$F$15)+AW303*'Assumptions'!$G$15-AW303*'MOD Model'!$F$65-(AW303-AV303)*'Assumptions'!$H$15-0</x:f>
        <x:v>1311.0652196775</x:v>
      </x:c>
      <x:c r="AN303" t="n">
        <x:f>AD303*(1-'Assumptions'!$F$15)+AX303*'Assumptions'!$G$15-AX303*'MOD Model'!$G$65-(AX303-AW303)*'Assumptions'!$H$15-0</x:f>
        <x:v>1978.2581801181295</x:v>
      </x:c>
      <x:c r="AO303" t="n">
        <x:f>AE303*(1-'Assumptions'!$F$15)+AY303*'Assumptions'!$G$15-AY303*'MOD Model'!$H$65-(AY303-AX303)*'Assumptions'!$H$15-0</x:f>
        <x:v>2798.4773309221973</x:v>
      </x:c>
      <x:c r="AP303" t="n">
        <x:f>AF303*(1-'Assumptions'!$F$15)+AZ303*'Assumptions'!$G$15-AZ303*'MOD Model'!$I$65-(AZ303-AY303)*'Assumptions'!$H$15-0</x:f>
        <x:v>3694.9751778814016</x:v>
      </x:c>
      <x:c r="AQ303" t="n">
        <x:f>AG303*(1-'Assumptions'!$F$15)+BA303*'Assumptions'!$G$15-BA303*'MOD Model'!$J$65-(BA303-AZ303)*'Assumptions'!$H$15-0</x:f>
        <x:v>4530.405562586286</x:v>
      </x:c>
      <x:c r="AR303" t="n">
        <x:f>AH303*(1-'Assumptions'!$F$15)+BB303*'Assumptions'!$G$15-BB303*'MOD Model'!$K$65-(BB303-BA303)*'Assumptions'!$H$15-0</x:f>
        <x:v>5127.774367241742</x:v>
      </x:c>
      <x:c r="AS303" t="n">
        <x:f>E303+O303</x:f>
        <x:v>3340.2480000000005</x:v>
      </x:c>
      <x:c r="AT303" t="n">
        <x:f>F303+P303</x:f>
        <x:v>4657.15896</x:v>
      </x:c>
      <x:c r="AU303" t="n">
        <x:f>G303+Q303</x:f>
        <x:v>6677.2863191999995</x:v>
      </x:c>
      <x:c r="AV303" t="n">
        <x:f>H303+R303</x:f>
        <x:v>9817.163610743999</x:v>
      </x:c>
      <x:c r="AW303" t="n">
        <x:f>I303+S303</x:f>
        <x:v>14700.010533988077</x:v>
      </x:c>
      <x:c r="AX303" t="n">
        <x:f>J303+T303</x:f>
        <x:v>20637.386921725076</x:v>
      </x:c>
      <x:c r="AY303" t="n">
        <x:f>K303+U303</x:f>
        <x:v>27043.79211994353</x:v>
      </x:c>
      <x:c r="AZ303" t="n">
        <x:f>L303+V303</x:f>
        <x:v>32910.98157672168</x:v>
      </x:c>
      <x:c r="BA303" t="n">
        <x:f>M303+W303</x:f>
        <x:v>36974.688609209115</x:v>
      </x:c>
      <x:c r="BB303" t="n">
        <x:f>N303+X303</x:f>
        <x:v>38083.92926748539</x:v>
      </x:c>
      <x:c r="BC303" t="n">
        <x:f>AS303/'Inputs'!$F$14-1</x:f>
        <x:v>0.3685054080629302</x:v>
      </x:c>
      <x:c r="BD303" t="n">
        <x:f>AT303/AS303-1</x:f>
        <x:v>0.39425544450591654</x:v>
      </x:c>
      <x:c r="BE303" t="n">
        <x:f>AU303/AT303-1</x:f>
        <x:v>0.43376817852916916</x:v>
      </x:c>
      <x:c r="BF303" t="n">
        <x:f>AV303/AU303-1</x:f>
        <x:v>0.4702325378073926</x:v>
      </x:c>
      <x:c r="BG303" t="n">
        <x:f>AW303/AV303-1</x:f>
        <x:v>0.497378582740563</x:v>
      </x:c>
      <x:c r="BH303" t="n">
        <x:f>AX303/AW303-1</x:f>
        <x:v>0.4039028661924504</x:v>
      </x:c>
      <x:c r="BI303" t="n">
        <x:f>AY303/AX303-1</x:f>
        <x:v>0.31042714964433804</x:v>
      </x:c>
      <x:c r="BJ303" t="n">
        <x:f>AZ303/AY303-1</x:f>
        <x:v>0.21695143309622522</x:v>
      </x:c>
      <x:c r="BK303" t="n">
        <x:f>BA303/AZ303-1</x:f>
        <x:v>0.1234757165481124</x:v>
      </x:c>
      <x:c r="BL303" t="n">
        <x:f>BB303/BA303-1</x:f>
        <x:v>0.030000000000000027</x:v>
      </x:c>
      <x:c r="BM303" t="n">
        <x:f>AH303*(1-'Assumptions'!$F$15)*(1+'Assumptions'!$D$15)*(1-'Assumptions'!$D$15/'Assumptions'!$E$15)</x:f>
        <x:v>5217.557170716421</x:v>
      </x:c>
      <x:c r="BN303" t="n">
        <x:f>SUMPRODUCT(AI303:AR303,'MOD Model'!$B$83:$K$83)+BM303/('Assumptions'!$C$15-'Assumptions'!$D$15)*'MOD Model'!$K$83</x:f>
        <x:v>35457.11689463233</x:v>
      </x:c>
      <x:c r="BO303" t="n">
        <x:f>'MOD Model'!$B$94</x:f>
        <x:v>553.5</x:v>
      </x:c>
      <x:c r="BP303" t="n">
        <x:f>'Inputs'!$F$8</x:f>
        <x:v>54</x:v>
      </x:c>
    </x:row>
    <x:row r="304">
      <x:c r="A304" t="str">
        <x:v>MOD</x:v>
      </x:c>
      <x:c r="B304" s="22" t="n">
        <x:v>0.58</x:v>
      </x:c>
      <x:c r="C304" s="42" t="n">
        <x:f>(BN304+BO304)/BP304</x:f>
        <x:v>696.2283409176365</x:v>
      </x:c>
      <x:c r="D304" s="22" t="n">
        <x:f>C304/'Inputs'!$F$5-1</x:f>
        <x:v>2.5766379375199655</x:v>
      </x:c>
      <x:c r="E304" t="n">
        <x:f>'Inputs'!$F$24*(1+$B304)^1</x:f>
        <x:v>2203.152</x:v>
      </x:c>
      <x:c r="F304" t="n">
        <x:f>'Inputs'!$F$24*(1+$B304)^2</x:f>
        <x:v>3480.980160000001</x:v>
      </x:c>
      <x:c r="G304" t="n">
        <x:f>'Inputs'!$F$24*(1+$B304)^3</x:f>
        <x:v>5499.948652800002</x:v>
      </x:c>
      <x:c r="H304" t="n">
        <x:f>'Inputs'!$F$24*(1+$B304)^4</x:f>
        <x:v>8689.918871424004</x:v>
      </x:c>
      <x:c r="I304" t="n">
        <x:f>'Inputs'!$F$24*(1+$B304)^5</x:f>
        <x:v>13730.071816849926</x:v>
      </x:c>
      <x:c r="J304" t="n">
        <x:f>I304*(1+($BG304+('Assumptions'!$D$15-$BG304)*(6-5)/5))</x:f>
        <x:v>19388.126137113417</x:v>
      </x:c>
      <x:c r="K304" t="n">
        <x:f>J304*(1+($BG304+('Assumptions'!$D$15-$BG304)*(7-5)/5))</x:f>
        <x:v>25525.807497777307</x:v>
      </x:c>
      <x:c r="L304" t="n">
        <x:f>K304*(1+($BG304+('Assumptions'!$D$15-$BG304)*(8-5)/5))</x:f>
        <x:v>31168.18659679603</x:v>
      </x:c>
      <x:c r="M304" t="n">
        <x:f>L304*(1+($BG304+('Assumptions'!$D$15-$BG304)*(9-5)/5))</x:f>
        <x:v>35080.51177121427</x:v>
      </x:c>
      <x:c r="N304" t="n">
        <x:f>M304*(1+($BG304+('Assumptions'!$D$15-$BG304)*(10-5)/5))</x:f>
        <x:v>36132.927124350696</x:v>
      </x:c>
      <x:c r="O304" t="n">
        <x:f>'MOD Model'!$B$68</x:f>
        <x:v>1151.0400000000002</x:v>
      </x:c>
      <x:c r="P304" t="n">
        <x:f>'MOD Model'!$C$68</x:f>
        <x:v>1220.1024000000002</x:v>
      </x:c>
      <x:c r="Q304" t="n">
        <x:f>'MOD Model'!$D$68</x:f>
        <x:v>1281.1075200000002</x:v>
      </x:c>
      <x:c r="R304" t="n">
        <x:f>'MOD Model'!$E$68</x:f>
        <x:v>1345.1628960000003</x:v>
      </x:c>
      <x:c r="S304" t="n">
        <x:f>'MOD Model'!$F$68</x:f>
        <x:v>1398.9694118400002</x:v>
      </x:c>
      <x:c r="T304" t="n">
        <x:f>S304*(1+($BG304+('Assumptions'!$D$15-$BG304)*(6-5)/5))</x:f>
        <x:v>1975.4736741748654</x:v>
      </x:c>
      <x:c r="U304" t="n">
        <x:f>T304*(1+($BG304+('Assumptions'!$D$15-$BG304)*(7-5)/5))</x:f>
        <x:v>2600.847568625424</x:v>
      </x:c>
      <x:c r="V304" t="n">
        <x:f>U304*(1+($BG304+('Assumptions'!$D$15-$BG304)*(8-5)/5))</x:f>
        <x:v>3175.754668517312</x:v>
      </x:c>
      <x:c r="W304" t="n">
        <x:f>V304*(1+($BG304+('Assumptions'!$D$15-$BG304)*(9-5)/5))</x:f>
        <x:v>3574.3850122760255</x:v>
      </x:c>
      <x:c r="X304" t="n">
        <x:f>W304*(1+($BG304+('Assumptions'!$D$15-$BG304)*(10-5)/5))</x:f>
        <x:v>3681.616562644306</x:v>
      </x:c>
      <x:c r="Y304" t="n">
        <x:f>E304*'MOD Model'!$B$62+O304*'MOD Model'!$B$63+'MOD Model'!$B$73+'MOD Model'!$B$74</x:f>
        <x:v>461.11296000000004</x:v>
      </x:c>
      <x:c r="Z304" t="n">
        <x:f>F304*'MOD Model'!$C$62+P304*'MOD Model'!$C$63+'MOD Model'!$C$73+'MOD Model'!$C$74</x:f>
        <x:v>771.6808800000003</x:v>
      </x:c>
      <x:c r="AA304" t="n">
        <x:f>G304*'MOD Model'!$D$62+Q304*'MOD Model'!$D$63+'MOD Model'!$D$73+'MOD Model'!$D$74</x:f>
        <x:v>1268.1535883520003</x:v>
      </x:c>
      <x:c r="AB304" t="n">
        <x:f>H304*'MOD Model'!$E$62+R304*'MOD Model'!$E$63+'MOD Model'!$E$73+'MOD Model'!$E$74</x:f>
        <x:v>2001.7300111132809</x:v>
      </x:c>
      <x:c r="AC304" t="n">
        <x:f>I304*'MOD Model'!$F$62+S304*'MOD Model'!$F$63+'MOD Model'!$F$73+'MOD Model'!$F$74</x:f>
        <x:v>3113.043307732984</x:v>
      </x:c>
      <x:c r="AD304" t="n">
        <x:f>AX304*$AC304/$AW304</x:f>
        <x:v>4395.90390536437</x:v>
      </x:c>
      <x:c r="AE304" t="n">
        <x:f>AY304*$AC304/$AW304</x:f>
        <x:v>5787.51118460407</x:v>
      </x:c>
      <x:c r="AF304" t="n">
        <x:f>AZ304*$AC304/$AW304</x:f>
        <x:v>7066.817711780168</x:v>
      </x:c>
      <x:c r="AG304" t="n">
        <x:f>BA304*$AC304/$AW304</x:f>
        <x:v>7953.866072805584</x:v>
      </x:c>
      <x:c r="AH304" t="n">
        <x:f>BB304*$AC304/$AW304</x:f>
        <x:v>8192.48205498975</x:v>
      </x:c>
      <x:c r="AI304" t="n">
        <x:f>Y304*(1-'Assumptions'!$F$15)+AS304*'Assumptions'!$G$15-AS304*'MOD Model'!$B$65-(AS304-'Inputs'!$F$14)*'Assumptions'!$H$15-'Assumptions'!$I$15</x:f>
        <x:v>91.4292000000001</x:v>
      </x:c>
      <x:c r="AJ304" t="n">
        <x:f>Z304*(1-'Assumptions'!$F$15)+AT304*'Assumptions'!$G$15-AT304*'MOD Model'!$C$65-(AT304-AS304)*'Assumptions'!$H$15-0</x:f>
        <x:v>235.69459920000017</x:v>
      </x:c>
      <x:c r="AK304" t="n">
        <x:f>AA304*(1-'Assumptions'!$F$15)+AU304*'Assumptions'!$G$15-AU304*'MOD Model'!$D$65-(AU304-AT304)*'Assumptions'!$H$15-0</x:f>
        <x:v>469.59274502400007</x:v>
      </x:c>
      <x:c r="AL304" t="n">
        <x:f>AB304*(1-'Assumptions'!$F$15)+AV304*'Assumptions'!$G$15-AV304*'MOD Model'!$E$65-(AV304-AU304)*'Assumptions'!$H$15-0</x:f>
        <x:v>812.4920337928802</x:v>
      </x:c>
      <x:c r="AM304" t="n">
        <x:f>AC304*(1-'Assumptions'!$F$15)+AW304*'Assumptions'!$G$15-AW304*'MOD Model'!$F$65-(AW304-AV304)*'Assumptions'!$H$15-0</x:f>
        <x:v>1343.752943179501</x:v>
      </x:c>
      <x:c r="AN304" t="n">
        <x:f>AD304*(1-'Assumptions'!$F$15)+AX304*'Assumptions'!$G$15-AX304*'MOD Model'!$G$65-(AX304-AW304)*'Assumptions'!$H$15-0</x:f>
        <x:v>2041.2901444642002</x:v>
      </x:c>
      <x:c r="AO304" t="n">
        <x:f>AE304*(1-'Assumptions'!$F$15)+AY304*'Assumptions'!$G$15-AY304*'MOD Model'!$H$65-(AY304-AX304)*'Assumptions'!$H$15-0</x:f>
        <x:v>2904.2752741898435</x:v>
      </x:c>
      <x:c r="AP304" t="n">
        <x:f>AF304*(1-'Assumptions'!$F$15)+AZ304*'Assumptions'!$G$15-AZ304*'MOD Model'!$I$65-(AZ304-AY304)*'Assumptions'!$H$15-0</x:f>
        <x:v>3852.3612350188346</x:v>
      </x:c>
      <x:c r="AQ304" t="n">
        <x:f>AG304*(1-'Assumptions'!$F$15)+BA304*'Assumptions'!$G$15-BA304*'MOD Model'!$J$65-(BA304-AZ304)*'Assumptions'!$H$15-0</x:f>
        <x:v>4738.93277512529</x:v>
      </x:c>
      <x:c r="AR304" t="n">
        <x:f>AH304*(1-'Assumptions'!$F$15)+BB304*'Assumptions'!$G$15-BB304*'MOD Model'!$K$65-(BB304-BA304)*'Assumptions'!$H$15-0</x:f>
        <x:v>5373.196350411683</x:v>
      </x:c>
      <x:c r="AS304" t="n">
        <x:f>E304+O304</x:f>
        <x:v>3354.192</x:v>
      </x:c>
      <x:c r="AT304" t="n">
        <x:f>F304+P304</x:f>
        <x:v>4701.082560000001</x:v>
      </x:c>
      <x:c r="AU304" t="n">
        <x:f>G304+Q304</x:f>
        <x:v>6781.056172800002</x:v>
      </x:c>
      <x:c r="AV304" t="n">
        <x:f>H304+R304</x:f>
        <x:v>10035.081767424004</x:v>
      </x:c>
      <x:c r="AW304" t="n">
        <x:f>I304+S304</x:f>
        <x:v>15129.041228689926</x:v>
      </x:c>
      <x:c r="AX304" t="n">
        <x:f>J304+T304</x:f>
        <x:v>21363.59981128828</x:v>
      </x:c>
      <x:c r="AY304" t="n">
        <x:f>K304+U304</x:f>
        <x:v>28126.65506640273</x:v>
      </x:c>
      <x:c r="AZ304" t="n">
        <x:f>L304+V304</x:f>
        <x:v>34343.94126531334</x:v>
      </x:c>
      <x:c r="BA304" t="n">
        <x:f>M304+W304</x:f>
        <x:v>38654.896783490294</x:v>
      </x:c>
      <x:c r="BB304" t="n">
        <x:f>N304+X304</x:f>
        <x:v>39814.543686995</x:v>
      </x:c>
      <x:c r="BC304" t="n">
        <x:f>AS304/'Inputs'!$F$14-1</x:f>
        <x:v>0.37421828908554566</x:v>
      </x:c>
      <x:c r="BD304" t="n">
        <x:f>AT304/AS304-1</x:f>
        <x:v>0.4015544011791814</x:v>
      </x:c>
      <x:c r="BE304" t="n">
        <x:f>AU304/AT304-1</x:f>
        <x:v>0.4424456678335811</x:v>
      </x:c>
      <x:c r="BF304" t="n">
        <x:f>AV304/AU304-1</x:f>
        <x:v>0.4798700249197856</x:v>
      </x:c>
      <x:c r="BG304" t="n">
        <x:f>AW304/AV304-1</x:f>
        <x:v>0.5076151424896198</x:v>
      </x:c>
      <x:c r="BH304" t="n">
        <x:f>AX304/AW304-1</x:f>
        <x:v>0.41209211399169576</x:v>
      </x:c>
      <x:c r="BI304" t="n">
        <x:f>AY304/AX304-1</x:f>
        <x:v>0.31656908549377194</x:v>
      </x:c>
      <x:c r="BJ304" t="n">
        <x:f>AZ304/AY304-1</x:f>
        <x:v>0.2210460569958479</x:v>
      </x:c>
      <x:c r="BK304" t="n">
        <x:f>BA304/AZ304-1</x:f>
        <x:v>0.12552302849792407</x:v>
      </x:c>
      <x:c r="BL304" t="n">
        <x:f>BB304/BA304-1</x:f>
        <x:v>0.029999999999999805</x:v>
      </x:c>
      <x:c r="BM304" t="n">
        <x:f>AH304*(1-'Assumptions'!$F$15)*(1+'Assumptions'!$D$15)*(1-'Assumptions'!$D$15/'Assumptions'!$E$15)</x:f>
        <x:v>5465.688880096003</x:v>
      </x:c>
      <x:c r="BN304" t="n">
        <x:f>SUMPRODUCT(AI304:AR304,'MOD Model'!$B$83:$K$83)+BM304/('Assumptions'!$C$15-'Assumptions'!$D$15)*'MOD Model'!$K$83</x:f>
        <x:v>37042.83040955237</x:v>
      </x:c>
      <x:c r="BO304" t="n">
        <x:f>'MOD Model'!$B$94</x:f>
        <x:v>553.5</x:v>
      </x:c>
      <x:c r="BP304" t="n">
        <x:f>'Inputs'!$F$8</x:f>
        <x:v>54</x:v>
      </x:c>
    </x:row>
    <x:row r="305">
      <x:c r="A305" t="str">
        <x:v>MOD</x:v>
      </x:c>
      <x:c r="B305" s="22" t="n">
        <x:v>0.59</x:v>
      </x:c>
      <x:c r="C305" s="42" t="n">
        <x:f>(BN305+BO305)/BP305</x:f>
        <x:v>726.8022393509352</x:v>
      </x:c>
      <x:c r="D305" s="22" t="n">
        <x:f>C305/'Inputs'!$F$5-1</x:f>
        <x:v>2.733701013823771</x:v>
      </x:c>
      <x:c r="E305" t="n">
        <x:f>'Inputs'!$F$24*(1+$B305)^1</x:f>
        <x:v>2217.096</x:v>
      </x:c>
      <x:c r="F305" t="n">
        <x:f>'Inputs'!$F$24*(1+$B305)^2</x:f>
        <x:v>3525.1826399999995</x:v>
      </x:c>
      <x:c r="G305" t="n">
        <x:f>'Inputs'!$F$24*(1+$B305)^3</x:f>
        <x:v>5605.040397599998</x:v>
      </x:c>
      <x:c r="H305" t="n">
        <x:f>'Inputs'!$F$24*(1+$B305)^4</x:f>
        <x:v>8912.014232183996</x:v>
      </x:c>
      <x:c r="I305" t="n">
        <x:f>'Inputs'!$F$24*(1+$B305)^5</x:f>
        <x:v>14170.102629172552</x:v>
      </x:c>
      <x:c r="J305" t="n">
        <x:f>I305*(1+($BG305+('Assumptions'!$D$15-$BG305)*(6-5)/5))</x:f>
        <x:v>20125.751791535753</x:v>
      </x:c>
      <x:c r="K305" t="n">
        <x:f>J305*(1+($BG305+('Assumptions'!$D$15-$BG305)*(7-5)/5))</x:f>
        <x:v>26620.787132545232</x:v>
      </x:c>
      <x:c r="L305" t="n">
        <x:f>K305*(1+($BG305+('Assumptions'!$D$15-$BG305)*(8-5)/5))</x:f>
        <x:v>32614.415111280505</x:v>
      </x:c>
      <x:c r="M305" t="n">
        <x:f>L305*(1+($BG305+('Assumptions'!$D$15-$BG305)*(9-5)/5))</x:f>
        <x:v>36775.173241420984</x:v>
      </x:c>
      <x:c r="N305" t="n">
        <x:f>M305*(1+($BG305+('Assumptions'!$D$15-$BG305)*(10-5)/5))</x:f>
        <x:v>37878.42843866361</x:v>
      </x:c>
      <x:c r="O305" t="n">
        <x:f>'MOD Model'!$B$68</x:f>
        <x:v>1151.0400000000002</x:v>
      </x:c>
      <x:c r="P305" t="n">
        <x:f>'MOD Model'!$C$68</x:f>
        <x:v>1220.1024000000002</x:v>
      </x:c>
      <x:c r="Q305" t="n">
        <x:f>'MOD Model'!$D$68</x:f>
        <x:v>1281.1075200000002</x:v>
      </x:c>
      <x:c r="R305" t="n">
        <x:f>'MOD Model'!$E$68</x:f>
        <x:v>1345.1628960000003</x:v>
      </x:c>
      <x:c r="S305" t="n">
        <x:f>'MOD Model'!$F$68</x:f>
        <x:v>1398.9694118400002</x:v>
      </x:c>
      <x:c r="T305" t="n">
        <x:f>S305*(1+($BG305+('Assumptions'!$D$15-$BG305)*(6-5)/5))</x:f>
        <x:v>1986.951815626102</x:v>
      </x:c>
      <x:c r="U305" t="n">
        <x:f>T305*(1+($BG305+('Assumptions'!$D$15-$BG305)*(7-5)/5))</x:f>
        <x:v>2628.1861107246855</x:v>
      </x:c>
      <x:c r="V305" t="n">
        <x:f>U305*(1+($BG305+('Assumptions'!$D$15-$BG305)*(8-5)/5))</x:f>
        <x:v>3219.9180429223197</x:v>
      </x:c>
      <x:c r="W305" t="n">
        <x:f>V305*(1+($BG305+('Assumptions'!$D$15-$BG305)*(9-5)/5))</x:f>
        <x:v>3630.6965324265293</x:v>
      </x:c>
      <x:c r="X305" t="n">
        <x:f>W305*(1+($BG305+('Assumptions'!$D$15-$BG305)*(10-5)/5))</x:f>
        <x:v>3739.6174283993255</x:v>
      </x:c>
      <x:c r="Y305" t="n">
        <x:f>E305*'MOD Model'!$B$62+O305*'MOD Model'!$B$63+'MOD Model'!$B$73+'MOD Model'!$B$74</x:f>
        <x:v>463.62288</x:v>
      </x:c>
      <x:c r="Z305" t="n">
        <x:f>F305*'MOD Model'!$C$62+P305*'MOD Model'!$C$63+'MOD Model'!$C$73+'MOD Model'!$C$74</x:f>
        <x:v>780.5213759999999</x:v>
      </x:c>
      <x:c r="AA305" t="n">
        <x:f>G305*'MOD Model'!$D$62+Q305*'MOD Model'!$D$63+'MOD Model'!$D$73+'MOD Model'!$D$74</x:f>
        <x:v>1290.7483134839995</x:v>
      </x:c>
      <x:c r="AB305" t="n">
        <x:f>H305*'MOD Model'!$E$62+R305*'MOD Model'!$E$63+'MOD Model'!$E$73+'MOD Model'!$E$74</x:f>
        <x:v>2050.5909904804794</x:v>
      </x:c>
      <x:c r="AC305" t="n">
        <x:f>I305*'MOD Model'!$F$62+S305*'MOD Model'!$F$63+'MOD Model'!$F$73+'MOD Model'!$F$74</x:f>
        <x:v>3209.850086443962</x:v>
      </x:c>
      <x:c r="AD305" t="n">
        <x:f>AX305*$AC305/$AW305</x:f>
        <x:v>4558.939890443337</x:v>
      </x:c>
      <x:c r="AE305" t="n">
        <x:f>AY305*$AC305/$AW305</x:f>
        <x:v>6030.212914809094</x:v>
      </x:c>
      <x:c r="AF305" t="n">
        <x:f>AZ305*$AC305/$AW305</x:f>
        <x:v>7387.905783317258</x:v>
      </x:c>
      <x:c r="AG305" t="n">
        <x:f>BA305*$AC305/$AW305</x:f>
        <x:v>8330.412001741432</x:v>
      </x:c>
      <x:c r="AH305" t="n">
        <x:f>BB305*$AC305/$AW305</x:f>
        <x:v>8580.324361793673</x:v>
      </x:c>
      <x:c r="AI305" t="n">
        <x:f>Y305*(1-'Assumptions'!$F$15)+AS305*'Assumptions'!$G$15-AS305*'MOD Model'!$B$65-(AS305-'Inputs'!$F$14)*'Assumptions'!$H$15-'Assumptions'!$I$15</x:f>
        <x:v>90.73199999999997</x:v>
      </x:c>
      <x:c r="AJ305" t="n">
        <x:f>Z305*(1-'Assumptions'!$F$15)+AT305*'Assumptions'!$G$15-AT305*'MOD Model'!$C$65-(AT305-AS305)*'Assumptions'!$H$15-0</x:f>
        <x:v>236.46012480000007</x:v>
      </x:c>
      <x:c r="AK305" t="n">
        <x:f>AA305*(1-'Assumptions'!$F$15)+AU305*'Assumptions'!$G$15-AU305*'MOD Model'!$D$65-(AU305-AT305)*'Assumptions'!$H$15-0</x:f>
        <x:v>474.7781055329998</x:v>
      </x:c>
      <x:c r="AL305" t="n">
        <x:f>AB305*(1-'Assumptions'!$F$15)+AV305*'Assumptions'!$G$15-AV305*'MOD Model'!$E$65-(AV305-AU305)*'Assumptions'!$H$15-0</x:f>
        <x:v>827.1453187090799</x:v>
      </x:c>
      <x:c r="AM305" t="n">
        <x:f>AC305*(1-'Assumptions'!$F$15)+AW305*'Assumptions'!$G$15-AW305*'MOD Model'!$F$65-(AW305-AV305)*'Assumptions'!$H$15-0</x:f>
        <x:v>1377.0672472934993</x:v>
      </x:c>
      <x:c r="AN305" t="n">
        <x:f>AD305*(1-'Assumptions'!$F$15)+AX305*'Assumptions'!$G$15-AX305*'MOD Model'!$G$65-(AX305-AW305)*'Assumptions'!$H$15-0</x:f>
        <x:v>2105.9696288026803</x:v>
      </x:c>
      <x:c r="AO305" t="n">
        <x:f>AE305*(1-'Assumptions'!$F$15)+AY305*'Assumptions'!$G$15-AY305*'MOD Model'!$H$65-(AY305-AX305)*'Assumptions'!$H$15-0</x:f>
        <x:v>3013.4846420415633</x:v>
      </x:c>
      <x:c r="AP305" t="n">
        <x:f>AF305*(1-'Assumptions'!$F$15)+AZ305*'Assumptions'!$G$15-AZ305*'MOD Model'!$I$65-(AZ305-AY305)*'Assumptions'!$H$15-0</x:f>
        <x:v>4015.6103535349653</x:v>
      </x:c>
      <x:c r="AQ305" t="n">
        <x:f>AG305*(1-'Assumptions'!$F$15)+BA305*'Assumptions'!$G$15-BA305*'MOD Model'!$J$65-(BA305-AZ305)*'Assumptions'!$H$15-0</x:f>
        <x:v>4955.990461751658</x:v>
      </x:c>
      <x:c r="AR305" t="n">
        <x:f>AH305*(1-'Assumptions'!$F$15)+BB305*'Assumptions'!$G$15-BB305*'MOD Model'!$K$65-(BB305-BA305)*'Assumptions'!$H$15-0</x:f>
        <x:v>5629.146169356997</x:v>
      </x:c>
      <x:c r="AS305" t="n">
        <x:f>E305+O305</x:f>
        <x:v>3368.1360000000004</x:v>
      </x:c>
      <x:c r="AT305" t="n">
        <x:f>F305+P305</x:f>
        <x:v>4745.28504</x:v>
      </x:c>
      <x:c r="AU305" t="n">
        <x:f>G305+Q305</x:f>
        <x:v>6886.147917599998</x:v>
      </x:c>
      <x:c r="AV305" t="n">
        <x:f>H305+R305</x:f>
        <x:v>10257.177128183996</x:v>
      </x:c>
      <x:c r="AW305" t="n">
        <x:f>I305+S305</x:f>
        <x:v>15569.072041012552</x:v>
      </x:c>
      <x:c r="AX305" t="n">
        <x:f>J305+T305</x:f>
        <x:v>22112.703607161857</x:v>
      </x:c>
      <x:c r="AY305" t="n">
        <x:f>K305+U305</x:f>
        <x:v>29248.973243269917</x:v>
      </x:c>
      <x:c r="AZ305" t="n">
        <x:f>L305+V305</x:f>
        <x:v>35834.333154202825</x:v>
      </x:c>
      <x:c r="BA305" t="n">
        <x:f>M305+W305</x:f>
        <x:v>40405.86977384752</x:v>
      </x:c>
      <x:c r="BB305" t="n">
        <x:f>N305+X305</x:f>
        <x:v>41618.04586706294</x:v>
      </x:c>
      <x:c r="BC305" t="n">
        <x:f>AS305/'Inputs'!$F$14-1</x:f>
        <x:v>0.37993117010816135</x:v>
      </x:c>
      <x:c r="BD305" t="n">
        <x:f>AT305/AS305-1</x:f>
        <x:v>0.4088757223580044</x:v>
      </x:c>
      <x:c r="BE305" t="n">
        <x:f>AU305/AT305-1</x:f>
        <x:v>0.45115580192839144</x:v>
      </x:c>
      <x:c r="BF305" t="n">
        <x:f>AV305/AU305-1</x:f>
        <x:v>0.4895377286288223</x:v>
      </x:c>
      <x:c r="BG305" t="n">
        <x:f>AW305/AV305-1</x:f>
        <x:v>0.51787103278473</x:v>
      </x:c>
      <x:c r="BH305" t="n">
        <x:f>AX305/AW305-1</x:f>
        <x:v>0.4202968262277842</x:v>
      </x:c>
      <x:c r="BI305" t="n">
        <x:f>AY305/AX305-1</x:f>
        <x:v>0.32272261967083793</x:v>
      </x:c>
      <x:c r="BJ305" t="n">
        <x:f>AZ305/AY305-1</x:f>
        <x:v>0.2251484131138919</x:v>
      </x:c>
      <x:c r="BK305" t="n">
        <x:f>BA305/AZ305-1</x:f>
        <x:v>0.12757420655694607</x:v>
      </x:c>
      <x:c r="BL305" t="n">
        <x:f>BB305/BA305-1</x:f>
        <x:v>0.029999999999999805</x:v>
      </x:c>
      <x:c r="BM305" t="n">
        <x:f>AH305*(1-'Assumptions'!$F$15)*(1+'Assumptions'!$D$15)*(1-'Assumptions'!$D$15/'Assumptions'!$E$15)</x:f>
        <x:v>5724.441400919392</x:v>
      </x:c>
      <x:c r="BN305" t="n">
        <x:f>SUMPRODUCT(AI305:AR305,'MOD Model'!$B$83:$K$83)+BM305/('Assumptions'!$C$15-'Assumptions'!$D$15)*'MOD Model'!$K$83</x:f>
        <x:v>38693.8209249505</x:v>
      </x:c>
      <x:c r="BO305" t="n">
        <x:f>'MOD Model'!$B$94</x:f>
        <x:v>553.5</x:v>
      </x:c>
      <x:c r="BP305" t="n">
        <x:f>'Inputs'!$F$8</x:f>
        <x:v>54</x:v>
      </x:c>
    </x:row>
    <x:row r="306">
      <x:c r="A306" t="str">
        <x:v>MOD</x:v>
      </x:c>
      <x:c r="B306" s="22" t="n">
        <x:v>0.6</x:v>
      </x:c>
      <x:c r="C306" s="42" t="n">
        <x:f>(BN306+BO306)/BP306</x:f>
        <x:v>758.6281480118291</x:v>
      </x:c>
      <x:c r="D306" s="22" t="n">
        <x:f>C306/'Inputs'!$F$5-1</x:f>
        <x:v>2.897195869782334</x:v>
      </x:c>
      <x:c r="E306" t="n">
        <x:f>'Inputs'!$F$24*(1+$B306)^1</x:f>
        <x:v>2231.0400000000004</x:v>
      </x:c>
      <x:c r="F306" t="n">
        <x:f>'Inputs'!$F$24*(1+$B306)^2</x:f>
        <x:v>3569.664000000001</x:v>
      </x:c>
      <x:c r="G306" t="n">
        <x:f>'Inputs'!$F$24*(1+$B306)^3</x:f>
        <x:v>5711.462400000002</x:v>
      </x:c>
      <x:c r="H306" t="n">
        <x:f>'Inputs'!$F$24*(1+$B306)^4</x:f>
        <x:v>9138.339840000004</x:v>
      </x:c>
      <x:c r="I306" t="n">
        <x:f>'Inputs'!$F$24*(1+$B306)^5</x:f>
        <x:v>14621.343744000009</x:v>
      </x:c>
      <x:c r="J306" t="n">
        <x:f>I306*(1+($BG306+('Assumptions'!$D$15-$BG306)*(6-5)/5))</x:f>
        <x:v>20886.824447542094</x:v>
      </x:c>
      <x:c r="K306" t="n">
        <x:f>J306*(1+($BG306+('Assumptions'!$D$15-$BG306)*(7-5)/5))</x:f>
        <x:v>27756.23051644302</x:v>
      </x:c>
      <x:c r="L306" t="n">
        <x:f>K306*(1+($BG306+('Assumptions'!$D$15-$BG306)*(8-5)/5))</x:f>
        <x:v>34119.569330728074</x:v>
      </x:c>
      <x:c r="M306" t="n">
        <x:f>L306*(1+($BG306+('Assumptions'!$D$15-$BG306)*(9-5)/5))</x:f>
        <x:v>38542.455548066275</x:v>
      </x:c>
      <x:c r="N306" t="n">
        <x:f>M306*(1+($BG306+('Assumptions'!$D$15-$BG306)*(10-5)/5))</x:f>
        <x:v>39698.72921450826</x:v>
      </x:c>
      <x:c r="O306" t="n">
        <x:f>'MOD Model'!$B$68</x:f>
        <x:v>1151.0400000000002</x:v>
      </x:c>
      <x:c r="P306" t="n">
        <x:f>'MOD Model'!$C$68</x:f>
        <x:v>1220.1024000000002</x:v>
      </x:c>
      <x:c r="Q306" t="n">
        <x:f>'MOD Model'!$D$68</x:f>
        <x:v>1281.1075200000002</x:v>
      </x:c>
      <x:c r="R306" t="n">
        <x:f>'MOD Model'!$E$68</x:f>
        <x:v>1345.1628960000003</x:v>
      </x:c>
      <x:c r="S306" t="n">
        <x:f>'MOD Model'!$F$68</x:f>
        <x:v>1398.9694118400002</x:v>
      </x:c>
      <x:c r="T306" t="n">
        <x:f>S306*(1+($BG306+('Assumptions'!$D$15-$BG306)*(6-5)/5))</x:f>
        <x:v>1998.4502809171684</x:v>
      </x:c>
      <x:c r="U306" t="n">
        <x:f>T306*(1+($BG306+('Assumptions'!$D$15-$BG306)*(7-5)/5))</x:f>
        <x:v>2655.714697660263</x:v>
      </x:c>
      <x:c r="V306" t="n">
        <x:f>U306*(1+($BG306+('Assumptions'!$D$15-$BG306)*(8-5)/5))</x:f>
        <x:v>3264.558625702927</x:v>
      </x:c>
      <x:c r="W306" t="n">
        <x:f>V306*(1+($BG306+('Assumptions'!$D$15-$BG306)*(9-5)/5))</x:f>
        <x:v>3687.7401498117456</x:v>
      </x:c>
      <x:c r="X306" t="n">
        <x:f>W306*(1+($BG306+('Assumptions'!$D$15-$BG306)*(10-5)/5))</x:f>
        <x:v>3798.3723543060983</x:v>
      </x:c>
      <x:c r="Y306" t="n">
        <x:f>E306*'MOD Model'!$B$62+O306*'MOD Model'!$B$63+'MOD Model'!$B$73+'MOD Model'!$B$74</x:f>
        <x:v>466.1328000000001</x:v>
      </x:c>
      <x:c r="Z306" t="n">
        <x:f>F306*'MOD Model'!$C$62+P306*'MOD Model'!$C$63+'MOD Model'!$C$73+'MOD Model'!$C$74</x:f>
        <x:v>789.4176480000003</x:v>
      </x:c>
      <x:c r="AA306" t="n">
        <x:f>G306*'MOD Model'!$D$62+Q306*'MOD Model'!$D$63+'MOD Model'!$D$73+'MOD Model'!$D$74</x:f>
        <x:v>1313.6290440000005</x:v>
      </x:c>
      <x:c r="AB306" t="n">
        <x:f>H306*'MOD Model'!$E$62+R306*'MOD Model'!$E$63+'MOD Model'!$E$73+'MOD Model'!$E$74</x:f>
        <x:v>2100.382624200001</x:v>
      </x:c>
      <x:c r="AC306" t="n">
        <x:f>I306*'MOD Model'!$F$62+S306*'MOD Model'!$F$63+'MOD Model'!$F$73+'MOD Model'!$F$74</x:f>
        <x:v>3309.1231317060024</x:v>
      </x:c>
      <x:c r="AD306" t="n">
        <x:f>AX306*$AC306/$AW306</x:f>
        <x:v>4727.1355586320005</x:v>
      </x:c>
      <x:c r="AE306" t="n">
        <x:f>AY306*$AC306/$AW306</x:f>
        <x:v>6281.829225758855</x:v>
      </x:c>
      <x:c r="AF306" t="n">
        <x:f>AZ306*$AC306/$AW306</x:f>
        <x:v>7721.989038284585</x:v>
      </x:c>
      <x:c r="AG306" t="n">
        <x:f>BA306*$AC306/$AW306</x:f>
        <x:v>8722.982883101582</x:v>
      </x:c>
      <x:c r="AH306" t="n">
        <x:f>BB306*$AC306/$AW306</x:f>
        <x:v>8984.672369594628</x:v>
      </x:c>
      <x:c r="AI306" t="n">
        <x:f>Y306*(1-'Assumptions'!$F$15)+AS306*'Assumptions'!$G$15-AS306*'MOD Model'!$B$65-(AS306-'Inputs'!$F$14)*'Assumptions'!$H$15-'Assumptions'!$I$15</x:f>
        <x:v>90.0347999999999</x:v>
      </x:c>
      <x:c r="AJ306" t="n">
        <x:f>Z306*(1-'Assumptions'!$F$15)+AT306*'Assumptions'!$G$15-AT306*'MOD Model'!$C$65-(AT306-AS306)*'Assumptions'!$H$15-0</x:f>
        <x:v>237.21728400000006</x:v>
      </x:c>
      <x:c r="AK306" t="n">
        <x:f>AA306*(1-'Assumptions'!$F$15)+AU306*'Assumptions'!$G$15-AU306*'MOD Model'!$D$65-(AU306-AT306)*'Assumptions'!$H$15-0</x:f>
        <x:v>479.98700700000035</x:v>
      </x:c>
      <x:c r="AL306" t="n">
        <x:f>AB306*(1-'Assumptions'!$F$15)+AV306*'Assumptions'!$G$15-AV306*'MOD Model'!$E$65-(AV306-AU306)*'Assumptions'!$H$15-0</x:f>
        <x:v>841.9769910300004</x:v>
      </x:c>
      <x:c r="AM306" t="n">
        <x:f>AC306*(1-'Assumptions'!$F$15)+AW306*'Assumptions'!$G$15-AW306*'MOD Model'!$F$65-(AW306-AV306)*'Assumptions'!$H$15-0</x:f>
        <x:v>1411.0160884659006</x:v>
      </x:c>
      <x:c r="AN306" t="n">
        <x:f>AD306*(1-'Assumptions'!$F$15)+AX306*'Assumptions'!$G$15-AX306*'MOD Model'!$G$65-(AX306-AW306)*'Assumptions'!$H$15-0</x:f>
        <x:v>2172.328312154224</x:v>
      </x:c>
      <x:c r="AO306" t="n">
        <x:f>AE306*(1-'Assumptions'!$F$15)+AY306*'Assumptions'!$G$15-AY306*'MOD Model'!$H$65-(AY306-AX306)*'Assumptions'!$H$15-0</x:f>
        <x:v>3126.192168260989</x:v>
      </x:c>
      <x:c r="AP306" t="n">
        <x:f>AF306*(1-'Assumptions'!$F$15)+AZ306*'Assumptions'!$G$15-AZ306*'MOD Model'!$I$65-(AZ306-AY306)*'Assumptions'!$H$15-0</x:f>
        <x:v>4184.902448017816</x:v>
      </x:c>
      <x:c r="AQ306" t="n">
        <x:f>AG306*(1-'Assumptions'!$F$15)+BA306*'Assumptions'!$G$15-BA306*'MOD Model'!$J$65-(BA306-AZ306)*'Assumptions'!$H$15-0</x:f>
        <x:v>5181.874065640964</x:v>
      </x:c>
      <x:c r="AR306" t="n">
        <x:f>AH306*(1-'Assumptions'!$F$15)+BB306*'Assumptions'!$G$15-BB306*'MOD Model'!$K$65-(BB306-BA306)*'Assumptions'!$H$15-0</x:f>
        <x:v>5896.011873023304</x:v>
      </x:c>
      <x:c r="AS306" t="n">
        <x:f>E306+O306</x:f>
        <x:v>3382.080000000001</x:v>
      </x:c>
      <x:c r="AT306" t="n">
        <x:f>F306+P306</x:f>
        <x:v>4789.766400000001</x:v>
      </x:c>
      <x:c r="AU306" t="n">
        <x:f>G306+Q306</x:f>
        <x:v>6992.569920000003</x:v>
      </x:c>
      <x:c r="AV306" t="n">
        <x:f>H306+R306</x:f>
        <x:v>10483.502736000004</x:v>
      </x:c>
      <x:c r="AW306" t="n">
        <x:f>I306+S306</x:f>
        <x:v>16020.31315584001</x:v>
      </x:c>
      <x:c r="AX306" t="n">
        <x:f>J306+T306</x:f>
        <x:v>22885.274728459262</x:v>
      </x:c>
      <x:c r="AY306" t="n">
        <x:f>K306+U306</x:f>
        <x:v>30411.945214103285</x:v>
      </x:c>
      <x:c r="AZ306" t="n">
        <x:f>L306+V306</x:f>
        <x:v>37384.127956431</x:v>
      </x:c>
      <x:c r="BA306" t="n">
        <x:f>M306+W306</x:f>
        <x:v>42230.19569787802</x:v>
      </x:c>
      <x:c r="BB306" t="n">
        <x:f>N306+X306</x:f>
        <x:v>43497.10156881436</x:v>
      </x:c>
      <x:c r="BC306" t="n">
        <x:f>AS306/'Inputs'!$F$14-1</x:f>
        <x:v>0.38564405113077704</x:v>
      </x:c>
      <x:c r="BD306" t="n">
        <x:f>AT306/AS306-1</x:f>
        <x:v>0.41621913142208355</x:v>
      </x:c>
      <x:c r="BE306" t="n">
        <x:f>AU306/AT306-1</x:f>
        <x:v>0.45989790232776295</x:v>
      </x:c>
      <x:c r="BF306" t="n">
        <x:f>AV306/AU306-1</x:f>
        <x:v>0.49923459556912086</x:v>
      </x:c>
      <x:c r="BG306" t="n">
        <x:f>AW306/AV306-1</x:f>
        <x:v>0.5281450827333483</x:v>
      </x:c>
      <x:c r="BH306" t="n">
        <x:f>AX306/AW306-1</x:f>
        <x:v>0.4285160661866785</x:v>
      </x:c>
      <x:c r="BI306" t="n">
        <x:f>AY306/AX306-1</x:f>
        <x:v>0.3288870496400089</x:v>
      </x:c>
      <x:c r="BJ306" t="n">
        <x:f>AZ306/AY306-1</x:f>
        <x:v>0.22925803309333936</x:v>
      </x:c>
      <x:c r="BK306" t="n">
        <x:f>BA306/AZ306-1</x:f>
        <x:v>0.1296290165466698</x:v>
      </x:c>
      <x:c r="BL306" t="n">
        <x:f>BB306/BA306-1</x:f>
        <x:v>0.030000000000000027</x:v>
      </x:c>
      <x:c r="BM306" t="n">
        <x:f>AH306*(1-'Assumptions'!$F$15)*(1+'Assumptions'!$D$15)*(1-'Assumptions'!$D$15/'Assumptions'!$E$15)</x:f>
        <x:v>5994.20585021478</x:v>
      </x:c>
      <x:c r="BN306" t="n">
        <x:f>SUMPRODUCT(AI306:AR306,'MOD Model'!$B$83:$K$83)+BM306/('Assumptions'!$C$15-'Assumptions'!$D$15)*'MOD Model'!$K$83</x:f>
        <x:v>40412.419992638774</x:v>
      </x:c>
      <x:c r="BO306" t="n">
        <x:f>'MOD Model'!$B$94</x:f>
        <x:v>553.5</x:v>
      </x:c>
      <x:c r="BP306" t="n">
        <x:f>'Inputs'!$F$8</x:f>
        <x:v>54</x:v>
      </x:c>
    </x:row>
    <x:row r="307">
      <x:c r="A307" t="str">
        <x:v>POWL</x:v>
      </x:c>
      <x:c r="B307" s="22" t="n">
        <x:v>0</x:v>
      </x:c>
      <x:c r="C307" s="42" t="n">
        <x:f>(BN307+BO307)/BP307</x:f>
        <x:v>74.32529742066511</x:v>
      </x:c>
      <x:c r="D307" s="22" t="n">
        <x:f>C307/'Inputs'!$G$5-1</x:f>
        <x:v>-0.5897483169362194</x:v>
      </x:c>
      <x:c r="E307" t="n">
        <x:f>('Assumptions'!$M$18+'Assumptions'!$N$18)*(1+$B307)^0</x:f>
        <x:v>1500</x:v>
      </x:c>
      <x:c r="F307" t="n">
        <x:f>('Assumptions'!$M$18+'Assumptions'!$N$18)*(1+$B307)^1</x:f>
        <x:v>1500</x:v>
      </x:c>
      <x:c r="G307" t="n">
        <x:f>('Assumptions'!$M$18+'Assumptions'!$N$18)*(1+$B307)^2</x:f>
        <x:v>1500</x:v>
      </x:c>
      <x:c r="H307" t="n">
        <x:f>('Assumptions'!$M$18+'Assumptions'!$N$18)*(1+$B307)^3</x:f>
        <x:v>1500</x:v>
      </x:c>
      <x:c r="I307" t="n">
        <x:f>('Assumptions'!$M$18+'Assumptions'!$N$18)*(1+$B307)^4</x:f>
        <x:v>1500</x:v>
      </x:c>
      <x:c r="J307" t="n">
        <x:f>I307*(1+($BG307+('Assumptions'!$D$18-$BG307)*(6-5)/5))</x:f>
        <x:v>1509</x:v>
      </x:c>
      <x:c r="K307" t="n">
        <x:f>J307*(1+($BG307+('Assumptions'!$D$18-$BG307)*(7-5)/5))</x:f>
        <x:v>1527.108</x:v>
      </x:c>
      <x:c r="L307" t="n">
        <x:f>K307*(1+($BG307+('Assumptions'!$D$18-$BG307)*(8-5)/5))</x:f>
        <x:v>1554.595944</x:v>
      </x:c>
      <x:c r="M307" t="n">
        <x:f>L307*(1+($BG307+('Assumptions'!$D$18-$BG307)*(9-5)/5))</x:f>
        <x:v>1591.906246656</x:v>
      </x:c>
      <x:c r="N307" t="n">
        <x:f>M307*(1+($BG307+('Assumptions'!$D$18-$BG307)*(10-5)/5))</x:f>
        <x:v>1639.66343405568</x:v>
      </x:c>
      <x:c r="O307" t="n">
        <x:f>0</x:f>
        <x:v>0</x:v>
      </x:c>
      <x:c r="P307" t="n">
        <x:f>0</x:f>
        <x:v>0</x:v>
      </x:c>
      <x:c r="Q307" t="n">
        <x:f>0</x:f>
        <x:v>0</x:v>
      </x:c>
      <x:c r="R307" t="n">
        <x:f>0</x:f>
        <x:v>0</x:v>
      </x:c>
      <x:c r="S307" t="n">
        <x:f>0</x:f>
        <x:v>0</x:v>
      </x:c>
      <x:c r="T307" t="n">
        <x:f>S307*(1+($BG307+('Assumptions'!$D$18-$BG307)*(6-5)/5))</x:f>
        <x:v>0</x:v>
      </x:c>
      <x:c r="U307" t="n">
        <x:f>T307*(1+($BG307+('Assumptions'!$D$18-$BG307)*(7-5)/5))</x:f>
        <x:v>0</x:v>
      </x:c>
      <x:c r="V307" t="n">
        <x:f>U307*(1+($BG307+('Assumptions'!$D$18-$BG307)*(8-5)/5))</x:f>
        <x:v>0</x:v>
      </x:c>
      <x:c r="W307" t="n">
        <x:f>V307*(1+($BG307+('Assumptions'!$D$18-$BG307)*(9-5)/5))</x:f>
        <x:v>0</x:v>
      </x:c>
      <x:c r="X307" t="n">
        <x:f>W307*(1+($BG307+('Assumptions'!$D$18-$BG307)*(10-5)/5))</x:f>
        <x:v>0</x:v>
      </x:c>
      <x:c r="Y307" t="n">
        <x:f>E307*'POWL Model'!$B$62+O307*'POWL Model'!$B$63+'POWL Model'!$B$73+'POWL Model'!$B$74</x:f>
        <x:v>315</x:v>
      </x:c>
      <x:c r="Z307" t="n">
        <x:f>F307*'POWL Model'!$C$62+P307*'POWL Model'!$C$63+'POWL Model'!$C$73+'POWL Model'!$C$74</x:f>
        <x:v>330</x:v>
      </x:c>
      <x:c r="AA307" t="n">
        <x:f>G307*'POWL Model'!$D$62+Q307*'POWL Model'!$D$63+'POWL Model'!$D$73+'POWL Model'!$D$74</x:f>
        <x:v>330</x:v>
      </x:c>
      <x:c r="AB307" t="n">
        <x:f>H307*'POWL Model'!$E$62+R307*'POWL Model'!$E$63+'POWL Model'!$E$73+'POWL Model'!$E$74</x:f>
        <x:v>322.5</x:v>
      </x:c>
      <x:c r="AC307" t="n">
        <x:f>I307*'POWL Model'!$F$62+S307*'POWL Model'!$F$63+'POWL Model'!$F$73+'POWL Model'!$F$74</x:f>
        <x:v>315</x:v>
      </x:c>
      <x:c r="AD307" t="n">
        <x:f>AX307*$AC307/$AW307</x:f>
        <x:v>316.89</x:v>
      </x:c>
      <x:c r="AE307" t="n">
        <x:f>AY307*$AC307/$AW307</x:f>
        <x:v>320.69268</x:v>
      </x:c>
      <x:c r="AF307" t="n">
        <x:f>AZ307*$AC307/$AW307</x:f>
        <x:v>326.46514823999996</x:v>
      </x:c>
      <x:c r="AG307" t="n">
        <x:f>BA307*$AC307/$AW307</x:f>
        <x:v>334.30031179775995</x:v>
      </x:c>
      <x:c r="AH307" t="n">
        <x:f>BB307*$AC307/$AW307</x:f>
        <x:v>344.3293211516928</x:v>
      </x:c>
      <x:c r="AI307" t="n">
        <x:f>Y307*(1-'Assumptions'!$F$18)+AS307*'Assumptions'!$G$18-AS307*'POWL Model'!$B$65-(AS307-'Inputs'!$G$14)*'Assumptions'!$H$18-'Assumptions'!$I$18</x:f>
        <x:v>183.9</x:v>
      </x:c>
      <x:c r="AJ307" t="n">
        <x:f>Z307*(1-'Assumptions'!$F$18)+AT307*'Assumptions'!$G$18-AT307*'POWL Model'!$C$65-(AT307-AS307)*'Assumptions'!$H$18-0</x:f>
        <x:v>225.3</x:v>
      </x:c>
      <x:c r="AK307" t="n">
        <x:f>AA307*(1-'Assumptions'!$F$18)+AU307*'Assumptions'!$G$18-AU307*'POWL Model'!$D$65-(AU307-AT307)*'Assumptions'!$H$18-0</x:f>
        <x:v>229.8</x:v>
      </x:c>
      <x:c r="AL307" t="n">
        <x:f>AB307*(1-'Assumptions'!$F$18)+AV307*'Assumptions'!$G$18-AV307*'POWL Model'!$E$65-(AV307-AU307)*'Assumptions'!$H$18-0</x:f>
        <x:v>227.10000000000002</x:v>
      </x:c>
      <x:c r="AM307" t="n">
        <x:f>AC307*(1-'Assumptions'!$F$18)+AW307*'Assumptions'!$G$18-AW307*'POWL Model'!$F$65-(AW307-AV307)*'Assumptions'!$H$18-0</x:f>
        <x:v>221.4</x:v>
      </x:c>
      <x:c r="AN307" t="n">
        <x:f>AD307*(1-'Assumptions'!$F$18)+AX307*'Assumptions'!$G$18-AX307*'POWL Model'!$G$65-(AX307-AW307)*'Assumptions'!$H$18-0</x:f>
        <x:v>221.8284</x:v>
      </x:c>
      <x:c r="AO307" t="n">
        <x:f>AE307*(1-'Assumptions'!$F$18)+AY307*'Assumptions'!$G$18-AY307*'POWL Model'!$H$65-(AY307-AX307)*'Assumptions'!$H$18-0</x:f>
        <x:v>223.59034079999998</x:v>
      </x:c>
      <x:c r="AP307" t="n">
        <x:f>AF307*(1-'Assumptions'!$F$18)+AZ307*'Assumptions'!$G$18-AZ307*'POWL Model'!$I$65-(AZ307-AY307)*'Assumptions'!$H$18-0</x:f>
        <x:v>226.7095669344</x:v>
      </x:c>
      <x:c r="AQ307" t="n">
        <x:f>AG307*(1-'Assumptions'!$F$18)+BA307*'Assumptions'!$G$18-BA307*'POWL Model'!$J$65-(BA307-AZ307)*'Assumptions'!$H$18-0</x:f>
        <x:v>231.23433174082555</x:v>
      </x:c>
      <x:c r="AR307" t="n">
        <x:f>AH307*(1-'Assumptions'!$F$18)+BB307*'Assumptions'!$G$18-BB307*'POWL Model'!$K$65-(BB307-BA307)*'Assumptions'!$H$18-0</x:f>
        <x:v>237.23860412665033</x:v>
      </x:c>
      <x:c r="AS307" t="n">
        <x:f>E307+O307</x:f>
        <x:v>1500</x:v>
      </x:c>
      <x:c r="AT307" t="n">
        <x:f>F307+P307</x:f>
        <x:v>1500</x:v>
      </x:c>
      <x:c r="AU307" t="n">
        <x:f>G307+Q307</x:f>
        <x:v>1500</x:v>
      </x:c>
      <x:c r="AV307" t="n">
        <x:f>H307+R307</x:f>
        <x:v>1500</x:v>
      </x:c>
      <x:c r="AW307" t="n">
        <x:f>I307+S307</x:f>
        <x:v>1500</x:v>
      </x:c>
      <x:c r="AX307" t="n">
        <x:f>J307+T307</x:f>
        <x:v>1509</x:v>
      </x:c>
      <x:c r="AY307" t="n">
        <x:f>K307+U307</x:f>
        <x:v>1527.108</x:v>
      </x:c>
      <x:c r="AZ307" t="n">
        <x:f>L307+V307</x:f>
        <x:v>1554.595944</x:v>
      </x:c>
      <x:c r="BA307" t="n">
        <x:f>M307+W307</x:f>
        <x:v>1591.906246656</x:v>
      </x:c>
      <x:c r="BB307" t="n">
        <x:f>N307+X307</x:f>
        <x:v>1639.66343405568</x:v>
      </x:c>
      <x:c r="BC307" t="n">
        <x:f>AS307/'Inputs'!$G$14-1</x:f>
        <x:v>0.25</x:v>
      </x:c>
      <x:c r="BD307" t="n">
        <x:f>AT307/AS307-1</x:f>
        <x:v>0</x:v>
      </x:c>
      <x:c r="BE307" t="n">
        <x:f>AU307/AT307-1</x:f>
        <x:v>0</x:v>
      </x:c>
      <x:c r="BF307" t="n">
        <x:f>AV307/AU307-1</x:f>
        <x:v>0</x:v>
      </x:c>
      <x:c r="BG307" t="n">
        <x:f>AW307/AV307-1</x:f>
        <x:v>0</x:v>
      </x:c>
      <x:c r="BH307" t="n">
        <x:f>AX307/AW307-1</x:f>
        <x:v>0.006000000000000005</x:v>
      </x:c>
      <x:c r="BI307" t="n">
        <x:f>AY307/AX307-1</x:f>
        <x:v>0.01200000000000001</x:v>
      </x:c>
      <x:c r="BJ307" t="n">
        <x:f>AZ307/AY307-1</x:f>
        <x:v>0.018000000000000016</x:v>
      </x:c>
      <x:c r="BK307" t="n">
        <x:f>BA307/AZ307-1</x:f>
        <x:v>0.02400000000000002</x:v>
      </x:c>
      <x:c r="BL307" t="n">
        <x:f>BB307/BA307-1</x:f>
        <x:v>0.030000000000000027</x:v>
      </x:c>
      <x:c r="BM307" t="n">
        <x:f>AH307*(1-'Assumptions'!$F$18)*(1+'Assumptions'!$D$18)*(1-'Assumptions'!$D$18/'Assumptions'!$E$18)</x:f>
        <x:v>237.19607348583972</x:v>
      </x:c>
      <x:c r="BN307" t="n">
        <x:f>SUMPRODUCT(AI307:AR307,'POWL Model'!$B$83:$K$83)+BM307/('Assumptions'!$C$18-'Assumptions'!$D$18)*'POWL Model'!$K$83</x:f>
        <x:v>2489.7911867860257</x:v>
      </x:c>
      <x:c r="BO307" t="n">
        <x:f>'POWL Model'!$B$94</x:f>
        <x:v>230.812</x:v>
      </x:c>
      <x:c r="BP307" t="n">
        <x:f>'Inputs'!$G$8</x:f>
        <x:v>36.604</x:v>
      </x:c>
    </x:row>
    <x:row r="308">
      <x:c r="A308" t="str">
        <x:v>POWL</x:v>
      </x:c>
      <x:c r="B308" s="22" t="n">
        <x:v>0.01</x:v>
      </x:c>
      <x:c r="C308" s="42" t="n">
        <x:f>(BN308+BO308)/BP308</x:f>
        <x:v>77.33481728191377</x:v>
      </x:c>
      <x:c r="D308" s="22" t="n">
        <x:f>C308/'Inputs'!$G$5-1</x:f>
        <x:v>-0.5731367374183707</x:v>
      </x:c>
      <x:c r="E308" t="n">
        <x:f>('Assumptions'!$M$18+'Assumptions'!$N$18)*(1+$B308)^0</x:f>
        <x:v>1500</x:v>
      </x:c>
      <x:c r="F308" t="n">
        <x:f>('Assumptions'!$M$18+'Assumptions'!$N$18)*(1+$B308)^1</x:f>
        <x:v>1515</x:v>
      </x:c>
      <x:c r="G308" t="n">
        <x:f>('Assumptions'!$M$18+'Assumptions'!$N$18)*(1+$B308)^2</x:f>
        <x:v>1530.15</x:v>
      </x:c>
      <x:c r="H308" t="n">
        <x:f>('Assumptions'!$M$18+'Assumptions'!$N$18)*(1+$B308)^3</x:f>
        <x:v>1545.4515</x:v>
      </x:c>
      <x:c r="I308" t="n">
        <x:f>('Assumptions'!$M$18+'Assumptions'!$N$18)*(1+$B308)^4</x:f>
        <x:v>1560.906015</x:v>
      </x:c>
      <x:c r="J308" t="n">
        <x:f>I308*(1+($BG308+('Assumptions'!$D$18-$BG308)*(6-5)/5))</x:f>
        <x:v>1582.75869921</x:v>
      </x:c>
      <x:c r="K308" t="n">
        <x:f>J308*(1+($BG308+('Assumptions'!$D$18-$BG308)*(7-5)/5))</x:f>
        <x:v>1611.24835579578</x:v>
      </x:c>
      <x:c r="L308" t="n">
        <x:f>K308*(1+($BG308+('Assumptions'!$D$18-$BG308)*(8-5)/5))</x:f>
        <x:v>1646.6958196232872</x:v>
      </x:c>
      <x:c r="M308" t="n">
        <x:f>L308*(1+($BG308+('Assumptions'!$D$18-$BG308)*(9-5)/5))</x:f>
        <x:v>1689.5099109334926</x:v>
      </x:c>
      <x:c r="N308" t="n">
        <x:f>M308*(1+($BG308+('Assumptions'!$D$18-$BG308)*(10-5)/5))</x:f>
        <x:v>1740.1952082614976</x:v>
      </x:c>
      <x:c r="O308" t="n">
        <x:f>0</x:f>
        <x:v>0</x:v>
      </x:c>
      <x:c r="P308" t="n">
        <x:f>0</x:f>
        <x:v>0</x:v>
      </x:c>
      <x:c r="Q308" t="n">
        <x:f>0</x:f>
        <x:v>0</x:v>
      </x:c>
      <x:c r="R308" t="n">
        <x:f>0</x:f>
        <x:v>0</x:v>
      </x:c>
      <x:c r="S308" t="n">
        <x:f>0</x:f>
        <x:v>0</x:v>
      </x:c>
      <x:c r="T308" t="n">
        <x:f>S308*(1+($BG308+('Assumptions'!$D$18-$BG308)*(6-5)/5))</x:f>
        <x:v>0</x:v>
      </x:c>
      <x:c r="U308" t="n">
        <x:f>T308*(1+($BG308+('Assumptions'!$D$18-$BG308)*(7-5)/5))</x:f>
        <x:v>0</x:v>
      </x:c>
      <x:c r="V308" t="n">
        <x:f>U308*(1+($BG308+('Assumptions'!$D$18-$BG308)*(8-5)/5))</x:f>
        <x:v>0</x:v>
      </x:c>
      <x:c r="W308" t="n">
        <x:f>V308*(1+($BG308+('Assumptions'!$D$18-$BG308)*(9-5)/5))</x:f>
        <x:v>0</x:v>
      </x:c>
      <x:c r="X308" t="n">
        <x:f>W308*(1+($BG308+('Assumptions'!$D$18-$BG308)*(10-5)/5))</x:f>
        <x:v>0</x:v>
      </x:c>
      <x:c r="Y308" t="n">
        <x:f>E308*'POWL Model'!$B$62+O308*'POWL Model'!$B$63+'POWL Model'!$B$73+'POWL Model'!$B$74</x:f>
        <x:v>315</x:v>
      </x:c>
      <x:c r="Z308" t="n">
        <x:f>F308*'POWL Model'!$C$62+P308*'POWL Model'!$C$63+'POWL Model'!$C$73+'POWL Model'!$C$74</x:f>
        <x:v>333.3</x:v>
      </x:c>
      <x:c r="AA308" t="n">
        <x:f>G308*'POWL Model'!$D$62+Q308*'POWL Model'!$D$63+'POWL Model'!$D$73+'POWL Model'!$D$74</x:f>
        <x:v>336.63300000000004</x:v>
      </x:c>
      <x:c r="AB308" t="n">
        <x:f>H308*'POWL Model'!$E$62+R308*'POWL Model'!$E$63+'POWL Model'!$E$73+'POWL Model'!$E$74</x:f>
        <x:v>332.2720725</x:v>
      </x:c>
      <x:c r="AC308" t="n">
        <x:f>I308*'POWL Model'!$F$62+S308*'POWL Model'!$F$63+'POWL Model'!$F$73+'POWL Model'!$F$74</x:f>
        <x:v>327.79026315</x:v>
      </x:c>
      <x:c r="AD308" t="n">
        <x:f>AX308*$AC308/$AW308</x:f>
        <x:v>332.3793268341</x:v>
      </x:c>
      <x:c r="AE308" t="n">
        <x:f>AY308*$AC308/$AW308</x:f>
        <x:v>338.3621547171138</x:v>
      </x:c>
      <x:c r="AF308" t="n">
        <x:f>AZ308*$AC308/$AW308</x:f>
        <x:v>345.8061221208903</x:v>
      </x:c>
      <x:c r="AG308" t="n">
        <x:f>BA308*$AC308/$AW308</x:f>
        <x:v>354.7970812960334</x:v>
      </x:c>
      <x:c r="AH308" t="n">
        <x:f>BB308*$AC308/$AW308</x:f>
        <x:v>365.44099373491446</x:v>
      </x:c>
      <x:c r="AI308" t="n">
        <x:f>Y308*(1-'Assumptions'!$F$18)+AS308*'Assumptions'!$G$18-AS308*'POWL Model'!$B$65-(AS308-'Inputs'!$G$14)*'Assumptions'!$H$18-'Assumptions'!$I$18</x:f>
        <x:v>183.9</x:v>
      </x:c>
      <x:c r="AJ308" t="n">
        <x:f>Z308*(1-'Assumptions'!$F$18)+AT308*'Assumptions'!$G$18-AT308*'POWL Model'!$C$65-(AT308-AS308)*'Assumptions'!$H$18-0</x:f>
        <x:v>226.053</x:v>
      </x:c>
      <x:c r="AK308" t="n">
        <x:f>AA308*(1-'Assumptions'!$F$18)+AU308*'Assumptions'!$G$18-AU308*'POWL Model'!$D$65-(AU308-AT308)*'Assumptions'!$H$18-0</x:f>
        <x:v>232.90398000000002</x:v>
      </x:c>
      <x:c r="AL308" t="n">
        <x:f>AB308*(1-'Assumptions'!$F$18)+AV308*'Assumptions'!$G$18-AV308*'POWL Model'!$E$65-(AV308-AU308)*'Assumptions'!$H$18-0</x:f>
        <x:v>232.4512071</x:v>
      </x:c>
      <x:c r="AM308" t="n">
        <x:f>AC308*(1-'Assumptions'!$F$18)+AW308*'Assumptions'!$G$18-AW308*'POWL Model'!$F$65-(AW308-AV308)*'Assumptions'!$H$18-0</x:f>
        <x:v>228.84427631399996</x:v>
      </x:c>
      <x:c r="AN308" t="n">
        <x:f>AD308*(1-'Assumptions'!$F$18)+AX308*'Assumptions'!$G$18-AX308*'POWL Model'!$G$65-(AX308-AW308)*'Assumptions'!$H$18-0</x:f>
        <x:v>231.42991558239603</x:v>
      </x:c>
      <x:c r="AO308" t="n">
        <x:f>AE308*(1-'Assumptions'!$F$18)+AY308*'Assumptions'!$G$18-AY308*'POWL Model'!$H$65-(AY308-AX308)*'Assumptions'!$H$18-0</x:f>
        <x:v>234.97129165687912</x:v>
      </x:c>
      <x:c r="AP308" t="n">
        <x:f>AF308*(1-'Assumptions'!$F$18)+AZ308*'Assumptions'!$G$18-AZ308*'POWL Model'!$I$65-(AZ308-AY308)*'Assumptions'!$H$18-0</x:f>
        <x:v>239.50755659364648</x:v>
      </x:c>
      <x:c r="AQ308" t="n">
        <x:f>AG308*(1-'Assumptions'!$F$18)+BA308*'Assumptions'!$G$18-BA308*'POWL Model'!$J$65-(BA308-AZ308)*'Assumptions'!$H$18-0</x:f>
        <x:v>245.09025372276295</x:v>
      </x:c>
      <x:c r="AR308" t="n">
        <x:f>AH308*(1-'Assumptions'!$F$18)+BB308*'Assumptions'!$G$18-BB308*'POWL Model'!$K$65-(BB308-BA308)*'Assumptions'!$H$18-0</x:f>
        <x:v>251.78428300659655</x:v>
      </x:c>
      <x:c r="AS308" t="n">
        <x:f>E308+O308</x:f>
        <x:v>1500</x:v>
      </x:c>
      <x:c r="AT308" t="n">
        <x:f>F308+P308</x:f>
        <x:v>1515</x:v>
      </x:c>
      <x:c r="AU308" t="n">
        <x:f>G308+Q308</x:f>
        <x:v>1530.15</x:v>
      </x:c>
      <x:c r="AV308" t="n">
        <x:f>H308+R308</x:f>
        <x:v>1545.4515</x:v>
      </x:c>
      <x:c r="AW308" t="n">
        <x:f>I308+S308</x:f>
        <x:v>1560.906015</x:v>
      </x:c>
      <x:c r="AX308" t="n">
        <x:f>J308+T308</x:f>
        <x:v>1582.75869921</x:v>
      </x:c>
      <x:c r="AY308" t="n">
        <x:f>K308+U308</x:f>
        <x:v>1611.24835579578</x:v>
      </x:c>
      <x:c r="AZ308" t="n">
        <x:f>L308+V308</x:f>
        <x:v>1646.6958196232872</x:v>
      </x:c>
      <x:c r="BA308" t="n">
        <x:f>M308+W308</x:f>
        <x:v>1689.5099109334926</x:v>
      </x:c>
      <x:c r="BB308" t="n">
        <x:f>N308+X308</x:f>
        <x:v>1740.1952082614976</x:v>
      </x:c>
      <x:c r="BC308" t="n">
        <x:f>AS308/'Inputs'!$G$14-1</x:f>
        <x:v>0.25</x:v>
      </x:c>
      <x:c r="BD308" t="n">
        <x:f>AT308/AS308-1</x:f>
        <x:v>0.010000000000000009</x:v>
      </x:c>
      <x:c r="BE308" t="n">
        <x:f>AU308/AT308-1</x:f>
        <x:v>0.010000000000000009</x:v>
      </x:c>
      <x:c r="BF308" t="n">
        <x:f>AV308/AU308-1</x:f>
        <x:v>0.009999999999999787</x:v>
      </x:c>
      <x:c r="BG308" t="n">
        <x:f>AW308/AV308-1</x:f>
        <x:v>0.010000000000000009</x:v>
      </x:c>
      <x:c r="BH308" t="n">
        <x:f>AX308/AW308-1</x:f>
        <x:v>0.014000000000000012</x:v>
      </x:c>
      <x:c r="BI308" t="n">
        <x:f>AY308/AX308-1</x:f>
        <x:v>0.018000000000000016</x:v>
      </x:c>
      <x:c r="BJ308" t="n">
        <x:f>AZ308/AY308-1</x:f>
        <x:v>0.02200000000000002</x:v>
      </x:c>
      <x:c r="BK308" t="n">
        <x:f>BA308/AZ308-1</x:f>
        <x:v>0.026000000000000023</x:v>
      </x:c>
      <x:c r="BL308" t="n">
        <x:f>BB308/BA308-1</x:f>
        <x:v>0.030000000000000027</x:v>
      </x:c>
      <x:c r="BM308" t="n">
        <x:f>AH308*(1-'Assumptions'!$F$18)*(1+'Assumptions'!$D$18)*(1-'Assumptions'!$D$18/'Assumptions'!$E$18)</x:f>
        <x:v>251.73914470820813</x:v>
      </x:c>
      <x:c r="BN308" t="n">
        <x:f>SUMPRODUCT(AI308:AR308,'POWL Model'!$B$83:$K$83)+BM308/('Assumptions'!$C$18-'Assumptions'!$D$18)*'POWL Model'!$K$83</x:f>
        <x:v>2599.9516517871716</x:v>
      </x:c>
      <x:c r="BO308" t="n">
        <x:f>'POWL Model'!$B$94</x:f>
        <x:v>230.812</x:v>
      </x:c>
      <x:c r="BP308" t="n">
        <x:f>'Inputs'!$G$8</x:f>
        <x:v>36.604</x:v>
      </x:c>
    </x:row>
    <x:row r="309">
      <x:c r="A309" t="str">
        <x:v>POWL</x:v>
      </x:c>
      <x:c r="B309" s="22" t="n">
        <x:v>0.02</x:v>
      </x:c>
      <x:c r="C309" s="42" t="n">
        <x:f>(BN309+BO309)/BP309</x:f>
        <x:v>80.48433948752188</x:v>
      </x:c>
      <x:c r="D309" s="22" t="n">
        <x:f>C309/'Inputs'!$G$5-1</x:f>
        <x:v>-0.555752390089298</x:v>
      </x:c>
      <x:c r="E309" t="n">
        <x:f>('Assumptions'!$M$18+'Assumptions'!$N$18)*(1+$B309)^0</x:f>
        <x:v>1500</x:v>
      </x:c>
      <x:c r="F309" t="n">
        <x:f>('Assumptions'!$M$18+'Assumptions'!$N$18)*(1+$B309)^1</x:f>
        <x:v>1530</x:v>
      </x:c>
      <x:c r="G309" t="n">
        <x:f>('Assumptions'!$M$18+'Assumptions'!$N$18)*(1+$B309)^2</x:f>
        <x:v>1560.6</x:v>
      </x:c>
      <x:c r="H309" t="n">
        <x:f>('Assumptions'!$M$18+'Assumptions'!$N$18)*(1+$B309)^3</x:f>
        <x:v>1591.812</x:v>
      </x:c>
      <x:c r="I309" t="n">
        <x:f>('Assumptions'!$M$18+'Assumptions'!$N$18)*(1+$B309)^4</x:f>
        <x:v>1623.64824</x:v>
      </x:c>
      <x:c r="J309" t="n">
        <x:f>I309*(1+($BG309+('Assumptions'!$D$18-$BG309)*(6-5)/5))</x:f>
        <x:v>1659.36850128</x:v>
      </x:c>
      <x:c r="K309" t="n">
        <x:f>J309*(1+($BG309+('Assumptions'!$D$18-$BG309)*(7-5)/5))</x:f>
        <x:v>1699.19334531072</x:v>
      </x:c>
      <x:c r="L309" t="n">
        <x:f>K309*(1+($BG309+('Assumptions'!$D$18-$BG309)*(8-5)/5))</x:f>
        <x:v>1743.3723722887987</x:v>
      </x:c>
      <x:c r="M309" t="n">
        <x:f>L309*(1+($BG309+('Assumptions'!$D$18-$BG309)*(9-5)/5))</x:f>
        <x:v>1792.186798712885</x:v>
      </x:c>
      <x:c r="N309" t="n">
        <x:f>M309*(1+($BG309+('Assumptions'!$D$18-$BG309)*(10-5)/5))</x:f>
        <x:v>1845.9524026742718</x:v>
      </x:c>
      <x:c r="O309" t="n">
        <x:f>0</x:f>
        <x:v>0</x:v>
      </x:c>
      <x:c r="P309" t="n">
        <x:f>0</x:f>
        <x:v>0</x:v>
      </x:c>
      <x:c r="Q309" t="n">
        <x:f>0</x:f>
        <x:v>0</x:v>
      </x:c>
      <x:c r="R309" t="n">
        <x:f>0</x:f>
        <x:v>0</x:v>
      </x:c>
      <x:c r="S309" t="n">
        <x:f>0</x:f>
        <x:v>0</x:v>
      </x:c>
      <x:c r="T309" t="n">
        <x:f>S309*(1+($BG309+('Assumptions'!$D$18-$BG309)*(6-5)/5))</x:f>
        <x:v>0</x:v>
      </x:c>
      <x:c r="U309" t="n">
        <x:f>T309*(1+($BG309+('Assumptions'!$D$18-$BG309)*(7-5)/5))</x:f>
        <x:v>0</x:v>
      </x:c>
      <x:c r="V309" t="n">
        <x:f>U309*(1+($BG309+('Assumptions'!$D$18-$BG309)*(8-5)/5))</x:f>
        <x:v>0</x:v>
      </x:c>
      <x:c r="W309" t="n">
        <x:f>V309*(1+($BG309+('Assumptions'!$D$18-$BG309)*(9-5)/5))</x:f>
        <x:v>0</x:v>
      </x:c>
      <x:c r="X309" t="n">
        <x:f>W309*(1+($BG309+('Assumptions'!$D$18-$BG309)*(10-5)/5))</x:f>
        <x:v>0</x:v>
      </x:c>
      <x:c r="Y309" t="n">
        <x:f>E309*'POWL Model'!$B$62+O309*'POWL Model'!$B$63+'POWL Model'!$B$73+'POWL Model'!$B$74</x:f>
        <x:v>315</x:v>
      </x:c>
      <x:c r="Z309" t="n">
        <x:f>F309*'POWL Model'!$C$62+P309*'POWL Model'!$C$63+'POWL Model'!$C$73+'POWL Model'!$C$74</x:f>
        <x:v>336.6</x:v>
      </x:c>
      <x:c r="AA309" t="n">
        <x:f>G309*'POWL Model'!$D$62+Q309*'POWL Model'!$D$63+'POWL Model'!$D$73+'POWL Model'!$D$74</x:f>
        <x:v>343.332</x:v>
      </x:c>
      <x:c r="AB309" t="n">
        <x:f>H309*'POWL Model'!$E$62+R309*'POWL Model'!$E$63+'POWL Model'!$E$73+'POWL Model'!$E$74</x:f>
        <x:v>342.23958</x:v>
      </x:c>
      <x:c r="AC309" t="n">
        <x:f>I309*'POWL Model'!$F$62+S309*'POWL Model'!$F$63+'POWL Model'!$F$73+'POWL Model'!$F$74</x:f>
        <x:v>340.9661304</x:v>
      </x:c>
      <x:c r="AD309" t="n">
        <x:f>AX309*$AC309/$AW309</x:f>
        <x:v>348.4673852688</x:v>
      </x:c>
      <x:c r="AE309" t="n">
        <x:f>AY309*$AC309/$AW309</x:f>
        <x:v>356.83060251525114</x:v>
      </x:c>
      <x:c r="AF309" t="n">
        <x:f>AZ309*$AC309/$AW309</x:f>
        <x:v>366.1081981806477</x:v>
      </x:c>
      <x:c r="AG309" t="n">
        <x:f>BA309*$AC309/$AW309</x:f>
        <x:v>376.3592277297058</x:v>
      </x:c>
      <x:c r="AH309" t="n">
        <x:f>BB309*$AC309/$AW309</x:f>
        <x:v>387.6500045615971</x:v>
      </x:c>
      <x:c r="AI309" t="n">
        <x:f>Y309*(1-'Assumptions'!$F$18)+AS309*'Assumptions'!$G$18-AS309*'POWL Model'!$B$65-(AS309-'Inputs'!$G$14)*'Assumptions'!$H$18-'Assumptions'!$I$18</x:f>
        <x:v>183.9</x:v>
      </x:c>
      <x:c r="AJ309" t="n">
        <x:f>Z309*(1-'Assumptions'!$F$18)+AT309*'Assumptions'!$G$18-AT309*'POWL Model'!$C$65-(AT309-AS309)*'Assumptions'!$H$18-0</x:f>
        <x:v>226.80600000000004</x:v>
      </x:c>
      <x:c r="AK309" t="n">
        <x:f>AA309*(1-'Assumptions'!$F$18)+AU309*'Assumptions'!$G$18-AU309*'POWL Model'!$D$65-(AU309-AT309)*'Assumptions'!$H$18-0</x:f>
        <x:v>236.02392</x:v>
      </x:c>
      <x:c r="AL309" t="n">
        <x:f>AB309*(1-'Assumptions'!$F$18)+AV309*'Assumptions'!$G$18-AV309*'POWL Model'!$E$65-(AV309-AU309)*'Assumptions'!$H$18-0</x:f>
        <x:v>237.8791368</x:v>
      </x:c>
      <x:c r="AM309" t="n">
        <x:f>AC309*(1-'Assumptions'!$F$18)+AW309*'Assumptions'!$G$18-AW309*'POWL Model'!$F$65-(AW309-AV309)*'Assumptions'!$H$18-0</x:f>
        <x:v>236.46685622400003</x:v>
      </x:c>
      <x:c r="AN309" t="n">
        <x:f>AD309*(1-'Assumptions'!$F$18)+AX309*'Assumptions'!$G$18-AX309*'POWL Model'!$G$65-(AX309-AW309)*'Assumptions'!$H$18-0</x:f>
        <x:v>241.350764660928</x:v>
      </x:c>
      <x:c r="AO309" t="n">
        <x:f>AE309*(1-'Assumptions'!$F$18)+AY309*'Assumptions'!$G$18-AY309*'POWL Model'!$H$65-(AY309-AX309)*'Assumptions'!$H$18-0</x:f>
        <x:v>246.8184533647902</x:v>
      </x:c>
      <x:c r="AP309" t="n">
        <x:f>AF309*(1-'Assumptions'!$F$18)+AZ309*'Assumptions'!$G$18-AZ309*'POWL Model'!$I$65-(AZ309-AY309)*'Assumptions'!$H$18-0</x:f>
        <x:v>252.9038594520188</x:v>
      </x:c>
      <x:c r="AQ309" t="n">
        <x:f>AG309*(1-'Assumptions'!$F$18)+BA309*'Assumptions'!$G$18-BA309*'POWL Model'!$J$65-(BA309-AZ309)*'Assumptions'!$H$18-0</x:f>
        <x:v>259.6453288476132</x:v>
      </x:c>
      <x:c r="AR309" t="n">
        <x:f>AH309*(1-'Assumptions'!$F$18)+BB309*'Assumptions'!$G$18-BB309*'POWL Model'!$K$65-(BB309-BA309)*'Assumptions'!$H$18-0</x:f>
        <x:v>267.0860142385839</x:v>
      </x:c>
      <x:c r="AS309" t="n">
        <x:f>E309+O309</x:f>
        <x:v>1500</x:v>
      </x:c>
      <x:c r="AT309" t="n">
        <x:f>F309+P309</x:f>
        <x:v>1530</x:v>
      </x:c>
      <x:c r="AU309" t="n">
        <x:f>G309+Q309</x:f>
        <x:v>1560.6</x:v>
      </x:c>
      <x:c r="AV309" t="n">
        <x:f>H309+R309</x:f>
        <x:v>1591.812</x:v>
      </x:c>
      <x:c r="AW309" t="n">
        <x:f>I309+S309</x:f>
        <x:v>1623.64824</x:v>
      </x:c>
      <x:c r="AX309" t="n">
        <x:f>J309+T309</x:f>
        <x:v>1659.36850128</x:v>
      </x:c>
      <x:c r="AY309" t="n">
        <x:f>K309+U309</x:f>
        <x:v>1699.19334531072</x:v>
      </x:c>
      <x:c r="AZ309" t="n">
        <x:f>L309+V309</x:f>
        <x:v>1743.3723722887987</x:v>
      </x:c>
      <x:c r="BA309" t="n">
        <x:f>M309+W309</x:f>
        <x:v>1792.186798712885</x:v>
      </x:c>
      <x:c r="BB309" t="n">
        <x:f>N309+X309</x:f>
        <x:v>1845.9524026742718</x:v>
      </x:c>
      <x:c r="BC309" t="n">
        <x:f>AS309/'Inputs'!$G$14-1</x:f>
        <x:v>0.25</x:v>
      </x:c>
      <x:c r="BD309" t="n">
        <x:f>AT309/AS309-1</x:f>
        <x:v>0.020000000000000018</x:v>
      </x:c>
      <x:c r="BE309" t="n">
        <x:f>AU309/AT309-1</x:f>
        <x:v>0.020000000000000018</x:v>
      </x:c>
      <x:c r="BF309" t="n">
        <x:f>AV309/AU309-1</x:f>
        <x:v>0.020000000000000018</x:v>
      </x:c>
      <x:c r="BG309" t="n">
        <x:f>AW309/AV309-1</x:f>
        <x:v>0.020000000000000018</x:v>
      </x:c>
      <x:c r="BH309" t="n">
        <x:f>AX309/AW309-1</x:f>
        <x:v>0.02200000000000002</x:v>
      </x:c>
      <x:c r="BI309" t="n">
        <x:f>AY309/AX309-1</x:f>
        <x:v>0.02400000000000002</x:v>
      </x:c>
      <x:c r="BJ309" t="n">
        <x:f>AZ309/AY309-1</x:f>
        <x:v>0.026000000000000023</x:v>
      </x:c>
      <x:c r="BK309" t="n">
        <x:f>BA309/AZ309-1</x:f>
        <x:v>0.028000000000000025</x:v>
      </x:c>
      <x:c r="BL309" t="n">
        <x:f>BB309/BA309-1</x:f>
        <x:v>0.030000000000000027</x:v>
      </x:c>
      <x:c r="BM309" t="n">
        <x:f>AH309*(1-'Assumptions'!$F$18)*(1+'Assumptions'!$D$18)*(1-'Assumptions'!$D$18/'Assumptions'!$E$18)</x:f>
        <x:v>267.03813274232004</x:v>
      </x:c>
      <x:c r="BN309" t="n">
        <x:f>SUMPRODUCT(AI309:AR309,'POWL Model'!$B$83:$K$83)+BM309/('Assumptions'!$C$18-'Assumptions'!$D$18)*'POWL Model'!$K$83</x:f>
        <x:v>2715.236762601251</x:v>
      </x:c>
      <x:c r="BO309" t="n">
        <x:f>'POWL Model'!$B$94</x:f>
        <x:v>230.812</x:v>
      </x:c>
      <x:c r="BP309" t="n">
        <x:f>'Inputs'!$G$8</x:f>
        <x:v>36.604</x:v>
      </x:c>
    </x:row>
    <x:row r="310">
      <x:c r="A310" t="str">
        <x:v>POWL</x:v>
      </x:c>
      <x:c r="B310" s="22" t="n">
        <x:v>0.03</x:v>
      </x:c>
      <x:c r="C310" s="42" t="n">
        <x:f>(BN310+BO310)/BP310</x:f>
        <x:v>83.77951545171673</x:v>
      </x:c>
      <x:c r="D310" s="22" t="n">
        <x:f>C310/'Inputs'!$G$5-1</x:f>
        <x:v>-0.5375640809641953</x:v>
      </x:c>
      <x:c r="E310" t="n">
        <x:f>('Assumptions'!$M$18+'Assumptions'!$N$18)*(1+$B310)^0</x:f>
        <x:v>1500</x:v>
      </x:c>
      <x:c r="F310" t="n">
        <x:f>('Assumptions'!$M$18+'Assumptions'!$N$18)*(1+$B310)^1</x:f>
        <x:v>1545</x:v>
      </x:c>
      <x:c r="G310" t="n">
        <x:f>('Assumptions'!$M$18+'Assumptions'!$N$18)*(1+$B310)^2</x:f>
        <x:v>1591.35</x:v>
      </x:c>
      <x:c r="H310" t="n">
        <x:f>('Assumptions'!$M$18+'Assumptions'!$N$18)*(1+$B310)^3</x:f>
        <x:v>1639.0905</x:v>
      </x:c>
      <x:c r="I310" t="n">
        <x:f>('Assumptions'!$M$18+'Assumptions'!$N$18)*(1+$B310)^4</x:f>
        <x:v>1688.263215</x:v>
      </x:c>
      <x:c r="J310" t="n">
        <x:f>I310*(1+($BG310+('Assumptions'!$D$18-$BG310)*(6-5)/5))</x:f>
        <x:v>1738.91111145</x:v>
      </x:c>
      <x:c r="K310" t="n">
        <x:f>J310*(1+($BG310+('Assumptions'!$D$18-$BG310)*(7-5)/5))</x:f>
        <x:v>1791.0784447935</x:v>
      </x:c>
      <x:c r="L310" t="n">
        <x:f>K310*(1+($BG310+('Assumptions'!$D$18-$BG310)*(8-5)/5))</x:f>
        <x:v>1844.810798137305</x:v>
      </x:c>
      <x:c r="M310" t="n">
        <x:f>L310*(1+($BG310+('Assumptions'!$D$18-$BG310)*(9-5)/5))</x:f>
        <x:v>1900.1551220814242</x:v>
      </x:c>
      <x:c r="N310" t="n">
        <x:f>M310*(1+($BG310+('Assumptions'!$D$18-$BG310)*(10-5)/5))</x:f>
        <x:v>1957.159775743867</x:v>
      </x:c>
      <x:c r="O310" t="n">
        <x:f>0</x:f>
        <x:v>0</x:v>
      </x:c>
      <x:c r="P310" t="n">
        <x:f>0</x:f>
        <x:v>0</x:v>
      </x:c>
      <x:c r="Q310" t="n">
        <x:f>0</x:f>
        <x:v>0</x:v>
      </x:c>
      <x:c r="R310" t="n">
        <x:f>0</x:f>
        <x:v>0</x:v>
      </x:c>
      <x:c r="S310" t="n">
        <x:f>0</x:f>
        <x:v>0</x:v>
      </x:c>
      <x:c r="T310" t="n">
        <x:f>S310*(1+($BG310+('Assumptions'!$D$18-$BG310)*(6-5)/5))</x:f>
        <x:v>0</x:v>
      </x:c>
      <x:c r="U310" t="n">
        <x:f>T310*(1+($BG310+('Assumptions'!$D$18-$BG310)*(7-5)/5))</x:f>
        <x:v>0</x:v>
      </x:c>
      <x:c r="V310" t="n">
        <x:f>U310*(1+($BG310+('Assumptions'!$D$18-$BG310)*(8-5)/5))</x:f>
        <x:v>0</x:v>
      </x:c>
      <x:c r="W310" t="n">
        <x:f>V310*(1+($BG310+('Assumptions'!$D$18-$BG310)*(9-5)/5))</x:f>
        <x:v>0</x:v>
      </x:c>
      <x:c r="X310" t="n">
        <x:f>W310*(1+($BG310+('Assumptions'!$D$18-$BG310)*(10-5)/5))</x:f>
        <x:v>0</x:v>
      </x:c>
      <x:c r="Y310" t="n">
        <x:f>E310*'POWL Model'!$B$62+O310*'POWL Model'!$B$63+'POWL Model'!$B$73+'POWL Model'!$B$74</x:f>
        <x:v>315</x:v>
      </x:c>
      <x:c r="Z310" t="n">
        <x:f>F310*'POWL Model'!$C$62+P310*'POWL Model'!$C$63+'POWL Model'!$C$73+'POWL Model'!$C$74</x:f>
        <x:v>339.9</x:v>
      </x:c>
      <x:c r="AA310" t="n">
        <x:f>G310*'POWL Model'!$D$62+Q310*'POWL Model'!$D$63+'POWL Model'!$D$73+'POWL Model'!$D$74</x:f>
        <x:v>350.097</x:v>
      </x:c>
      <x:c r="AB310" t="n">
        <x:f>H310*'POWL Model'!$E$62+R310*'POWL Model'!$E$63+'POWL Model'!$E$73+'POWL Model'!$E$74</x:f>
        <x:v>352.4044575</x:v>
      </x:c>
      <x:c r="AC310" t="n">
        <x:f>I310*'POWL Model'!$F$62+S310*'POWL Model'!$F$63+'POWL Model'!$F$73+'POWL Model'!$F$74</x:f>
        <x:v>354.53527514999996</x:v>
      </x:c>
      <x:c r="AD310" t="n">
        <x:f>AX310*$AC310/$AW310</x:f>
        <x:v>365.1713334045</x:v>
      </x:c>
      <x:c r="AE310" t="n">
        <x:f>AY310*$AC310/$AW310</x:f>
        <x:v>376.126473406635</x:v>
      </x:c>
      <x:c r="AF310" t="n">
        <x:f>AZ310*$AC310/$AW310</x:f>
        <x:v>387.41026760883403</x:v>
      </x:c>
      <x:c r="AG310" t="n">
        <x:f>BA310*$AC310/$AW310</x:f>
        <x:v>399.0325756370991</x:v>
      </x:c>
      <x:c r="AH310" t="n">
        <x:f>BB310*$AC310/$AW310</x:f>
        <x:v>411.00355290621206</x:v>
      </x:c>
      <x:c r="AI310" t="n">
        <x:f>Y310*(1-'Assumptions'!$F$18)+AS310*'Assumptions'!$G$18-AS310*'POWL Model'!$B$65-(AS310-'Inputs'!$G$14)*'Assumptions'!$H$18-'Assumptions'!$I$18</x:f>
        <x:v>183.9</x:v>
      </x:c>
      <x:c r="AJ310" t="n">
        <x:f>Z310*(1-'Assumptions'!$F$18)+AT310*'Assumptions'!$G$18-AT310*'POWL Model'!$C$65-(AT310-AS310)*'Assumptions'!$H$18-0</x:f>
        <x:v>227.55900000000003</x:v>
      </x:c>
      <x:c r="AK310" t="n">
        <x:f>AA310*(1-'Assumptions'!$F$18)+AU310*'Assumptions'!$G$18-AU310*'POWL Model'!$D$65-(AU310-AT310)*'Assumptions'!$H$18-0</x:f>
        <x:v>239.15981999999997</x:v>
      </x:c>
      <x:c r="AL310" t="n">
        <x:f>AB310*(1-'Assumptions'!$F$18)+AV310*'Assumptions'!$G$18-AV310*'POWL Model'!$E$65-(AV310-AU310)*'Assumptions'!$H$18-0</x:f>
        <x:v>243.38425169999996</x:v>
      </x:c>
      <x:c r="AM310" t="n">
        <x:f>AC310*(1-'Assumptions'!$F$18)+AW310*'Assumptions'!$G$18-AW310*'POWL Model'!$F$65-(AW310-AV310)*'Assumptions'!$H$18-0</x:f>
        <x:v>244.27037903399994</x:v>
      </x:c>
      <x:c r="AN310" t="n">
        <x:f>AD310*(1-'Assumptions'!$F$18)+AX310*'Assumptions'!$G$18-AX310*'POWL Model'!$G$65-(AX310-AW310)*'Assumptions'!$H$18-0</x:f>
        <x:v>251.59849040502004</x:v>
      </x:c>
      <x:c r="AO310" t="n">
        <x:f>AE310*(1-'Assumptions'!$F$18)+AY310*'Assumptions'!$G$18-AY310*'POWL Model'!$H$65-(AY310-AX310)*'Assumptions'!$H$18-0</x:f>
        <x:v>259.14644511717063</x:v>
      </x:c>
      <x:c r="AP310" t="n">
        <x:f>AF310*(1-'Assumptions'!$F$18)+AZ310*'Assumptions'!$G$18-AZ310*'POWL Model'!$I$65-(AZ310-AY310)*'Assumptions'!$H$18-0</x:f>
        <x:v>266.9208384706857</x:v>
      </x:c>
      <x:c r="AQ310" t="n">
        <x:f>AG310*(1-'Assumptions'!$F$18)+BA310*'Assumptions'!$G$18-BA310*'POWL Model'!$J$65-(BA310-AZ310)*'Assumptions'!$H$18-0</x:f>
        <x:v>274.92846362480634</x:v>
      </x:c>
      <x:c r="AR310" t="n">
        <x:f>AH310*(1-'Assumptions'!$F$18)+BB310*'Assumptions'!$G$18-BB310*'POWL Model'!$K$65-(BB310-BA310)*'Assumptions'!$H$18-0</x:f>
        <x:v>283.1763175335505</x:v>
      </x:c>
      <x:c r="AS310" t="n">
        <x:f>E310+O310</x:f>
        <x:v>1500</x:v>
      </x:c>
      <x:c r="AT310" t="n">
        <x:f>F310+P310</x:f>
        <x:v>1545</x:v>
      </x:c>
      <x:c r="AU310" t="n">
        <x:f>G310+Q310</x:f>
        <x:v>1591.35</x:v>
      </x:c>
      <x:c r="AV310" t="n">
        <x:f>H310+R310</x:f>
        <x:v>1639.0905</x:v>
      </x:c>
      <x:c r="AW310" t="n">
        <x:f>I310+S310</x:f>
        <x:v>1688.263215</x:v>
      </x:c>
      <x:c r="AX310" t="n">
        <x:f>J310+T310</x:f>
        <x:v>1738.91111145</x:v>
      </x:c>
      <x:c r="AY310" t="n">
        <x:f>K310+U310</x:f>
        <x:v>1791.0784447935</x:v>
      </x:c>
      <x:c r="AZ310" t="n">
        <x:f>L310+V310</x:f>
        <x:v>1844.810798137305</x:v>
      </x:c>
      <x:c r="BA310" t="n">
        <x:f>M310+W310</x:f>
        <x:v>1900.1551220814242</x:v>
      </x:c>
      <x:c r="BB310" t="n">
        <x:f>N310+X310</x:f>
        <x:v>1957.159775743867</x:v>
      </x:c>
      <x:c r="BC310" t="n">
        <x:f>AS310/'Inputs'!$G$14-1</x:f>
        <x:v>0.25</x:v>
      </x:c>
      <x:c r="BD310" t="n">
        <x:f>AT310/AS310-1</x:f>
        <x:v>0.030000000000000027</x:v>
      </x:c>
      <x:c r="BE310" t="n">
        <x:f>AU310/AT310-1</x:f>
        <x:v>0.030000000000000027</x:v>
      </x:c>
      <x:c r="BF310" t="n">
        <x:f>AV310/AU310-1</x:f>
        <x:v>0.030000000000000027</x:v>
      </x:c>
      <x:c r="BG310" t="n">
        <x:f>AW310/AV310-1</x:f>
        <x:v>0.030000000000000027</x:v>
      </x:c>
      <x:c r="BH310" t="n">
        <x:f>AX310/AW310-1</x:f>
        <x:v>0.030000000000000027</x:v>
      </x:c>
      <x:c r="BI310" t="n">
        <x:f>AY310/AX310-1</x:f>
        <x:v>0.030000000000000027</x:v>
      </x:c>
      <x:c r="BJ310" t="n">
        <x:f>AZ310/AY310-1</x:f>
        <x:v>0.030000000000000027</x:v>
      </x:c>
      <x:c r="BK310" t="n">
        <x:f>BA310/AZ310-1</x:f>
        <x:v>0.030000000000000027</x:v>
      </x:c>
      <x:c r="BL310" t="n">
        <x:f>BB310/BA310-1</x:f>
        <x:v>0.030000000000000027</x:v>
      </x:c>
      <x:c r="BM310" t="n">
        <x:f>AH310*(1-'Assumptions'!$F$18)*(1+'Assumptions'!$D$18)*(1-'Assumptions'!$D$18/'Assumptions'!$E$18)</x:f>
        <x:v>283.12555146918487</x:v>
      </x:c>
      <x:c r="BN310" t="n">
        <x:f>SUMPRODUCT(AI310:AR310,'POWL Model'!$B$83:$K$83)+BM310/('Assumptions'!$C$18-'Assumptions'!$D$18)*'POWL Model'!$K$83</x:f>
        <x:v>2835.853383594639</x:v>
      </x:c>
      <x:c r="BO310" t="n">
        <x:f>'POWL Model'!$B$94</x:f>
        <x:v>230.812</x:v>
      </x:c>
      <x:c r="BP310" t="n">
        <x:f>'Inputs'!$G$8</x:f>
        <x:v>36.604</x:v>
      </x:c>
    </x:row>
    <x:row r="311">
      <x:c r="A311" t="str">
        <x:v>POWL</x:v>
      </x:c>
      <x:c r="B311" s="22" t="n">
        <x:v>0.04</x:v>
      </x:c>
      <x:c r="C311" s="42" t="n">
        <x:f>(BN311+BO311)/BP311</x:f>
        <x:v>87.22618278554195</x:v>
      </x:c>
      <x:c r="D311" s="22" t="n">
        <x:f>C311/'Inputs'!$G$5-1</x:f>
        <x:v>-0.518539588311851</x:v>
      </x:c>
      <x:c r="E311" t="n">
        <x:f>('Assumptions'!$M$18+'Assumptions'!$N$18)*(1+$B311)^0</x:f>
        <x:v>1500</x:v>
      </x:c>
      <x:c r="F311" t="n">
        <x:f>('Assumptions'!$M$18+'Assumptions'!$N$18)*(1+$B311)^1</x:f>
        <x:v>1560</x:v>
      </x:c>
      <x:c r="G311" t="n">
        <x:f>('Assumptions'!$M$18+'Assumptions'!$N$18)*(1+$B311)^2</x:f>
        <x:v>1622.4</x:v>
      </x:c>
      <x:c r="H311" t="n">
        <x:f>('Assumptions'!$M$18+'Assumptions'!$N$18)*(1+$B311)^3</x:f>
        <x:v>1687.296</x:v>
      </x:c>
      <x:c r="I311" t="n">
        <x:f>('Assumptions'!$M$18+'Assumptions'!$N$18)*(1+$B311)^4</x:f>
        <x:v>1754.7878400000004</x:v>
      </x:c>
      <x:c r="J311" t="n">
        <x:f>I311*(1+($BG311+('Assumptions'!$D$18-$BG311)*(6-5)/5))</x:f>
        <x:v>1821.469777920001</x:v>
      </x:c>
      <x:c r="K311" t="n">
        <x:f>J311*(1+($BG311+('Assumptions'!$D$18-$BG311)*(7-5)/5))</x:f>
        <x:v>1887.0426899251215</x:v>
      </x:c>
      <x:c r="L311" t="n">
        <x:f>K311*(1+($BG311+('Assumptions'!$D$18-$BG311)*(8-5)/5))</x:f>
        <x:v>1951.2021413825757</x:v>
      </x:c>
      <x:c r="M311" t="n">
        <x:f>L311*(1+($BG311+('Assumptions'!$D$18-$BG311)*(9-5)/5))</x:f>
        <x:v>2013.6406099068183</x:v>
      </x:c>
      <x:c r="N311" t="n">
        <x:f>M311*(1+($BG311+('Assumptions'!$D$18-$BG311)*(10-5)/5))</x:f>
        <x:v>2074.049828204023</x:v>
      </x:c>
      <x:c r="O311" t="n">
        <x:f>0</x:f>
        <x:v>0</x:v>
      </x:c>
      <x:c r="P311" t="n">
        <x:f>0</x:f>
        <x:v>0</x:v>
      </x:c>
      <x:c r="Q311" t="n">
        <x:f>0</x:f>
        <x:v>0</x:v>
      </x:c>
      <x:c r="R311" t="n">
        <x:f>0</x:f>
        <x:v>0</x:v>
      </x:c>
      <x:c r="S311" t="n">
        <x:f>0</x:f>
        <x:v>0</x:v>
      </x:c>
      <x:c r="T311" t="n">
        <x:f>S311*(1+($BG311+('Assumptions'!$D$18-$BG311)*(6-5)/5))</x:f>
        <x:v>0</x:v>
      </x:c>
      <x:c r="U311" t="n">
        <x:f>T311*(1+($BG311+('Assumptions'!$D$18-$BG311)*(7-5)/5))</x:f>
        <x:v>0</x:v>
      </x:c>
      <x:c r="V311" t="n">
        <x:f>U311*(1+($BG311+('Assumptions'!$D$18-$BG311)*(8-5)/5))</x:f>
        <x:v>0</x:v>
      </x:c>
      <x:c r="W311" t="n">
        <x:f>V311*(1+($BG311+('Assumptions'!$D$18-$BG311)*(9-5)/5))</x:f>
        <x:v>0</x:v>
      </x:c>
      <x:c r="X311" t="n">
        <x:f>W311*(1+($BG311+('Assumptions'!$D$18-$BG311)*(10-5)/5))</x:f>
        <x:v>0</x:v>
      </x:c>
      <x:c r="Y311" t="n">
        <x:f>E311*'POWL Model'!$B$62+O311*'POWL Model'!$B$63+'POWL Model'!$B$73+'POWL Model'!$B$74</x:f>
        <x:v>315</x:v>
      </x:c>
      <x:c r="Z311" t="n">
        <x:f>F311*'POWL Model'!$C$62+P311*'POWL Model'!$C$63+'POWL Model'!$C$73+'POWL Model'!$C$74</x:f>
        <x:v>343.2</x:v>
      </x:c>
      <x:c r="AA311" t="n">
        <x:f>G311*'POWL Model'!$D$62+Q311*'POWL Model'!$D$63+'POWL Model'!$D$73+'POWL Model'!$D$74</x:f>
        <x:v>356.928</x:v>
      </x:c>
      <x:c r="AB311" t="n">
        <x:f>H311*'POWL Model'!$E$62+R311*'POWL Model'!$E$63+'POWL Model'!$E$73+'POWL Model'!$E$74</x:f>
        <x:v>362.76864</x:v>
      </x:c>
      <x:c r="AC311" t="n">
        <x:f>I311*'POWL Model'!$F$62+S311*'POWL Model'!$F$63+'POWL Model'!$F$73+'POWL Model'!$F$74</x:f>
        <x:v>368.5054464000001</x:v>
      </x:c>
      <x:c r="AD311" t="n">
        <x:f>AX311*$AC311/$AW311</x:f>
        <x:v>382.5086533632002</x:v>
      </x:c>
      <x:c r="AE311" t="n">
        <x:f>AY311*$AC311/$AW311</x:f>
        <x:v>396.2789648842755</x:v>
      </x:c>
      <x:c r="AF311" t="n">
        <x:f>AZ311*$AC311/$AW311</x:f>
        <x:v>409.75244969034094</x:v>
      </x:c>
      <x:c r="AG311" t="n">
        <x:f>BA311*$AC311/$AW311</x:f>
        <x:v>422.86452808043185</x:v>
      </x:c>
      <x:c r="AH311" t="n">
        <x:f>BB311*$AC311/$AW311</x:f>
        <x:v>435.5504639228448</x:v>
      </x:c>
      <x:c r="AI311" t="n">
        <x:f>Y311*(1-'Assumptions'!$F$18)+AS311*'Assumptions'!$G$18-AS311*'POWL Model'!$B$65-(AS311-'Inputs'!$G$14)*'Assumptions'!$H$18-'Assumptions'!$I$18</x:f>
        <x:v>183.9</x:v>
      </x:c>
      <x:c r="AJ311" t="n">
        <x:f>Z311*(1-'Assumptions'!$F$18)+AT311*'Assumptions'!$G$18-AT311*'POWL Model'!$C$65-(AT311-AS311)*'Assumptions'!$H$18-0</x:f>
        <x:v>228.312</x:v>
      </x:c>
      <x:c r="AK311" t="n">
        <x:f>AA311*(1-'Assumptions'!$F$18)+AU311*'Assumptions'!$G$18-AU311*'POWL Model'!$D$65-(AU311-AT311)*'Assumptions'!$H$18-0</x:f>
        <x:v>242.31168</x:v>
      </x:c>
      <x:c r="AL311" t="n">
        <x:f>AB311*(1-'Assumptions'!$F$18)+AV311*'Assumptions'!$G$18-AV311*'POWL Model'!$E$65-(AV311-AU311)*'Assumptions'!$H$18-0</x:f>
        <x:v>248.96701440000004</x:v>
      </x:c>
      <x:c r="AM311" t="n">
        <x:f>AC311*(1-'Assumptions'!$F$18)+AW311*'Assumptions'!$G$18-AW311*'POWL Model'!$F$65-(AW311-AV311)*'Assumptions'!$H$18-0</x:f>
        <x:v>252.257501184</x:v>
      </x:c>
      <x:c r="AN311" t="n">
        <x:f>AD311*(1-'Assumptions'!$F$18)+AX311*'Assumptions'!$G$18-AX311*'POWL Model'!$G$65-(AX311-AW311)*'Assumptions'!$H$18-0</x:f>
        <x:v>262.1807454289921</x:v>
      </x:c>
      <x:c r="AO311" t="n">
        <x:f>AE311*(1-'Assumptions'!$F$18)+AY311*'Assumptions'!$G$18-AY311*'POWL Model'!$H$65-(AY311-AX311)*'Assumptions'!$H$18-0</x:f>
        <x:v>271.9702098324359</x:v>
      </x:c>
      <x:c r="AP311" t="n">
        <x:f>AF311*(1-'Assumptions'!$F$18)+AZ311*'Assumptions'!$G$18-AZ311*'POWL Model'!$I$65-(AZ311-AY311)*'Assumptions'!$H$18-0</x:f>
        <x:v>281.5814909223228</x:v>
      </x:c>
      <x:c r="AQ311" t="n">
        <x:f>AG311*(1-'Assumptions'!$F$18)+BA311*'Assumptions'!$G$18-BA311*'POWL Model'!$J$65-(BA311-AZ311)*'Assumptions'!$H$18-0</x:f>
        <x:v>290.9695071698221</x:v>
      </x:c>
      <x:c r="AR311" t="n">
        <x:f>AH311*(1-'Assumptions'!$F$18)+BB311*'Assumptions'!$G$18-BB311*'POWL Model'!$K$65-(BB311-BA311)*'Assumptions'!$H$18-0</x:f>
        <x:v>300.0888328131934</x:v>
      </x:c>
      <x:c r="AS311" t="n">
        <x:f>E311+O311</x:f>
        <x:v>1500</x:v>
      </x:c>
      <x:c r="AT311" t="n">
        <x:f>F311+P311</x:f>
        <x:v>1560</x:v>
      </x:c>
      <x:c r="AU311" t="n">
        <x:f>G311+Q311</x:f>
        <x:v>1622.4</x:v>
      </x:c>
      <x:c r="AV311" t="n">
        <x:f>H311+R311</x:f>
        <x:v>1687.296</x:v>
      </x:c>
      <x:c r="AW311" t="n">
        <x:f>I311+S311</x:f>
        <x:v>1754.7878400000004</x:v>
      </x:c>
      <x:c r="AX311" t="n">
        <x:f>J311+T311</x:f>
        <x:v>1821.469777920001</x:v>
      </x:c>
      <x:c r="AY311" t="n">
        <x:f>K311+U311</x:f>
        <x:v>1887.0426899251215</x:v>
      </x:c>
      <x:c r="AZ311" t="n">
        <x:f>L311+V311</x:f>
        <x:v>1951.2021413825757</x:v>
      </x:c>
      <x:c r="BA311" t="n">
        <x:f>M311+W311</x:f>
        <x:v>2013.6406099068183</x:v>
      </x:c>
      <x:c r="BB311" t="n">
        <x:f>N311+X311</x:f>
        <x:v>2074.049828204023</x:v>
      </x:c>
      <x:c r="BC311" t="n">
        <x:f>AS311/'Inputs'!$G$14-1</x:f>
        <x:v>0.25</x:v>
      </x:c>
      <x:c r="BD311" t="n">
        <x:f>AT311/AS311-1</x:f>
        <x:v>0.040000000000000036</x:v>
      </x:c>
      <x:c r="BE311" t="n">
        <x:f>AU311/AT311-1</x:f>
        <x:v>0.040000000000000036</x:v>
      </x:c>
      <x:c r="BF311" t="n">
        <x:f>AV311/AU311-1</x:f>
        <x:v>0.040000000000000036</x:v>
      </x:c>
      <x:c r="BG311" t="n">
        <x:f>AW311/AV311-1</x:f>
        <x:v>0.04000000000000026</x:v>
      </x:c>
      <x:c r="BH311" t="n">
        <x:f>AX311/AW311-1</x:f>
        <x:v>0.038000000000000256</x:v>
      </x:c>
      <x:c r="BI311" t="n">
        <x:f>AY311/AX311-1</x:f>
        <x:v>0.036000000000000254</x:v>
      </x:c>
      <x:c r="BJ311" t="n">
        <x:f>AZ311/AY311-1</x:f>
        <x:v>0.03400000000000003</x:v>
      </x:c>
      <x:c r="BK311" t="n">
        <x:f>BA311/AZ311-1</x:f>
        <x:v>0.03200000000000003</x:v>
      </x:c>
      <x:c r="BL311" t="n">
        <x:f>BB311/BA311-1</x:f>
        <x:v>0.030000000000000027</x:v>
      </x:c>
      <x:c r="BM311" t="n">
        <x:f>AH311*(1-'Assumptions'!$F$18)*(1+'Assumptions'!$D$18)*(1-'Assumptions'!$D$18/'Assumptions'!$E$18)</x:f>
        <x:v>300.03503477974664</x:v>
      </x:c>
      <x:c r="BN311" t="n">
        <x:f>SUMPRODUCT(AI311:AR311,'POWL Model'!$B$83:$K$83)+BM311/('Assumptions'!$C$18-'Assumptions'!$D$18)*'POWL Model'!$K$83</x:f>
        <x:v>2962.015194681978</x:v>
      </x:c>
      <x:c r="BO311" t="n">
        <x:f>'POWL Model'!$B$94</x:f>
        <x:v>230.812</x:v>
      </x:c>
      <x:c r="BP311" t="n">
        <x:f>'Inputs'!$G$8</x:f>
        <x:v>36.604</x:v>
      </x:c>
    </x:row>
    <x:row r="312">
      <x:c r="A312" t="str">
        <x:v>POWL</x:v>
      </x:c>
      <x:c r="B312" s="22" t="n">
        <x:v>0.05</x:v>
      </x:c>
      <x:c r="C312" s="42" t="n">
        <x:f>(BN312+BO312)/BP312</x:f>
        <x:v>90.830370029104</x:v>
      </x:c>
      <x:c r="D312" s="22" t="n">
        <x:f>C312/'Inputs'!$G$5-1</x:f>
        <x:v>-0.49864563653417227</x:v>
      </x:c>
      <x:c r="E312" t="n">
        <x:f>('Assumptions'!$M$18+'Assumptions'!$N$18)*(1+$B312)^0</x:f>
        <x:v>1500</x:v>
      </x:c>
      <x:c r="F312" t="n">
        <x:f>('Assumptions'!$M$18+'Assumptions'!$N$18)*(1+$B312)^1</x:f>
        <x:v>1575</x:v>
      </x:c>
      <x:c r="G312" t="n">
        <x:f>('Assumptions'!$M$18+'Assumptions'!$N$18)*(1+$B312)^2</x:f>
        <x:v>1653.75</x:v>
      </x:c>
      <x:c r="H312" t="n">
        <x:f>('Assumptions'!$M$18+'Assumptions'!$N$18)*(1+$B312)^3</x:f>
        <x:v>1736.4375000000002</x:v>
      </x:c>
      <x:c r="I312" t="n">
        <x:f>('Assumptions'!$M$18+'Assumptions'!$N$18)*(1+$B312)^4</x:f>
        <x:v>1823.259375</x:v>
      </x:c>
      <x:c r="J312" t="n">
        <x:f>I312*(1+($BG312+('Assumptions'!$D$18-$BG312)*(6-5)/5))</x:f>
        <x:v>1907.1293062499997</x:v>
      </x:c>
      <x:c r="K312" t="n">
        <x:f>J312*(1+($BG312+('Assumptions'!$D$18-$BG312)*(7-5)/5))</x:f>
        <x:v>1987.2287371124994</x:v>
      </x:c>
      <x:c r="L312" t="n">
        <x:f>K312*(1+($BG312+('Assumptions'!$D$18-$BG312)*(8-5)/5))</x:f>
        <x:v>2062.7434291227746</x:v>
      </x:c>
      <x:c r="M312" t="n">
        <x:f>L312*(1+($BG312+('Assumptions'!$D$18-$BG312)*(9-5)/5))</x:f>
        <x:v>2132.876705712949</x:v>
      </x:c>
      <x:c r="N312" t="n">
        <x:f>M312*(1+($BG312+('Assumptions'!$D$18-$BG312)*(10-5)/5))</x:f>
        <x:v>2196.8630068843377</x:v>
      </x:c>
      <x:c r="O312" t="n">
        <x:f>0</x:f>
        <x:v>0</x:v>
      </x:c>
      <x:c r="P312" t="n">
        <x:f>0</x:f>
        <x:v>0</x:v>
      </x:c>
      <x:c r="Q312" t="n">
        <x:f>0</x:f>
        <x:v>0</x:v>
      </x:c>
      <x:c r="R312" t="n">
        <x:f>0</x:f>
        <x:v>0</x:v>
      </x:c>
      <x:c r="S312" t="n">
        <x:f>0</x:f>
        <x:v>0</x:v>
      </x:c>
      <x:c r="T312" t="n">
        <x:f>S312*(1+($BG312+('Assumptions'!$D$18-$BG312)*(6-5)/5))</x:f>
        <x:v>0</x:v>
      </x:c>
      <x:c r="U312" t="n">
        <x:f>T312*(1+($BG312+('Assumptions'!$D$18-$BG312)*(7-5)/5))</x:f>
        <x:v>0</x:v>
      </x:c>
      <x:c r="V312" t="n">
        <x:f>U312*(1+($BG312+('Assumptions'!$D$18-$BG312)*(8-5)/5))</x:f>
        <x:v>0</x:v>
      </x:c>
      <x:c r="W312" t="n">
        <x:f>V312*(1+($BG312+('Assumptions'!$D$18-$BG312)*(9-5)/5))</x:f>
        <x:v>0</x:v>
      </x:c>
      <x:c r="X312" t="n">
        <x:f>W312*(1+($BG312+('Assumptions'!$D$18-$BG312)*(10-5)/5))</x:f>
        <x:v>0</x:v>
      </x:c>
      <x:c r="Y312" t="n">
        <x:f>E312*'POWL Model'!$B$62+O312*'POWL Model'!$B$63+'POWL Model'!$B$73+'POWL Model'!$B$74</x:f>
        <x:v>315</x:v>
      </x:c>
      <x:c r="Z312" t="n">
        <x:f>F312*'POWL Model'!$C$62+P312*'POWL Model'!$C$63+'POWL Model'!$C$73+'POWL Model'!$C$74</x:f>
        <x:v>346.5</x:v>
      </x:c>
      <x:c r="AA312" t="n">
        <x:f>G312*'POWL Model'!$D$62+Q312*'POWL Model'!$D$63+'POWL Model'!$D$73+'POWL Model'!$D$74</x:f>
        <x:v>363.825</x:v>
      </x:c>
      <x:c r="AB312" t="n">
        <x:f>H312*'POWL Model'!$E$62+R312*'POWL Model'!$E$63+'POWL Model'!$E$73+'POWL Model'!$E$74</x:f>
        <x:v>373.3340625</x:v>
      </x:c>
      <x:c r="AC312" t="n">
        <x:f>I312*'POWL Model'!$F$62+S312*'POWL Model'!$F$63+'POWL Model'!$F$73+'POWL Model'!$F$74</x:f>
        <x:v>382.88446875</x:v>
      </x:c>
      <x:c r="AD312" t="n">
        <x:f>AX312*$AC312/$AW312</x:f>
        <x:v>400.4971543124999</x:v>
      </x:c>
      <x:c r="AE312" t="n">
        <x:f>AY312*$AC312/$AW312</x:f>
        <x:v>417.31803479362486</x:v>
      </x:c>
      <x:c r="AF312" t="n">
        <x:f>AZ312*$AC312/$AW312</x:f>
        <x:v>433.1761201157827</x:v>
      </x:c>
      <x:c r="AG312" t="n">
        <x:f>BA312*$AC312/$AW312</x:f>
        <x:v>447.90410819971925</x:v>
      </x:c>
      <x:c r="AH312" t="n">
        <x:f>BB312*$AC312/$AW312</x:f>
        <x:v>461.3412314457109</x:v>
      </x:c>
      <x:c r="AI312" t="n">
        <x:f>Y312*(1-'Assumptions'!$F$18)+AS312*'Assumptions'!$G$18-AS312*'POWL Model'!$B$65-(AS312-'Inputs'!$G$14)*'Assumptions'!$H$18-'Assumptions'!$I$18</x:f>
        <x:v>183.9</x:v>
      </x:c>
      <x:c r="AJ312" t="n">
        <x:f>Z312*(1-'Assumptions'!$F$18)+AT312*'Assumptions'!$G$18-AT312*'POWL Model'!$C$65-(AT312-AS312)*'Assumptions'!$H$18-0</x:f>
        <x:v>229.065</x:v>
      </x:c>
      <x:c r="AK312" t="n">
        <x:f>AA312*(1-'Assumptions'!$F$18)+AU312*'Assumptions'!$G$18-AU312*'POWL Model'!$D$65-(AU312-AT312)*'Assumptions'!$H$18-0</x:f>
        <x:v>245.47950000000003</x:v>
      </x:c>
      <x:c r="AL312" t="n">
        <x:f>AB312*(1-'Assumptions'!$F$18)+AV312*'Assumptions'!$G$18-AV312*'POWL Model'!$E$65-(AV312-AU312)*'Assumptions'!$H$18-0</x:f>
        <x:v>254.62788750000004</x:v>
      </x:c>
      <x:c r="AM312" t="n">
        <x:f>AC312*(1-'Assumptions'!$F$18)+AW312*'Assumptions'!$G$18-AW312*'POWL Model'!$F$65-(AW312-AV312)*'Assumptions'!$H$18-0</x:f>
        <x:v>260.43089625</x:v>
      </x:c>
      <x:c r="AN312" t="n">
        <x:f>AD312*(1-'Assumptions'!$F$18)+AX312*'Assumptions'!$G$18-AX312*'POWL Model'!$G$65-(AX312-AW312)*'Assumptions'!$H$18-0</x:f>
        <x:v>273.1052924775</x:v>
      </x:c>
      <x:c r="AO312" t="n">
        <x:f>AE312*(1-'Assumptions'!$F$18)+AY312*'Assumptions'!$G$18-AY312*'POWL Model'!$H$65-(AY312-AX312)*'Assumptions'!$H$18-0</x:f>
        <x:v>285.305018511555</x:v>
      </x:c>
      <x:c r="AP312" t="n">
        <x:f>AF312*(1-'Assumptions'!$F$18)+AZ312*'Assumptions'!$G$18-AZ312*'POWL Model'!$I$65-(AZ312-AY312)*'Assumptions'!$H$18-0</x:f>
        <x:v>296.909460937494</x:v>
      </x:c>
      <x:c r="AQ312" t="n">
        <x:f>AG312*(1-'Assumptions'!$F$18)+BA312*'Assumptions'!$G$18-BA312*'POWL Model'!$J$65-(BA312-AZ312)*'Assumptions'!$H$18-0</x:f>
        <x:v>307.7992741042138</x:v>
      </x:c>
      <x:c r="AR312" t="n">
        <x:f>AH312*(1-'Assumptions'!$F$18)+BB312*'Assumptions'!$G$18-BB312*'POWL Model'!$K$65-(BB312-BA312)*'Assumptions'!$H$18-0</x:f>
        <x:v>317.8583496989894</x:v>
      </x:c>
      <x:c r="AS312" t="n">
        <x:f>E312+O312</x:f>
        <x:v>1500</x:v>
      </x:c>
      <x:c r="AT312" t="n">
        <x:f>F312+P312</x:f>
        <x:v>1575</x:v>
      </x:c>
      <x:c r="AU312" t="n">
        <x:f>G312+Q312</x:f>
        <x:v>1653.75</x:v>
      </x:c>
      <x:c r="AV312" t="n">
        <x:f>H312+R312</x:f>
        <x:v>1736.4375000000002</x:v>
      </x:c>
      <x:c r="AW312" t="n">
        <x:f>I312+S312</x:f>
        <x:v>1823.259375</x:v>
      </x:c>
      <x:c r="AX312" t="n">
        <x:f>J312+T312</x:f>
        <x:v>1907.1293062499997</x:v>
      </x:c>
      <x:c r="AY312" t="n">
        <x:f>K312+U312</x:f>
        <x:v>1987.2287371124994</x:v>
      </x:c>
      <x:c r="AZ312" t="n">
        <x:f>L312+V312</x:f>
        <x:v>2062.7434291227746</x:v>
      </x:c>
      <x:c r="BA312" t="n">
        <x:f>M312+W312</x:f>
        <x:v>2132.876705712949</x:v>
      </x:c>
      <x:c r="BB312" t="n">
        <x:f>N312+X312</x:f>
        <x:v>2196.8630068843377</x:v>
      </x:c>
      <x:c r="BC312" t="n">
        <x:f>AS312/'Inputs'!$G$14-1</x:f>
        <x:v>0.25</x:v>
      </x:c>
      <x:c r="BD312" t="n">
        <x:f>AT312/AS312-1</x:f>
        <x:v>0.050000000000000044</x:v>
      </x:c>
      <x:c r="BE312" t="n">
        <x:f>AU312/AT312-1</x:f>
        <x:v>0.050000000000000044</x:v>
      </x:c>
      <x:c r="BF312" t="n">
        <x:f>AV312/AU312-1</x:f>
        <x:v>0.050000000000000044</x:v>
      </x:c>
      <x:c r="BG312" t="n">
        <x:f>AW312/AV312-1</x:f>
        <x:v>0.04999999999999982</x:v>
      </x:c>
      <x:c r="BH312" t="n">
        <x:f>AX312/AW312-1</x:f>
        <x:v>0.04599999999999982</x:v>
      </x:c>
      <x:c r="BI312" t="n">
        <x:f>AY312/AX312-1</x:f>
        <x:v>0.041999999999999815</x:v>
      </x:c>
      <x:c r="BJ312" t="n">
        <x:f>AZ312/AY312-1</x:f>
        <x:v>0.038000000000000034</x:v>
      </x:c>
      <x:c r="BK312" t="n">
        <x:f>BA312/AZ312-1</x:f>
        <x:v>0.03400000000000003</x:v>
      </x:c>
      <x:c r="BL312" t="n">
        <x:f>BB312/BA312-1</x:f>
        <x:v>0.030000000000000027</x:v>
      </x:c>
      <x:c r="BM312" t="n">
        <x:f>AH312*(1-'Assumptions'!$F$18)*(1+'Assumptions'!$D$18)*(1-'Assumptions'!$D$18/'Assumptions'!$E$18)</x:f>
        <x:v>317.8013660586182</x:v>
      </x:c>
      <x:c r="BN312" t="n">
        <x:f>SUMPRODUCT(AI312:AR312,'POWL Model'!$B$83:$K$83)+BM312/('Assumptions'!$C$18-'Assumptions'!$D$18)*'POWL Model'!$K$83</x:f>
        <x:v>3093.942864545323</x:v>
      </x:c>
      <x:c r="BO312" t="n">
        <x:f>'POWL Model'!$B$94</x:f>
        <x:v>230.812</x:v>
      </x:c>
      <x:c r="BP312" t="n">
        <x:f>'Inputs'!$G$8</x:f>
        <x:v>36.604</x:v>
      </x:c>
    </x:row>
    <x:row r="313">
      <x:c r="A313" t="str">
        <x:v>POWL</x:v>
      </x:c>
      <x:c r="B313" s="22" t="n">
        <x:v>0.06</x:v>
      </x:c>
      <x:c r="C313" s="42" t="n">
        <x:f>(BN313+BO313)/BP313</x:f>
        <x:v>94.59830146973535</x:v>
      </x:c>
      <x:c r="D313" s="22" t="n">
        <x:f>C313/'Inputs'!$G$5-1</x:f>
        <x:v>-0.47784786957147785</x:v>
      </x:c>
      <x:c r="E313" t="n">
        <x:f>('Assumptions'!$M$18+'Assumptions'!$N$18)*(1+$B313)^0</x:f>
        <x:v>1500</x:v>
      </x:c>
      <x:c r="F313" t="n">
        <x:f>('Assumptions'!$M$18+'Assumptions'!$N$18)*(1+$B313)^1</x:f>
        <x:v>1590</x:v>
      </x:c>
      <x:c r="G313" t="n">
        <x:f>('Assumptions'!$M$18+'Assumptions'!$N$18)*(1+$B313)^2</x:f>
        <x:v>1685.4000000000003</x:v>
      </x:c>
      <x:c r="H313" t="n">
        <x:f>('Assumptions'!$M$18+'Assumptions'!$N$18)*(1+$B313)^3</x:f>
        <x:v>1786.5240000000003</x:v>
      </x:c>
      <x:c r="I313" t="n">
        <x:f>('Assumptions'!$M$18+'Assumptions'!$N$18)*(1+$B313)^4</x:f>
        <x:v>1893.7154400000004</x:v>
      </x:c>
      <x:c r="J313" t="n">
        <x:f>I313*(1+($BG313+('Assumptions'!$D$18-$BG313)*(6-5)/5))</x:f>
        <x:v>1995.9760737600004</x:v>
      </x:c>
      <x:c r="K313" t="n">
        <x:f>J313*(1+($BG313+('Assumptions'!$D$18-$BG313)*(7-5)/5))</x:f>
        <x:v>2091.7829253004807</x:v>
      </x:c>
      <x:c r="L313" t="n">
        <x:f>K313*(1+($BG313+('Assumptions'!$D$18-$BG313)*(8-5)/5))</x:f>
        <x:v>2179.637808163101</x:v>
      </x:c>
      <x:c r="M313" t="n">
        <x:f>L313*(1+($BG313+('Assumptions'!$D$18-$BG313)*(9-5)/5))</x:f>
        <x:v>2258.1047692569728</x:v>
      </x:c>
      <x:c r="N313" t="n">
        <x:f>M313*(1+($BG313+('Assumptions'!$D$18-$BG313)*(10-5)/5))</x:f>
        <x:v>2325.847912334682</x:v>
      </x:c>
      <x:c r="O313" t="n">
        <x:f>0</x:f>
        <x:v>0</x:v>
      </x:c>
      <x:c r="P313" t="n">
        <x:f>0</x:f>
        <x:v>0</x:v>
      </x:c>
      <x:c r="Q313" t="n">
        <x:f>0</x:f>
        <x:v>0</x:v>
      </x:c>
      <x:c r="R313" t="n">
        <x:f>0</x:f>
        <x:v>0</x:v>
      </x:c>
      <x:c r="S313" t="n">
        <x:f>0</x:f>
        <x:v>0</x:v>
      </x:c>
      <x:c r="T313" t="n">
        <x:f>S313*(1+($BG313+('Assumptions'!$D$18-$BG313)*(6-5)/5))</x:f>
        <x:v>0</x:v>
      </x:c>
      <x:c r="U313" t="n">
        <x:f>T313*(1+($BG313+('Assumptions'!$D$18-$BG313)*(7-5)/5))</x:f>
        <x:v>0</x:v>
      </x:c>
      <x:c r="V313" t="n">
        <x:f>U313*(1+($BG313+('Assumptions'!$D$18-$BG313)*(8-5)/5))</x:f>
        <x:v>0</x:v>
      </x:c>
      <x:c r="W313" t="n">
        <x:f>V313*(1+($BG313+('Assumptions'!$D$18-$BG313)*(9-5)/5))</x:f>
        <x:v>0</x:v>
      </x:c>
      <x:c r="X313" t="n">
        <x:f>W313*(1+($BG313+('Assumptions'!$D$18-$BG313)*(10-5)/5))</x:f>
        <x:v>0</x:v>
      </x:c>
      <x:c r="Y313" t="n">
        <x:f>E313*'POWL Model'!$B$62+O313*'POWL Model'!$B$63+'POWL Model'!$B$73+'POWL Model'!$B$74</x:f>
        <x:v>315</x:v>
      </x:c>
      <x:c r="Z313" t="n">
        <x:f>F313*'POWL Model'!$C$62+P313*'POWL Model'!$C$63+'POWL Model'!$C$73+'POWL Model'!$C$74</x:f>
        <x:v>349.8</x:v>
      </x:c>
      <x:c r="AA313" t="n">
        <x:f>G313*'POWL Model'!$D$62+Q313*'POWL Model'!$D$63+'POWL Model'!$D$73+'POWL Model'!$D$74</x:f>
        <x:v>370.78800000000007</x:v>
      </x:c>
      <x:c r="AB313" t="n">
        <x:f>H313*'POWL Model'!$E$62+R313*'POWL Model'!$E$63+'POWL Model'!$E$73+'POWL Model'!$E$74</x:f>
        <x:v>384.10266000000007</x:v>
      </x:c>
      <x:c r="AC313" t="n">
        <x:f>I313*'POWL Model'!$F$62+S313*'POWL Model'!$F$63+'POWL Model'!$F$73+'POWL Model'!$F$74</x:f>
        <x:v>397.68024240000005</x:v>
      </x:c>
      <x:c r="AD313" t="n">
        <x:f>AX313*$AC313/$AW313</x:f>
        <x:v>419.1549754896001</x:v>
      </x:c>
      <x:c r="AE313" t="n">
        <x:f>AY313*$AC313/$AW313</x:f>
        <x:v>439.2744143131009</x:v>
      </x:c>
      <x:c r="AF313" t="n">
        <x:f>AZ313*$AC313/$AW313</x:f>
        <x:v>457.72393971425123</x:v>
      </x:c>
      <x:c r="AG313" t="n">
        <x:f>BA313*$AC313/$AW313</x:f>
        <x:v>474.20200154396423</x:v>
      </x:c>
      <x:c r="AH313" t="n">
        <x:f>BB313*$AC313/$AW313</x:f>
        <x:v>488.42806159028316</x:v>
      </x:c>
      <x:c r="AI313" t="n">
        <x:f>Y313*(1-'Assumptions'!$F$18)+AS313*'Assumptions'!$G$18-AS313*'POWL Model'!$B$65-(AS313-'Inputs'!$G$14)*'Assumptions'!$H$18-'Assumptions'!$I$18</x:f>
        <x:v>183.9</x:v>
      </x:c>
      <x:c r="AJ313" t="n">
        <x:f>Z313*(1-'Assumptions'!$F$18)+AT313*'Assumptions'!$G$18-AT313*'POWL Model'!$C$65-(AT313-AS313)*'Assumptions'!$H$18-0</x:f>
        <x:v>229.81800000000004</x:v>
      </x:c>
      <x:c r="AK313" t="n">
        <x:f>AA313*(1-'Assumptions'!$F$18)+AU313*'Assumptions'!$G$18-AU313*'POWL Model'!$D$65-(AU313-AT313)*'Assumptions'!$H$18-0</x:f>
        <x:v>248.66328000000004</x:v>
      </x:c>
      <x:c r="AL313" t="n">
        <x:f>AB313*(1-'Assumptions'!$F$18)+AV313*'Assumptions'!$G$18-AV313*'POWL Model'!$E$65-(AV313-AU313)*'Assumptions'!$H$18-0</x:f>
        <x:v>260.36733360000005</x:v>
      </x:c>
      <x:c r="AM313" t="n">
        <x:f>AC313*(1-'Assumptions'!$F$18)+AW313*'Assumptions'!$G$18-AW313*'POWL Model'!$F$65-(AW313-AV313)*'Assumptions'!$H$18-0</x:f>
        <x:v>268.793254944</x:v>
      </x:c>
      <x:c r="AN313" t="n">
        <x:f>AD313*(1-'Assumptions'!$F$18)+AX313*'Assumptions'!$G$18-AX313*'POWL Model'!$G$65-(AX313-AW313)*'Assumptions'!$H$18-0</x:f>
        <x:v>284.3800051109761</x:v>
      </x:c>
      <x:c r="AO313" t="n">
        <x:f>AE313*(1-'Assumptions'!$F$18)+AY313*'Assumptions'!$G$18-AY313*'POWL Model'!$H$65-(AY313-AX313)*'Assumptions'!$H$18-0</x:f>
        <x:v>299.1664746203029</x:v>
      </x:c>
      <x:c r="AP313" t="n">
        <x:f>AF313*(1-'Assumptions'!$F$18)+AZ313*'Assumptions'!$G$18-AZ313*'POWL Model'!$I$65-(AZ313-AY313)*'Assumptions'!$H$18-0</x:f>
        <x:v>312.92905219861166</x:v>
      </x:c>
      <x:c r="AQ313" t="n">
        <x:f>AG313*(1-'Assumptions'!$F$18)+BA313*'Assumptions'!$G$18-BA313*'POWL Model'!$J$65-(BA313-AZ313)*'Assumptions'!$H$18-0</x:f>
        <x:v>325.44956783294197</x:v>
      </x:c>
      <x:c r="AR313" t="n">
        <x:f>AH313*(1-'Assumptions'!$F$18)+BB313*'Assumptions'!$G$18-BB313*'POWL Model'!$K$65-(BB313-BA313)*'Assumptions'!$H$18-0</x:f>
        <x:v>336.5208375528281</x:v>
      </x:c>
      <x:c r="AS313" t="n">
        <x:f>E313+O313</x:f>
        <x:v>1500</x:v>
      </x:c>
      <x:c r="AT313" t="n">
        <x:f>F313+P313</x:f>
        <x:v>1590</x:v>
      </x:c>
      <x:c r="AU313" t="n">
        <x:f>G313+Q313</x:f>
        <x:v>1685.4000000000003</x:v>
      </x:c>
      <x:c r="AV313" t="n">
        <x:f>H313+R313</x:f>
        <x:v>1786.5240000000003</x:v>
      </x:c>
      <x:c r="AW313" t="n">
        <x:f>I313+S313</x:f>
        <x:v>1893.7154400000004</x:v>
      </x:c>
      <x:c r="AX313" t="n">
        <x:f>J313+T313</x:f>
        <x:v>1995.9760737600004</x:v>
      </x:c>
      <x:c r="AY313" t="n">
        <x:f>K313+U313</x:f>
        <x:v>2091.7829253004807</x:v>
      </x:c>
      <x:c r="AZ313" t="n">
        <x:f>L313+V313</x:f>
        <x:v>2179.637808163101</x:v>
      </x:c>
      <x:c r="BA313" t="n">
        <x:f>M313+W313</x:f>
        <x:v>2258.1047692569728</x:v>
      </x:c>
      <x:c r="BB313" t="n">
        <x:f>N313+X313</x:f>
        <x:v>2325.847912334682</x:v>
      </x:c>
      <x:c r="BC313" t="n">
        <x:f>AS313/'Inputs'!$G$14-1</x:f>
        <x:v>0.25</x:v>
      </x:c>
      <x:c r="BD313" t="n">
        <x:f>AT313/AS313-1</x:f>
        <x:v>0.06000000000000005</x:v>
      </x:c>
      <x:c r="BE313" t="n">
        <x:f>AU313/AT313-1</x:f>
        <x:v>0.060000000000000275</x:v>
      </x:c>
      <x:c r="BF313" t="n">
        <x:f>AV313/AU313-1</x:f>
        <x:v>0.06000000000000005</x:v>
      </x:c>
      <x:c r="BG313" t="n">
        <x:f>AW313/AV313-1</x:f>
        <x:v>0.06000000000000005</x:v>
      </x:c>
      <x:c r="BH313" t="n">
        <x:f>AX313/AW313-1</x:f>
        <x:v>0.05400000000000005</x:v>
      </x:c>
      <x:c r="BI313" t="n">
        <x:f>AY313/AX313-1</x:f>
        <x:v>0.04800000000000004</x:v>
      </x:c>
      <x:c r="BJ313" t="n">
        <x:f>AZ313/AY313-1</x:f>
        <x:v>0.04200000000000004</x:v>
      </x:c>
      <x:c r="BK313" t="n">
        <x:f>BA313/AZ313-1</x:f>
        <x:v>0.03600000000000003</x:v>
      </x:c>
      <x:c r="BL313" t="n">
        <x:f>BB313/BA313-1</x:f>
        <x:v>0.030000000000000027</x:v>
      </x:c>
      <x:c r="BM313" t="n">
        <x:f>AH313*(1-'Assumptions'!$F$18)*(1+'Assumptions'!$D$18)*(1-'Assumptions'!$D$18/'Assumptions'!$E$18)</x:f>
        <x:v>336.4605082193288</x:v>
      </x:c>
      <x:c r="BN313" t="n">
        <x:f>SUMPRODUCT(AI313:AR313,'POWL Model'!$B$83:$K$83)+BM313/('Assumptions'!$C$18-'Assumptions'!$D$18)*'POWL Model'!$K$83</x:f>
        <x:v>3231.8642269981924</x:v>
      </x:c>
      <x:c r="BO313" t="n">
        <x:f>'POWL Model'!$B$94</x:f>
        <x:v>230.812</x:v>
      </x:c>
      <x:c r="BP313" t="n">
        <x:f>'Inputs'!$G$8</x:f>
        <x:v>36.604</x:v>
      </x:c>
    </x:row>
    <x:row r="314">
      <x:c r="A314" t="str">
        <x:v>POWL</x:v>
      </x:c>
      <x:c r="B314" s="22" t="n">
        <x:v>0.07</x:v>
      </x:c>
      <x:c r="C314" s="42" t="n">
        <x:f>(BN314+BO314)/BP314</x:f>
        <x:v>98.53640204704948</x:v>
      </x:c>
      <x:c r="D314" s="22" t="n">
        <x:f>C314/'Inputs'!$G$5-1</x:f>
        <x:v>-0.45611082382817525</x:v>
      </x:c>
      <x:c r="E314" t="n">
        <x:f>('Assumptions'!$M$18+'Assumptions'!$N$18)*(1+$B314)^0</x:f>
        <x:v>1500</x:v>
      </x:c>
      <x:c r="F314" t="n">
        <x:f>('Assumptions'!$M$18+'Assumptions'!$N$18)*(1+$B314)^1</x:f>
        <x:v>1605</x:v>
      </x:c>
      <x:c r="G314" t="n">
        <x:f>('Assumptions'!$M$18+'Assumptions'!$N$18)*(1+$B314)^2</x:f>
        <x:v>1717.3500000000001</x:v>
      </x:c>
      <x:c r="H314" t="n">
        <x:f>('Assumptions'!$M$18+'Assumptions'!$N$18)*(1+$B314)^3</x:f>
        <x:v>1837.5645000000002</x:v>
      </x:c>
      <x:c r="I314" t="n">
        <x:f>('Assumptions'!$M$18+'Assumptions'!$N$18)*(1+$B314)^4</x:f>
        <x:v>1966.194015</x:v>
      </x:c>
      <x:c r="J314" t="n">
        <x:f>I314*(1+($BG314+('Assumptions'!$D$18-$BG314)*(6-5)/5))</x:f>
        <x:v>2088.0980439299997</x:v>
      </x:c>
      <x:c r="K314" t="n">
        <x:f>J314*(1+($BG314+('Assumptions'!$D$18-$BG314)*(7-5)/5))</x:f>
        <x:v>2200.8553383022195</x:v>
      </x:c>
      <x:c r="L314" t="n">
        <x:f>K314*(1+($BG314+('Assumptions'!$D$18-$BG314)*(8-5)/5))</x:f>
        <x:v>2302.0946838641216</x:v>
      </x:c>
      <x:c r="M314" t="n">
        <x:f>L314*(1+($BG314+('Assumptions'!$D$18-$BG314)*(9-5)/5))</x:f>
        <x:v>2389.5742818509584</x:v>
      </x:c>
      <x:c r="N314" t="n">
        <x:f>M314*(1+($BG314+('Assumptions'!$D$18-$BG314)*(10-5)/5))</x:f>
        <x:v>2461.2615103064873</x:v>
      </x:c>
      <x:c r="O314" t="n">
        <x:f>0</x:f>
        <x:v>0</x:v>
      </x:c>
      <x:c r="P314" t="n">
        <x:f>0</x:f>
        <x:v>0</x:v>
      </x:c>
      <x:c r="Q314" t="n">
        <x:f>0</x:f>
        <x:v>0</x:v>
      </x:c>
      <x:c r="R314" t="n">
        <x:f>0</x:f>
        <x:v>0</x:v>
      </x:c>
      <x:c r="S314" t="n">
        <x:f>0</x:f>
        <x:v>0</x:v>
      </x:c>
      <x:c r="T314" t="n">
        <x:f>S314*(1+($BG314+('Assumptions'!$D$18-$BG314)*(6-5)/5))</x:f>
        <x:v>0</x:v>
      </x:c>
      <x:c r="U314" t="n">
        <x:f>T314*(1+($BG314+('Assumptions'!$D$18-$BG314)*(7-5)/5))</x:f>
        <x:v>0</x:v>
      </x:c>
      <x:c r="V314" t="n">
        <x:f>U314*(1+($BG314+('Assumptions'!$D$18-$BG314)*(8-5)/5))</x:f>
        <x:v>0</x:v>
      </x:c>
      <x:c r="W314" t="n">
        <x:f>V314*(1+($BG314+('Assumptions'!$D$18-$BG314)*(9-5)/5))</x:f>
        <x:v>0</x:v>
      </x:c>
      <x:c r="X314" t="n">
        <x:f>W314*(1+($BG314+('Assumptions'!$D$18-$BG314)*(10-5)/5))</x:f>
        <x:v>0</x:v>
      </x:c>
      <x:c r="Y314" t="n">
        <x:f>E314*'POWL Model'!$B$62+O314*'POWL Model'!$B$63+'POWL Model'!$B$73+'POWL Model'!$B$74</x:f>
        <x:v>315</x:v>
      </x:c>
      <x:c r="Z314" t="n">
        <x:f>F314*'POWL Model'!$C$62+P314*'POWL Model'!$C$63+'POWL Model'!$C$73+'POWL Model'!$C$74</x:f>
        <x:v>353.1</x:v>
      </x:c>
      <x:c r="AA314" t="n">
        <x:f>G314*'POWL Model'!$D$62+Q314*'POWL Model'!$D$63+'POWL Model'!$D$73+'POWL Model'!$D$74</x:f>
        <x:v>377.817</x:v>
      </x:c>
      <x:c r="AB314" t="n">
        <x:f>H314*'POWL Model'!$E$62+R314*'POWL Model'!$E$63+'POWL Model'!$E$73+'POWL Model'!$E$74</x:f>
        <x:v>395.07636750000006</x:v>
      </x:c>
      <x:c r="AC314" t="n">
        <x:f>I314*'POWL Model'!$F$62+S314*'POWL Model'!$F$63+'POWL Model'!$F$73+'POWL Model'!$F$74</x:f>
        <x:v>412.90074315</x:v>
      </x:c>
      <x:c r="AD314" t="n">
        <x:f>AX314*$AC314/$AW314</x:f>
        <x:v>438.5005892252999</x:v>
      </x:c>
      <x:c r="AE314" t="n">
        <x:f>AY314*$AC314/$AW314</x:f>
        <x:v>462.1796210434661</x:v>
      </x:c>
      <x:c r="AF314" t="n">
        <x:f>AZ314*$AC314/$AW314</x:f>
        <x:v>483.4398836114655</x:v>
      </x:c>
      <x:c r="AG314" t="n">
        <x:f>BA314*$AC314/$AW314</x:f>
        <x:v>501.81059918870125</x:v>
      </x:c>
      <x:c r="AH314" t="n">
        <x:f>BB314*$AC314/$AW314</x:f>
        <x:v>516.8649171643623</x:v>
      </x:c>
      <x:c r="AI314" t="n">
        <x:f>Y314*(1-'Assumptions'!$F$18)+AS314*'Assumptions'!$G$18-AS314*'POWL Model'!$B$65-(AS314-'Inputs'!$G$14)*'Assumptions'!$H$18-'Assumptions'!$I$18</x:f>
        <x:v>183.9</x:v>
      </x:c>
      <x:c r="AJ314" t="n">
        <x:f>Z314*(1-'Assumptions'!$F$18)+AT314*'Assumptions'!$G$18-AT314*'POWL Model'!$C$65-(AT314-AS314)*'Assumptions'!$H$18-0</x:f>
        <x:v>230.57099999999997</x:v>
      </x:c>
      <x:c r="AK314" t="n">
        <x:f>AA314*(1-'Assumptions'!$F$18)+AU314*'Assumptions'!$G$18-AU314*'POWL Model'!$D$65-(AU314-AT314)*'Assumptions'!$H$18-0</x:f>
        <x:v>251.86302</x:v>
      </x:c>
      <x:c r="AL314" t="n">
        <x:f>AB314*(1-'Assumptions'!$F$18)+AV314*'Assumptions'!$G$18-AV314*'POWL Model'!$E$65-(AV314-AU314)*'Assumptions'!$H$18-0</x:f>
        <x:v>266.18581530000006</x:v>
      </x:c>
      <x:c r="AM314" t="n">
        <x:f>AC314*(1-'Assumptions'!$F$18)+AW314*'Assumptions'!$G$18-AW314*'POWL Model'!$F$65-(AW314-AV314)*'Assumptions'!$H$18-0</x:f>
        <x:v>277.347285114</x:v>
      </x:c>
      <x:c r="AN314" t="n">
        <x:f>AD314*(1-'Assumptions'!$F$18)+AX314*'Assumptions'!$G$18-AX314*'POWL Model'!$G$65-(AX314-AW314)*'Assumptions'!$H$18-0</x:f>
        <x:v>296.01286839106797</x:v>
      </x:c>
      <x:c r="AO314" t="n">
        <x:f>AE314*(1-'Assumptions'!$F$18)+AY314*'Assumptions'!$G$18-AY314*'POWL Model'!$H$65-(AY314-AX314)*'Assumptions'!$H$18-0</x:f>
        <x:v>313.5705184961856</x:v>
      </x:c>
      <x:c r="AP314" t="n">
        <x:f>AF314*(1-'Assumptions'!$F$18)+AZ314*'Assumptions'!$G$18-AZ314*'POWL Model'!$I$65-(AZ314-AY314)*'Assumptions'!$H$18-0</x:f>
        <x:v>329.66524078215417</x:v>
      </x:c>
      <x:c r="AQ314" t="n">
        <x:f>AG314*(1-'Assumptions'!$F$18)+BA314*'Assumptions'!$G$18-BA314*'POWL Model'!$J$65-(BA314-AZ314)*'Assumptions'!$H$18-0</x:f>
        <x:v>343.95320420251784</x:v>
      </x:c>
      <x:c r="AR314" t="n">
        <x:f>AH314*(1-'Assumptions'!$F$18)+BB314*'Assumptions'!$G$18-BB314*'POWL Model'!$K$65-(BB314-BA314)*'Assumptions'!$H$18-0</x:f>
        <x:v>356.11347607568456</x:v>
      </x:c>
      <x:c r="AS314" t="n">
        <x:f>E314+O314</x:f>
        <x:v>1500</x:v>
      </x:c>
      <x:c r="AT314" t="n">
        <x:f>F314+P314</x:f>
        <x:v>1605</x:v>
      </x:c>
      <x:c r="AU314" t="n">
        <x:f>G314+Q314</x:f>
        <x:v>1717.3500000000001</x:v>
      </x:c>
      <x:c r="AV314" t="n">
        <x:f>H314+R314</x:f>
        <x:v>1837.5645000000002</x:v>
      </x:c>
      <x:c r="AW314" t="n">
        <x:f>I314+S314</x:f>
        <x:v>1966.194015</x:v>
      </x:c>
      <x:c r="AX314" t="n">
        <x:f>J314+T314</x:f>
        <x:v>2088.0980439299997</x:v>
      </x:c>
      <x:c r="AY314" t="n">
        <x:f>K314+U314</x:f>
        <x:v>2200.8553383022195</x:v>
      </x:c>
      <x:c r="AZ314" t="n">
        <x:f>L314+V314</x:f>
        <x:v>2302.0946838641216</x:v>
      </x:c>
      <x:c r="BA314" t="n">
        <x:f>M314+W314</x:f>
        <x:v>2389.5742818509584</x:v>
      </x:c>
      <x:c r="BB314" t="n">
        <x:f>N314+X314</x:f>
        <x:v>2461.2615103064873</x:v>
      </x:c>
      <x:c r="BC314" t="n">
        <x:f>AS314/'Inputs'!$G$14-1</x:f>
        <x:v>0.25</x:v>
      </x:c>
      <x:c r="BD314" t="n">
        <x:f>AT314/AS314-1</x:f>
        <x:v>0.07000000000000006</x:v>
      </x:c>
      <x:c r="BE314" t="n">
        <x:f>AU314/AT314-1</x:f>
        <x:v>0.07000000000000006</x:v>
      </x:c>
      <x:c r="BF314" t="n">
        <x:f>AV314/AU314-1</x:f>
        <x:v>0.07000000000000006</x:v>
      </x:c>
      <x:c r="BG314" t="n">
        <x:f>AW314/AV314-1</x:f>
        <x:v>0.06999999999999984</x:v>
      </x:c>
      <x:c r="BH314" t="n">
        <x:f>AX314/AW314-1</x:f>
        <x:v>0.06199999999999983</x:v>
      </x:c>
      <x:c r="BI314" t="n">
        <x:f>AY314/AX314-1</x:f>
        <x:v>0.053999999999999826</x:v>
      </x:c>
      <x:c r="BJ314" t="n">
        <x:f>AZ314/AY314-1</x:f>
        <x:v>0.04600000000000004</x:v>
      </x:c>
      <x:c r="BK314" t="n">
        <x:f>BA314/AZ314-1</x:f>
        <x:v>0.038000000000000034</x:v>
      </x:c>
      <x:c r="BL314" t="n">
        <x:f>BB314/BA314-1</x:f>
        <x:v>0.030000000000000027</x:v>
      </x:c>
      <x:c r="BM314" t="n">
        <x:f>AH314*(1-'Assumptions'!$F$18)*(1+'Assumptions'!$D$18)*(1-'Assumptions'!$D$18/'Assumptions'!$E$18)</x:f>
        <x:v>356.0496342975113</x:v>
      </x:c>
      <x:c r="BN314" t="n">
        <x:f>SUMPRODUCT(AI314:AR314,'POWL Model'!$B$83:$K$83)+BM314/('Assumptions'!$C$18-'Assumptions'!$D$18)*'POWL Model'!$K$83</x:f>
        <x:v>3376.0144605301994</x:v>
      </x:c>
      <x:c r="BO314" t="n">
        <x:f>'POWL Model'!$B$94</x:f>
        <x:v>230.812</x:v>
      </x:c>
      <x:c r="BP314" t="n">
        <x:f>'Inputs'!$G$8</x:f>
        <x:v>36.604</x:v>
      </x:c>
    </x:row>
    <x:row r="315">
      <x:c r="A315" t="str">
        <x:v>POWL</x:v>
      </x:c>
      <x:c r="B315" s="22" t="n">
        <x:v>0.08</x:v>
      </x:c>
      <x:c r="C315" s="42" t="n">
        <x:f>(BN315+BO315)/BP315</x:f>
        <x:v>102.65130234587205</x:v>
      </x:c>
      <x:c r="D315" s="22" t="n">
        <x:f>C315/'Inputs'!$G$5-1</x:f>
        <x:v>-0.43339790061339045</x:v>
      </x:c>
      <x:c r="E315" t="n">
        <x:f>('Assumptions'!$M$18+'Assumptions'!$N$18)*(1+$B315)^0</x:f>
        <x:v>1500</x:v>
      </x:c>
      <x:c r="F315" t="n">
        <x:f>('Assumptions'!$M$18+'Assumptions'!$N$18)*(1+$B315)^1</x:f>
        <x:v>1620</x:v>
      </x:c>
      <x:c r="G315" t="n">
        <x:f>('Assumptions'!$M$18+'Assumptions'!$N$18)*(1+$B315)^2</x:f>
        <x:v>1749.6000000000001</x:v>
      </x:c>
      <x:c r="H315" t="n">
        <x:f>('Assumptions'!$M$18+'Assumptions'!$N$18)*(1+$B315)^3</x:f>
        <x:v>1889.5680000000002</x:v>
      </x:c>
      <x:c r="I315" t="n">
        <x:f>('Assumptions'!$M$18+'Assumptions'!$N$18)*(1+$B315)^4</x:f>
        <x:v>2040.7334400000004</x:v>
      </x:c>
      <x:c r="J315" t="n">
        <x:f>I315*(1+($BG315+('Assumptions'!$D$18-$BG315)*(6-5)/5))</x:f>
        <x:v>2183.5847808000008</x:v>
      </x:c>
      <x:c r="K315" t="n">
        <x:f>J315*(1+($BG315+('Assumptions'!$D$18-$BG315)*(7-5)/5))</x:f>
        <x:v>2314.599867648001</x:v>
      </x:c>
      <x:c r="L315" t="n">
        <x:f>K315*(1+($BG315+('Assumptions'!$D$18-$BG315)*(8-5)/5))</x:f>
        <x:v>2430.329861030401</x:v>
      </x:c>
      <x:c r="M315" t="n">
        <x:f>L315*(1+($BG315+('Assumptions'!$D$18-$BG315)*(9-5)/5))</x:f>
        <x:v>2527.543055471617</x:v>
      </x:c>
      <x:c r="N315" t="n">
        <x:f>M315*(1+($BG315+('Assumptions'!$D$18-$BG315)*(10-5)/5))</x:f>
        <x:v>2603.3693471357656</x:v>
      </x:c>
      <x:c r="O315" t="n">
        <x:f>0</x:f>
        <x:v>0</x:v>
      </x:c>
      <x:c r="P315" t="n">
        <x:f>0</x:f>
        <x:v>0</x:v>
      </x:c>
      <x:c r="Q315" t="n">
        <x:f>0</x:f>
        <x:v>0</x:v>
      </x:c>
      <x:c r="R315" t="n">
        <x:f>0</x:f>
        <x:v>0</x:v>
      </x:c>
      <x:c r="S315" t="n">
        <x:f>0</x:f>
        <x:v>0</x:v>
      </x:c>
      <x:c r="T315" t="n">
        <x:f>S315*(1+($BG315+('Assumptions'!$D$18-$BG315)*(6-5)/5))</x:f>
        <x:v>0</x:v>
      </x:c>
      <x:c r="U315" t="n">
        <x:f>T315*(1+($BG315+('Assumptions'!$D$18-$BG315)*(7-5)/5))</x:f>
        <x:v>0</x:v>
      </x:c>
      <x:c r="V315" t="n">
        <x:f>U315*(1+($BG315+('Assumptions'!$D$18-$BG315)*(8-5)/5))</x:f>
        <x:v>0</x:v>
      </x:c>
      <x:c r="W315" t="n">
        <x:f>V315*(1+($BG315+('Assumptions'!$D$18-$BG315)*(9-5)/5))</x:f>
        <x:v>0</x:v>
      </x:c>
      <x:c r="X315" t="n">
        <x:f>W315*(1+($BG315+('Assumptions'!$D$18-$BG315)*(10-5)/5))</x:f>
        <x:v>0</x:v>
      </x:c>
      <x:c r="Y315" t="n">
        <x:f>E315*'POWL Model'!$B$62+O315*'POWL Model'!$B$63+'POWL Model'!$B$73+'POWL Model'!$B$74</x:f>
        <x:v>315</x:v>
      </x:c>
      <x:c r="Z315" t="n">
        <x:f>F315*'POWL Model'!$C$62+P315*'POWL Model'!$C$63+'POWL Model'!$C$73+'POWL Model'!$C$74</x:f>
        <x:v>356.4</x:v>
      </x:c>
      <x:c r="AA315" t="n">
        <x:f>G315*'POWL Model'!$D$62+Q315*'POWL Model'!$D$63+'POWL Model'!$D$73+'POWL Model'!$D$74</x:f>
        <x:v>384.91200000000003</x:v>
      </x:c>
      <x:c r="AB315" t="n">
        <x:f>H315*'POWL Model'!$E$62+R315*'POWL Model'!$E$63+'POWL Model'!$E$73+'POWL Model'!$E$74</x:f>
        <x:v>406.25712000000004</x:v>
      </x:c>
      <x:c r="AC315" t="n">
        <x:f>I315*'POWL Model'!$F$62+S315*'POWL Model'!$F$63+'POWL Model'!$F$73+'POWL Model'!$F$74</x:f>
        <x:v>428.55402240000006</x:v>
      </x:c>
      <x:c r="AD315" t="n">
        <x:f>AX315*$AC315/$AW315</x:f>
        <x:v>458.55280396800015</x:v>
      </x:c>
      <x:c r="AE315" t="n">
        <x:f>AY315*$AC315/$AW315</x:f>
        <x:v>486.0659722060801</x:v>
      </x:c>
      <x:c r="AF315" t="n">
        <x:f>AZ315*$AC315/$AW315</x:f>
        <x:v>510.3692708163842</x:v>
      </x:c>
      <x:c r="AG315" t="n">
        <x:f>BA315*$AC315/$AW315</x:f>
        <x:v>530.7840416490396</x:v>
      </x:c>
      <x:c r="AH315" t="n">
        <x:f>BB315*$AC315/$AW315</x:f>
        <x:v>546.7075628985108</x:v>
      </x:c>
      <x:c r="AI315" t="n">
        <x:f>Y315*(1-'Assumptions'!$F$18)+AS315*'Assumptions'!$G$18-AS315*'POWL Model'!$B$65-(AS315-'Inputs'!$G$14)*'Assumptions'!$H$18-'Assumptions'!$I$18</x:f>
        <x:v>183.9</x:v>
      </x:c>
      <x:c r="AJ315" t="n">
        <x:f>Z315*(1-'Assumptions'!$F$18)+AT315*'Assumptions'!$G$18-AT315*'POWL Model'!$C$65-(AT315-AS315)*'Assumptions'!$H$18-0</x:f>
        <x:v>231.32399999999996</x:v>
      </x:c>
      <x:c r="AK315" t="n">
        <x:f>AA315*(1-'Assumptions'!$F$18)+AU315*'Assumptions'!$G$18-AU315*'POWL Model'!$D$65-(AU315-AT315)*'Assumptions'!$H$18-0</x:f>
        <x:v>255.07872000000006</x:v>
      </x:c>
      <x:c r="AL315" t="n">
        <x:f>AB315*(1-'Assumptions'!$F$18)+AV315*'Assumptions'!$G$18-AV315*'POWL Model'!$E$65-(AV315-AU315)*'Assumptions'!$H$18-0</x:f>
        <x:v>272.0837952</x:v>
      </x:c>
      <x:c r="AM315" t="n">
        <x:f>AC315*(1-'Assumptions'!$F$18)+AW315*'Assumptions'!$G$18-AW315*'POWL Model'!$F$65-(AW315-AV315)*'Assumptions'!$H$18-0</x:f>
        <x:v>286.095711744</x:v>
      </x:c>
      <x:c r="AN315" t="n">
        <x:f>AD315*(1-'Assumptions'!$F$18)+AX315*'Assumptions'!$G$18-AX315*'POWL Model'!$G$65-(AX315-AW315)*'Assumptions'!$H$18-0</x:f>
        <x:v>308.0119795660801</x:v>
      </x:c>
      <x:c r="AO315" t="n">
        <x:f>AE315*(1-'Assumptions'!$F$18)+AY315*'Assumptions'!$G$18-AY315*'POWL Model'!$H$65-(AY315-AX315)*'Assumptions'!$H$18-0</x:f>
        <x:v>328.53343178004485</x:v>
      </x:c>
      <x:c r="AP315" t="n">
        <x:f>AF315*(1-'Assumptions'!$F$18)+AZ315*'Assumptions'!$G$18-AZ315*'POWL Model'!$I$65-(AZ315-AY315)*'Assumptions'!$H$18-0</x:f>
        <x:v>347.14368814984715</x:v>
      </x:c>
      <x:c r="AQ315" t="n">
        <x:f>AG315*(1-'Assumptions'!$F$18)+BA315*'Assumptions'!$G$18-BA315*'POWL Model'!$J$65-(BA315-AZ315)*'Assumptions'!$H$18-0</x:f>
        <x:v>363.34403554348916</x:v>
      </x:c>
      <x:c r="AR315" t="n">
        <x:f>AH315*(1-'Assumptions'!$F$18)+BB315*'Assumptions'!$G$18-BB315*'POWL Model'!$K$65-(BB315-BA315)*'Assumptions'!$H$18-0</x:f>
        <x:v>376.6746864708242</x:v>
      </x:c>
      <x:c r="AS315" t="n">
        <x:f>E315+O315</x:f>
        <x:v>1500</x:v>
      </x:c>
      <x:c r="AT315" t="n">
        <x:f>F315+P315</x:f>
        <x:v>1620</x:v>
      </x:c>
      <x:c r="AU315" t="n">
        <x:f>G315+Q315</x:f>
        <x:v>1749.6000000000001</x:v>
      </x:c>
      <x:c r="AV315" t="n">
        <x:f>H315+R315</x:f>
        <x:v>1889.5680000000002</x:v>
      </x:c>
      <x:c r="AW315" t="n">
        <x:f>I315+S315</x:f>
        <x:v>2040.7334400000004</x:v>
      </x:c>
      <x:c r="AX315" t="n">
        <x:f>J315+T315</x:f>
        <x:v>2183.5847808000008</x:v>
      </x:c>
      <x:c r="AY315" t="n">
        <x:f>K315+U315</x:f>
        <x:v>2314.599867648001</x:v>
      </x:c>
      <x:c r="AZ315" t="n">
        <x:f>L315+V315</x:f>
        <x:v>2430.329861030401</x:v>
      </x:c>
      <x:c r="BA315" t="n">
        <x:f>M315+W315</x:f>
        <x:v>2527.543055471617</x:v>
      </x:c>
      <x:c r="BB315" t="n">
        <x:f>N315+X315</x:f>
        <x:v>2603.3693471357656</x:v>
      </x:c>
      <x:c r="BC315" t="n">
        <x:f>AS315/'Inputs'!$G$14-1</x:f>
        <x:v>0.25</x:v>
      </x:c>
      <x:c r="BD315" t="n">
        <x:f>AT315/AS315-1</x:f>
        <x:v>0.08000000000000007</x:v>
      </x:c>
      <x:c r="BE315" t="n">
        <x:f>AU315/AT315-1</x:f>
        <x:v>0.08000000000000007</x:v>
      </x:c>
      <x:c r="BF315" t="n">
        <x:f>AV315/AU315-1</x:f>
        <x:v>0.08000000000000007</x:v>
      </x:c>
      <x:c r="BG315" t="n">
        <x:f>AW315/AV315-1</x:f>
        <x:v>0.08000000000000007</x:v>
      </x:c>
      <x:c r="BH315" t="n">
        <x:f>AX315/AW315-1</x:f>
        <x:v>0.07000000000000006</x:v>
      </x:c>
      <x:c r="BI315" t="n">
        <x:f>AY315/AX315-1</x:f>
        <x:v>0.06000000000000005</x:v>
      </x:c>
      <x:c r="BJ315" t="n">
        <x:f>AZ315/AY315-1</x:f>
        <x:v>0.050000000000000044</x:v>
      </x:c>
      <x:c r="BK315" t="n">
        <x:f>BA315/AZ315-1</x:f>
        <x:v>0.040000000000000036</x:v>
      </x:c>
      <x:c r="BL315" t="n">
        <x:f>BB315/BA315-1</x:f>
        <x:v>0.030000000000000027</x:v>
      </x:c>
      <x:c r="BM315" t="n">
        <x:f>AH315*(1-'Assumptions'!$F$18)*(1+'Assumptions'!$D$18)*(1-'Assumptions'!$D$18/'Assumptions'!$E$18)</x:f>
        <x:v>376.60715860851974</x:v>
      </x:c>
      <x:c r="BN315" t="n">
        <x:f>SUMPRODUCT(AI315:AR315,'POWL Model'!$B$83:$K$83)+BM315/('Assumptions'!$C$18-'Assumptions'!$D$18)*'POWL Model'!$K$83</x:f>
        <x:v>3526.6362710683006</x:v>
      </x:c>
      <x:c r="BO315" t="n">
        <x:f>'POWL Model'!$B$94</x:f>
        <x:v>230.812</x:v>
      </x:c>
      <x:c r="BP315" t="n">
        <x:f>'Inputs'!$G$8</x:f>
        <x:v>36.604</x:v>
      </x:c>
    </x:row>
    <x:row r="316">
      <x:c r="A316" t="str">
        <x:v>POWL</x:v>
      </x:c>
      <x:c r="B316" s="22" t="n">
        <x:v>0.09</x:v>
      </x:c>
      <x:c r="C316" s="42" t="n">
        <x:f>(BN316+BO316)/BP316</x:f>
        <x:v>106.94984367803234</x:v>
      </x:c>
      <x:c r="D316" s="22" t="n">
        <x:f>C316/'Inputs'!$G$5-1</x:f>
        <x:v>-0.4096713380911169</x:v>
      </x:c>
      <x:c r="E316" t="n">
        <x:f>('Assumptions'!$M$18+'Assumptions'!$N$18)*(1+$B316)^0</x:f>
        <x:v>1500</x:v>
      </x:c>
      <x:c r="F316" t="n">
        <x:f>('Assumptions'!$M$18+'Assumptions'!$N$18)*(1+$B316)^1</x:f>
        <x:v>1635.0000000000002</x:v>
      </x:c>
      <x:c r="G316" t="n">
        <x:f>('Assumptions'!$M$18+'Assumptions'!$N$18)*(1+$B316)^2</x:f>
        <x:v>1782.1500000000003</x:v>
      </x:c>
      <x:c r="H316" t="n">
        <x:f>('Assumptions'!$M$18+'Assumptions'!$N$18)*(1+$B316)^3</x:f>
        <x:v>1942.5435000000002</x:v>
      </x:c>
      <x:c r="I316" t="n">
        <x:f>('Assumptions'!$M$18+'Assumptions'!$N$18)*(1+$B316)^4</x:f>
        <x:v>2117.3724150000003</x:v>
      </x:c>
      <x:c r="J316" t="n">
        <x:f>I316*(1+($BG316+('Assumptions'!$D$18-$BG316)*(6-5)/5))</x:f>
        <x:v>2282.5274633700005</x:v>
      </x:c>
      <x:c r="K316" t="n">
        <x:f>J316*(1+($BG316+('Assumptions'!$D$18-$BG316)*(7-5)/5))</x:f>
        <x:v>2433.174275952421</x:v>
      </x:c>
      <x:c r="L316" t="n">
        <x:f>K316*(1+($BG316+('Assumptions'!$D$18-$BG316)*(8-5)/5))</x:f>
        <x:v>2564.5656868538517</x:v>
      </x:c>
      <x:c r="M316" t="n">
        <x:f>L316*(1+($BG316+('Assumptions'!$D$18-$BG316)*(9-5)/5))</x:f>
        <x:v>2672.2774457017135</x:v>
      </x:c>
      <x:c r="N316" t="n">
        <x:f>M316*(1+($BG316+('Assumptions'!$D$18-$BG316)*(10-5)/5))</x:f>
        <x:v>2752.445769072765</x:v>
      </x:c>
      <x:c r="O316" t="n">
        <x:f>0</x:f>
        <x:v>0</x:v>
      </x:c>
      <x:c r="P316" t="n">
        <x:f>0</x:f>
        <x:v>0</x:v>
      </x:c>
      <x:c r="Q316" t="n">
        <x:f>0</x:f>
        <x:v>0</x:v>
      </x:c>
      <x:c r="R316" t="n">
        <x:f>0</x:f>
        <x:v>0</x:v>
      </x:c>
      <x:c r="S316" t="n">
        <x:f>0</x:f>
        <x:v>0</x:v>
      </x:c>
      <x:c r="T316" t="n">
        <x:f>S316*(1+($BG316+('Assumptions'!$D$18-$BG316)*(6-5)/5))</x:f>
        <x:v>0</x:v>
      </x:c>
      <x:c r="U316" t="n">
        <x:f>T316*(1+($BG316+('Assumptions'!$D$18-$BG316)*(7-5)/5))</x:f>
        <x:v>0</x:v>
      </x:c>
      <x:c r="V316" t="n">
        <x:f>U316*(1+($BG316+('Assumptions'!$D$18-$BG316)*(8-5)/5))</x:f>
        <x:v>0</x:v>
      </x:c>
      <x:c r="W316" t="n">
        <x:f>V316*(1+($BG316+('Assumptions'!$D$18-$BG316)*(9-5)/5))</x:f>
        <x:v>0</x:v>
      </x:c>
      <x:c r="X316" t="n">
        <x:f>W316*(1+($BG316+('Assumptions'!$D$18-$BG316)*(10-5)/5))</x:f>
        <x:v>0</x:v>
      </x:c>
      <x:c r="Y316" t="n">
        <x:f>E316*'POWL Model'!$B$62+O316*'POWL Model'!$B$63+'POWL Model'!$B$73+'POWL Model'!$B$74</x:f>
        <x:v>315</x:v>
      </x:c>
      <x:c r="Z316" t="n">
        <x:f>F316*'POWL Model'!$C$62+P316*'POWL Model'!$C$63+'POWL Model'!$C$73+'POWL Model'!$C$74</x:f>
        <x:v>359.70000000000005</x:v>
      </x:c>
      <x:c r="AA316" t="n">
        <x:f>G316*'POWL Model'!$D$62+Q316*'POWL Model'!$D$63+'POWL Model'!$D$73+'POWL Model'!$D$74</x:f>
        <x:v>392.0730000000001</x:v>
      </x:c>
      <x:c r="AB316" t="n">
        <x:f>H316*'POWL Model'!$E$62+R316*'POWL Model'!$E$63+'POWL Model'!$E$73+'POWL Model'!$E$74</x:f>
        <x:v>417.6468525</x:v>
      </x:c>
      <x:c r="AC316" t="n">
        <x:f>I316*'POWL Model'!$F$62+S316*'POWL Model'!$F$63+'POWL Model'!$F$73+'POWL Model'!$F$74</x:f>
        <x:v>444.64820715</x:v>
      </x:c>
      <x:c r="AD316" t="n">
        <x:f>AX316*$AC316/$AW316</x:f>
        <x:v>479.33076730770006</x:v>
      </x:c>
      <x:c r="AE316" t="n">
        <x:f>AY316*$AC316/$AW316</x:f>
        <x:v>510.9665979500083</x:v>
      </x:c>
      <x:c r="AF316" t="n">
        <x:f>AZ316*$AC316/$AW316</x:f>
        <x:v>538.5587942393088</x:v>
      </x:c>
      <x:c r="AG316" t="n">
        <x:f>BA316*$AC316/$AW316</x:f>
        <x:v>561.1782635973598</x:v>
      </x:c>
      <x:c r="AH316" t="n">
        <x:f>BB316*$AC316/$AW316</x:f>
        <x:v>578.0136115052806</x:v>
      </x:c>
      <x:c r="AI316" t="n">
        <x:f>Y316*(1-'Assumptions'!$F$18)+AS316*'Assumptions'!$G$18-AS316*'POWL Model'!$B$65-(AS316-'Inputs'!$G$14)*'Assumptions'!$H$18-'Assumptions'!$I$18</x:f>
        <x:v>183.9</x:v>
      </x:c>
      <x:c r="AJ316" t="n">
        <x:f>Z316*(1-'Assumptions'!$F$18)+AT316*'Assumptions'!$G$18-AT316*'POWL Model'!$C$65-(AT316-AS316)*'Assumptions'!$H$18-0</x:f>
        <x:v>232.07699999999997</x:v>
      </x:c>
      <x:c r="AK316" t="n">
        <x:f>AA316*(1-'Assumptions'!$F$18)+AU316*'Assumptions'!$G$18-AU316*'POWL Model'!$D$65-(AU316-AT316)*'Assumptions'!$H$18-0</x:f>
        <x:v>258.31038</x:v>
      </x:c>
      <x:c r="AL316" t="n">
        <x:f>AB316*(1-'Assumptions'!$F$18)+AV316*'Assumptions'!$G$18-AV316*'POWL Model'!$E$65-(AV316-AU316)*'Assumptions'!$H$18-0</x:f>
        <x:v>278.06173590000003</x:v>
      </x:c>
      <x:c r="AM316" t="n">
        <x:f>AC316*(1-'Assumptions'!$F$18)+AW316*'Assumptions'!$G$18-AW316*'POWL Model'!$F$65-(AW316-AV316)*'Assumptions'!$H$18-0</x:f>
        <x:v>295.041276954</x:v>
      </x:c>
      <x:c r="AN316" t="n">
        <x:f>AD316*(1-'Assumptions'!$F$18)+AX316*'Assumptions'!$G$18-AX316*'POWL Model'!$G$65-(AX316-AW316)*'Assumptions'!$H$18-0</x:f>
        <x:v>320.385548756412</x:v>
      </x:c>
      <x:c r="AO316" t="n">
        <x:f>AE316*(1-'Assumptions'!$F$18)+AY316*'Assumptions'!$G$18-AY316*'POWL Model'!$H$65-(AY316-AX316)*'Assumptions'!$H$18-0</x:f>
        <x:v>344.07184187233514</x:v>
      </x:c>
      <x:c r="AP316" t="n">
        <x:f>AF316*(1-'Assumptions'!$F$18)+AZ316*'Assumptions'!$G$18-AZ316*'POWL Model'!$I$65-(AZ316-AY316)*'Assumptions'!$H$18-0</x:f>
        <x:v>365.3907542894854</x:v>
      </x:c>
      <x:c r="AQ316" t="n">
        <x:f>AG316*(1-'Assumptions'!$F$18)+BA316*'Assumptions'!$G$18-BA316*'POWL Model'!$J$65-(BA316-AZ316)*'Assumptions'!$H$18-0</x:f>
        <x:v>383.6569751007867</x:v>
      </x:c>
      <x:c r="AR316" t="n">
        <x:f>AH316*(1-'Assumptions'!$F$18)+BB316*'Assumptions'!$G$18-BB316*'POWL Model'!$K$65-(BB316-BA316)*'Assumptions'!$H$18-0</x:f>
        <x:v>398.2441631780349</x:v>
      </x:c>
      <x:c r="AS316" t="n">
        <x:f>E316+O316</x:f>
        <x:v>1500</x:v>
      </x:c>
      <x:c r="AT316" t="n">
        <x:f>F316+P316</x:f>
        <x:v>1635.0000000000002</x:v>
      </x:c>
      <x:c r="AU316" t="n">
        <x:f>G316+Q316</x:f>
        <x:v>1782.1500000000003</x:v>
      </x:c>
      <x:c r="AV316" t="n">
        <x:f>H316+R316</x:f>
        <x:v>1942.5435000000002</x:v>
      </x:c>
      <x:c r="AW316" t="n">
        <x:f>I316+S316</x:f>
        <x:v>2117.3724150000003</x:v>
      </x:c>
      <x:c r="AX316" t="n">
        <x:f>J316+T316</x:f>
        <x:v>2282.5274633700005</x:v>
      </x:c>
      <x:c r="AY316" t="n">
        <x:f>K316+U316</x:f>
        <x:v>2433.174275952421</x:v>
      </x:c>
      <x:c r="AZ316" t="n">
        <x:f>L316+V316</x:f>
        <x:v>2564.5656868538517</x:v>
      </x:c>
      <x:c r="BA316" t="n">
        <x:f>M316+W316</x:f>
        <x:v>2672.2774457017135</x:v>
      </x:c>
      <x:c r="BB316" t="n">
        <x:f>N316+X316</x:f>
        <x:v>2752.445769072765</x:v>
      </x:c>
      <x:c r="BC316" t="n">
        <x:f>AS316/'Inputs'!$G$14-1</x:f>
        <x:v>0.25</x:v>
      </x:c>
      <x:c r="BD316" t="n">
        <x:f>AT316/AS316-1</x:f>
        <x:v>0.09000000000000008</x:v>
      </x:c>
      <x:c r="BE316" t="n">
        <x:f>AU316/AT316-1</x:f>
        <x:v>0.09000000000000008</x:v>
      </x:c>
      <x:c r="BF316" t="n">
        <x:f>AV316/AU316-1</x:f>
        <x:v>0.08999999999999986</x:v>
      </x:c>
      <x:c r="BG316" t="n">
        <x:f>AW316/AV316-1</x:f>
        <x:v>0.09000000000000008</x:v>
      </x:c>
      <x:c r="BH316" t="n">
        <x:f>AX316/AW316-1</x:f>
        <x:v>0.07800000000000007</x:v>
      </x:c>
      <x:c r="BI316" t="n">
        <x:f>AY316/AX316-1</x:f>
        <x:v>0.06600000000000006</x:v>
      </x:c>
      <x:c r="BJ316" t="n">
        <x:f>AZ316/AY316-1</x:f>
        <x:v>0.05400000000000005</x:v>
      </x:c>
      <x:c r="BK316" t="n">
        <x:f>BA316/AZ316-1</x:f>
        <x:v>0.04200000000000004</x:v>
      </x:c>
      <x:c r="BL316" t="n">
        <x:f>BB316/BA316-1</x:f>
        <x:v>0.030000000000000027</x:v>
      </x:c>
      <x:c r="BM316" t="n">
        <x:f>AH316*(1-'Assumptions'!$F$18)*(1+'Assumptions'!$D$18)*(1-'Assumptions'!$D$18/'Assumptions'!$E$18)</x:f>
        <x:v>398.1727684759736</x:v>
      </x:c>
      <x:c r="BN316" t="n">
        <x:f>SUMPRODUCT(AI316:AR316,'POWL Model'!$B$83:$K$83)+BM316/('Assumptions'!$C$18-'Assumptions'!$D$18)*'POWL Model'!$K$83</x:f>
        <x:v>3683.9800779906955</x:v>
      </x:c>
      <x:c r="BO316" t="n">
        <x:f>'POWL Model'!$B$94</x:f>
        <x:v>230.812</x:v>
      </x:c>
      <x:c r="BP316" t="n">
        <x:f>'Inputs'!$G$8</x:f>
        <x:v>36.604</x:v>
      </x:c>
    </x:row>
    <x:row r="317">
      <x:c r="A317" t="str">
        <x:v>POWL</x:v>
      </x:c>
      <x:c r="B317" s="22" t="n">
        <x:v>0.1</x:v>
      </x:c>
      <x:c r="C317" s="42" t="n">
        <x:f>(BN317+BO317)/BP317</x:f>
        <x:v>111.43908325400973</x:v>
      </x:c>
      <x:c r="D317" s="22" t="n">
        <x:f>C317/'Inputs'!$G$5-1</x:f>
        <x:v>-0.3848921827343945</x:v>
      </x:c>
      <x:c r="E317" t="n">
        <x:f>('Assumptions'!$M$18+'Assumptions'!$N$18)*(1+$B317)^0</x:f>
        <x:v>1500</x:v>
      </x:c>
      <x:c r="F317" t="n">
        <x:f>('Assumptions'!$M$18+'Assumptions'!$N$18)*(1+$B317)^1</x:f>
        <x:v>1650.0000000000002</x:v>
      </x:c>
      <x:c r="G317" t="n">
        <x:f>('Assumptions'!$M$18+'Assumptions'!$N$18)*(1+$B317)^2</x:f>
        <x:v>1815.0000000000002</x:v>
      </x:c>
      <x:c r="H317" t="n">
        <x:f>('Assumptions'!$M$18+'Assumptions'!$N$18)*(1+$B317)^3</x:f>
        <x:v>1996.5000000000007</x:v>
      </x:c>
      <x:c r="I317" t="n">
        <x:f>('Assumptions'!$M$18+'Assumptions'!$N$18)*(1+$B317)^4</x:f>
        <x:v>2196.1500000000005</x:v>
      </x:c>
      <x:c r="J317" t="n">
        <x:f>I317*(1+($BG317+('Assumptions'!$D$18-$BG317)*(6-5)/5))</x:f>
        <x:v>2385.0189000000005</x:v>
      </x:c>
      <x:c r="K317" t="n">
        <x:f>J317*(1+($BG317+('Assumptions'!$D$18-$BG317)*(7-5)/5))</x:f>
        <x:v>2556.7402608</x:v>
      </x:c>
      <x:c r="L317" t="n">
        <x:f>K317*(1+($BG317+('Assumptions'!$D$18-$BG317)*(8-5)/5))</x:f>
        <x:v>2705.0311959264004</x:v>
      </x:c>
      <x:c r="M317" t="n">
        <x:f>L317*(1+($BG317+('Assumptions'!$D$18-$BG317)*(9-5)/5))</x:f>
        <x:v>2824.052568547162</x:v>
      </x:c>
      <x:c r="N317" t="n">
        <x:f>M317*(1+($BG317+('Assumptions'!$D$18-$BG317)*(10-5)/5))</x:f>
        <x:v>2908.774145603577</x:v>
      </x:c>
      <x:c r="O317" t="n">
        <x:f>0</x:f>
        <x:v>0</x:v>
      </x:c>
      <x:c r="P317" t="n">
        <x:f>0</x:f>
        <x:v>0</x:v>
      </x:c>
      <x:c r="Q317" t="n">
        <x:f>0</x:f>
        <x:v>0</x:v>
      </x:c>
      <x:c r="R317" t="n">
        <x:f>0</x:f>
        <x:v>0</x:v>
      </x:c>
      <x:c r="S317" t="n">
        <x:f>0</x:f>
        <x:v>0</x:v>
      </x:c>
      <x:c r="T317" t="n">
        <x:f>S317*(1+($BG317+('Assumptions'!$D$18-$BG317)*(6-5)/5))</x:f>
        <x:v>0</x:v>
      </x:c>
      <x:c r="U317" t="n">
        <x:f>T317*(1+($BG317+('Assumptions'!$D$18-$BG317)*(7-5)/5))</x:f>
        <x:v>0</x:v>
      </x:c>
      <x:c r="V317" t="n">
        <x:f>U317*(1+($BG317+('Assumptions'!$D$18-$BG317)*(8-5)/5))</x:f>
        <x:v>0</x:v>
      </x:c>
      <x:c r="W317" t="n">
        <x:f>V317*(1+($BG317+('Assumptions'!$D$18-$BG317)*(9-5)/5))</x:f>
        <x:v>0</x:v>
      </x:c>
      <x:c r="X317" t="n">
        <x:f>W317*(1+($BG317+('Assumptions'!$D$18-$BG317)*(10-5)/5))</x:f>
        <x:v>0</x:v>
      </x:c>
      <x:c r="Y317" t="n">
        <x:f>E317*'POWL Model'!$B$62+O317*'POWL Model'!$B$63+'POWL Model'!$B$73+'POWL Model'!$B$74</x:f>
        <x:v>315</x:v>
      </x:c>
      <x:c r="Z317" t="n">
        <x:f>F317*'POWL Model'!$C$62+P317*'POWL Model'!$C$63+'POWL Model'!$C$73+'POWL Model'!$C$74</x:f>
        <x:v>363.00000000000006</x:v>
      </x:c>
      <x:c r="AA317" t="n">
        <x:f>G317*'POWL Model'!$D$62+Q317*'POWL Model'!$D$63+'POWL Model'!$D$73+'POWL Model'!$D$74</x:f>
        <x:v>399.30000000000007</x:v>
      </x:c>
      <x:c r="AB317" t="n">
        <x:f>H317*'POWL Model'!$E$62+R317*'POWL Model'!$E$63+'POWL Model'!$E$73+'POWL Model'!$E$74</x:f>
        <x:v>429.2475000000001</x:v>
      </x:c>
      <x:c r="AC317" t="n">
        <x:f>I317*'POWL Model'!$F$62+S317*'POWL Model'!$F$63+'POWL Model'!$F$73+'POWL Model'!$F$74</x:f>
        <x:v>461.1915000000001</x:v>
      </x:c>
      <x:c r="AD317" t="n">
        <x:f>AX317*$AC317/$AW317</x:f>
        <x:v>500.85396900000006</x:v>
      </x:c>
      <x:c r="AE317" t="n">
        <x:f>AY317*$AC317/$AW317</x:f>
        <x:v>536.915454768</x:v>
      </x:c>
      <x:c r="AF317" t="n">
        <x:f>AZ317*$AC317/$AW317</x:f>
        <x:v>568.0565511445441</x:v>
      </x:c>
      <x:c r="AG317" t="n">
        <x:f>BA317*$AC317/$AW317</x:f>
        <x:v>593.0510393949039</x:v>
      </x:c>
      <x:c r="AH317" t="n">
        <x:f>BB317*$AC317/$AW317</x:f>
        <x:v>610.8425705767512</x:v>
      </x:c>
      <x:c r="AI317" t="n">
        <x:f>Y317*(1-'Assumptions'!$F$18)+AS317*'Assumptions'!$G$18-AS317*'POWL Model'!$B$65-(AS317-'Inputs'!$G$14)*'Assumptions'!$H$18-'Assumptions'!$I$18</x:f>
        <x:v>183.9</x:v>
      </x:c>
      <x:c r="AJ317" t="n">
        <x:f>Z317*(1-'Assumptions'!$F$18)+AT317*'Assumptions'!$G$18-AT317*'POWL Model'!$C$65-(AT317-AS317)*'Assumptions'!$H$18-0</x:f>
        <x:v>232.83</x:v>
      </x:c>
      <x:c r="AK317" t="n">
        <x:f>AA317*(1-'Assumptions'!$F$18)+AU317*'Assumptions'!$G$18-AU317*'POWL Model'!$D$65-(AU317-AT317)*'Assumptions'!$H$18-0</x:f>
        <x:v>261.55800000000005</x:v>
      </x:c>
      <x:c r="AL317" t="n">
        <x:f>AB317*(1-'Assumptions'!$F$18)+AV317*'Assumptions'!$G$18-AV317*'POWL Model'!$E$65-(AV317-AU317)*'Assumptions'!$H$18-0</x:f>
        <x:v>284.12010000000004</x:v>
      </x:c>
      <x:c r="AM317" t="n">
        <x:f>AC317*(1-'Assumptions'!$F$18)+AW317*'Assumptions'!$G$18-AW317*'POWL Model'!$F$65-(AW317-AV317)*'Assumptions'!$H$18-0</x:f>
        <x:v>304.1867400000001</x:v>
      </x:c>
      <x:c r="AN317" t="n">
        <x:f>AD317*(1-'Assumptions'!$F$18)+AX317*'Assumptions'!$G$18-AX317*'POWL Model'!$G$65-(AX317-AW317)*'Assumptions'!$H$18-0</x:f>
        <x:v>333.14189964</x:v>
      </x:c>
      <x:c r="AO317" t="n">
        <x:f>AE317*(1-'Assumptions'!$F$18)+AY317*'Assumptions'!$G$18-AY317*'POWL Model'!$H$65-(AY317-AX317)*'Assumptions'!$H$18-0</x:f>
        <x:v>360.20272641408</x:v>
      </x:c>
      <x:c r="AP317" t="n">
        <x:f>AF317*(1-'Assumptions'!$F$18)+AZ317*'Assumptions'!$G$18-AZ317*'POWL Model'!$I$65-(AZ317-AY317)*'Assumptions'!$H$18-0</x:f>
        <x:v>384.43351100609664</x:v>
      </x:c>
      <x:c r="AQ317" t="n">
        <x:f>AG317*(1-'Assumptions'!$F$18)+BA317*'Assumptions'!$G$18-BA317*'POWL Model'!$J$65-(BA317-AZ317)*'Assumptions'!$H$18-0</x:f>
        <x:v>404.9280218554848</x:v>
      </x:c>
      <x:c r="AR317" t="n">
        <x:f>AH317*(1-'Assumptions'!$F$18)+BB317*'Assumptions'!$G$18-BB317*'POWL Model'!$K$65-(BB317-BA317)*'Assumptions'!$H$18-0</x:f>
        <x:v>420.86290618544655</x:v>
      </x:c>
      <x:c r="AS317" t="n">
        <x:f>E317+O317</x:f>
        <x:v>1500</x:v>
      </x:c>
      <x:c r="AT317" t="n">
        <x:f>F317+P317</x:f>
        <x:v>1650.0000000000002</x:v>
      </x:c>
      <x:c r="AU317" t="n">
        <x:f>G317+Q317</x:f>
        <x:v>1815.0000000000002</x:v>
      </x:c>
      <x:c r="AV317" t="n">
        <x:f>H317+R317</x:f>
        <x:v>1996.5000000000007</x:v>
      </x:c>
      <x:c r="AW317" t="n">
        <x:f>I317+S317</x:f>
        <x:v>2196.1500000000005</x:v>
      </x:c>
      <x:c r="AX317" t="n">
        <x:f>J317+T317</x:f>
        <x:v>2385.0189000000005</x:v>
      </x:c>
      <x:c r="AY317" t="n">
        <x:f>K317+U317</x:f>
        <x:v>2556.7402608</x:v>
      </x:c>
      <x:c r="AZ317" t="n">
        <x:f>L317+V317</x:f>
        <x:v>2705.0311959264004</x:v>
      </x:c>
      <x:c r="BA317" t="n">
        <x:f>M317+W317</x:f>
        <x:v>2824.052568547162</x:v>
      </x:c>
      <x:c r="BB317" t="n">
        <x:f>N317+X317</x:f>
        <x:v>2908.774145603577</x:v>
      </x:c>
      <x:c r="BC317" t="n">
        <x:f>AS317/'Inputs'!$G$14-1</x:f>
        <x:v>0.25</x:v>
      </x:c>
      <x:c r="BD317" t="n">
        <x:f>AT317/AS317-1</x:f>
        <x:v>0.10000000000000009</x:v>
      </x:c>
      <x:c r="BE317" t="n">
        <x:f>AU317/AT317-1</x:f>
        <x:v>0.10000000000000009</x:v>
      </x:c>
      <x:c r="BF317" t="n">
        <x:f>AV317/AU317-1</x:f>
        <x:v>0.10000000000000031</x:v>
      </x:c>
      <x:c r="BG317" t="n">
        <x:f>AW317/AV317-1</x:f>
        <x:v>0.09999999999999987</x:v>
      </x:c>
      <x:c r="BH317" t="n">
        <x:f>AX317/AW317-1</x:f>
        <x:v>0.08599999999999985</x:v>
      </x:c>
      <x:c r="BI317" t="n">
        <x:f>AY317/AX317-1</x:f>
        <x:v>0.07199999999999984</x:v>
      </x:c>
      <x:c r="BJ317" t="n">
        <x:f>AZ317/AY317-1</x:f>
        <x:v>0.05800000000000005</x:v>
      </x:c>
      <x:c r="BK317" t="n">
        <x:f>BA317/AZ317-1</x:f>
        <x:v>0.04400000000000004</x:v>
      </x:c>
      <x:c r="BL317" t="n">
        <x:f>BB317/BA317-1</x:f>
        <x:v>0.030000000000000027</x:v>
      </x:c>
      <x:c r="BM317" t="n">
        <x:f>AH317*(1-'Assumptions'!$F$18)*(1+'Assumptions'!$D$18)*(1-'Assumptions'!$D$18/'Assumptions'!$E$18)</x:f>
        <x:v>420.78745653778316</x:v>
      </x:c>
      <x:c r="BN317" t="n">
        <x:f>SUMPRODUCT(AI317:AR317,'POWL Model'!$B$83:$K$83)+BM317/('Assumptions'!$C$18-'Assumptions'!$D$18)*'POWL Model'!$K$83</x:f>
        <x:v>3848.3042034297723</x:v>
      </x:c>
      <x:c r="BO317" t="n">
        <x:f>'POWL Model'!$B$94</x:f>
        <x:v>230.812</x:v>
      </x:c>
      <x:c r="BP317" t="n">
        <x:f>'Inputs'!$G$8</x:f>
        <x:v>36.604</x:v>
      </x:c>
    </x:row>
    <x:row r="318">
      <x:c r="A318" t="str">
        <x:v>POWL</x:v>
      </x:c>
      <x:c r="B318" s="22" t="n">
        <x:v>0.11</x:v>
      </x:c>
      <x:c r="C318" s="42" t="n">
        <x:f>(BN318+BO318)/BP318</x:f>
        <x:v>116.12629944543049</x:v>
      </x:c>
      <x:c r="D318" s="22" t="n">
        <x:f>C318/'Inputs'!$G$5-1</x:f>
        <x:v>-0.35902026027802336</x:v>
      </x:c>
      <x:c r="E318" t="n">
        <x:f>('Assumptions'!$M$18+'Assumptions'!$N$18)*(1+$B318)^0</x:f>
        <x:v>1500</x:v>
      </x:c>
      <x:c r="F318" t="n">
        <x:f>('Assumptions'!$M$18+'Assumptions'!$N$18)*(1+$B318)^1</x:f>
        <x:v>1665.0000000000002</x:v>
      </x:c>
      <x:c r="G318" t="n">
        <x:f>('Assumptions'!$M$18+'Assumptions'!$N$18)*(1+$B318)^2</x:f>
        <x:v>1848.1500000000003</x:v>
      </x:c>
      <x:c r="H318" t="n">
        <x:f>('Assumptions'!$M$18+'Assumptions'!$N$18)*(1+$B318)^3</x:f>
        <x:v>2051.4465000000005</x:v>
      </x:c>
      <x:c r="I318" t="n">
        <x:f>('Assumptions'!$M$18+'Assumptions'!$N$18)*(1+$B318)^4</x:f>
        <x:v>2277.105615000001</x:v>
      </x:c>
      <x:c r="J318" t="n">
        <x:f>I318*(1+($BG318+('Assumptions'!$D$18-$BG318)*(6-5)/5))</x:f>
        <x:v>2491.153542810001</x:v>
      </x:c>
      <x:c r="K318" t="n">
        <x:f>J318*(1+($BG318+('Assumptions'!$D$18-$BG318)*(7-5)/5))</x:f>
        <x:v>2685.463519149181</x:v>
      </x:c>
      <x:c r="L318" t="n">
        <x:f>K318*(1+($BG318+('Assumptions'!$D$18-$BG318)*(8-5)/5))</x:f>
        <x:v>2851.9622573364304</x:v>
      </x:c>
      <x:c r="M318" t="n">
        <x:f>L318*(1+($BG318+('Assumptions'!$D$18-$BG318)*(9-5)/5))</x:f>
        <x:v>2983.1525211739063</x:v>
      </x:c>
      <x:c r="N318" t="n">
        <x:f>M318*(1+($BG318+('Assumptions'!$D$18-$BG318)*(10-5)/5))</x:f>
        <x:v>3072.6470968091235</x:v>
      </x:c>
      <x:c r="O318" t="n">
        <x:f>0</x:f>
        <x:v>0</x:v>
      </x:c>
      <x:c r="P318" t="n">
        <x:f>0</x:f>
        <x:v>0</x:v>
      </x:c>
      <x:c r="Q318" t="n">
        <x:f>0</x:f>
        <x:v>0</x:v>
      </x:c>
      <x:c r="R318" t="n">
        <x:f>0</x:f>
        <x:v>0</x:v>
      </x:c>
      <x:c r="S318" t="n">
        <x:f>0</x:f>
        <x:v>0</x:v>
      </x:c>
      <x:c r="T318" t="n">
        <x:f>S318*(1+($BG318+('Assumptions'!$D$18-$BG318)*(6-5)/5))</x:f>
        <x:v>0</x:v>
      </x:c>
      <x:c r="U318" t="n">
        <x:f>T318*(1+($BG318+('Assumptions'!$D$18-$BG318)*(7-5)/5))</x:f>
        <x:v>0</x:v>
      </x:c>
      <x:c r="V318" t="n">
        <x:f>U318*(1+($BG318+('Assumptions'!$D$18-$BG318)*(8-5)/5))</x:f>
        <x:v>0</x:v>
      </x:c>
      <x:c r="W318" t="n">
        <x:f>V318*(1+($BG318+('Assumptions'!$D$18-$BG318)*(9-5)/5))</x:f>
        <x:v>0</x:v>
      </x:c>
      <x:c r="X318" t="n">
        <x:f>W318*(1+($BG318+('Assumptions'!$D$18-$BG318)*(10-5)/5))</x:f>
        <x:v>0</x:v>
      </x:c>
      <x:c r="Y318" t="n">
        <x:f>E318*'POWL Model'!$B$62+O318*'POWL Model'!$B$63+'POWL Model'!$B$73+'POWL Model'!$B$74</x:f>
        <x:v>315</x:v>
      </x:c>
      <x:c r="Z318" t="n">
        <x:f>F318*'POWL Model'!$C$62+P318*'POWL Model'!$C$63+'POWL Model'!$C$73+'POWL Model'!$C$74</x:f>
        <x:v>366.30000000000007</x:v>
      </x:c>
      <x:c r="AA318" t="n">
        <x:f>G318*'POWL Model'!$D$62+Q318*'POWL Model'!$D$63+'POWL Model'!$D$73+'POWL Model'!$D$74</x:f>
        <x:v>406.5930000000001</x:v>
      </x:c>
      <x:c r="AB318" t="n">
        <x:f>H318*'POWL Model'!$E$62+R318*'POWL Model'!$E$63+'POWL Model'!$E$73+'POWL Model'!$E$74</x:f>
        <x:v>441.0609975000001</x:v>
      </x:c>
      <x:c r="AC318" t="n">
        <x:f>I318*'POWL Model'!$F$62+S318*'POWL Model'!$F$63+'POWL Model'!$F$73+'POWL Model'!$F$74</x:f>
        <x:v>478.1921791500002</x:v>
      </x:c>
      <x:c r="AD318" t="n">
        <x:f>AX318*$AC318/$AW318</x:f>
        <x:v>523.1422439901002</x:v>
      </x:c>
      <x:c r="AE318" t="n">
        <x:f>AY318*$AC318/$AW318</x:f>
        <x:v>563.947339021328</x:v>
      </x:c>
      <x:c r="AF318" t="n">
        <x:f>AZ318*$AC318/$AW318</x:f>
        <x:v>598.9120740406504</x:v>
      </x:c>
      <x:c r="AG318" t="n">
        <x:f>BA318*$AC318/$AW318</x:f>
        <x:v>626.4620294465203</x:v>
      </x:c>
      <x:c r="AH318" t="n">
        <x:f>BB318*$AC318/$AW318</x:f>
        <x:v>645.2558903299159</x:v>
      </x:c>
      <x:c r="AI318" t="n">
        <x:f>Y318*(1-'Assumptions'!$F$18)+AS318*'Assumptions'!$G$18-AS318*'POWL Model'!$B$65-(AS318-'Inputs'!$G$14)*'Assumptions'!$H$18-'Assumptions'!$I$18</x:f>
        <x:v>183.9</x:v>
      </x:c>
      <x:c r="AJ318" t="n">
        <x:f>Z318*(1-'Assumptions'!$F$18)+AT318*'Assumptions'!$G$18-AT318*'POWL Model'!$C$65-(AT318-AS318)*'Assumptions'!$H$18-0</x:f>
        <x:v>233.583</x:v>
      </x:c>
      <x:c r="AK318" t="n">
        <x:f>AA318*(1-'Assumptions'!$F$18)+AU318*'Assumptions'!$G$18-AU318*'POWL Model'!$D$65-(AU318-AT318)*'Assumptions'!$H$18-0</x:f>
        <x:v>264.82158</x:v>
      </x:c>
      <x:c r="AL318" t="n">
        <x:f>AB318*(1-'Assumptions'!$F$18)+AV318*'Assumptions'!$G$18-AV318*'POWL Model'!$E$65-(AV318-AU318)*'Assumptions'!$H$18-0</x:f>
        <x:v>290.25935010000006</x:v>
      </x:c>
      <x:c r="AM318" t="n">
        <x:f>AC318*(1-'Assumptions'!$F$18)+AW318*'Assumptions'!$G$18-AW318*'POWL Model'!$F$65-(AW318-AV318)*'Assumptions'!$H$18-0</x:f>
        <x:v>313.5348772740001</x:v>
      </x:c>
      <x:c r="AN318" t="n">
        <x:f>AD318*(1-'Assumptions'!$F$18)+AX318*'Assumptions'!$G$18-AX318*'POWL Model'!$G$65-(AX318-AW318)*'Assumptions'!$H$18-0</x:f>
        <x:v>346.28947013775615</x:v>
      </x:c>
      <x:c r="AO318" t="n">
        <x:f>AE318*(1-'Assumptions'!$F$18)+AY318*'Assumptions'!$G$18-AY318*'POWL Model'!$H$65-(AY318-AX318)*'Assumptions'!$H$18-0</x:f>
        <x:v>376.9434177925011</x:v>
      </x:c>
      <x:c r="AP318" t="n">
        <x:f>AF318*(1-'Assumptions'!$F$18)+AZ318*'Assumptions'!$G$18-AZ318*'POWL Model'!$I$65-(AZ318-AY318)*'Assumptions'!$H$18-0</x:f>
        <x:v>404.29975536413224</x:v>
      </x:c>
      <x:c r="AQ318" t="n">
        <x:f>AG318*(1-'Assumptions'!$F$18)+BA318*'Assumptions'!$G$18-BA318*'POWL Model'!$J$65-(BA318-AZ318)*'Assumptions'!$H$18-0</x:f>
        <x:v>427.19428574152096</x:v>
      </x:c>
      <x:c r="AR318" t="n">
        <x:f>AH318*(1-'Assumptions'!$F$18)+BB318*'Assumptions'!$G$18-BB318*'POWL Model'!$K$65-(BB318-BA318)*'Assumptions'!$H$18-0</x:f>
        <x:v>444.5732539255049</x:v>
      </x:c>
      <x:c r="AS318" t="n">
        <x:f>E318+O318</x:f>
        <x:v>1500</x:v>
      </x:c>
      <x:c r="AT318" t="n">
        <x:f>F318+P318</x:f>
        <x:v>1665.0000000000002</x:v>
      </x:c>
      <x:c r="AU318" t="n">
        <x:f>G318+Q318</x:f>
        <x:v>1848.1500000000003</x:v>
      </x:c>
      <x:c r="AV318" t="n">
        <x:f>H318+R318</x:f>
        <x:v>2051.4465000000005</x:v>
      </x:c>
      <x:c r="AW318" t="n">
        <x:f>I318+S318</x:f>
        <x:v>2277.105615000001</x:v>
      </x:c>
      <x:c r="AX318" t="n">
        <x:f>J318+T318</x:f>
        <x:v>2491.153542810001</x:v>
      </x:c>
      <x:c r="AY318" t="n">
        <x:f>K318+U318</x:f>
        <x:v>2685.463519149181</x:v>
      </x:c>
      <x:c r="AZ318" t="n">
        <x:f>L318+V318</x:f>
        <x:v>2851.9622573364304</x:v>
      </x:c>
      <x:c r="BA318" t="n">
        <x:f>M318+W318</x:f>
        <x:v>2983.1525211739063</x:v>
      </x:c>
      <x:c r="BB318" t="n">
        <x:f>N318+X318</x:f>
        <x:v>3072.6470968091235</x:v>
      </x:c>
      <x:c r="BC318" t="n">
        <x:f>AS318/'Inputs'!$G$14-1</x:f>
        <x:v>0.25</x:v>
      </x:c>
      <x:c r="BD318" t="n">
        <x:f>AT318/AS318-1</x:f>
        <x:v>0.1100000000000001</x:v>
      </x:c>
      <x:c r="BE318" t="n">
        <x:f>AU318/AT318-1</x:f>
        <x:v>0.1100000000000001</x:v>
      </x:c>
      <x:c r="BF318" t="n">
        <x:f>AV318/AU318-1</x:f>
        <x:v>0.1100000000000001</x:v>
      </x:c>
      <x:c r="BG318" t="n">
        <x:f>AW318/AV318-1</x:f>
        <x:v>0.1100000000000001</x:v>
      </x:c>
      <x:c r="BH318" t="n">
        <x:f>AX318/AW318-1</x:f>
        <x:v>0.09400000000000008</x:v>
      </x:c>
      <x:c r="BI318" t="n">
        <x:f>AY318/AX318-1</x:f>
        <x:v>0.07800000000000007</x:v>
      </x:c>
      <x:c r="BJ318" t="n">
        <x:f>AZ318/AY318-1</x:f>
        <x:v>0.062000000000000055</x:v>
      </x:c>
      <x:c r="BK318" t="n">
        <x:f>BA318/AZ318-1</x:f>
        <x:v>0.04600000000000004</x:v>
      </x:c>
      <x:c r="BL318" t="n">
        <x:f>BB318/BA318-1</x:f>
        <x:v>0.030000000000000027</x:v>
      </x:c>
      <x:c r="BM318" t="n">
        <x:f>AH318*(1-'Assumptions'!$F$18)*(1+'Assumptions'!$D$18)*(1-'Assumptions'!$D$18/'Assumptions'!$E$18)</x:f>
        <x:v>444.4935536362272</x:v>
      </x:c>
      <x:c r="BN318" t="n">
        <x:f>SUMPRODUCT(AI318:AR318,'POWL Model'!$B$83:$K$83)+BM318/('Assumptions'!$C$18-'Assumptions'!$D$18)*'POWL Model'!$K$83</x:f>
        <x:v>4019.875064900538</x:v>
      </x:c>
      <x:c r="BO318" t="n">
        <x:f>'POWL Model'!$B$94</x:f>
        <x:v>230.812</x:v>
      </x:c>
      <x:c r="BP318" t="n">
        <x:f>'Inputs'!$G$8</x:f>
        <x:v>36.604</x:v>
      </x:c>
    </x:row>
    <x:row r="319">
      <x:c r="A319" t="str">
        <x:v>POWL</x:v>
      </x:c>
      <x:c r="B319" s="22" t="n">
        <x:v>0.12</x:v>
      </x:c>
      <x:c r="C319" s="42" t="n">
        <x:f>(BN319+BO319)/BP319</x:f>
        <x:v>121.01899713941779</x:v>
      </x:c>
      <x:c r="D319" s="22" t="n">
        <x:f>C319/'Inputs'!$G$5-1</x:f>
        <x:v>-0.3320141461642777</x:v>
      </x:c>
      <x:c r="E319" t="n">
        <x:f>('Assumptions'!$M$18+'Assumptions'!$N$18)*(1+$B319)^0</x:f>
        <x:v>1500</x:v>
      </x:c>
      <x:c r="F319" t="n">
        <x:f>('Assumptions'!$M$18+'Assumptions'!$N$18)*(1+$B319)^1</x:f>
        <x:v>1680.0000000000002</x:v>
      </x:c>
      <x:c r="G319" t="n">
        <x:f>('Assumptions'!$M$18+'Assumptions'!$N$18)*(1+$B319)^2</x:f>
        <x:v>1881.6000000000004</x:v>
      </x:c>
      <x:c r="H319" t="n">
        <x:f>('Assumptions'!$M$18+'Assumptions'!$N$18)*(1+$B319)^3</x:f>
        <x:v>2107.3920000000007</x:v>
      </x:c>
      <x:c r="I319" t="n">
        <x:f>('Assumptions'!$M$18+'Assumptions'!$N$18)*(1+$B319)^4</x:f>
        <x:v>2360.2790400000004</x:v>
      </x:c>
      <x:c r="J319" t="n">
        <x:f>I319*(1+($BG319+('Assumptions'!$D$18-$BG319)*(6-5)/5))</x:f>
        <x:v>2601.02750208</x:v>
      </x:c>
      <x:c r="K319" t="n">
        <x:f>J319*(1+($BG319+('Assumptions'!$D$18-$BG319)*(7-5)/5))</x:f>
        <x:v>2819.5138122547196</x:v>
      </x:c>
      <x:c r="L319" t="n">
        <x:f>K319*(1+($BG319+('Assumptions'!$D$18-$BG319)*(8-5)/5))</x:f>
        <x:v>3005.6017238635304</x:v>
      </x:c>
      <x:c r="M319" t="n">
        <x:f>L319*(1+($BG319+('Assumptions'!$D$18-$BG319)*(9-5)/5))</x:f>
        <x:v>3149.87060660898</x:v>
      </x:c>
      <x:c r="N319" t="n">
        <x:f>M319*(1+($BG319+('Assumptions'!$D$18-$BG319)*(10-5)/5))</x:f>
        <x:v>3244.3667248072493</x:v>
      </x:c>
      <x:c r="O319" t="n">
        <x:f>0</x:f>
        <x:v>0</x:v>
      </x:c>
      <x:c r="P319" t="n">
        <x:f>0</x:f>
        <x:v>0</x:v>
      </x:c>
      <x:c r="Q319" t="n">
        <x:f>0</x:f>
        <x:v>0</x:v>
      </x:c>
      <x:c r="R319" t="n">
        <x:f>0</x:f>
        <x:v>0</x:v>
      </x:c>
      <x:c r="S319" t="n">
        <x:f>0</x:f>
        <x:v>0</x:v>
      </x:c>
      <x:c r="T319" t="n">
        <x:f>S319*(1+($BG319+('Assumptions'!$D$18-$BG319)*(6-5)/5))</x:f>
        <x:v>0</x:v>
      </x:c>
      <x:c r="U319" t="n">
        <x:f>T319*(1+($BG319+('Assumptions'!$D$18-$BG319)*(7-5)/5))</x:f>
        <x:v>0</x:v>
      </x:c>
      <x:c r="V319" t="n">
        <x:f>U319*(1+($BG319+('Assumptions'!$D$18-$BG319)*(8-5)/5))</x:f>
        <x:v>0</x:v>
      </x:c>
      <x:c r="W319" t="n">
        <x:f>V319*(1+($BG319+('Assumptions'!$D$18-$BG319)*(9-5)/5))</x:f>
        <x:v>0</x:v>
      </x:c>
      <x:c r="X319" t="n">
        <x:f>W319*(1+($BG319+('Assumptions'!$D$18-$BG319)*(10-5)/5))</x:f>
        <x:v>0</x:v>
      </x:c>
      <x:c r="Y319" t="n">
        <x:f>E319*'POWL Model'!$B$62+O319*'POWL Model'!$B$63+'POWL Model'!$B$73+'POWL Model'!$B$74</x:f>
        <x:v>315</x:v>
      </x:c>
      <x:c r="Z319" t="n">
        <x:f>F319*'POWL Model'!$C$62+P319*'POWL Model'!$C$63+'POWL Model'!$C$73+'POWL Model'!$C$74</x:f>
        <x:v>369.6000000000001</x:v>
      </x:c>
      <x:c r="AA319" t="n">
        <x:f>G319*'POWL Model'!$D$62+Q319*'POWL Model'!$D$63+'POWL Model'!$D$73+'POWL Model'!$D$74</x:f>
        <x:v>413.95200000000006</x:v>
      </x:c>
      <x:c r="AB319" t="n">
        <x:f>H319*'POWL Model'!$E$62+R319*'POWL Model'!$E$63+'POWL Model'!$E$73+'POWL Model'!$E$74</x:f>
        <x:v>453.08928000000014</x:v>
      </x:c>
      <x:c r="AC319" t="n">
        <x:f>I319*'POWL Model'!$F$62+S319*'POWL Model'!$F$63+'POWL Model'!$F$73+'POWL Model'!$F$74</x:f>
        <x:v>495.6585984000001</x:v>
      </x:c>
      <x:c r="AD319" t="n">
        <x:f>AX319*$AC319/$AW319</x:f>
        <x:v>546.2157754368001</x:v>
      </x:c>
      <x:c r="AE319" t="n">
        <x:f>AY319*$AC319/$AW319</x:f>
        <x:v>592.0979005734911</x:v>
      </x:c>
      <x:c r="AF319" t="n">
        <x:f>AZ319*$AC319/$AW319</x:f>
        <x:v>631.1763620113413</x:v>
      </x:c>
      <x:c r="AG319" t="n">
        <x:f>BA319*$AC319/$AW319</x:f>
        <x:v>661.4728273878858</x:v>
      </x:c>
      <x:c r="AH319" t="n">
        <x:f>BB319*$AC319/$AW319</x:f>
        <x:v>681.3170122095223</x:v>
      </x:c>
      <x:c r="AI319" t="n">
        <x:f>Y319*(1-'Assumptions'!$F$18)+AS319*'Assumptions'!$G$18-AS319*'POWL Model'!$B$65-(AS319-'Inputs'!$G$14)*'Assumptions'!$H$18-'Assumptions'!$I$18</x:f>
        <x:v>183.9</x:v>
      </x:c>
      <x:c r="AJ319" t="n">
        <x:f>Z319*(1-'Assumptions'!$F$18)+AT319*'Assumptions'!$G$18-AT319*'POWL Model'!$C$65-(AT319-AS319)*'Assumptions'!$H$18-0</x:f>
        <x:v>234.33600000000004</x:v>
      </x:c>
      <x:c r="AK319" t="n">
        <x:f>AA319*(1-'Assumptions'!$F$18)+AU319*'Assumptions'!$G$18-AU319*'POWL Model'!$D$65-(AU319-AT319)*'Assumptions'!$H$18-0</x:f>
        <x:v>268.10112000000004</x:v>
      </x:c>
      <x:c r="AL319" t="n">
        <x:f>AB319*(1-'Assumptions'!$F$18)+AV319*'Assumptions'!$G$18-AV319*'POWL Model'!$E$65-(AV319-AU319)*'Assumptions'!$H$18-0</x:f>
        <x:v>296.47994880000005</x:v>
      </x:c>
      <x:c r="AM319" t="n">
        <x:f>AC319*(1-'Assumptions'!$F$18)+AW319*'Assumptions'!$G$18-AW319*'POWL Model'!$F$65-(AW319-AV319)*'Assumptions'!$H$18-0</x:f>
        <x:v>323.08848230400014</x:v>
      </x:c>
      <x:c r="AN319" t="n">
        <x:f>AD319*(1-'Assumptions'!$F$18)+AX319*'Assumptions'!$G$18-AX319*'POWL Model'!$G$65-(AX319-AW319)*'Assumptions'!$H$18-0</x:f>
        <x:v>359.8368130990081</x:v>
      </x:c>
      <x:c r="AO319" t="n">
        <x:f>AE319*(1-'Assumptions'!$F$18)+AY319*'Assumptions'!$G$18-AY319*'POWL Model'!$H$65-(AY319-AX319)*'Assumptions'!$H$18-0</x:f>
        <x:v>394.31160767132457</x:v>
      </x:c>
      <x:c r="AP319" t="n">
        <x:f>AF319*(1-'Assumptions'!$F$18)+AZ319*'Assumptions'!$G$18-AZ319*'POWL Model'!$I$65-(AZ319-AY319)*'Assumptions'!$H$18-0</x:f>
        <x:v>425.0180232813759</x:v>
      </x:c>
      <x:c r="AQ319" t="n">
        <x:f>AG319*(1-'Assumptions'!$F$18)+BA319*'Assumptions'!$G$18-BA319*'POWL Model'!$J$65-(BA319-AZ319)*'Assumptions'!$H$18-0</x:f>
        <x:v>450.49401326094056</x:v>
      </x:c>
      <x:c r="AR319" t="n">
        <x:f>AH319*(1-'Assumptions'!$F$18)+BB319*'Assumptions'!$G$18-BB319*'POWL Model'!$K$65-(BB319-BA319)*'Assumptions'!$H$18-0</x:f>
        <x:v>469.418916761723</x:v>
      </x:c>
      <x:c r="AS319" t="n">
        <x:f>E319+O319</x:f>
        <x:v>1500</x:v>
      </x:c>
      <x:c r="AT319" t="n">
        <x:f>F319+P319</x:f>
        <x:v>1680.0000000000002</x:v>
      </x:c>
      <x:c r="AU319" t="n">
        <x:f>G319+Q319</x:f>
        <x:v>1881.6000000000004</x:v>
      </x:c>
      <x:c r="AV319" t="n">
        <x:f>H319+R319</x:f>
        <x:v>2107.3920000000007</x:v>
      </x:c>
      <x:c r="AW319" t="n">
        <x:f>I319+S319</x:f>
        <x:v>2360.2790400000004</x:v>
      </x:c>
      <x:c r="AX319" t="n">
        <x:f>J319+T319</x:f>
        <x:v>2601.02750208</x:v>
      </x:c>
      <x:c r="AY319" t="n">
        <x:f>K319+U319</x:f>
        <x:v>2819.5138122547196</x:v>
      </x:c>
      <x:c r="AZ319" t="n">
        <x:f>L319+V319</x:f>
        <x:v>3005.6017238635304</x:v>
      </x:c>
      <x:c r="BA319" t="n">
        <x:f>M319+W319</x:f>
        <x:v>3149.87060660898</x:v>
      </x:c>
      <x:c r="BB319" t="n">
        <x:f>N319+X319</x:f>
        <x:v>3244.3667248072493</x:v>
      </x:c>
      <x:c r="BC319" t="n">
        <x:f>AS319/'Inputs'!$G$14-1</x:f>
        <x:v>0.25</x:v>
      </x:c>
      <x:c r="BD319" t="n">
        <x:f>AT319/AS319-1</x:f>
        <x:v>0.1200000000000001</x:v>
      </x:c>
      <x:c r="BE319" t="n">
        <x:f>AU319/AT319-1</x:f>
        <x:v>0.1200000000000001</x:v>
      </x:c>
      <x:c r="BF319" t="n">
        <x:f>AV319/AU319-1</x:f>
        <x:v>0.1200000000000001</x:v>
      </x:c>
      <x:c r="BG319" t="n">
        <x:f>AW319/AV319-1</x:f>
        <x:v>0.11999999999999988</x:v>
      </x:c>
      <x:c r="BH319" t="n">
        <x:f>AX319/AW319-1</x:f>
        <x:v>0.10199999999999987</x:v>
      </x:c>
      <x:c r="BI319" t="n">
        <x:f>AY319/AX319-1</x:f>
        <x:v>0.08399999999999985</x:v>
      </x:c>
      <x:c r="BJ319" t="n">
        <x:f>AZ319/AY319-1</x:f>
        <x:v>0.06599999999999984</x:v>
      </x:c>
      <x:c r="BK319" t="n">
        <x:f>BA319/AZ319-1</x:f>
        <x:v>0.04800000000000004</x:v>
      </x:c>
      <x:c r="BL319" t="n">
        <x:f>BB319/BA319-1</x:f>
        <x:v>0.030000000000000027</x:v>
      </x:c>
      <x:c r="BM319" t="n">
        <x:f>AH319*(1-'Assumptions'!$F$18)*(1+'Assumptions'!$D$18)*(1-'Assumptions'!$D$18/'Assumptions'!$E$18)</x:f>
        <x:v>469.3347622987004</x:v>
      </x:c>
      <x:c r="BN319" t="n">
        <x:f>SUMPRODUCT(AI319:AR319,'POWL Model'!$B$83:$K$83)+BM319/('Assumptions'!$C$18-'Assumptions'!$D$18)*'POWL Model'!$K$83</x:f>
        <x:v>4198.967371291249</x:v>
      </x:c>
      <x:c r="BO319" t="n">
        <x:f>'POWL Model'!$B$94</x:f>
        <x:v>230.812</x:v>
      </x:c>
      <x:c r="BP319" t="n">
        <x:f>'Inputs'!$G$8</x:f>
        <x:v>36.604</x:v>
      </x:c>
    </x:row>
    <x:row r="320">
      <x:c r="A320" t="str">
        <x:v>POWL</x:v>
      </x:c>
      <x:c r="B320" s="22" t="n">
        <x:v>0.13</x:v>
      </x:c>
      <x:c r="C320" s="42" t="n">
        <x:f>(BN320+BO320)/BP320</x:f>
        <x:v>126.12491318580312</x:v>
      </x:c>
      <x:c r="D320" s="22" t="n">
        <x:f>C320/'Inputs'!$G$5-1</x:f>
        <x:v>-0.3038311354760549</x:v>
      </x:c>
      <x:c r="E320" t="n">
        <x:f>('Assumptions'!$M$18+'Assumptions'!$N$18)*(1+$B320)^0</x:f>
        <x:v>1500</x:v>
      </x:c>
      <x:c r="F320" t="n">
        <x:f>('Assumptions'!$M$18+'Assumptions'!$N$18)*(1+$B320)^1</x:f>
        <x:v>1694.9999999999998</x:v>
      </x:c>
      <x:c r="G320" t="n">
        <x:f>('Assumptions'!$M$18+'Assumptions'!$N$18)*(1+$B320)^2</x:f>
        <x:v>1915.3499999999995</x:v>
      </x:c>
      <x:c r="H320" t="n">
        <x:f>('Assumptions'!$M$18+'Assumptions'!$N$18)*(1+$B320)^3</x:f>
        <x:v>2164.345499999999</x:v>
      </x:c>
      <x:c r="I320" t="n">
        <x:f>('Assumptions'!$M$18+'Assumptions'!$N$18)*(1+$B320)^4</x:f>
        <x:v>2445.7104149999986</x:v>
      </x:c>
      <x:c r="J320" t="n">
        <x:f>I320*(1+($BG320+('Assumptions'!$D$18-$BG320)*(6-5)/5))</x:f>
        <x:v>2714.7385606499984</x:v>
      </x:c>
      <x:c r="K320" t="n">
        <x:f>J320*(1+($BG320+('Assumptions'!$D$18-$BG320)*(7-5)/5))</x:f>
        <x:v>2959.065031108498</x:v>
      </x:c>
      <x:c r="L320" t="n">
        <x:f>K320*(1+($BG320+('Assumptions'!$D$18-$BG320)*(8-5)/5))</x:f>
        <x:v>3166.199583286092</x:v>
      </x:c>
      <x:c r="M320" t="n">
        <x:f>L320*(1+($BG320+('Assumptions'!$D$18-$BG320)*(9-5)/5))</x:f>
        <x:v>3324.509562450397</x:v>
      </x:c>
      <x:c r="N320" t="n">
        <x:f>M320*(1+($BG320+('Assumptions'!$D$18-$BG320)*(10-5)/5))</x:f>
        <x:v>3424.244849323909</x:v>
      </x:c>
      <x:c r="O320" t="n">
        <x:f>0</x:f>
        <x:v>0</x:v>
      </x:c>
      <x:c r="P320" t="n">
        <x:f>0</x:f>
        <x:v>0</x:v>
      </x:c>
      <x:c r="Q320" t="n">
        <x:f>0</x:f>
        <x:v>0</x:v>
      </x:c>
      <x:c r="R320" t="n">
        <x:f>0</x:f>
        <x:v>0</x:v>
      </x:c>
      <x:c r="S320" t="n">
        <x:f>0</x:f>
        <x:v>0</x:v>
      </x:c>
      <x:c r="T320" t="n">
        <x:f>S320*(1+($BG320+('Assumptions'!$D$18-$BG320)*(6-5)/5))</x:f>
        <x:v>0</x:v>
      </x:c>
      <x:c r="U320" t="n">
        <x:f>T320*(1+($BG320+('Assumptions'!$D$18-$BG320)*(7-5)/5))</x:f>
        <x:v>0</x:v>
      </x:c>
      <x:c r="V320" t="n">
        <x:f>U320*(1+($BG320+('Assumptions'!$D$18-$BG320)*(8-5)/5))</x:f>
        <x:v>0</x:v>
      </x:c>
      <x:c r="W320" t="n">
        <x:f>V320*(1+($BG320+('Assumptions'!$D$18-$BG320)*(9-5)/5))</x:f>
        <x:v>0</x:v>
      </x:c>
      <x:c r="X320" t="n">
        <x:f>W320*(1+($BG320+('Assumptions'!$D$18-$BG320)*(10-5)/5))</x:f>
        <x:v>0</x:v>
      </x:c>
      <x:c r="Y320" t="n">
        <x:f>E320*'POWL Model'!$B$62+O320*'POWL Model'!$B$63+'POWL Model'!$B$73+'POWL Model'!$B$74</x:f>
        <x:v>315</x:v>
      </x:c>
      <x:c r="Z320" t="n">
        <x:f>F320*'POWL Model'!$C$62+P320*'POWL Model'!$C$63+'POWL Model'!$C$73+'POWL Model'!$C$74</x:f>
        <x:v>372.9</x:v>
      </x:c>
      <x:c r="AA320" t="n">
        <x:f>G320*'POWL Model'!$D$62+Q320*'POWL Model'!$D$63+'POWL Model'!$D$73+'POWL Model'!$D$74</x:f>
        <x:v>421.3769999999999</x:v>
      </x:c>
      <x:c r="AB320" t="n">
        <x:f>H320*'POWL Model'!$E$62+R320*'POWL Model'!$E$63+'POWL Model'!$E$73+'POWL Model'!$E$74</x:f>
        <x:v>465.3342824999998</x:v>
      </x:c>
      <x:c r="AC320" t="n">
        <x:f>I320*'POWL Model'!$F$62+S320*'POWL Model'!$F$63+'POWL Model'!$F$73+'POWL Model'!$F$74</x:f>
        <x:v>513.5991871499997</x:v>
      </x:c>
      <x:c r="AD320" t="n">
        <x:f>AX320*$AC320/$AW320</x:f>
        <x:v>570.0950977364996</x:v>
      </x:c>
      <x:c r="AE320" t="n">
        <x:f>AY320*$AC320/$AW320</x:f>
        <x:v>621.4036565327845</x:v>
      </x:c>
      <x:c r="AF320" t="n">
        <x:f>AZ320*$AC320/$AW320</x:f>
        <x:v>664.9019124900793</x:v>
      </x:c>
      <x:c r="AG320" t="n">
        <x:f>BA320*$AC320/$AW320</x:f>
        <x:v>698.1470081145834</x:v>
      </x:c>
      <x:c r="AH320" t="n">
        <x:f>BB320*$AC320/$AW320</x:f>
        <x:v>719.0914183580209</x:v>
      </x:c>
      <x:c r="AI320" t="n">
        <x:f>Y320*(1-'Assumptions'!$F$18)+AS320*'Assumptions'!$G$18-AS320*'POWL Model'!$B$65-(AS320-'Inputs'!$G$14)*'Assumptions'!$H$18-'Assumptions'!$I$18</x:f>
        <x:v>183.9</x:v>
      </x:c>
      <x:c r="AJ320" t="n">
        <x:f>Z320*(1-'Assumptions'!$F$18)+AT320*'Assumptions'!$G$18-AT320*'POWL Model'!$C$65-(AT320-AS320)*'Assumptions'!$H$18-0</x:f>
        <x:v>235.08900000000003</x:v>
      </x:c>
      <x:c r="AK320" t="n">
        <x:f>AA320*(1-'Assumptions'!$F$18)+AU320*'Assumptions'!$G$18-AU320*'POWL Model'!$D$65-(AU320-AT320)*'Assumptions'!$H$18-0</x:f>
        <x:v>271.3966199999999</x:v>
      </x:c>
      <x:c r="AL320" t="n">
        <x:f>AB320*(1-'Assumptions'!$F$18)+AV320*'Assumptions'!$G$18-AV320*'POWL Model'!$E$65-(AV320-AU320)*'Assumptions'!$H$18-0</x:f>
        <x:v>302.78235869999986</x:v>
      </x:c>
      <x:c r="AM320" t="n">
        <x:f>AC320*(1-'Assumptions'!$F$18)+AW320*'Assumptions'!$G$18-AW320*'POWL Model'!$F$65-(AW320-AV320)*'Assumptions'!$H$18-0</x:f>
        <x:v>332.8503657539998</x:v>
      </x:c>
      <x:c r="AN320" t="n">
        <x:f>AD320*(1-'Assumptions'!$F$18)+AX320*'Assumptions'!$G$18-AX320*'POWL Model'!$G$65-(AX320-AW320)*'Assumptions'!$H$18-0</x:f>
        <x:v>373.7925969869397</x:v>
      </x:c>
      <x:c r="AO320" t="n">
        <x:f>AE320*(1-'Assumptions'!$F$18)+AY320*'Assumptions'!$G$18-AY320*'POWL Model'!$H$65-(AY320-AX320)*'Assumptions'!$H$18-0</x:f>
        <x:v>412.32535154576425</x:v>
      </x:c>
      <x:c r="AP320" t="n">
        <x:f>AF320*(1-'Assumptions'!$F$18)+AZ320*'Assumptions'!$G$18-AZ320*'POWL Model'!$I$65-(AZ320-AY320)*'Assumptions'!$H$18-0</x:f>
        <x:v>446.6176032752677</x:v>
      </x:c>
      <x:c r="AQ320" t="n">
        <x:f>AG320*(1-'Assumptions'!$F$18)+BA320*'Assumptions'!$G$18-BA320*'POWL Model'!$J$65-(BA320-AZ320)*'Assumptions'!$H$18-0</x:f>
        <x:v>474.8666135012482</x:v>
      </x:c>
      <x:c r="AR320" t="n">
        <x:f>AH320*(1-'Assumptions'!$F$18)+BB320*'Assumptions'!$G$18-BB320*'POWL Model'!$K$65-(BB320-BA320)*'Assumptions'!$H$18-0</x:f>
        <x:v>495.44501107285777</x:v>
      </x:c>
      <x:c r="AS320" t="n">
        <x:f>E320+O320</x:f>
        <x:v>1500</x:v>
      </x:c>
      <x:c r="AT320" t="n">
        <x:f>F320+P320</x:f>
        <x:v>1694.9999999999998</x:v>
      </x:c>
      <x:c r="AU320" t="n">
        <x:f>G320+Q320</x:f>
        <x:v>1915.3499999999995</x:v>
      </x:c>
      <x:c r="AV320" t="n">
        <x:f>H320+R320</x:f>
        <x:v>2164.345499999999</x:v>
      </x:c>
      <x:c r="AW320" t="n">
        <x:f>I320+S320</x:f>
        <x:v>2445.7104149999986</x:v>
      </x:c>
      <x:c r="AX320" t="n">
        <x:f>J320+T320</x:f>
        <x:v>2714.7385606499984</x:v>
      </x:c>
      <x:c r="AY320" t="n">
        <x:f>K320+U320</x:f>
        <x:v>2959.065031108498</x:v>
      </x:c>
      <x:c r="AZ320" t="n">
        <x:f>L320+V320</x:f>
        <x:v>3166.199583286092</x:v>
      </x:c>
      <x:c r="BA320" t="n">
        <x:f>M320+W320</x:f>
        <x:v>3324.509562450397</x:v>
      </x:c>
      <x:c r="BB320" t="n">
        <x:f>N320+X320</x:f>
        <x:v>3424.244849323909</x:v>
      </x:c>
      <x:c r="BC320" t="n">
        <x:f>AS320/'Inputs'!$G$14-1</x:f>
        <x:v>0.25</x:v>
      </x:c>
      <x:c r="BD320" t="n">
        <x:f>AT320/AS320-1</x:f>
        <x:v>0.1299999999999999</x:v>
      </x:c>
      <x:c r="BE320" t="n">
        <x:f>AU320/AT320-1</x:f>
        <x:v>0.1299999999999999</x:v>
      </x:c>
      <x:c r="BF320" t="n">
        <x:f>AV320/AU320-1</x:f>
        <x:v>0.1299999999999999</x:v>
      </x:c>
      <x:c r="BG320" t="n">
        <x:f>AW320/AV320-1</x:f>
        <x:v>0.1299999999999999</x:v>
      </x:c>
      <x:c r="BH320" t="n">
        <x:f>AX320/AW320-1</x:f>
        <x:v>0.10999999999999988</x:v>
      </x:c>
      <x:c r="BI320" t="n">
        <x:f>AY320/AX320-1</x:f>
        <x:v>0.08999999999999986</x:v>
      </x:c>
      <x:c r="BJ320" t="n">
        <x:f>AZ320/AY320-1</x:f>
        <x:v>0.06999999999999984</x:v>
      </x:c>
      <x:c r="BK320" t="n">
        <x:f>BA320/AZ320-1</x:f>
        <x:v>0.050000000000000044</x:v>
      </x:c>
      <x:c r="BL320" t="n">
        <x:f>BB320/BA320-1</x:f>
        <x:v>0.030000000000000027</x:v>
      </x:c>
      <x:c r="BM320" t="n">
        <x:f>AH320*(1-'Assumptions'!$F$18)*(1+'Assumptions'!$D$18)*(1-'Assumptions'!$D$18/'Assumptions'!$E$18)</x:f>
        <x:v>495.35619081577966</x:v>
      </x:c>
      <x:c r="BN320" t="n">
        <x:f>SUMPRODUCT(AI320:AR320,'POWL Model'!$B$83:$K$83)+BM320/('Assumptions'!$C$18-'Assumptions'!$D$18)*'POWL Model'!$K$83</x:f>
        <x:v>4385.864322253137</x:v>
      </x:c>
      <x:c r="BO320" t="n">
        <x:f>'POWL Model'!$B$94</x:f>
        <x:v>230.812</x:v>
      </x:c>
      <x:c r="BP320" t="n">
        <x:f>'Inputs'!$G$8</x:f>
        <x:v>36.604</x:v>
      </x:c>
    </x:row>
    <x:row r="321">
      <x:c r="A321" t="str">
        <x:v>POWL</x:v>
      </x:c>
      <x:c r="B321" s="22" t="n">
        <x:v>0.14</x:v>
      </x:c>
      <x:c r="C321" s="42" t="n">
        <x:f>(BN321+BO321)/BP321</x:f>
        <x:v>131.45202193821052</x:v>
      </x:c>
      <x:c r="D321" s="22" t="n">
        <x:f>C321/'Inputs'!$G$5-1</x:f>
        <x:v>-0.2744272123518765</x:v>
      </x:c>
      <x:c r="E321" t="n">
        <x:f>('Assumptions'!$M$18+'Assumptions'!$N$18)*(1+$B321)^0</x:f>
        <x:v>1500</x:v>
      </x:c>
      <x:c r="F321" t="n">
        <x:f>('Assumptions'!$M$18+'Assumptions'!$N$18)*(1+$B321)^1</x:f>
        <x:v>1710.0000000000002</x:v>
      </x:c>
      <x:c r="G321" t="n">
        <x:f>('Assumptions'!$M$18+'Assumptions'!$N$18)*(1+$B321)^2</x:f>
        <x:v>1949.4000000000005</x:v>
      </x:c>
      <x:c r="H321" t="n">
        <x:f>('Assumptions'!$M$18+'Assumptions'!$N$18)*(1+$B321)^3</x:f>
        <x:v>2222.3160000000007</x:v>
      </x:c>
      <x:c r="I321" t="n">
        <x:f>('Assumptions'!$M$18+'Assumptions'!$N$18)*(1+$B321)^4</x:f>
        <x:v>2533.4402400000013</x:v>
      </x:c>
      <x:c r="J321" t="n">
        <x:f>I321*(1+($BG321+('Assumptions'!$D$18-$BG321)*(6-5)/5))</x:f>
        <x:v>2832.3861883200016</x:v>
      </x:c>
      <x:c r="K321" t="n">
        <x:f>J321*(1+($BG321+('Assumptions'!$D$18-$BG321)*(7-5)/5))</x:f>
        <x:v>3104.295262398722</x:v>
      </x:c>
      <x:c r="L321" t="n">
        <x:f>K321*(1+($BG321+('Assumptions'!$D$18-$BG321)*(8-5)/5))</x:f>
        <x:v>3334.0131118162276</x:v>
      </x:c>
      <x:c r="M321" t="n">
        <x:f>L321*(1+($BG321+('Assumptions'!$D$18-$BG321)*(9-5)/5))</x:f>
        <x:v>3507.3817936306714</x:v>
      </x:c>
      <x:c r="N321" t="n">
        <x:f>M321*(1+($BG321+('Assumptions'!$D$18-$BG321)*(10-5)/5))</x:f>
        <x:v>3612.6032474395915</x:v>
      </x:c>
      <x:c r="O321" t="n">
        <x:f>0</x:f>
        <x:v>0</x:v>
      </x:c>
      <x:c r="P321" t="n">
        <x:f>0</x:f>
        <x:v>0</x:v>
      </x:c>
      <x:c r="Q321" t="n">
        <x:f>0</x:f>
        <x:v>0</x:v>
      </x:c>
      <x:c r="R321" t="n">
        <x:f>0</x:f>
        <x:v>0</x:v>
      </x:c>
      <x:c r="S321" t="n">
        <x:f>0</x:f>
        <x:v>0</x:v>
      </x:c>
      <x:c r="T321" t="n">
        <x:f>S321*(1+($BG321+('Assumptions'!$D$18-$BG321)*(6-5)/5))</x:f>
        <x:v>0</x:v>
      </x:c>
      <x:c r="U321" t="n">
        <x:f>T321*(1+($BG321+('Assumptions'!$D$18-$BG321)*(7-5)/5))</x:f>
        <x:v>0</x:v>
      </x:c>
      <x:c r="V321" t="n">
        <x:f>U321*(1+($BG321+('Assumptions'!$D$18-$BG321)*(8-5)/5))</x:f>
        <x:v>0</x:v>
      </x:c>
      <x:c r="W321" t="n">
        <x:f>V321*(1+($BG321+('Assumptions'!$D$18-$BG321)*(9-5)/5))</x:f>
        <x:v>0</x:v>
      </x:c>
      <x:c r="X321" t="n">
        <x:f>W321*(1+($BG321+('Assumptions'!$D$18-$BG321)*(10-5)/5))</x:f>
        <x:v>0</x:v>
      </x:c>
      <x:c r="Y321" t="n">
        <x:f>E321*'POWL Model'!$B$62+O321*'POWL Model'!$B$63+'POWL Model'!$B$73+'POWL Model'!$B$74</x:f>
        <x:v>315</x:v>
      </x:c>
      <x:c r="Z321" t="n">
        <x:f>F321*'POWL Model'!$C$62+P321*'POWL Model'!$C$63+'POWL Model'!$C$73+'POWL Model'!$C$74</x:f>
        <x:v>376.20000000000005</x:v>
      </x:c>
      <x:c r="AA321" t="n">
        <x:f>G321*'POWL Model'!$D$62+Q321*'POWL Model'!$D$63+'POWL Model'!$D$73+'POWL Model'!$D$74</x:f>
        <x:v>428.8680000000001</x:v>
      </x:c>
      <x:c r="AB321" t="n">
        <x:f>H321*'POWL Model'!$E$62+R321*'POWL Model'!$E$63+'POWL Model'!$E$73+'POWL Model'!$E$74</x:f>
        <x:v>477.79794000000015</x:v>
      </x:c>
      <x:c r="AC321" t="n">
        <x:f>I321*'POWL Model'!$F$62+S321*'POWL Model'!$F$63+'POWL Model'!$F$73+'POWL Model'!$F$74</x:f>
        <x:v>532.0224504000003</x:v>
      </x:c>
      <x:c r="AD321" t="n">
        <x:f>AX321*$AC321/$AW321</x:f>
        <x:v>594.8010995472004</x:v>
      </x:c>
      <x:c r="AE321" t="n">
        <x:f>AY321*$AC321/$AW321</x:f>
        <x:v>651.9020051037317</x:v>
      </x:c>
      <x:c r="AF321" t="n">
        <x:f>AZ321*$AC321/$AW321</x:f>
        <x:v>700.1427534814078</x:v>
      </x:c>
      <x:c r="AG321" t="n">
        <x:f>BA321*$AC321/$AW321</x:f>
        <x:v>736.550176662441</x:v>
      </x:c>
      <x:c r="AH321" t="n">
        <x:f>BB321*$AC321/$AW321</x:f>
        <x:v>758.6466819623142</x:v>
      </x:c>
      <x:c r="AI321" t="n">
        <x:f>Y321*(1-'Assumptions'!$F$18)+AS321*'Assumptions'!$G$18-AS321*'POWL Model'!$B$65-(AS321-'Inputs'!$G$14)*'Assumptions'!$H$18-'Assumptions'!$I$18</x:f>
        <x:v>183.9</x:v>
      </x:c>
      <x:c r="AJ321" t="n">
        <x:f>Z321*(1-'Assumptions'!$F$18)+AT321*'Assumptions'!$G$18-AT321*'POWL Model'!$C$65-(AT321-AS321)*'Assumptions'!$H$18-0</x:f>
        <x:v>235.842</x:v>
      </x:c>
      <x:c r="AK321" t="n">
        <x:f>AA321*(1-'Assumptions'!$F$18)+AU321*'Assumptions'!$G$18-AU321*'POWL Model'!$D$65-(AU321-AT321)*'Assumptions'!$H$18-0</x:f>
        <x:v>274.70808</x:v>
      </x:c>
      <x:c r="AL321" t="n">
        <x:f>AB321*(1-'Assumptions'!$F$18)+AV321*'Assumptions'!$G$18-AV321*'POWL Model'!$E$65-(AV321-AU321)*'Assumptions'!$H$18-0</x:f>
        <x:v>309.16704240000007</x:v>
      </x:c>
      <x:c r="AM321" t="n">
        <x:f>AC321*(1-'Assumptions'!$F$18)+AW321*'Assumptions'!$G$18-AW321*'POWL Model'!$F$65-(AW321-AV321)*'Assumptions'!$H$18-0</x:f>
        <x:v>342.82335542400017</x:v>
      </x:c>
      <x:c r="AN321" t="n">
        <x:f>AD321*(1-'Assumptions'!$F$18)+AX321*'Assumptions'!$G$18-AX321*'POWL Model'!$G$65-(AX321-AW321)*'Assumptions'!$H$18-0</x:f>
        <x:v>388.1656065640322</x:v>
      </x:c>
      <x:c r="AO321" t="n">
        <x:f>AE321*(1-'Assumptions'!$F$18)+AY321*'Assumptions'!$G$18-AY321*'POWL Model'!$H$65-(AY321-AX321)*'Assumptions'!$H$18-0</x:f>
        <x:v>431.0030733221794</x:v>
      </x:c>
      <x:c r="AP321" t="n">
        <x:f>AF321*(1-'Assumptions'!$F$18)+AZ321*'Assumptions'!$G$18-AZ321*'POWL Model'!$I$65-(AZ321-AY321)*'Assumptions'!$H$18-0</x:f>
        <x:v>469.12855036232463</x:v>
      </x:c>
      <x:c r="AQ321" t="n">
        <x:f>AG321*(1-'Assumptions'!$F$18)+BA321*'Assumptions'!$G$18-BA321*'POWL Model'!$J$65-(BA321-AZ321)*'Assumptions'!$H$18-0</x:f>
        <x:v>500.35268455844266</x:v>
      </x:c>
      <x:c r="AR321" t="n">
        <x:f>AH321*(1-'Assumptions'!$F$18)+BB321*'Assumptions'!$G$18-BB321*'POWL Model'!$K$65-(BB321-BA321)*'Assumptions'!$H$18-0</x:f>
        <x:v>522.6980939411918</x:v>
      </x:c>
      <x:c r="AS321" t="n">
        <x:f>E321+O321</x:f>
        <x:v>1500</x:v>
      </x:c>
      <x:c r="AT321" t="n">
        <x:f>F321+P321</x:f>
        <x:v>1710.0000000000002</x:v>
      </x:c>
      <x:c r="AU321" t="n">
        <x:f>G321+Q321</x:f>
        <x:v>1949.4000000000005</x:v>
      </x:c>
      <x:c r="AV321" t="n">
        <x:f>H321+R321</x:f>
        <x:v>2222.3160000000007</x:v>
      </x:c>
      <x:c r="AW321" t="n">
        <x:f>I321+S321</x:f>
        <x:v>2533.4402400000013</x:v>
      </x:c>
      <x:c r="AX321" t="n">
        <x:f>J321+T321</x:f>
        <x:v>2832.3861883200016</x:v>
      </x:c>
      <x:c r="AY321" t="n">
        <x:f>K321+U321</x:f>
        <x:v>3104.295262398722</x:v>
      </x:c>
      <x:c r="AZ321" t="n">
        <x:f>L321+V321</x:f>
        <x:v>3334.0131118162276</x:v>
      </x:c>
      <x:c r="BA321" t="n">
        <x:f>M321+W321</x:f>
        <x:v>3507.3817936306714</x:v>
      </x:c>
      <x:c r="BB321" t="n">
        <x:f>N321+X321</x:f>
        <x:v>3612.6032474395915</x:v>
      </x:c>
      <x:c r="BC321" t="n">
        <x:f>AS321/'Inputs'!$G$14-1</x:f>
        <x:v>0.25</x:v>
      </x:c>
      <x:c r="BD321" t="n">
        <x:f>AT321/AS321-1</x:f>
        <x:v>0.14000000000000012</x:v>
      </x:c>
      <x:c r="BE321" t="n">
        <x:f>AU321/AT321-1</x:f>
        <x:v>0.14000000000000012</x:v>
      </x:c>
      <x:c r="BF321" t="n">
        <x:f>AV321/AU321-1</x:f>
        <x:v>0.14000000000000012</x:v>
      </x:c>
      <x:c r="BG321" t="n">
        <x:f>AW321/AV321-1</x:f>
        <x:v>0.14000000000000012</x:v>
      </x:c>
      <x:c r="BH321" t="n">
        <x:f>AX321/AW321-1</x:f>
        <x:v>0.1180000000000001</x:v>
      </x:c>
      <x:c r="BI321" t="n">
        <x:f>AY321/AX321-1</x:f>
        <x:v>0.09600000000000009</x:v>
      </x:c>
      <x:c r="BJ321" t="n">
        <x:f>AZ321/AY321-1</x:f>
        <x:v>0.07400000000000007</x:v>
      </x:c>
      <x:c r="BK321" t="n">
        <x:f>BA321/AZ321-1</x:f>
        <x:v>0.052000000000000046</x:v>
      </x:c>
      <x:c r="BL321" t="n">
        <x:f>BB321/BA321-1</x:f>
        <x:v>0.030000000000000027</x:v>
      </x:c>
      <x:c r="BM321" t="n">
        <x:f>AH321*(1-'Assumptions'!$F$18)*(1+'Assumptions'!$D$18)*(1-'Assumptions'!$D$18/'Assumptions'!$E$18)</x:f>
        <x:v>522.6043879232876</x:v>
      </x:c>
      <x:c r="BN321" t="n">
        <x:f>SUMPRODUCT(AI321:AR321,'POWL Model'!$B$83:$K$83)+BM321/('Assumptions'!$C$18-'Assumptions'!$D$18)*'POWL Model'!$K$83</x:f>
        <x:v>4580.857811026258</x:v>
      </x:c>
      <x:c r="BO321" t="n">
        <x:f>'POWL Model'!$B$94</x:f>
        <x:v>230.812</x:v>
      </x:c>
      <x:c r="BP321" t="n">
        <x:f>'Inputs'!$G$8</x:f>
        <x:v>36.604</x:v>
      </x:c>
    </x:row>
    <x:row r="322">
      <x:c r="A322" t="str">
        <x:v>POWL</x:v>
      </x:c>
      <x:c r="B322" s="22" t="n">
        <x:v>0.15</x:v>
      </x:c>
      <x:c r="C322" s="42" t="n">
        <x:f>(BN322+BO322)/BP322</x:f>
        <x:v>137.00854089003093</x:v>
      </x:c>
      <x:c r="D322" s="22" t="n">
        <x:f>C322/'Inputs'!$G$5-1</x:f>
        <x:v>-0.24375701887712675</x:v>
      </x:c>
      <x:c r="E322" t="n">
        <x:f>('Assumptions'!$M$18+'Assumptions'!$N$18)*(1+$B322)^0</x:f>
        <x:v>1500</x:v>
      </x:c>
      <x:c r="F322" t="n">
        <x:f>('Assumptions'!$M$18+'Assumptions'!$N$18)*(1+$B322)^1</x:f>
        <x:v>1724.9999999999998</x:v>
      </x:c>
      <x:c r="G322" t="n">
        <x:f>('Assumptions'!$M$18+'Assumptions'!$N$18)*(1+$B322)^2</x:f>
        <x:v>1983.7499999999998</x:v>
      </x:c>
      <x:c r="H322" t="n">
        <x:f>('Assumptions'!$M$18+'Assumptions'!$N$18)*(1+$B322)^3</x:f>
        <x:v>2281.312499999999</x:v>
      </x:c>
      <x:c r="I322" t="n">
        <x:f>('Assumptions'!$M$18+'Assumptions'!$N$18)*(1+$B322)^4</x:f>
        <x:v>2623.509374999999</x:v>
      </x:c>
      <x:c r="J322" t="n">
        <x:f>I322*(1+($BG322+('Assumptions'!$D$18-$BG322)*(6-5)/5))</x:f>
        <x:v>2954.0715562499995</x:v>
      </x:c>
      <x:c r="K322" t="n">
        <x:f>J322*(1+($BG322+('Assumptions'!$D$18-$BG322)*(7-5)/5))</x:f>
        <x:v>3255.3868549874996</x:v>
      </x:c>
      <x:c r="L322" t="n">
        <x:f>K322*(1+($BG322+('Assumptions'!$D$18-$BG322)*(8-5)/5))</x:f>
        <x:v>3509.307029676525</x:v>
      </x:c>
      <x:c r="M322" t="n">
        <x:f>L322*(1+($BG322+('Assumptions'!$D$18-$BG322)*(9-5)/5))</x:f>
        <x:v>3698.8096092790574</x:v>
      </x:c>
      <x:c r="N322" t="n">
        <x:f>M322*(1+($BG322+('Assumptions'!$D$18-$BG322)*(10-5)/5))</x:f>
        <x:v>3809.7738975574293</x:v>
      </x:c>
      <x:c r="O322" t="n">
        <x:f>0</x:f>
        <x:v>0</x:v>
      </x:c>
      <x:c r="P322" t="n">
        <x:f>0</x:f>
        <x:v>0</x:v>
      </x:c>
      <x:c r="Q322" t="n">
        <x:f>0</x:f>
        <x:v>0</x:v>
      </x:c>
      <x:c r="R322" t="n">
        <x:f>0</x:f>
        <x:v>0</x:v>
      </x:c>
      <x:c r="S322" t="n">
        <x:f>0</x:f>
        <x:v>0</x:v>
      </x:c>
      <x:c r="T322" t="n">
        <x:f>S322*(1+($BG322+('Assumptions'!$D$18-$BG322)*(6-5)/5))</x:f>
        <x:v>0</x:v>
      </x:c>
      <x:c r="U322" t="n">
        <x:f>T322*(1+($BG322+('Assumptions'!$D$18-$BG322)*(7-5)/5))</x:f>
        <x:v>0</x:v>
      </x:c>
      <x:c r="V322" t="n">
        <x:f>U322*(1+($BG322+('Assumptions'!$D$18-$BG322)*(8-5)/5))</x:f>
        <x:v>0</x:v>
      </x:c>
      <x:c r="W322" t="n">
        <x:f>V322*(1+($BG322+('Assumptions'!$D$18-$BG322)*(9-5)/5))</x:f>
        <x:v>0</x:v>
      </x:c>
      <x:c r="X322" t="n">
        <x:f>W322*(1+($BG322+('Assumptions'!$D$18-$BG322)*(10-5)/5))</x:f>
        <x:v>0</x:v>
      </x:c>
      <x:c r="Y322" t="n">
        <x:f>E322*'POWL Model'!$B$62+O322*'POWL Model'!$B$63+'POWL Model'!$B$73+'POWL Model'!$B$74</x:f>
        <x:v>315</x:v>
      </x:c>
      <x:c r="Z322" t="n">
        <x:f>F322*'POWL Model'!$C$62+P322*'POWL Model'!$C$63+'POWL Model'!$C$73+'POWL Model'!$C$74</x:f>
        <x:v>379.49999999999994</x:v>
      </x:c>
      <x:c r="AA322" t="n">
        <x:f>G322*'POWL Model'!$D$62+Q322*'POWL Model'!$D$63+'POWL Model'!$D$73+'POWL Model'!$D$74</x:f>
        <x:v>436.42499999999995</x:v>
      </x:c>
      <x:c r="AB322" t="n">
        <x:f>H322*'POWL Model'!$E$62+R322*'POWL Model'!$E$63+'POWL Model'!$E$73+'POWL Model'!$E$74</x:f>
        <x:v>490.4821874999998</x:v>
      </x:c>
      <x:c r="AC322" t="n">
        <x:f>I322*'POWL Model'!$F$62+S322*'POWL Model'!$F$63+'POWL Model'!$F$73+'POWL Model'!$F$74</x:f>
        <x:v>550.9369687499998</x:v>
      </x:c>
      <x:c r="AD322" t="n">
        <x:f>AX322*$AC322/$AW322</x:f>
        <x:v>620.3550268124998</x:v>
      </x:c>
      <x:c r="AE322" t="n">
        <x:f>AY322*$AC322/$AW322</x:f>
        <x:v>683.6312395473749</x:v>
      </x:c>
      <x:c r="AF322" t="n">
        <x:f>AZ322*$AC322/$AW322</x:f>
        <x:v>736.9544762320701</x:v>
      </x:c>
      <x:c r="AG322" t="n">
        <x:f>BA322*$AC322/$AW322</x:f>
        <x:v>776.750017948602</x:v>
      </x:c>
      <x:c r="AH322" t="n">
        <x:f>BB322*$AC322/$AW322</x:f>
        <x:v>800.0525184870602</x:v>
      </x:c>
      <x:c r="AI322" t="n">
        <x:f>Y322*(1-'Assumptions'!$F$18)+AS322*'Assumptions'!$G$18-AS322*'POWL Model'!$B$65-(AS322-'Inputs'!$G$14)*'Assumptions'!$H$18-'Assumptions'!$I$18</x:f>
        <x:v>183.9</x:v>
      </x:c>
      <x:c r="AJ322" t="n">
        <x:f>Z322*(1-'Assumptions'!$F$18)+AT322*'Assumptions'!$G$18-AT322*'POWL Model'!$C$65-(AT322-AS322)*'Assumptions'!$H$18-0</x:f>
        <x:v>236.595</x:v>
      </x:c>
      <x:c r="AK322" t="n">
        <x:f>AA322*(1-'Assumptions'!$F$18)+AU322*'Assumptions'!$G$18-AU322*'POWL Model'!$D$65-(AU322-AT322)*'Assumptions'!$H$18-0</x:f>
        <x:v>278.0355</x:v>
      </x:c>
      <x:c r="AL322" t="n">
        <x:f>AB322*(1-'Assumptions'!$F$18)+AV322*'Assumptions'!$G$18-AV322*'POWL Model'!$E$65-(AV322-AU322)*'Assumptions'!$H$18-0</x:f>
        <x:v>315.6344624999999</x:v>
      </x:c>
      <x:c r="AM322" t="n">
        <x:f>AC322*(1-'Assumptions'!$F$18)+AW322*'Assumptions'!$G$18-AW322*'POWL Model'!$F$65-(AW322-AV322)*'Assumptions'!$H$18-0</x:f>
        <x:v>353.0102962499998</x:v>
      </x:c>
      <x:c r="AN322" t="n">
        <x:f>AD322*(1-'Assumptions'!$F$18)+AX322*'Assumptions'!$G$18-AX322*'POWL Model'!$G$65-(AX322-AW322)*'Assumptions'!$H$18-0</x:f>
        <x:v>402.9647435774998</x:v>
      </x:c>
      <x:c r="AO322" t="n">
        <x:f>AE322*(1-'Assumptions'!$F$18)+AY322*'Assumptions'!$G$18-AY322*'POWL Model'!$H$65-(AY322-AX322)*'Assumptions'!$H$18-0</x:f>
        <x:v>450.3635699224049</x:v>
      </x:c>
      <x:c r="AP322" t="n">
        <x:f>AF322*(1-'Assumptions'!$F$18)+AZ322*'Assumptions'!$G$18-AZ322*'POWL Model'!$I$65-(AZ322-AY322)*'Assumptions'!$H$18-0</x:f>
        <x:v>492.58170011135246</x:v>
      </x:c>
      <x:c r="AQ322" t="n">
        <x:f>AG322*(1-'Assumptions'!$F$18)+BA322*'Assumptions'!$G$18-BA322*'POWL Model'!$J$65-(BA322-AZ322)*'Assumptions'!$H$18-0</x:f>
        <x:v>526.9940403693356</x:v>
      </x:c>
      <x:c r="AR322" t="n">
        <x:f>AH322*(1-'Assumptions'!$F$18)+BB322*'Assumptions'!$G$18-BB322*'POWL Model'!$K$65-(BB322-BA322)*'Assumptions'!$H$18-0</x:f>
        <x:v>551.2261984516394</x:v>
      </x:c>
      <x:c r="AS322" t="n">
        <x:f>E322+O322</x:f>
        <x:v>1500</x:v>
      </x:c>
      <x:c r="AT322" t="n">
        <x:f>F322+P322</x:f>
        <x:v>1724.9999999999998</x:v>
      </x:c>
      <x:c r="AU322" t="n">
        <x:f>G322+Q322</x:f>
        <x:v>1983.7499999999998</x:v>
      </x:c>
      <x:c r="AV322" t="n">
        <x:f>H322+R322</x:f>
        <x:v>2281.312499999999</x:v>
      </x:c>
      <x:c r="AW322" t="n">
        <x:f>I322+S322</x:f>
        <x:v>2623.509374999999</x:v>
      </x:c>
      <x:c r="AX322" t="n">
        <x:f>J322+T322</x:f>
        <x:v>2954.0715562499995</x:v>
      </x:c>
      <x:c r="AY322" t="n">
        <x:f>K322+U322</x:f>
        <x:v>3255.3868549874996</x:v>
      </x:c>
      <x:c r="AZ322" t="n">
        <x:f>L322+V322</x:f>
        <x:v>3509.307029676525</x:v>
      </x:c>
      <x:c r="BA322" t="n">
        <x:f>M322+W322</x:f>
        <x:v>3698.8096092790574</x:v>
      </x:c>
      <x:c r="BB322" t="n">
        <x:f>N322+X322</x:f>
        <x:v>3809.7738975574293</x:v>
      </x:c>
      <x:c r="BC322" t="n">
        <x:f>AS322/'Inputs'!$G$14-1</x:f>
        <x:v>0.25</x:v>
      </x:c>
      <x:c r="BD322" t="n">
        <x:f>AT322/AS322-1</x:f>
        <x:v>0.1499999999999999</x:v>
      </x:c>
      <x:c r="BE322" t="n">
        <x:f>AU322/AT322-1</x:f>
        <x:v>0.1499999999999999</x:v>
      </x:c>
      <x:c r="BF322" t="n">
        <x:f>AV322/AU322-1</x:f>
        <x:v>0.1499999999999997</x:v>
      </x:c>
      <x:c r="BG322" t="n">
        <x:f>AW322/AV322-1</x:f>
        <x:v>0.15000000000000013</x:v>
      </x:c>
      <x:c r="BH322" t="n">
        <x:f>AX322/AW322-1</x:f>
        <x:v>0.1260000000000001</x:v>
      </x:c>
      <x:c r="BI322" t="n">
        <x:f>AY322/AX322-1</x:f>
        <x:v>0.10200000000000009</x:v>
      </x:c>
      <x:c r="BJ322" t="n">
        <x:f>AZ322/AY322-1</x:f>
        <x:v>0.07800000000000007</x:v>
      </x:c>
      <x:c r="BK322" t="n">
        <x:f>BA322/AZ322-1</x:f>
        <x:v>0.05400000000000005</x:v>
      </x:c>
      <x:c r="BL322" t="n">
        <x:f>BB322/BA322-1</x:f>
        <x:v>0.030000000000000027</x:v>
      </x:c>
      <x:c r="BM322" t="n">
        <x:f>AH322*(1-'Assumptions'!$F$18)*(1+'Assumptions'!$D$18)*(1-'Assumptions'!$D$18/'Assumptions'!$E$18)</x:f>
        <x:v>551.1273780950703</x:v>
      </x:c>
      <x:c r="BN322" t="n">
        <x:f>SUMPRODUCT(AI322:AR322,'POWL Model'!$B$83:$K$83)+BM322/('Assumptions'!$C$18-'Assumptions'!$D$18)*'POWL Model'!$K$83</x:f>
        <x:v>4784.248630738692</x:v>
      </x:c>
      <x:c r="BO322" t="n">
        <x:f>'POWL Model'!$B$94</x:f>
        <x:v>230.812</x:v>
      </x:c>
      <x:c r="BP322" t="n">
        <x:f>'Inputs'!$G$8</x:f>
        <x:v>36.604</x:v>
      </x:c>
    </x:row>
    <x:row r="323">
      <x:c r="A323" t="str">
        <x:v>POWL</x:v>
      </x:c>
      <x:c r="B323" s="22" t="n">
        <x:v>0.16</x:v>
      </x:c>
      <x:c r="C323" s="42" t="n">
        <x:f>(BN323+BO323)/BP323</x:f>
        <x:v>142.8029364063125</x:v>
      </x:c>
      <x:c r="D323" s="22" t="n">
        <x:f>C323/'Inputs'!$G$5-1</x:f>
        <x:v>-0.2117738234458656</x:v>
      </x:c>
      <x:c r="E323" t="n">
        <x:f>('Assumptions'!$M$18+'Assumptions'!$N$18)*(1+$B323)^0</x:f>
        <x:v>1500</x:v>
      </x:c>
      <x:c r="F323" t="n">
        <x:f>('Assumptions'!$M$18+'Assumptions'!$N$18)*(1+$B323)^1</x:f>
        <x:v>1739.9999999999998</x:v>
      </x:c>
      <x:c r="G323" t="n">
        <x:f>('Assumptions'!$M$18+'Assumptions'!$N$18)*(1+$B323)^2</x:f>
        <x:v>2018.3999999999999</x:v>
      </x:c>
      <x:c r="H323" t="n">
        <x:f>('Assumptions'!$M$18+'Assumptions'!$N$18)*(1+$B323)^3</x:f>
        <x:v>2341.3439999999996</x:v>
      </x:c>
      <x:c r="I323" t="n">
        <x:f>('Assumptions'!$M$18+'Assumptions'!$N$18)*(1+$B323)^4</x:f>
        <x:v>2715.9590399999997</x:v>
      </x:c>
      <x:c r="J323" t="n">
        <x:f>I323*(1+($BG323+('Assumptions'!$D$18-$BG323)*(6-5)/5))</x:f>
        <x:v>3079.89755136</x:v>
      </x:c>
      <x:c r="K323" t="n">
        <x:f>J323*(1+($BG323+('Assumptions'!$D$18-$BG323)*(7-5)/5))</x:f>
        <x:v>3412.52648690688</x:v>
      </x:c>
      <x:c r="L323" t="n">
        <x:f>K323*(1+($BG323+('Assumptions'!$D$18-$BG323)*(8-5)/5))</x:f>
        <x:v>3692.3536588332445</x:v>
      </x:c>
      <x:c r="M323" t="n">
        <x:f>L323*(1+($BG323+('Assumptions'!$D$18-$BG323)*(9-5)/5))</x:f>
        <x:v>3899.125463727906</x:v>
      </x:c>
      <x:c r="N323" t="n">
        <x:f>M323*(1+($BG323+('Assumptions'!$D$18-$BG323)*(10-5)/5))</x:f>
        <x:v>4016.0992276397433</x:v>
      </x:c>
      <x:c r="O323" t="n">
        <x:f>0</x:f>
        <x:v>0</x:v>
      </x:c>
      <x:c r="P323" t="n">
        <x:f>0</x:f>
        <x:v>0</x:v>
      </x:c>
      <x:c r="Q323" t="n">
        <x:f>0</x:f>
        <x:v>0</x:v>
      </x:c>
      <x:c r="R323" t="n">
        <x:f>0</x:f>
        <x:v>0</x:v>
      </x:c>
      <x:c r="S323" t="n">
        <x:f>0</x:f>
        <x:v>0</x:v>
      </x:c>
      <x:c r="T323" t="n">
        <x:f>S323*(1+($BG323+('Assumptions'!$D$18-$BG323)*(6-5)/5))</x:f>
        <x:v>0</x:v>
      </x:c>
      <x:c r="U323" t="n">
        <x:f>T323*(1+($BG323+('Assumptions'!$D$18-$BG323)*(7-5)/5))</x:f>
        <x:v>0</x:v>
      </x:c>
      <x:c r="V323" t="n">
        <x:f>U323*(1+($BG323+('Assumptions'!$D$18-$BG323)*(8-5)/5))</x:f>
        <x:v>0</x:v>
      </x:c>
      <x:c r="W323" t="n">
        <x:f>V323*(1+($BG323+('Assumptions'!$D$18-$BG323)*(9-5)/5))</x:f>
        <x:v>0</x:v>
      </x:c>
      <x:c r="X323" t="n">
        <x:f>W323*(1+($BG323+('Assumptions'!$D$18-$BG323)*(10-5)/5))</x:f>
        <x:v>0</x:v>
      </x:c>
      <x:c r="Y323" t="n">
        <x:f>E323*'POWL Model'!$B$62+O323*'POWL Model'!$B$63+'POWL Model'!$B$73+'POWL Model'!$B$74</x:f>
        <x:v>315</x:v>
      </x:c>
      <x:c r="Z323" t="n">
        <x:f>F323*'POWL Model'!$C$62+P323*'POWL Model'!$C$63+'POWL Model'!$C$73+'POWL Model'!$C$74</x:f>
        <x:v>382.79999999999995</x:v>
      </x:c>
      <x:c r="AA323" t="n">
        <x:f>G323*'POWL Model'!$D$62+Q323*'POWL Model'!$D$63+'POWL Model'!$D$73+'POWL Model'!$D$74</x:f>
        <x:v>444.04799999999994</x:v>
      </x:c>
      <x:c r="AB323" t="n">
        <x:f>H323*'POWL Model'!$E$62+R323*'POWL Model'!$E$63+'POWL Model'!$E$73+'POWL Model'!$E$74</x:f>
        <x:v>503.3889599999999</x:v>
      </x:c>
      <x:c r="AC323" t="n">
        <x:f>I323*'POWL Model'!$F$62+S323*'POWL Model'!$F$63+'POWL Model'!$F$73+'POWL Model'!$F$74</x:f>
        <x:v>570.3513983999999</x:v>
      </x:c>
      <x:c r="AD323" t="n">
        <x:f>AX323*$AC323/$AW323</x:f>
        <x:v>646.7784857855999</x:v>
      </x:c>
      <x:c r="AE323" t="n">
        <x:f>AY323*$AC323/$AW323</x:f>
        <x:v>716.6305622504448</x:v>
      </x:c>
      <x:c r="AF323" t="n">
        <x:f>AZ323*$AC323/$AW323</x:f>
        <x:v>775.3942683549814</x:v>
      </x:c>
      <x:c r="AG323" t="n">
        <x:f>BA323*$AC323/$AW323</x:f>
        <x:v>818.8163473828603</x:v>
      </x:c>
      <x:c r="AH323" t="n">
        <x:f>BB323*$AC323/$AW323</x:f>
        <x:v>843.3808378043461</x:v>
      </x:c>
      <x:c r="AI323" t="n">
        <x:f>Y323*(1-'Assumptions'!$F$18)+AS323*'Assumptions'!$G$18-AS323*'POWL Model'!$B$65-(AS323-'Inputs'!$G$14)*'Assumptions'!$H$18-'Assumptions'!$I$18</x:f>
        <x:v>183.9</x:v>
      </x:c>
      <x:c r="AJ323" t="n">
        <x:f>Z323*(1-'Assumptions'!$F$18)+AT323*'Assumptions'!$G$18-AT323*'POWL Model'!$C$65-(AT323-AS323)*'Assumptions'!$H$18-0</x:f>
        <x:v>237.34799999999998</x:v>
      </x:c>
      <x:c r="AK323" t="n">
        <x:f>AA323*(1-'Assumptions'!$F$18)+AU323*'Assumptions'!$G$18-AU323*'POWL Model'!$D$65-(AU323-AT323)*'Assumptions'!$H$18-0</x:f>
        <x:v>281.37888</x:v>
      </x:c>
      <x:c r="AL323" t="n">
        <x:f>AB323*(1-'Assumptions'!$F$18)+AV323*'Assumptions'!$G$18-AV323*'POWL Model'!$E$65-(AV323-AU323)*'Assumptions'!$H$18-0</x:f>
        <x:v>322.1850815999999</x:v>
      </x:c>
      <x:c r="AM323" t="n">
        <x:f>AC323*(1-'Assumptions'!$F$18)+AW323*'Assumptions'!$G$18-AW323*'POWL Model'!$F$65-(AW323-AV323)*'Assumptions'!$H$18-0</x:f>
        <x:v>363.41405030399994</x:v>
      </x:c>
      <x:c r="AN323" t="n">
        <x:f>AD323*(1-'Assumptions'!$F$18)+AX323*'Assumptions'!$G$18-AX323*'POWL Model'!$G$65-(AX323-AW323)*'Assumptions'!$H$18-0</x:f>
        <x:v>418.1990274447359</x:v>
      </x:c>
      <x:c r="AO323" t="n">
        <x:f>AE323*(1-'Assumptions'!$F$18)+AY323*'Assumptions'!$G$18-AY323*'POWL Model'!$H$65-(AY323-AX323)*'Assumptions'!$H$18-0</x:f>
        <x:v>470.4260159127674</x:v>
      </x:c>
      <x:c r="AP323" t="n">
        <x:f>AF323*(1-'Assumptions'!$F$18)+AZ323*'Assumptions'!$G$18-AZ323*'POWL Model'!$I$65-(AZ323-AY323)*'Assumptions'!$H$18-0</x:f>
        <x:v>517.0086828511504</x:v>
      </x:c>
      <x:c r="AQ323" t="n">
        <x:f>AG323*(1-'Assumptions'!$F$18)+BA323*'Assumptions'!$G$18-BA323*'POWL Model'!$J$65-(BA323-AZ323)*'Assumptions'!$H$18-0</x:f>
        <x:v>554.8337379567729</x:v>
      </x:c>
      <x:c r="AR323" t="n">
        <x:f>AH323*(1-'Assumptions'!$F$18)+BB323*'Assumptions'!$G$18-BB323*'POWL Model'!$K$65-(BB323-BA323)*'Assumptions'!$H$18-0</x:f>
        <x:v>581.0788696084423</x:v>
      </x:c>
      <x:c r="AS323" t="n">
        <x:f>E323+O323</x:f>
        <x:v>1500</x:v>
      </x:c>
      <x:c r="AT323" t="n">
        <x:f>F323+P323</x:f>
        <x:v>1739.9999999999998</x:v>
      </x:c>
      <x:c r="AU323" t="n">
        <x:f>G323+Q323</x:f>
        <x:v>2018.3999999999999</x:v>
      </x:c>
      <x:c r="AV323" t="n">
        <x:f>H323+R323</x:f>
        <x:v>2341.3439999999996</x:v>
      </x:c>
      <x:c r="AW323" t="n">
        <x:f>I323+S323</x:f>
        <x:v>2715.9590399999997</x:v>
      </x:c>
      <x:c r="AX323" t="n">
        <x:f>J323+T323</x:f>
        <x:v>3079.89755136</x:v>
      </x:c>
      <x:c r="AY323" t="n">
        <x:f>K323+U323</x:f>
        <x:v>3412.52648690688</x:v>
      </x:c>
      <x:c r="AZ323" t="n">
        <x:f>L323+V323</x:f>
        <x:v>3692.3536588332445</x:v>
      </x:c>
      <x:c r="BA323" t="n">
        <x:f>M323+W323</x:f>
        <x:v>3899.125463727906</x:v>
      </x:c>
      <x:c r="BB323" t="n">
        <x:f>N323+X323</x:f>
        <x:v>4016.0992276397433</x:v>
      </x:c>
      <x:c r="BC323" t="n">
        <x:f>AS323/'Inputs'!$G$14-1</x:f>
        <x:v>0.25</x:v>
      </x:c>
      <x:c r="BD323" t="n">
        <x:f>AT323/AS323-1</x:f>
        <x:v>0.15999999999999992</x:v>
      </x:c>
      <x:c r="BE323" t="n">
        <x:f>AU323/AT323-1</x:f>
        <x:v>0.16000000000000014</x:v>
      </x:c>
      <x:c r="BF323" t="n">
        <x:f>AV323/AU323-1</x:f>
        <x:v>0.15999999999999992</x:v>
      </x:c>
      <x:c r="BG323" t="n">
        <x:f>AW323/AV323-1</x:f>
        <x:v>0.16000000000000014</x:v>
      </x:c>
      <x:c r="BH323" t="n">
        <x:f>AX323/AW323-1</x:f>
        <x:v>0.13400000000000012</x:v>
      </x:c>
      <x:c r="BI323" t="n">
        <x:f>AY323/AX323-1</x:f>
        <x:v>0.1080000000000001</x:v>
      </x:c>
      <x:c r="BJ323" t="n">
        <x:f>AZ323/AY323-1</x:f>
        <x:v>0.08200000000000007</x:v>
      </x:c>
      <x:c r="BK323" t="n">
        <x:f>BA323/AZ323-1</x:f>
        <x:v>0.05600000000000005</x:v>
      </x:c>
      <x:c r="BL323" t="n">
        <x:f>BB323/BA323-1</x:f>
        <x:v>0.030000000000000027</x:v>
      </x:c>
      <x:c r="BM323" t="n">
        <x:f>AH323*(1-'Assumptions'!$F$18)*(1+'Assumptions'!$D$18)*(1-'Assumptions'!$D$18/'Assumptions'!$E$18)</x:f>
        <x:v>580.974697453253</x:v>
      </x:c>
      <x:c r="BN323" t="n">
        <x:f>SUMPRODUCT(AI323:AR323,'POWL Model'!$B$83:$K$83)+BM323/('Assumptions'!$C$18-'Assumptions'!$D$18)*'POWL Model'!$K$83</x:f>
        <x:v>4996.346684216664</x:v>
      </x:c>
      <x:c r="BO323" t="n">
        <x:f>'POWL Model'!$B$94</x:f>
        <x:v>230.812</x:v>
      </x:c>
      <x:c r="BP323" t="n">
        <x:f>'Inputs'!$G$8</x:f>
        <x:v>36.604</x:v>
      </x:c>
    </x:row>
    <x:row r="324">
      <x:c r="A324" t="str">
        <x:v>POWL</x:v>
      </x:c>
      <x:c r="B324" s="22" t="n">
        <x:v>0.17</x:v>
      </x:c>
      <x:c r="C324" s="42" t="n">
        <x:f>(BN324+BO324)/BP324</x:f>
        <x:v>148.84392955259005</x:v>
      </x:c>
      <x:c r="D324" s="22" t="n">
        <x:f>C324/'Inputs'!$G$5-1</x:f>
        <x:v>-0.17842948858756935</x:v>
      </x:c>
      <x:c r="E324" t="n">
        <x:f>('Assumptions'!$M$18+'Assumptions'!$N$18)*(1+$B324)^0</x:f>
        <x:v>1500</x:v>
      </x:c>
      <x:c r="F324" t="n">
        <x:f>('Assumptions'!$M$18+'Assumptions'!$N$18)*(1+$B324)^1</x:f>
        <x:v>1755</x:v>
      </x:c>
      <x:c r="G324" t="n">
        <x:f>('Assumptions'!$M$18+'Assumptions'!$N$18)*(1+$B324)^2</x:f>
        <x:v>2053.3499999999995</x:v>
      </x:c>
      <x:c r="H324" t="n">
        <x:f>('Assumptions'!$M$18+'Assumptions'!$N$18)*(1+$B324)^3</x:f>
        <x:v>2402.4194999999995</x:v>
      </x:c>
      <x:c r="I324" t="n">
        <x:f>('Assumptions'!$M$18+'Assumptions'!$N$18)*(1+$B324)^4</x:f>
        <x:v>2810.8308149999993</x:v>
      </x:c>
      <x:c r="J324" t="n">
        <x:f>I324*(1+($BG324+('Assumptions'!$D$18-$BG324)*(6-5)/5))</x:f>
        <x:v>3209.968790729999</x:v>
      </x:c>
      <x:c r="K324" t="n">
        <x:f>J324*(1+($BG324+('Assumptions'!$D$18-$BG324)*(7-5)/5))</x:f>
        <x:v>3575.9052328732187</x:v>
      </x:c>
      <x:c r="L324" t="n">
        <x:f>K324*(1+($BG324+('Assumptions'!$D$18-$BG324)*(8-5)/5))</x:f>
        <x:v>3883.4330829003147</x:v>
      </x:c>
      <x:c r="M324" t="n">
        <x:f>L324*(1+($BG324+('Assumptions'!$D$18-$BG324)*(9-5)/5))</x:f>
        <x:v>4108.672201708533</x:v>
      </x:c>
      <x:c r="N324" t="n">
        <x:f>M324*(1+($BG324+('Assumptions'!$D$18-$BG324)*(10-5)/5))</x:f>
        <x:v>4231.9323677597895</x:v>
      </x:c>
      <x:c r="O324" t="n">
        <x:f>0</x:f>
        <x:v>0</x:v>
      </x:c>
      <x:c r="P324" t="n">
        <x:f>0</x:f>
        <x:v>0</x:v>
      </x:c>
      <x:c r="Q324" t="n">
        <x:f>0</x:f>
        <x:v>0</x:v>
      </x:c>
      <x:c r="R324" t="n">
        <x:f>0</x:f>
        <x:v>0</x:v>
      </x:c>
      <x:c r="S324" t="n">
        <x:f>0</x:f>
        <x:v>0</x:v>
      </x:c>
      <x:c r="T324" t="n">
        <x:f>S324*(1+($BG324+('Assumptions'!$D$18-$BG324)*(6-5)/5))</x:f>
        <x:v>0</x:v>
      </x:c>
      <x:c r="U324" t="n">
        <x:f>T324*(1+($BG324+('Assumptions'!$D$18-$BG324)*(7-5)/5))</x:f>
        <x:v>0</x:v>
      </x:c>
      <x:c r="V324" t="n">
        <x:f>U324*(1+($BG324+('Assumptions'!$D$18-$BG324)*(8-5)/5))</x:f>
        <x:v>0</x:v>
      </x:c>
      <x:c r="W324" t="n">
        <x:f>V324*(1+($BG324+('Assumptions'!$D$18-$BG324)*(9-5)/5))</x:f>
        <x:v>0</x:v>
      </x:c>
      <x:c r="X324" t="n">
        <x:f>W324*(1+($BG324+('Assumptions'!$D$18-$BG324)*(10-5)/5))</x:f>
        <x:v>0</x:v>
      </x:c>
      <x:c r="Y324" t="n">
        <x:f>E324*'POWL Model'!$B$62+O324*'POWL Model'!$B$63+'POWL Model'!$B$73+'POWL Model'!$B$74</x:f>
        <x:v>315</x:v>
      </x:c>
      <x:c r="Z324" t="n">
        <x:f>F324*'POWL Model'!$C$62+P324*'POWL Model'!$C$63+'POWL Model'!$C$73+'POWL Model'!$C$74</x:f>
        <x:v>386.1</x:v>
      </x:c>
      <x:c r="AA324" t="n">
        <x:f>G324*'POWL Model'!$D$62+Q324*'POWL Model'!$D$63+'POWL Model'!$D$73+'POWL Model'!$D$74</x:f>
        <x:v>451.7369999999999</x:v>
      </x:c>
      <x:c r="AB324" t="n">
        <x:f>H324*'POWL Model'!$E$62+R324*'POWL Model'!$E$63+'POWL Model'!$E$73+'POWL Model'!$E$74</x:f>
        <x:v>516.5201924999999</x:v>
      </x:c>
      <x:c r="AC324" t="n">
        <x:f>I324*'POWL Model'!$F$62+S324*'POWL Model'!$F$63+'POWL Model'!$F$73+'POWL Model'!$F$74</x:f>
        <x:v>590.2744711499998</x:v>
      </x:c>
      <x:c r="AD324" t="n">
        <x:f>AX324*$AC324/$AW324</x:f>
        <x:v>674.0934460532998</x:v>
      </x:c>
      <x:c r="AE324" t="n">
        <x:f>AY324*$AC324/$AW324</x:f>
        <x:v>750.940098903376</x:v>
      </x:c>
      <x:c r="AF324" t="n">
        <x:f>AZ324*$AC324/$AW324</x:f>
        <x:v>815.520947409066</x:v>
      </x:c>
      <x:c r="AG324" t="n">
        <x:f>BA324*$AC324/$AW324</x:f>
        <x:v>862.8211623587919</x:v>
      </x:c>
      <x:c r="AH324" t="n">
        <x:f>BB324*$AC324/$AW324</x:f>
        <x:v>888.7057972295559</x:v>
      </x:c>
      <x:c r="AI324" t="n">
        <x:f>Y324*(1-'Assumptions'!$F$18)+AS324*'Assumptions'!$G$18-AS324*'POWL Model'!$B$65-(AS324-'Inputs'!$G$14)*'Assumptions'!$H$18-'Assumptions'!$I$18</x:f>
        <x:v>183.9</x:v>
      </x:c>
      <x:c r="AJ324" t="n">
        <x:f>Z324*(1-'Assumptions'!$F$18)+AT324*'Assumptions'!$G$18-AT324*'POWL Model'!$C$65-(AT324-AS324)*'Assumptions'!$H$18-0</x:f>
        <x:v>238.10100000000006</x:v>
      </x:c>
      <x:c r="AK324" t="n">
        <x:f>AA324*(1-'Assumptions'!$F$18)+AU324*'Assumptions'!$G$18-AU324*'POWL Model'!$D$65-(AU324-AT324)*'Assumptions'!$H$18-0</x:f>
        <x:v>284.73822</x:v>
      </x:c>
      <x:c r="AL324" t="n">
        <x:f>AB324*(1-'Assumptions'!$F$18)+AV324*'Assumptions'!$G$18-AV324*'POWL Model'!$E$65-(AV324-AU324)*'Assumptions'!$H$18-0</x:f>
        <x:v>328.81936229999997</x:v>
      </x:c>
      <x:c r="AM324" t="n">
        <x:f>AC324*(1-'Assumptions'!$F$18)+AW324*'Assumptions'!$G$18-AW324*'POWL Model'!$F$65-(AW324-AV324)*'Assumptions'!$H$18-0</x:f>
        <x:v>374.0374967939998</x:v>
      </x:c>
      <x:c r="AN324" t="n">
        <x:f>AD324*(1-'Assumptions'!$F$18)+AX324*'Assumptions'!$G$18-AX324*'POWL Model'!$G$65-(AX324-AW324)*'Assumptions'!$H$18-0</x:f>
        <x:v>433.8775959387479</x:v>
      </x:c>
      <x:c r="AO324" t="n">
        <x:f>AE324*(1-'Assumptions'!$F$18)+AY324*'Assumptions'!$G$18-AY324*'POWL Model'!$H$65-(AY324-AX324)*'Assumptions'!$H$18-0</x:f>
        <x:v>491.2099681577652</x:v>
      </x:c>
      <x:c r="AP324" t="n">
        <x:f>AF324*(1-'Assumptions'!$F$18)+AZ324*'Assumptions'!$G$18-AZ324*'POWL Model'!$I$65-(AZ324-AY324)*'Assumptions'!$H$18-0</x:f>
        <x:v>542.4419380333768</x:v>
      </x:c>
      <x:c r="AQ324" t="n">
        <x:f>AG324*(1-'Assumptions'!$F$18)+BA324*'Assumptions'!$G$18-BA324*'POWL Model'!$J$65-(BA324-AZ324)*'Assumptions'!$H$18-0</x:f>
        <x:v>583.9161050913575</x:v>
      </x:c>
      <x:c r="AR324" t="n">
        <x:f>AH324*(1-'Assumptions'!$F$18)+BB324*'Assumptions'!$G$18-BB324*'POWL Model'!$K$65-(BB324-BA324)*'Assumptions'!$H$18-0</x:f>
        <x:v>612.3072008762193</x:v>
      </x:c>
      <x:c r="AS324" t="n">
        <x:f>E324+O324</x:f>
        <x:v>1500</x:v>
      </x:c>
      <x:c r="AT324" t="n">
        <x:f>F324+P324</x:f>
        <x:v>1755</x:v>
      </x:c>
      <x:c r="AU324" t="n">
        <x:f>G324+Q324</x:f>
        <x:v>2053.3499999999995</x:v>
      </x:c>
      <x:c r="AV324" t="n">
        <x:f>H324+R324</x:f>
        <x:v>2402.4194999999995</x:v>
      </x:c>
      <x:c r="AW324" t="n">
        <x:f>I324+S324</x:f>
        <x:v>2810.8308149999993</x:v>
      </x:c>
      <x:c r="AX324" t="n">
        <x:f>J324+T324</x:f>
        <x:v>3209.968790729999</x:v>
      </x:c>
      <x:c r="AY324" t="n">
        <x:f>K324+U324</x:f>
        <x:v>3575.9052328732187</x:v>
      </x:c>
      <x:c r="AZ324" t="n">
        <x:f>L324+V324</x:f>
        <x:v>3883.4330829003147</x:v>
      </x:c>
      <x:c r="BA324" t="n">
        <x:f>M324+W324</x:f>
        <x:v>4108.672201708533</x:v>
      </x:c>
      <x:c r="BB324" t="n">
        <x:f>N324+X324</x:f>
        <x:v>4231.9323677597895</x:v>
      </x:c>
      <x:c r="BC324" t="n">
        <x:f>AS324/'Inputs'!$G$14-1</x:f>
        <x:v>0.25</x:v>
      </x:c>
      <x:c r="BD324" t="n">
        <x:f>AT324/AS324-1</x:f>
        <x:v>0.16999999999999993</x:v>
      </x:c>
      <x:c r="BE324" t="n">
        <x:f>AU324/AT324-1</x:f>
        <x:v>0.1699999999999997</x:v>
      </x:c>
      <x:c r="BF324" t="n">
        <x:f>AV324/AU324-1</x:f>
        <x:v>0.17000000000000015</x:v>
      </x:c>
      <x:c r="BG324" t="n">
        <x:f>AW324/AV324-1</x:f>
        <x:v>0.16999999999999993</x:v>
      </x:c>
      <x:c r="BH324" t="n">
        <x:f>AX324/AW324-1</x:f>
        <x:v>0.1419999999999999</x:v>
      </x:c>
      <x:c r="BI324" t="n">
        <x:f>AY324/AX324-1</x:f>
        <x:v>0.11399999999999988</x:v>
      </x:c>
      <x:c r="BJ324" t="n">
        <x:f>AZ324/AY324-1</x:f>
        <x:v>0.08599999999999985</x:v>
      </x:c>
      <x:c r="BK324" t="n">
        <x:f>BA324/AZ324-1</x:f>
        <x:v>0.05800000000000005</x:v>
      </x:c>
      <x:c r="BL324" t="n">
        <x:f>BB324/BA324-1</x:f>
        <x:v>0.030000000000000027</x:v>
      </x:c>
      <x:c r="BM324" t="n">
        <x:f>AH324*(1-'Assumptions'!$F$18)*(1+'Assumptions'!$D$18)*(1-'Assumptions'!$D$18/'Assumptions'!$E$18)</x:f>
        <x:v>612.1974303027408</x:v>
      </x:c>
      <x:c r="BN324" t="n">
        <x:f>SUMPRODUCT(AI324:AR324,'POWL Model'!$B$83:$K$83)+BM324/('Assumptions'!$C$18-'Assumptions'!$D$18)*'POWL Model'!$K$83</x:f>
        <x:v>5217.471197343007</x:v>
      </x:c>
      <x:c r="BO324" t="n">
        <x:f>'POWL Model'!$B$94</x:f>
        <x:v>230.812</x:v>
      </x:c>
      <x:c r="BP324" t="n">
        <x:f>'Inputs'!$G$8</x:f>
        <x:v>36.604</x:v>
      </x:c>
    </x:row>
    <x:row r="325">
      <x:c r="A325" t="str">
        <x:v>POWL</x:v>
      </x:c>
      <x:c r="B325" s="22" t="n">
        <x:v>0.18</x:v>
      </x:c>
      <x:c r="C325" s="42" t="n">
        <x:f>(BN325+BO325)/BP325</x:f>
        <x:v>155.14050202169062</x:v>
      </x:c>
      <x:c r="D325" s="22" t="n">
        <x:f>C325/'Inputs'!$G$5-1</x:f>
        <x:v>-0.1436744382530737</x:v>
      </x:c>
      <x:c r="E325" t="n">
        <x:f>('Assumptions'!$M$18+'Assumptions'!$N$18)*(1+$B325)^0</x:f>
        <x:v>1500</x:v>
      </x:c>
      <x:c r="F325" t="n">
        <x:f>('Assumptions'!$M$18+'Assumptions'!$N$18)*(1+$B325)^1</x:f>
        <x:v>1770</x:v>
      </x:c>
      <x:c r="G325" t="n">
        <x:f>('Assumptions'!$M$18+'Assumptions'!$N$18)*(1+$B325)^2</x:f>
        <x:v>2088.6</x:v>
      </x:c>
      <x:c r="H325" t="n">
        <x:f>('Assumptions'!$M$18+'Assumptions'!$N$18)*(1+$B325)^3</x:f>
        <x:v>2464.548</x:v>
      </x:c>
      <x:c r="I325" t="n">
        <x:f>('Assumptions'!$M$18+'Assumptions'!$N$18)*(1+$B325)^4</x:f>
        <x:v>2908.1666399999995</x:v>
      </x:c>
      <x:c r="J325" t="n">
        <x:f>I325*(1+($BG325+('Assumptions'!$D$18-$BG325)*(6-5)/5))</x:f>
        <x:v>3344.391635999999</x:v>
      </x:c>
      <x:c r="K325" t="n">
        <x:f>J325*(1+($BG325+('Assumptions'!$D$18-$BG325)*(7-5)/5))</x:f>
        <x:v>3745.7186323199985</x:v>
      </x:c>
      <x:c r="L325" t="n">
        <x:f>K325*(1+($BG325+('Assumptions'!$D$18-$BG325)*(8-5)/5))</x:f>
        <x:v>4082.833309228798</x:v>
      </x:c>
      <x:c r="M325" t="n">
        <x:f>L325*(1+($BG325+('Assumptions'!$D$18-$BG325)*(9-5)/5))</x:f>
        <x:v>4327.803307782526</x:v>
      </x:c>
      <x:c r="N325" t="n">
        <x:f>M325*(1+($BG325+('Assumptions'!$D$18-$BG325)*(10-5)/5))</x:f>
        <x:v>4457.637407016002</x:v>
      </x:c>
      <x:c r="O325" t="n">
        <x:f>0</x:f>
        <x:v>0</x:v>
      </x:c>
      <x:c r="P325" t="n">
        <x:f>0</x:f>
        <x:v>0</x:v>
      </x:c>
      <x:c r="Q325" t="n">
        <x:f>0</x:f>
        <x:v>0</x:v>
      </x:c>
      <x:c r="R325" t="n">
        <x:f>0</x:f>
        <x:v>0</x:v>
      </x:c>
      <x:c r="S325" t="n">
        <x:f>0</x:f>
        <x:v>0</x:v>
      </x:c>
      <x:c r="T325" t="n">
        <x:f>S325*(1+($BG325+('Assumptions'!$D$18-$BG325)*(6-5)/5))</x:f>
        <x:v>0</x:v>
      </x:c>
      <x:c r="U325" t="n">
        <x:f>T325*(1+($BG325+('Assumptions'!$D$18-$BG325)*(7-5)/5))</x:f>
        <x:v>0</x:v>
      </x:c>
      <x:c r="V325" t="n">
        <x:f>U325*(1+($BG325+('Assumptions'!$D$18-$BG325)*(8-5)/5))</x:f>
        <x:v>0</x:v>
      </x:c>
      <x:c r="W325" t="n">
        <x:f>V325*(1+($BG325+('Assumptions'!$D$18-$BG325)*(9-5)/5))</x:f>
        <x:v>0</x:v>
      </x:c>
      <x:c r="X325" t="n">
        <x:f>W325*(1+($BG325+('Assumptions'!$D$18-$BG325)*(10-5)/5))</x:f>
        <x:v>0</x:v>
      </x:c>
      <x:c r="Y325" t="n">
        <x:f>E325*'POWL Model'!$B$62+O325*'POWL Model'!$B$63+'POWL Model'!$B$73+'POWL Model'!$B$74</x:f>
        <x:v>315</x:v>
      </x:c>
      <x:c r="Z325" t="n">
        <x:f>F325*'POWL Model'!$C$62+P325*'POWL Model'!$C$63+'POWL Model'!$C$73+'POWL Model'!$C$74</x:f>
        <x:v>389.4</x:v>
      </x:c>
      <x:c r="AA325" t="n">
        <x:f>G325*'POWL Model'!$D$62+Q325*'POWL Model'!$D$63+'POWL Model'!$D$73+'POWL Model'!$D$74</x:f>
        <x:v>459.49199999999996</x:v>
      </x:c>
      <x:c r="AB325" t="n">
        <x:f>H325*'POWL Model'!$E$62+R325*'POWL Model'!$E$63+'POWL Model'!$E$73+'POWL Model'!$E$74</x:f>
        <x:v>529.8778199999999</x:v>
      </x:c>
      <x:c r="AC325" t="n">
        <x:f>I325*'POWL Model'!$F$62+S325*'POWL Model'!$F$63+'POWL Model'!$F$73+'POWL Model'!$F$74</x:f>
        <x:v>610.7149943999999</x:v>
      </x:c>
      <x:c r="AD325" t="n">
        <x:f>AX325*$AC325/$AW325</x:f>
        <x:v>702.3222435599998</x:v>
      </x:c>
      <x:c r="AE325" t="n">
        <x:f>AY325*$AC325/$AW325</x:f>
        <x:v>786.6009127871997</x:v>
      </x:c>
      <x:c r="AF325" t="n">
        <x:f>AZ325*$AC325/$AW325</x:f>
        <x:v>857.3949949380476</x:v>
      </x:c>
      <x:c r="AG325" t="n">
        <x:f>BA325*$AC325/$AW325</x:f>
        <x:v>908.8386946343304</x:v>
      </x:c>
      <x:c r="AH325" t="n">
        <x:f>BB325*$AC325/$AW325</x:f>
        <x:v>936.1038554733605</x:v>
      </x:c>
      <x:c r="AI325" t="n">
        <x:f>Y325*(1-'Assumptions'!$F$18)+AS325*'Assumptions'!$G$18-AS325*'POWL Model'!$B$65-(AS325-'Inputs'!$G$14)*'Assumptions'!$H$18-'Assumptions'!$I$18</x:f>
        <x:v>183.9</x:v>
      </x:c>
      <x:c r="AJ325" t="n">
        <x:f>Z325*(1-'Assumptions'!$F$18)+AT325*'Assumptions'!$G$18-AT325*'POWL Model'!$C$65-(AT325-AS325)*'Assumptions'!$H$18-0</x:f>
        <x:v>238.85399999999998</x:v>
      </x:c>
      <x:c r="AK325" t="n">
        <x:f>AA325*(1-'Assumptions'!$F$18)+AU325*'Assumptions'!$G$18-AU325*'POWL Model'!$D$65-(AU325-AT325)*'Assumptions'!$H$18-0</x:f>
        <x:v>288.11351999999994</x:v>
      </x:c>
      <x:c r="AL325" t="n">
        <x:f>AB325*(1-'Assumptions'!$F$18)+AV325*'Assumptions'!$G$18-AV325*'POWL Model'!$E$65-(AV325-AU325)*'Assumptions'!$H$18-0</x:f>
        <x:v>335.5377672</x:v>
      </x:c>
      <x:c r="AM325" t="n">
        <x:f>AC325*(1-'Assumptions'!$F$18)+AW325*'Assumptions'!$G$18-AW325*'POWL Model'!$F$65-(AW325-AV325)*'Assumptions'!$H$18-0</x:f>
        <x:v>384.88353206399995</x:v>
      </x:c>
      <x:c r="AN325" t="n">
        <x:f>AD325*(1-'Assumptions'!$F$18)+AX325*'Assumptions'!$G$18-AX325*'POWL Model'!$G$65-(AX325-AW325)*'Assumptions'!$H$18-0</x:f>
        <x:v>450.00970587359984</x:v>
      </x:c>
      <x:c r="AO325" t="n">
        <x:f>AE325*(1-'Assumptions'!$F$18)+AY325*'Assumptions'!$G$18-AY325*'POWL Model'!$H$65-(AY325-AX325)*'Assumptions'!$H$18-0</x:f>
        <x:v>512.7353704984318</x:v>
      </x:c>
      <x:c r="AP325" t="n">
        <x:f>AF325*(1-'Assumptions'!$F$18)+AZ325*'Assumptions'!$G$18-AZ325*'POWL Model'!$I$65-(AZ325-AY325)*'Assumptions'!$H$18-0</x:f>
        <x:v>568.9147287512906</x:v>
      </x:c>
      <x:c r="AQ325" t="n">
        <x:f>AG325*(1-'Assumptions'!$F$18)+BA325*'Assumptions'!$G$18-BA325*'POWL Model'!$J$65-(BA325-AZ325)*'Assumptions'!$H$18-0</x:f>
        <x:v>614.2867683733281</x:v>
      </x:c>
      <x:c r="AR325" t="n">
        <x:f>AH325*(1-'Assumptions'!$F$18)+BB325*'Assumptions'!$G$18-BB325*'POWL Model'!$K$65-(BB325-BA325)*'Assumptions'!$H$18-0</x:f>
        <x:v>644.9638713522144</x:v>
      </x:c>
      <x:c r="AS325" t="n">
        <x:f>E325+O325</x:f>
        <x:v>1500</x:v>
      </x:c>
      <x:c r="AT325" t="n">
        <x:f>F325+P325</x:f>
        <x:v>1770</x:v>
      </x:c>
      <x:c r="AU325" t="n">
        <x:f>G325+Q325</x:f>
        <x:v>2088.6</x:v>
      </x:c>
      <x:c r="AV325" t="n">
        <x:f>H325+R325</x:f>
        <x:v>2464.548</x:v>
      </x:c>
      <x:c r="AW325" t="n">
        <x:f>I325+S325</x:f>
        <x:v>2908.1666399999995</x:v>
      </x:c>
      <x:c r="AX325" t="n">
        <x:f>J325+T325</x:f>
        <x:v>3344.391635999999</x:v>
      </x:c>
      <x:c r="AY325" t="n">
        <x:f>K325+U325</x:f>
        <x:v>3745.7186323199985</x:v>
      </x:c>
      <x:c r="AZ325" t="n">
        <x:f>L325+V325</x:f>
        <x:v>4082.833309228798</x:v>
      </x:c>
      <x:c r="BA325" t="n">
        <x:f>M325+W325</x:f>
        <x:v>4327.803307782526</x:v>
      </x:c>
      <x:c r="BB325" t="n">
        <x:f>N325+X325</x:f>
        <x:v>4457.637407016002</x:v>
      </x:c>
      <x:c r="BC325" t="n">
        <x:f>AS325/'Inputs'!$G$14-1</x:f>
        <x:v>0.25</x:v>
      </x:c>
      <x:c r="BD325" t="n">
        <x:f>AT325/AS325-1</x:f>
        <x:v>0.17999999999999994</x:v>
      </x:c>
      <x:c r="BE325" t="n">
        <x:f>AU325/AT325-1</x:f>
        <x:v>0.17999999999999994</x:v>
      </x:c>
      <x:c r="BF325" t="n">
        <x:f>AV325/AU325-1</x:f>
        <x:v>0.17999999999999994</x:v>
      </x:c>
      <x:c r="BG325" t="n">
        <x:f>AW325/AV325-1</x:f>
        <x:v>0.17999999999999994</x:v>
      </x:c>
      <x:c r="BH325" t="n">
        <x:f>AX325/AW325-1</x:f>
        <x:v>0.1499999999999999</x:v>
      </x:c>
      <x:c r="BI325" t="n">
        <x:f>AY325/AX325-1</x:f>
        <x:v>0.11999999999999988</x:v>
      </x:c>
      <x:c r="BJ325" t="n">
        <x:f>AZ325/AY325-1</x:f>
        <x:v>0.08999999999999986</x:v>
      </x:c>
      <x:c r="BK325" t="n">
        <x:f>BA325/AZ325-1</x:f>
        <x:v>0.06000000000000005</x:v>
      </x:c>
      <x:c r="BL325" t="n">
        <x:f>BB325/BA325-1</x:f>
        <x:v>0.030000000000000027</x:v>
      </x:c>
      <x:c r="BM325" t="n">
        <x:f>AH325*(1-'Assumptions'!$F$18)*(1+'Assumptions'!$D$18)*(1-'Assumptions'!$D$18/'Assumptions'!$E$18)</x:f>
        <x:v>644.848246296801</x:v>
      </x:c>
      <x:c r="BN325" t="n">
        <x:f>SUMPRODUCT(AI325:AR325,'POWL Model'!$B$83:$K$83)+BM325/('Assumptions'!$C$18-'Assumptions'!$D$18)*'POWL Model'!$K$83</x:f>
        <x:v>5447.950936001964</x:v>
      </x:c>
      <x:c r="BO325" t="n">
        <x:f>'POWL Model'!$B$94</x:f>
        <x:v>230.812</x:v>
      </x:c>
      <x:c r="BP325" t="n">
        <x:f>'Inputs'!$G$8</x:f>
        <x:v>36.604</x:v>
      </x:c>
    </x:row>
    <x:row r="326">
      <x:c r="A326" t="str">
        <x:v>POWL</x:v>
      </x:c>
      <x:c r="B326" s="22" t="n">
        <x:v>0.19</x:v>
      </x:c>
      <x:c r="C326" s="42" t="n">
        <x:f>(BN326+BO326)/BP326</x:f>
        <x:v>161.70190215955128</x:v>
      </x:c>
      <x:c r="D326" s="22" t="n">
        <x:f>C326/'Inputs'!$G$5-1</x:f>
        <x:v>-0.10745762455400287</x:v>
      </x:c>
      <x:c r="E326" t="n">
        <x:f>('Assumptions'!$M$18+'Assumptions'!$N$18)*(1+$B326)^0</x:f>
        <x:v>1500</x:v>
      </x:c>
      <x:c r="F326" t="n">
        <x:f>('Assumptions'!$M$18+'Assumptions'!$N$18)*(1+$B326)^1</x:f>
        <x:v>1785</x:v>
      </x:c>
      <x:c r="G326" t="n">
        <x:f>('Assumptions'!$M$18+'Assumptions'!$N$18)*(1+$B326)^2</x:f>
        <x:v>2124.15</x:v>
      </x:c>
      <x:c r="H326" t="n">
        <x:f>('Assumptions'!$M$18+'Assumptions'!$N$18)*(1+$B326)^3</x:f>
        <x:v>2527.7385</x:v>
      </x:c>
      <x:c r="I326" t="n">
        <x:f>('Assumptions'!$M$18+'Assumptions'!$N$18)*(1+$B326)^4</x:f>
        <x:v>3008.0088149999997</x:v>
      </x:c>
      <x:c r="J326" t="n">
        <x:f>I326*(1+($BG326+('Assumptions'!$D$18-$BG326)*(6-5)/5))</x:f>
        <x:v>3483.2742077699995</x:v>
      </x:c>
      <x:c r="K326" t="n">
        <x:f>J326*(1+($BG326+('Assumptions'!$D$18-$BG326)*(7-5)/5))</x:f>
        <x:v>3922.166757949019</x:v>
      </x:c>
      <x:c r="L326" t="n">
        <x:f>K326*(1+($BG326+('Assumptions'!$D$18-$BG326)*(8-5)/5))</x:f>
        <x:v>4290.850433196226</x:v>
      </x:c>
      <x:c r="M326" t="n">
        <x:f>L326*(1+($BG326+('Assumptions'!$D$18-$BG326)*(9-5)/5))</x:f>
        <x:v>4556.883160054392</x:v>
      </x:c>
      <x:c r="N326" t="n">
        <x:f>M326*(1+($BG326+('Assumptions'!$D$18-$BG326)*(10-5)/5))</x:f>
        <x:v>4693.589654856024</x:v>
      </x:c>
      <x:c r="O326" t="n">
        <x:f>0</x:f>
        <x:v>0</x:v>
      </x:c>
      <x:c r="P326" t="n">
        <x:f>0</x:f>
        <x:v>0</x:v>
      </x:c>
      <x:c r="Q326" t="n">
        <x:f>0</x:f>
        <x:v>0</x:v>
      </x:c>
      <x:c r="R326" t="n">
        <x:f>0</x:f>
        <x:v>0</x:v>
      </x:c>
      <x:c r="S326" t="n">
        <x:f>0</x:f>
        <x:v>0</x:v>
      </x:c>
      <x:c r="T326" t="n">
        <x:f>S326*(1+($BG326+('Assumptions'!$D$18-$BG326)*(6-5)/5))</x:f>
        <x:v>0</x:v>
      </x:c>
      <x:c r="U326" t="n">
        <x:f>T326*(1+($BG326+('Assumptions'!$D$18-$BG326)*(7-5)/5))</x:f>
        <x:v>0</x:v>
      </x:c>
      <x:c r="V326" t="n">
        <x:f>U326*(1+($BG326+('Assumptions'!$D$18-$BG326)*(8-5)/5))</x:f>
        <x:v>0</x:v>
      </x:c>
      <x:c r="W326" t="n">
        <x:f>V326*(1+($BG326+('Assumptions'!$D$18-$BG326)*(9-5)/5))</x:f>
        <x:v>0</x:v>
      </x:c>
      <x:c r="X326" t="n">
        <x:f>W326*(1+($BG326+('Assumptions'!$D$18-$BG326)*(10-5)/5))</x:f>
        <x:v>0</x:v>
      </x:c>
      <x:c r="Y326" t="n">
        <x:f>E326*'POWL Model'!$B$62+O326*'POWL Model'!$B$63+'POWL Model'!$B$73+'POWL Model'!$B$74</x:f>
        <x:v>315</x:v>
      </x:c>
      <x:c r="Z326" t="n">
        <x:f>F326*'POWL Model'!$C$62+P326*'POWL Model'!$C$63+'POWL Model'!$C$73+'POWL Model'!$C$74</x:f>
        <x:v>392.7</x:v>
      </x:c>
      <x:c r="AA326" t="n">
        <x:f>G326*'POWL Model'!$D$62+Q326*'POWL Model'!$D$63+'POWL Model'!$D$73+'POWL Model'!$D$74</x:f>
        <x:v>467.31300000000005</x:v>
      </x:c>
      <x:c r="AB326" t="n">
        <x:f>H326*'POWL Model'!$E$62+R326*'POWL Model'!$E$63+'POWL Model'!$E$73+'POWL Model'!$E$74</x:f>
        <x:v>543.4637775</x:v>
      </x:c>
      <x:c r="AC326" t="n">
        <x:f>I326*'POWL Model'!$F$62+S326*'POWL Model'!$F$63+'POWL Model'!$F$73+'POWL Model'!$F$74</x:f>
        <x:v>631.6818511499999</x:v>
      </x:c>
      <x:c r="AD326" t="n">
        <x:f>AX326*$AC326/$AW326</x:f>
        <x:v>731.4875836316999</x:v>
      </x:c>
      <x:c r="AE326" t="n">
        <x:f>AY326*$AC326/$AW326</x:f>
        <x:v>823.6550191692941</x:v>
      </x:c>
      <x:c r="AF326" t="n">
        <x:f>AZ326*$AC326/$AW326</x:f>
        <x:v>901.0785909712074</x:v>
      </x:c>
      <x:c r="AG326" t="n">
        <x:f>BA326*$AC326/$AW326</x:f>
        <x:v>956.9454636114223</x:v>
      </x:c>
      <x:c r="AH326" t="n">
        <x:f>BB326*$AC326/$AW326</x:f>
        <x:v>985.6538275197651</x:v>
      </x:c>
      <x:c r="AI326" t="n">
        <x:f>Y326*(1-'Assumptions'!$F$18)+AS326*'Assumptions'!$G$18-AS326*'POWL Model'!$B$65-(AS326-'Inputs'!$G$14)*'Assumptions'!$H$18-'Assumptions'!$I$18</x:f>
        <x:v>183.9</x:v>
      </x:c>
      <x:c r="AJ326" t="n">
        <x:f>Z326*(1-'Assumptions'!$F$18)+AT326*'Assumptions'!$G$18-AT326*'POWL Model'!$C$65-(AT326-AS326)*'Assumptions'!$H$18-0</x:f>
        <x:v>239.60699999999997</x:v>
      </x:c>
      <x:c r="AK326" t="n">
        <x:f>AA326*(1-'Assumptions'!$F$18)+AU326*'Assumptions'!$G$18-AU326*'POWL Model'!$D$65-(AU326-AT326)*'Assumptions'!$H$18-0</x:f>
        <x:v>291.50478000000004</x:v>
      </x:c>
      <x:c r="AL326" t="n">
        <x:f>AB326*(1-'Assumptions'!$F$18)+AV326*'Assumptions'!$G$18-AV326*'POWL Model'!$E$65-(AV326-AU326)*'Assumptions'!$H$18-0</x:f>
        <x:v>342.34075889999997</x:v>
      </x:c>
      <x:c r="AM326" t="n">
        <x:f>AC326*(1-'Assumptions'!$F$18)+AW326*'Assumptions'!$G$18-AW326*'POWL Model'!$F$65-(AW326-AV326)*'Assumptions'!$H$18-0</x:f>
        <x:v>395.955069594</x:v>
      </x:c>
      <x:c r="AN326" t="n">
        <x:f>AD326*(1-'Assumptions'!$F$18)+AX326*'Assumptions'!$G$18-AX326*'POWL Model'!$G$65-(AX326-AW326)*'Assumptions'!$H$18-0</x:f>
        <x:v>466.6047337898518</x:v>
      </x:c>
      <x:c r="AO326" t="n">
        <x:f>AE326*(1-'Assumptions'!$F$18)+AY326*'Assumptions'!$G$18-AY326*'POWL Model'!$H$65-(AY326-AX326)*'Assumptions'!$H$18-0</x:f>
        <x:v>535.0225584553732</x:v>
      </x:c>
      <x:c r="AP326" t="n">
        <x:f>AF326*(1-'Assumptions'!$F$18)+AZ326*'Assumptions'!$G$18-AZ326*'POWL Model'!$I$65-(AZ326-AY326)*'Assumptions'!$H$18-0</x:f>
        <x:v>596.4611564150422</x:v>
      </x:c>
      <x:c r="AQ326" t="n">
        <x:f>AG326*(1-'Assumptions'!$F$18)+BA326*'Assumptions'!$G$18-BA326*'POWL Model'!$J$65-(BA326-AZ326)*'Assumptions'!$H$18-0</x:f>
        <x:v>645.9926817382118</x:v>
      </x:c>
      <x:c r="AR326" t="n">
        <x:f>AH326*(1-'Assumptions'!$F$18)+BB326*'Assumptions'!$G$18-BB326*'POWL Model'!$K$65-(BB326-BA326)*'Assumptions'!$H$18-0</x:f>
        <x:v>679.1031835765859</x:v>
      </x:c>
      <x:c r="AS326" t="n">
        <x:f>E326+O326</x:f>
        <x:v>1500</x:v>
      </x:c>
      <x:c r="AT326" t="n">
        <x:f>F326+P326</x:f>
        <x:v>1785</x:v>
      </x:c>
      <x:c r="AU326" t="n">
        <x:f>G326+Q326</x:f>
        <x:v>2124.15</x:v>
      </x:c>
      <x:c r="AV326" t="n">
        <x:f>H326+R326</x:f>
        <x:v>2527.7385</x:v>
      </x:c>
      <x:c r="AW326" t="n">
        <x:f>I326+S326</x:f>
        <x:v>3008.0088149999997</x:v>
      </x:c>
      <x:c r="AX326" t="n">
        <x:f>J326+T326</x:f>
        <x:v>3483.2742077699995</x:v>
      </x:c>
      <x:c r="AY326" t="n">
        <x:f>K326+U326</x:f>
        <x:v>3922.166757949019</x:v>
      </x:c>
      <x:c r="AZ326" t="n">
        <x:f>L326+V326</x:f>
        <x:v>4290.850433196226</x:v>
      </x:c>
      <x:c r="BA326" t="n">
        <x:f>M326+W326</x:f>
        <x:v>4556.883160054392</x:v>
      </x:c>
      <x:c r="BB326" t="n">
        <x:f>N326+X326</x:f>
        <x:v>4693.589654856024</x:v>
      </x:c>
      <x:c r="BC326" t="n">
        <x:f>AS326/'Inputs'!$G$14-1</x:f>
        <x:v>0.25</x:v>
      </x:c>
      <x:c r="BD326" t="n">
        <x:f>AT326/AS326-1</x:f>
        <x:v>0.18999999999999995</x:v>
      </x:c>
      <x:c r="BE326" t="n">
        <x:f>AU326/AT326-1</x:f>
        <x:v>0.18999999999999995</x:v>
      </x:c>
      <x:c r="BF326" t="n">
        <x:f>AV326/AU326-1</x:f>
        <x:v>0.18999999999999995</x:v>
      </x:c>
      <x:c r="BG326" t="n">
        <x:f>AW326/AV326-1</x:f>
        <x:v>0.18999999999999995</x:v>
      </x:c>
      <x:c r="BH326" t="n">
        <x:f>AX326/AW326-1</x:f>
        <x:v>0.15799999999999992</x:v>
      </x:c>
      <x:c r="BI326" t="n">
        <x:f>AY326/AX326-1</x:f>
        <x:v>0.1259999999999999</x:v>
      </x:c>
      <x:c r="BJ326" t="n">
        <x:f>AZ326/AY326-1</x:f>
        <x:v>0.09399999999999964</x:v>
      </x:c>
      <x:c r="BK326" t="n">
        <x:f>BA326/AZ326-1</x:f>
        <x:v>0.062000000000000055</x:v>
      </x:c>
      <x:c r="BL326" t="n">
        <x:f>BB326/BA326-1</x:f>
        <x:v>0.030000000000000027</x:v>
      </x:c>
      <x:c r="BM326" t="n">
        <x:f>AH326*(1-'Assumptions'!$F$18)*(1+'Assumptions'!$D$18)*(1-'Assumptions'!$D$18/'Assumptions'!$E$18)</x:f>
        <x:v>678.9814382405755</x:v>
      </x:c>
      <x:c r="BN326" t="n">
        <x:f>SUMPRODUCT(AI326:AR326,'POWL Model'!$B$83:$K$83)+BM326/('Assumptions'!$C$18-'Assumptions'!$D$18)*'POWL Model'!$K$83</x:f>
        <x:v>5688.124426648215</x:v>
      </x:c>
      <x:c r="BO326" t="n">
        <x:f>'POWL Model'!$B$94</x:f>
        <x:v>230.812</x:v>
      </x:c>
      <x:c r="BP326" t="n">
        <x:f>'Inputs'!$G$8</x:f>
        <x:v>36.604</x:v>
      </x:c>
    </x:row>
    <x:row r="327">
      <x:c r="A327" t="str">
        <x:v>POWL</x:v>
      </x:c>
      <x:c r="B327" s="22" t="n">
        <x:v>0.2</x:v>
      </x:c>
      <x:c r="C327" s="42" t="n">
        <x:f>(BN327+BO327)/BP327</x:f>
        <x:v>168.53765109109273</x:v>
      </x:c>
      <x:c r="D327" s="22" t="n">
        <x:f>C327/'Inputs'!$G$5-1</x:f>
        <x:v>-0.06972649394992136</x:v>
      </x:c>
      <x:c r="E327" t="n">
        <x:f>('Assumptions'!$M$18+'Assumptions'!$N$18)*(1+$B327)^0</x:f>
        <x:v>1500</x:v>
      </x:c>
      <x:c r="F327" t="n">
        <x:f>('Assumptions'!$M$18+'Assumptions'!$N$18)*(1+$B327)^1</x:f>
        <x:v>1800</x:v>
      </x:c>
      <x:c r="G327" t="n">
        <x:f>('Assumptions'!$M$18+'Assumptions'!$N$18)*(1+$B327)^2</x:f>
        <x:v>2160</x:v>
      </x:c>
      <x:c r="H327" t="n">
        <x:f>('Assumptions'!$M$18+'Assumptions'!$N$18)*(1+$B327)^3</x:f>
        <x:v>2592</x:v>
      </x:c>
      <x:c r="I327" t="n">
        <x:f>('Assumptions'!$M$18+'Assumptions'!$N$18)*(1+$B327)^4</x:f>
        <x:v>3110.3999999999996</x:v>
      </x:c>
      <x:c r="J327" t="n">
        <x:f>I327*(1+($BG327+('Assumptions'!$D$18-$BG327)*(6-5)/5))</x:f>
        <x:v>3626.7263999999996</x:v>
      </x:c>
      <x:c r="K327" t="n">
        <x:f>J327*(1+($BG327+('Assumptions'!$D$18-$BG327)*(7-5)/5))</x:f>
        <x:v>4105.454284799999</x:v>
      </x:c>
      <x:c r="L327" t="n">
        <x:f>K327*(1+($BG327+('Assumptions'!$D$18-$BG327)*(8-5)/5))</x:f>
        <x:v>4507.788804710399</x:v>
      </x:c>
      <x:c r="M327" t="n">
        <x:f>L327*(1+($BG327+('Assumptions'!$D$18-$BG327)*(9-5)/5))</x:f>
        <x:v>4796.2872882118645</x:v>
      </x:c>
      <x:c r="N327" t="n">
        <x:f>M327*(1+($BG327+('Assumptions'!$D$18-$BG327)*(10-5)/5))</x:f>
        <x:v>4940.1759068582205</x:v>
      </x:c>
      <x:c r="O327" t="n">
        <x:f>0</x:f>
        <x:v>0</x:v>
      </x:c>
      <x:c r="P327" t="n">
        <x:f>0</x:f>
        <x:v>0</x:v>
      </x:c>
      <x:c r="Q327" t="n">
        <x:f>0</x:f>
        <x:v>0</x:v>
      </x:c>
      <x:c r="R327" t="n">
        <x:f>0</x:f>
        <x:v>0</x:v>
      </x:c>
      <x:c r="S327" t="n">
        <x:f>0</x:f>
        <x:v>0</x:v>
      </x:c>
      <x:c r="T327" t="n">
        <x:f>S327*(1+($BG327+('Assumptions'!$D$18-$BG327)*(6-5)/5))</x:f>
        <x:v>0</x:v>
      </x:c>
      <x:c r="U327" t="n">
        <x:f>T327*(1+($BG327+('Assumptions'!$D$18-$BG327)*(7-5)/5))</x:f>
        <x:v>0</x:v>
      </x:c>
      <x:c r="V327" t="n">
        <x:f>U327*(1+($BG327+('Assumptions'!$D$18-$BG327)*(8-5)/5))</x:f>
        <x:v>0</x:v>
      </x:c>
      <x:c r="W327" t="n">
        <x:f>V327*(1+($BG327+('Assumptions'!$D$18-$BG327)*(9-5)/5))</x:f>
        <x:v>0</x:v>
      </x:c>
      <x:c r="X327" t="n">
        <x:f>W327*(1+($BG327+('Assumptions'!$D$18-$BG327)*(10-5)/5))</x:f>
        <x:v>0</x:v>
      </x:c>
      <x:c r="Y327" t="n">
        <x:f>E327*'POWL Model'!$B$62+O327*'POWL Model'!$B$63+'POWL Model'!$B$73+'POWL Model'!$B$74</x:f>
        <x:v>315</x:v>
      </x:c>
      <x:c r="Z327" t="n">
        <x:f>F327*'POWL Model'!$C$62+P327*'POWL Model'!$C$63+'POWL Model'!$C$73+'POWL Model'!$C$74</x:f>
        <x:v>396</x:v>
      </x:c>
      <x:c r="AA327" t="n">
        <x:f>G327*'POWL Model'!$D$62+Q327*'POWL Model'!$D$63+'POWL Model'!$D$73+'POWL Model'!$D$74</x:f>
        <x:v>475.2</x:v>
      </x:c>
      <x:c r="AB327" t="n">
        <x:f>H327*'POWL Model'!$E$62+R327*'POWL Model'!$E$63+'POWL Model'!$E$73+'POWL Model'!$E$74</x:f>
        <x:v>557.28</x:v>
      </x:c>
      <x:c r="AC327" t="n">
        <x:f>I327*'POWL Model'!$F$62+S327*'POWL Model'!$F$63+'POWL Model'!$F$73+'POWL Model'!$F$74</x:f>
        <x:v>653.1839999999999</x:v>
      </x:c>
      <x:c r="AD327" t="n">
        <x:f>AX327*$AC327/$AW327</x:f>
        <x:v>761.6125439999997</x:v>
      </x:c>
      <x:c r="AE327" t="n">
        <x:f>AY327*$AC327/$AW327</x:f>
        <x:v>862.1453998079996</x:v>
      </x:c>
      <x:c r="AF327" t="n">
        <x:f>AZ327*$AC327/$AW327</x:f>
        <x:v>946.6356489891837</x:v>
      </x:c>
      <x:c r="AG327" t="n">
        <x:f>BA327*$AC327/$AW327</x:f>
        <x:v>1007.2203305244915</x:v>
      </x:c>
      <x:c r="AH327" t="n">
        <x:f>BB327*$AC327/$AW327</x:f>
        <x:v>1037.4369404402262</x:v>
      </x:c>
      <x:c r="AI327" t="n">
        <x:f>Y327*(1-'Assumptions'!$F$18)+AS327*'Assumptions'!$G$18-AS327*'POWL Model'!$B$65-(AS327-'Inputs'!$G$14)*'Assumptions'!$H$18-'Assumptions'!$I$18</x:f>
        <x:v>183.9</x:v>
      </x:c>
      <x:c r="AJ327" t="n">
        <x:f>Z327*(1-'Assumptions'!$F$18)+AT327*'Assumptions'!$G$18-AT327*'POWL Model'!$C$65-(AT327-AS327)*'Assumptions'!$H$18-0</x:f>
        <x:v>240.35999999999996</x:v>
      </x:c>
      <x:c r="AK327" t="n">
        <x:f>AA327*(1-'Assumptions'!$F$18)+AU327*'Assumptions'!$G$18-AU327*'POWL Model'!$D$65-(AU327-AT327)*'Assumptions'!$H$18-0</x:f>
        <x:v>294.91200000000003</x:v>
      </x:c>
      <x:c r="AL327" t="n">
        <x:f>AB327*(1-'Assumptions'!$F$18)+AV327*'Assumptions'!$G$18-AV327*'POWL Model'!$E$65-(AV327-AU327)*'Assumptions'!$H$18-0</x:f>
        <x:v>349.22880000000004</x:v>
      </x:c>
      <x:c r="AM327" t="n">
        <x:f>AC327*(1-'Assumptions'!$F$18)+AW327*'Assumptions'!$G$18-AW327*'POWL Model'!$F$65-(AW327-AV327)*'Assumptions'!$H$18-0</x:f>
        <x:v>407.25503999999995</x:v>
      </x:c>
      <x:c r="AN327" t="n">
        <x:f>AD327*(1-'Assumptions'!$F$18)+AX327*'Assumptions'!$G$18-AX327*'POWL Model'!$G$65-(AX327-AW327)*'Assumptions'!$H$18-0</x:f>
        <x:v>483.6721766399998</x:v>
      </x:c>
      <x:c r="AO327" t="n">
        <x:f>AE327*(1-'Assumptions'!$F$18)+AY327*'Assumptions'!$G$18-AY327*'POWL Model'!$H$65-(AY327-AX327)*'Assumptions'!$H$18-0</x:f>
        <x:v>558.0922639564799</x:v>
      </x:c>
      <x:c r="AP327" t="n">
        <x:f>AF327*(1-'Assumptions'!$F$18)+AZ327*'Assumptions'!$G$18-AZ327*'POWL Model'!$I$65-(AZ327-AY327)*'Assumptions'!$H$18-0</x:f>
        <x:v>625.1161755842148</x:v>
      </x:c>
      <x:c r="AQ327" t="n">
        <x:f>AG327*(1-'Assumptions'!$F$18)+BA327*'Assumptions'!$G$18-BA327*'POWL Model'!$J$65-(BA327-AZ327)*'Assumptions'!$H$18-0</x:f>
        <x:v>679.0821553899247</x:v>
      </x:c>
      <x:c r="AR327" t="n">
        <x:f>AH327*(1-'Assumptions'!$F$18)+BB327*'Assumptions'!$G$18-BB327*'POWL Model'!$K$65-(BB327-BA327)*'Assumptions'!$H$18-0</x:f>
        <x:v>714.7811019876376</x:v>
      </x:c>
      <x:c r="AS327" t="n">
        <x:f>E327+O327</x:f>
        <x:v>1500</x:v>
      </x:c>
      <x:c r="AT327" t="n">
        <x:f>F327+P327</x:f>
        <x:v>1800</x:v>
      </x:c>
      <x:c r="AU327" t="n">
        <x:f>G327+Q327</x:f>
        <x:v>2160</x:v>
      </x:c>
      <x:c r="AV327" t="n">
        <x:f>H327+R327</x:f>
        <x:v>2592</x:v>
      </x:c>
      <x:c r="AW327" t="n">
        <x:f>I327+S327</x:f>
        <x:v>3110.3999999999996</x:v>
      </x:c>
      <x:c r="AX327" t="n">
        <x:f>J327+T327</x:f>
        <x:v>3626.7263999999996</x:v>
      </x:c>
      <x:c r="AY327" t="n">
        <x:f>K327+U327</x:f>
        <x:v>4105.454284799999</x:v>
      </x:c>
      <x:c r="AZ327" t="n">
        <x:f>L327+V327</x:f>
        <x:v>4507.788804710399</x:v>
      </x:c>
      <x:c r="BA327" t="n">
        <x:f>M327+W327</x:f>
        <x:v>4796.2872882118645</x:v>
      </x:c>
      <x:c r="BB327" t="n">
        <x:f>N327+X327</x:f>
        <x:v>4940.1759068582205</x:v>
      </x:c>
      <x:c r="BC327" t="n">
        <x:f>AS327/'Inputs'!$G$14-1</x:f>
        <x:v>0.25</x:v>
      </x:c>
      <x:c r="BD327" t="n">
        <x:f>AT327/AS327-1</x:f>
        <x:v>0.19999999999999996</x:v>
      </x:c>
      <x:c r="BE327" t="n">
        <x:f>AU327/AT327-1</x:f>
        <x:v>0.19999999999999996</x:v>
      </x:c>
      <x:c r="BF327" t="n">
        <x:f>AV327/AU327-1</x:f>
        <x:v>0.19999999999999996</x:v>
      </x:c>
      <x:c r="BG327" t="n">
        <x:f>AW327/AV327-1</x:f>
        <x:v>0.19999999999999996</x:v>
      </x:c>
      <x:c r="BH327" t="n">
        <x:f>AX327/AW327-1</x:f>
        <x:v>0.16599999999999993</x:v>
      </x:c>
      <x:c r="BI327" t="n">
        <x:f>AY327/AX327-1</x:f>
        <x:v>0.1319999999999999</x:v>
      </x:c>
      <x:c r="BJ327" t="n">
        <x:f>AZ327/AY327-1</x:f>
        <x:v>0.09799999999999986</x:v>
      </x:c>
      <x:c r="BK327" t="n">
        <x:f>BA327/AZ327-1</x:f>
        <x:v>0.06400000000000006</x:v>
      </x:c>
      <x:c r="BL327" t="n">
        <x:f>BB327/BA327-1</x:f>
        <x:v>0.030000000000000027</x:v>
      </x:c>
      <x:c r="BM327" t="n">
        <x:f>AH327*(1-'Assumptions'!$F$18)*(1+'Assumptions'!$D$18)*(1-'Assumptions'!$D$18/'Assumptions'!$E$18)</x:f>
        <x:v>714.652960539416</x:v>
      </x:c>
      <x:c r="BN327" t="n">
        <x:f>SUMPRODUCT(AI327:AR327,'POWL Model'!$B$83:$K$83)+BM327/('Assumptions'!$C$18-'Assumptions'!$D$18)*'POWL Model'!$K$83</x:f>
        <x:v>5938.340180538358</x:v>
      </x:c>
      <x:c r="BO327" t="n">
        <x:f>'POWL Model'!$B$94</x:f>
        <x:v>230.812</x:v>
      </x:c>
      <x:c r="BP327" t="n">
        <x:f>'Inputs'!$G$8</x:f>
        <x:v>36.604</x:v>
      </x:c>
    </x:row>
    <x:row r="328">
      <x:c r="A328" t="str">
        <x:v>POWL</x:v>
      </x:c>
      <x:c r="B328" s="22" t="n">
        <x:v>0.21</x:v>
      </x:c>
      <x:c r="C328" s="42" t="n">
        <x:f>(BN328+BO328)/BP328</x:f>
        <x:v>175.65754894719768</x:v>
      </x:c>
      <x:c r="D328" s="22" t="n">
        <x:f>C328/'Inputs'!$G$5-1</x:f>
        <x:v>-0.0304269528774207</x:v>
      </x:c>
      <x:c r="E328" t="n">
        <x:f>('Assumptions'!$M$18+'Assumptions'!$N$18)*(1+$B328)^0</x:f>
        <x:v>1500</x:v>
      </x:c>
      <x:c r="F328" t="n">
        <x:f>('Assumptions'!$M$18+'Assumptions'!$N$18)*(1+$B328)^1</x:f>
        <x:v>1815</x:v>
      </x:c>
      <x:c r="G328" t="n">
        <x:f>('Assumptions'!$M$18+'Assumptions'!$N$18)*(1+$B328)^2</x:f>
        <x:v>2196.15</x:v>
      </x:c>
      <x:c r="H328" t="n">
        <x:f>('Assumptions'!$M$18+'Assumptions'!$N$18)*(1+$B328)^3</x:f>
        <x:v>2657.3415</x:v>
      </x:c>
      <x:c r="I328" t="n">
        <x:f>('Assumptions'!$M$18+'Assumptions'!$N$18)*(1+$B328)^4</x:f>
        <x:v>3215.383215</x:v>
      </x:c>
      <x:c r="J328" t="n">
        <x:f>I328*(1+($BG328+('Assumptions'!$D$18-$BG328)*(6-5)/5))</x:f>
        <x:v>3774.8598944099995</x:v>
      </x:c>
      <x:c r="K328" t="n">
        <x:f>J328*(1+($BG328+('Assumptions'!$D$18-$BG328)*(7-5)/5))</x:f>
        <x:v>4295.790559838579</x:v>
      </x:c>
      <x:c r="L328" t="n">
        <x:f>K328*(1+($BG328+('Assumptions'!$D$18-$BG328)*(8-5)/5))</x:f>
        <x:v>4733.961196942113</x:v>
      </x:c>
      <x:c r="M328" t="n">
        <x:f>L328*(1+($BG328+('Assumptions'!$D$18-$BG328)*(9-5)/5))</x:f>
        <x:v>5046.402635940292</x:v>
      </x:c>
      <x:c r="N328" t="n">
        <x:f>M328*(1+($BG328+('Assumptions'!$D$18-$BG328)*(10-5)/5))</x:f>
        <x:v>5197.794715018501</x:v>
      </x:c>
      <x:c r="O328" t="n">
        <x:f>0</x:f>
        <x:v>0</x:v>
      </x:c>
      <x:c r="P328" t="n">
        <x:f>0</x:f>
        <x:v>0</x:v>
      </x:c>
      <x:c r="Q328" t="n">
        <x:f>0</x:f>
        <x:v>0</x:v>
      </x:c>
      <x:c r="R328" t="n">
        <x:f>0</x:f>
        <x:v>0</x:v>
      </x:c>
      <x:c r="S328" t="n">
        <x:f>0</x:f>
        <x:v>0</x:v>
      </x:c>
      <x:c r="T328" t="n">
        <x:f>S328*(1+($BG328+('Assumptions'!$D$18-$BG328)*(6-5)/5))</x:f>
        <x:v>0</x:v>
      </x:c>
      <x:c r="U328" t="n">
        <x:f>T328*(1+($BG328+('Assumptions'!$D$18-$BG328)*(7-5)/5))</x:f>
        <x:v>0</x:v>
      </x:c>
      <x:c r="V328" t="n">
        <x:f>U328*(1+($BG328+('Assumptions'!$D$18-$BG328)*(8-5)/5))</x:f>
        <x:v>0</x:v>
      </x:c>
      <x:c r="W328" t="n">
        <x:f>V328*(1+($BG328+('Assumptions'!$D$18-$BG328)*(9-5)/5))</x:f>
        <x:v>0</x:v>
      </x:c>
      <x:c r="X328" t="n">
        <x:f>W328*(1+($BG328+('Assumptions'!$D$18-$BG328)*(10-5)/5))</x:f>
        <x:v>0</x:v>
      </x:c>
      <x:c r="Y328" t="n">
        <x:f>E328*'POWL Model'!$B$62+O328*'POWL Model'!$B$63+'POWL Model'!$B$73+'POWL Model'!$B$74</x:f>
        <x:v>315</x:v>
      </x:c>
      <x:c r="Z328" t="n">
        <x:f>F328*'POWL Model'!$C$62+P328*'POWL Model'!$C$63+'POWL Model'!$C$73+'POWL Model'!$C$74</x:f>
        <x:v>399.3</x:v>
      </x:c>
      <x:c r="AA328" t="n">
        <x:f>G328*'POWL Model'!$D$62+Q328*'POWL Model'!$D$63+'POWL Model'!$D$73+'POWL Model'!$D$74</x:f>
        <x:v>483.153</x:v>
      </x:c>
      <x:c r="AB328" t="n">
        <x:f>H328*'POWL Model'!$E$62+R328*'POWL Model'!$E$63+'POWL Model'!$E$73+'POWL Model'!$E$74</x:f>
        <x:v>571.3284225</x:v>
      </x:c>
      <x:c r="AC328" t="n">
        <x:f>I328*'POWL Model'!$F$62+S328*'POWL Model'!$F$63+'POWL Model'!$F$73+'POWL Model'!$F$74</x:f>
        <x:v>675.23047515</x:v>
      </x:c>
      <x:c r="AD328" t="n">
        <x:f>AX328*$AC328/$AW328</x:f>
        <x:v>792.7205778260999</x:v>
      </x:c>
      <x:c r="AE328" t="n">
        <x:f>AY328*$AC328/$AW328</x:f>
        <x:v>902.1160175661016</x:v>
      </x:c>
      <x:c r="AF328" t="n">
        <x:f>AZ328*$AC328/$AW328</x:f>
        <x:v>994.1318513578436</x:v>
      </x:c>
      <x:c r="AG328" t="n">
        <x:f>BA328*$AC328/$AW328</x:f>
        <x:v>1059.7445535474615</x:v>
      </x:c>
      <x:c r="AH328" t="n">
        <x:f>BB328*$AC328/$AW328</x:f>
        <x:v>1091.5368901538852</x:v>
      </x:c>
      <x:c r="AI328" t="n">
        <x:f>Y328*(1-'Assumptions'!$F$18)+AS328*'Assumptions'!$G$18-AS328*'POWL Model'!$B$65-(AS328-'Inputs'!$G$14)*'Assumptions'!$H$18-'Assumptions'!$I$18</x:f>
        <x:v>183.9</x:v>
      </x:c>
      <x:c r="AJ328" t="n">
        <x:f>Z328*(1-'Assumptions'!$F$18)+AT328*'Assumptions'!$G$18-AT328*'POWL Model'!$C$65-(AT328-AS328)*'Assumptions'!$H$18-0</x:f>
        <x:v>241.113</x:v>
      </x:c>
      <x:c r="AK328" t="n">
        <x:f>AA328*(1-'Assumptions'!$F$18)+AU328*'Assumptions'!$G$18-AU328*'POWL Model'!$D$65-(AU328-AT328)*'Assumptions'!$H$18-0</x:f>
        <x:v>298.33518000000004</x:v>
      </x:c>
      <x:c r="AL328" t="n">
        <x:f>AB328*(1-'Assumptions'!$F$18)+AV328*'Assumptions'!$G$18-AV328*'POWL Model'!$E$65-(AV328-AU328)*'Assumptions'!$H$18-0</x:f>
        <x:v>356.2023531</x:v>
      </x:c>
      <x:c r="AM328" t="n">
        <x:f>AC328*(1-'Assumptions'!$F$18)+AW328*'Assumptions'!$G$18-AW328*'POWL Model'!$F$65-(AW328-AV328)*'Assumptions'!$H$18-0</x:f>
        <x:v>418.78639103399996</x:v>
      </x:c>
      <x:c r="AN328" t="n">
        <x:f>AD328*(1-'Assumptions'!$F$18)+AX328*'Assumptions'!$G$18-AX328*'POWL Model'!$G$65-(AX328-AW328)*'Assumptions'!$H$18-0</x:f>
        <x:v>501.22165247391604</x:v>
      </x:c>
      <x:c r="AO328" t="n">
        <x:f>AE328*(1-'Assumptions'!$F$18)+AY328*'Assumptions'!$G$18-AY328*'POWL Model'!$H$65-(AY328-AX328)*'Assumptions'!$H$18-0</x:f>
        <x:v>581.9656200893164</x:v>
      </x:c>
      <x:c r="AP328" t="n">
        <x:f>AF328*(1-'Assumptions'!$F$18)+AZ328*'Assumptions'!$G$18-AZ328*'POWL Model'!$I$65-(AZ328-AY328)*'Assumptions'!$H$18-0</x:f>
        <x:v>654.9156089583024</x:v>
      </x:c>
      <x:c r="AQ328" t="n">
        <x:f>AG328*(1-'Assumptions'!$F$18)+BA328*'Assumptions'!$G$18-BA328*'POWL Model'!$J$65-(BA328-AZ328)*'Assumptions'!$H$18-0</x:f>
        <x:v>713.6048851649693</x:v>
      </x:c>
      <x:c r="AR328" t="n">
        <x:f>AH328*(1-'Assumptions'!$F$18)+BB328*'Assumptions'!$G$18-BB328*'POWL Model'!$K$65-(BB328-BA328)*'Assumptions'!$H$18-0</x:f>
        <x:v>752.05529202891</x:v>
      </x:c>
      <x:c r="AS328" t="n">
        <x:f>E328+O328</x:f>
        <x:v>1500</x:v>
      </x:c>
      <x:c r="AT328" t="n">
        <x:f>F328+P328</x:f>
        <x:v>1815</x:v>
      </x:c>
      <x:c r="AU328" t="n">
        <x:f>G328+Q328</x:f>
        <x:v>2196.15</x:v>
      </x:c>
      <x:c r="AV328" t="n">
        <x:f>H328+R328</x:f>
        <x:v>2657.3415</x:v>
      </x:c>
      <x:c r="AW328" t="n">
        <x:f>I328+S328</x:f>
        <x:v>3215.383215</x:v>
      </x:c>
      <x:c r="AX328" t="n">
        <x:f>J328+T328</x:f>
        <x:v>3774.8598944099995</x:v>
      </x:c>
      <x:c r="AY328" t="n">
        <x:f>K328+U328</x:f>
        <x:v>4295.790559838579</x:v>
      </x:c>
      <x:c r="AZ328" t="n">
        <x:f>L328+V328</x:f>
        <x:v>4733.961196942113</x:v>
      </x:c>
      <x:c r="BA328" t="n">
        <x:f>M328+W328</x:f>
        <x:v>5046.402635940292</x:v>
      </x:c>
      <x:c r="BB328" t="n">
        <x:f>N328+X328</x:f>
        <x:v>5197.794715018501</x:v>
      </x:c>
      <x:c r="BC328" t="n">
        <x:f>AS328/'Inputs'!$G$14-1</x:f>
        <x:v>0.25</x:v>
      </x:c>
      <x:c r="BD328" t="n">
        <x:f>AT328/AS328-1</x:f>
        <x:v>0.20999999999999996</x:v>
      </x:c>
      <x:c r="BE328" t="n">
        <x:f>AU328/AT328-1</x:f>
        <x:v>0.20999999999999996</x:v>
      </x:c>
      <x:c r="BF328" t="n">
        <x:f>AV328/AU328-1</x:f>
        <x:v>0.20999999999999996</x:v>
      </x:c>
      <x:c r="BG328" t="n">
        <x:f>AW328/AV328-1</x:f>
        <x:v>0.20999999999999996</x:v>
      </x:c>
      <x:c r="BH328" t="n">
        <x:f>AX328/AW328-1</x:f>
        <x:v>0.17399999999999993</x:v>
      </x:c>
      <x:c r="BI328" t="n">
        <x:f>AY328/AX328-1</x:f>
        <x:v>0.1379999999999999</x:v>
      </x:c>
      <x:c r="BJ328" t="n">
        <x:f>AZ328/AY328-1</x:f>
        <x:v>0.10199999999999987</x:v>
      </x:c>
      <x:c r="BK328" t="n">
        <x:f>BA328/AZ328-1</x:f>
        <x:v>0.06600000000000006</x:v>
      </x:c>
      <x:c r="BL328" t="n">
        <x:f>BB328/BA328-1</x:f>
        <x:v>0.030000000000000027</x:v>
      </x:c>
      <x:c r="BM328" t="n">
        <x:f>AH328*(1-'Assumptions'!$F$18)*(1+'Assumptions'!$D$18)*(1-'Assumptions'!$D$18/'Assumptions'!$E$18)</x:f>
        <x:v>751.9204682989661</x:v>
      </x:c>
      <x:c r="BN328" t="n">
        <x:f>SUMPRODUCT(AI328:AR328,'POWL Model'!$B$83:$K$83)+BM328/('Assumptions'!$C$18-'Assumptions'!$D$18)*'POWL Model'!$K$83</x:f>
        <x:v>6198.9569216632235</x:v>
      </x:c>
      <x:c r="BO328" t="n">
        <x:f>'POWL Model'!$B$94</x:f>
        <x:v>230.812</x:v>
      </x:c>
      <x:c r="BP328" t="n">
        <x:f>'Inputs'!$G$8</x:f>
        <x:v>36.604</x:v>
      </x:c>
    </x:row>
    <x:row r="329">
      <x:c r="A329" t="str">
        <x:v>POWL</x:v>
      </x:c>
      <x:c r="B329" s="22" t="n">
        <x:v>0.22</x:v>
      </x:c>
      <x:c r="C329" s="42" t="n">
        <x:f>(BN329+BO329)/BP329</x:f>
        <x:v>183.07168119384662</x:v>
      </x:c>
      <x:c r="D329" s="22" t="n">
        <x:f>C329/'Inputs'!$G$5-1</x:f>
        <x:v>0.010496667184669795</x:v>
      </x:c>
      <x:c r="E329" t="n">
        <x:f>('Assumptions'!$M$18+'Assumptions'!$N$18)*(1+$B329)^0</x:f>
        <x:v>1500</x:v>
      </x:c>
      <x:c r="F329" t="n">
        <x:f>('Assumptions'!$M$18+'Assumptions'!$N$18)*(1+$B329)^1</x:f>
        <x:v>1830</x:v>
      </x:c>
      <x:c r="G329" t="n">
        <x:f>('Assumptions'!$M$18+'Assumptions'!$N$18)*(1+$B329)^2</x:f>
        <x:v>2232.6</x:v>
      </x:c>
      <x:c r="H329" t="n">
        <x:f>('Assumptions'!$M$18+'Assumptions'!$N$18)*(1+$B329)^3</x:f>
        <x:v>2723.772</x:v>
      </x:c>
      <x:c r="I329" t="n">
        <x:f>('Assumptions'!$M$18+'Assumptions'!$N$18)*(1+$B329)^4</x:f>
        <x:v>3323.0018399999994</x:v>
      </x:c>
      <x:c r="J329" t="n">
        <x:f>I329*(1+($BG329+('Assumptions'!$D$18-$BG329)*(6-5)/5))</x:f>
        <x:v>3927.788174879998</x:v>
      </x:c>
      <x:c r="K329" t="n">
        <x:f>J329*(1+($BG329+('Assumptions'!$D$18-$BG329)*(7-5)/5))</x:f>
        <x:v>4493.389672062717</x:v>
      </x:c>
      <x:c r="L329" t="n">
        <x:f>K329*(1+($BG329+('Assumptions'!$D$18-$BG329)*(8-5)/5))</x:f>
        <x:v>4969.6889773013645</x:v>
      </x:c>
      <x:c r="M329" t="n">
        <x:f>L329*(1+($BG329+('Assumptions'!$D$18-$BG329)*(9-5)/5))</x:f>
        <x:v>5307.627827757858</x:v>
      </x:c>
      <x:c r="N329" t="n">
        <x:f>M329*(1+($BG329+('Assumptions'!$D$18-$BG329)*(10-5)/5))</x:f>
        <x:v>5466.856662590593</x:v>
      </x:c>
      <x:c r="O329" t="n">
        <x:f>0</x:f>
        <x:v>0</x:v>
      </x:c>
      <x:c r="P329" t="n">
        <x:f>0</x:f>
        <x:v>0</x:v>
      </x:c>
      <x:c r="Q329" t="n">
        <x:f>0</x:f>
        <x:v>0</x:v>
      </x:c>
      <x:c r="R329" t="n">
        <x:f>0</x:f>
        <x:v>0</x:v>
      </x:c>
      <x:c r="S329" t="n">
        <x:f>0</x:f>
        <x:v>0</x:v>
      </x:c>
      <x:c r="T329" t="n">
        <x:f>S329*(1+($BG329+('Assumptions'!$D$18-$BG329)*(6-5)/5))</x:f>
        <x:v>0</x:v>
      </x:c>
      <x:c r="U329" t="n">
        <x:f>T329*(1+($BG329+('Assumptions'!$D$18-$BG329)*(7-5)/5))</x:f>
        <x:v>0</x:v>
      </x:c>
      <x:c r="V329" t="n">
        <x:f>U329*(1+($BG329+('Assumptions'!$D$18-$BG329)*(8-5)/5))</x:f>
        <x:v>0</x:v>
      </x:c>
      <x:c r="W329" t="n">
        <x:f>V329*(1+($BG329+('Assumptions'!$D$18-$BG329)*(9-5)/5))</x:f>
        <x:v>0</x:v>
      </x:c>
      <x:c r="X329" t="n">
        <x:f>W329*(1+($BG329+('Assumptions'!$D$18-$BG329)*(10-5)/5))</x:f>
        <x:v>0</x:v>
      </x:c>
      <x:c r="Y329" t="n">
        <x:f>E329*'POWL Model'!$B$62+O329*'POWL Model'!$B$63+'POWL Model'!$B$73+'POWL Model'!$B$74</x:f>
        <x:v>315</x:v>
      </x:c>
      <x:c r="Z329" t="n">
        <x:f>F329*'POWL Model'!$C$62+P329*'POWL Model'!$C$63+'POWL Model'!$C$73+'POWL Model'!$C$74</x:f>
        <x:v>402.6</x:v>
      </x:c>
      <x:c r="AA329" t="n">
        <x:f>G329*'POWL Model'!$D$62+Q329*'POWL Model'!$D$63+'POWL Model'!$D$73+'POWL Model'!$D$74</x:f>
        <x:v>491.17199999999997</x:v>
      </x:c>
      <x:c r="AB329" t="n">
        <x:f>H329*'POWL Model'!$E$62+R329*'POWL Model'!$E$63+'POWL Model'!$E$73+'POWL Model'!$E$74</x:f>
        <x:v>585.6109799999999</x:v>
      </x:c>
      <x:c r="AC329" t="n">
        <x:f>I329*'POWL Model'!$F$62+S329*'POWL Model'!$F$63+'POWL Model'!$F$73+'POWL Model'!$F$74</x:f>
        <x:v>697.8303863999998</x:v>
      </x:c>
      <x:c r="AD329" t="n">
        <x:f>AX329*$AC329/$AW329</x:f>
        <x:v>824.8355167247996</x:v>
      </x:c>
      <x:c r="AE329" t="n">
        <x:f>AY329*$AC329/$AW329</x:f>
        <x:v>943.6118311331705</x:v>
      </x:c>
      <x:c r="AF329" t="n">
        <x:f>AZ329*$AC329/$AW329</x:f>
        <x:v>1043.6346852332865</x:v>
      </x:c>
      <x:c r="AG329" t="n">
        <x:f>BA329*$AC329/$AW329</x:f>
        <x:v>1114.60184382915</x:v>
      </x:c>
      <x:c r="AH329" t="n">
        <x:f>BB329*$AC329/$AW329</x:f>
        <x:v>1148.0398991440245</x:v>
      </x:c>
      <x:c r="AI329" t="n">
        <x:f>Y329*(1-'Assumptions'!$F$18)+AS329*'Assumptions'!$G$18-AS329*'POWL Model'!$B$65-(AS329-'Inputs'!$G$14)*'Assumptions'!$H$18-'Assumptions'!$I$18</x:f>
        <x:v>183.9</x:v>
      </x:c>
      <x:c r="AJ329" t="n">
        <x:f>Z329*(1-'Assumptions'!$F$18)+AT329*'Assumptions'!$G$18-AT329*'POWL Model'!$C$65-(AT329-AS329)*'Assumptions'!$H$18-0</x:f>
        <x:v>241.86599999999999</x:v>
      </x:c>
      <x:c r="AK329" t="n">
        <x:f>AA329*(1-'Assumptions'!$F$18)+AU329*'Assumptions'!$G$18-AU329*'POWL Model'!$D$65-(AU329-AT329)*'Assumptions'!$H$18-0</x:f>
        <x:v>301.77432</x:v>
      </x:c>
      <x:c r="AL329" t="n">
        <x:f>AB329*(1-'Assumptions'!$F$18)+AV329*'Assumptions'!$G$18-AV329*'POWL Model'!$E$65-(AV329-AU329)*'Assumptions'!$H$18-0</x:f>
        <x:v>363.2618807999999</x:v>
      </x:c>
      <x:c r="AM329" t="n">
        <x:f>AC329*(1-'Assumptions'!$F$18)+AW329*'Assumptions'!$G$18-AW329*'POWL Model'!$F$65-(AW329-AV329)*'Assumptions'!$H$18-0</x:f>
        <x:v>430.552087584</x:v>
      </x:c>
      <x:c r="AN329" t="n">
        <x:f>AD329*(1-'Assumptions'!$F$18)+AX329*'Assumptions'!$G$18-AX329*'POWL Model'!$G$65-(AX329-AW329)*'Assumptions'!$H$18-0</x:f>
        <x:v>519.2629011242877</x:v>
      </x:c>
      <x:c r="AO329" t="n">
        <x:f>AE329*(1-'Assumptions'!$F$18)+AY329*'Assumptions'!$G$18-AY329*'POWL Model'!$H$65-(AY329-AX329)*'Assumptions'!$H$18-0</x:f>
        <x:v>606.6641658781851</x:v>
      </x:c>
      <x:c r="AP329" t="n">
        <x:f>AF329*(1-'Assumptions'!$F$18)+AZ329*'Assumptions'!$G$18-AZ329*'POWL Model'!$I$65-(AZ329-AY329)*'Assumptions'!$H$18-0</x:f>
        <x:v>685.8961625258166</x:v>
      </x:c>
      <x:c r="AQ329" t="n">
        <x:f>AG329*(1-'Assumptions'!$F$18)+BA329*'Assumptions'!$G$18-BA329*'POWL Model'!$J$65-(BA329-AZ329)*'Assumptions'!$H$18-0</x:f>
        <x:v>749.6119823314104</x:v>
      </x:c>
      <x:c r="AR329" t="n">
        <x:f>AH329*(1-'Assumptions'!$F$18)+BB329*'Assumptions'!$G$18-BB329*'POWL Model'!$K$65-(BB329-BA329)*'Assumptions'!$H$18-0</x:f>
        <x:v>790.9851599150978</x:v>
      </x:c>
      <x:c r="AS329" t="n">
        <x:f>E329+O329</x:f>
        <x:v>1500</x:v>
      </x:c>
      <x:c r="AT329" t="n">
        <x:f>F329+P329</x:f>
        <x:v>1830</x:v>
      </x:c>
      <x:c r="AU329" t="n">
        <x:f>G329+Q329</x:f>
        <x:v>2232.6</x:v>
      </x:c>
      <x:c r="AV329" t="n">
        <x:f>H329+R329</x:f>
        <x:v>2723.772</x:v>
      </x:c>
      <x:c r="AW329" t="n">
        <x:f>I329+S329</x:f>
        <x:v>3323.0018399999994</x:v>
      </x:c>
      <x:c r="AX329" t="n">
        <x:f>J329+T329</x:f>
        <x:v>3927.788174879998</x:v>
      </x:c>
      <x:c r="AY329" t="n">
        <x:f>K329+U329</x:f>
        <x:v>4493.389672062717</x:v>
      </x:c>
      <x:c r="AZ329" t="n">
        <x:f>L329+V329</x:f>
        <x:v>4969.6889773013645</x:v>
      </x:c>
      <x:c r="BA329" t="n">
        <x:f>M329+W329</x:f>
        <x:v>5307.627827757858</x:v>
      </x:c>
      <x:c r="BB329" t="n">
        <x:f>N329+X329</x:f>
        <x:v>5466.856662590593</x:v>
      </x:c>
      <x:c r="BC329" t="n">
        <x:f>AS329/'Inputs'!$G$14-1</x:f>
        <x:v>0.25</x:v>
      </x:c>
      <x:c r="BD329" t="n">
        <x:f>AT329/AS329-1</x:f>
        <x:v>0.21999999999999997</x:v>
      </x:c>
      <x:c r="BE329" t="n">
        <x:f>AU329/AT329-1</x:f>
        <x:v>0.21999999999999997</x:v>
      </x:c>
      <x:c r="BF329" t="n">
        <x:f>AV329/AU329-1</x:f>
        <x:v>0.21999999999999997</x:v>
      </x:c>
      <x:c r="BG329" t="n">
        <x:f>AW329/AV329-1</x:f>
        <x:v>0.21999999999999975</x:v>
      </x:c>
      <x:c r="BH329" t="n">
        <x:f>AX329/AW329-1</x:f>
        <x:v>0.18199999999999972</x:v>
      </x:c>
      <x:c r="BI329" t="n">
        <x:f>AY329/AX329-1</x:f>
        <x:v>0.1439999999999999</x:v>
      </x:c>
      <x:c r="BJ329" t="n">
        <x:f>AZ329/AY329-1</x:f>
        <x:v>0.10599999999999987</x:v>
      </x:c>
      <x:c r="BK329" t="n">
        <x:f>BA329/AZ329-1</x:f>
        <x:v>0.06800000000000006</x:v>
      </x:c>
      <x:c r="BL329" t="n">
        <x:f>BB329/BA329-1</x:f>
        <x:v>0.030000000000000027</x:v>
      </x:c>
      <x:c r="BM329" t="n">
        <x:f>AH329*(1-'Assumptions'!$F$18)*(1+'Assumptions'!$D$18)*(1-'Assumptions'!$D$18/'Assumptions'!$E$18)</x:f>
        <x:v>790.8433570839494</x:v>
      </x:c>
      <x:c r="BN329" t="n">
        <x:f>SUMPRODUCT(AI329:AR329,'POWL Model'!$B$83:$K$83)+BM329/('Assumptions'!$C$18-'Assumptions'!$D$18)*'POWL Model'!$K$83</x:f>
        <x:v>6470.343818419561</x:v>
      </x:c>
      <x:c r="BO329" t="n">
        <x:f>'POWL Model'!$B$94</x:f>
        <x:v>230.812</x:v>
      </x:c>
      <x:c r="BP329" t="n">
        <x:f>'Inputs'!$G$8</x:f>
        <x:v>36.604</x:v>
      </x:c>
    </x:row>
    <x:row r="330">
      <x:c r="A330" t="str">
        <x:v>POWL</x:v>
      </x:c>
      <x:c r="B330" s="22" t="n">
        <x:v>0.23</x:v>
      </x:c>
      <x:c r="C330" s="42" t="n">
        <x:f>(BN330+BO330)/BP330</x:f>
        <x:v>190.79042506447024</x:v>
      </x:c>
      <x:c r="D330" s="22" t="n">
        <x:f>C330/'Inputs'!$G$5-1</x:f>
        <x:v>0.05310164521979499</x:v>
      </x:c>
      <x:c r="E330" t="n">
        <x:f>('Assumptions'!$M$18+'Assumptions'!$N$18)*(1+$B330)^0</x:f>
        <x:v>1500</x:v>
      </x:c>
      <x:c r="F330" t="n">
        <x:f>('Assumptions'!$M$18+'Assumptions'!$N$18)*(1+$B330)^1</x:f>
        <x:v>1845</x:v>
      </x:c>
      <x:c r="G330" t="n">
        <x:f>('Assumptions'!$M$18+'Assumptions'!$N$18)*(1+$B330)^2</x:f>
        <x:v>2269.35</x:v>
      </x:c>
      <x:c r="H330" t="n">
        <x:f>('Assumptions'!$M$18+'Assumptions'!$N$18)*(1+$B330)^3</x:f>
        <x:v>2791.3005</x:v>
      </x:c>
      <x:c r="I330" t="n">
        <x:f>('Assumptions'!$M$18+'Assumptions'!$N$18)*(1+$B330)^4</x:f>
        <x:v>3433.299615</x:v>
      </x:c>
      <x:c r="J330" t="n">
        <x:f>I330*(1+($BG330+('Assumptions'!$D$18-$BG330)*(6-5)/5))</x:f>
        <x:v>4085.6265418499997</x:v>
      </x:c>
      <x:c r="K330" t="n">
        <x:f>J330*(1+($BG330+('Assumptions'!$D$18-$BG330)*(7-5)/5))</x:f>
        <x:v>4698.470523127499</x:v>
      </x:c>
      <x:c r="L330" t="n">
        <x:f>K330*(1+($BG330+('Assumptions'!$D$18-$BG330)*(8-5)/5))</x:f>
        <x:v>5215.3022806715235</x:v>
      </x:c>
      <x:c r="M330" t="n">
        <x:f>L330*(1+($BG330+('Assumptions'!$D$18-$BG330)*(9-5)/5))</x:f>
        <x:v>5580.373440318531</x:v>
      </x:c>
      <x:c r="N330" t="n">
        <x:f>M330*(1+($BG330+('Assumptions'!$D$18-$BG330)*(10-5)/5))</x:f>
        <x:v>5747.784643528087</x:v>
      </x:c>
      <x:c r="O330" t="n">
        <x:f>0</x:f>
        <x:v>0</x:v>
      </x:c>
      <x:c r="P330" t="n">
        <x:f>0</x:f>
        <x:v>0</x:v>
      </x:c>
      <x:c r="Q330" t="n">
        <x:f>0</x:f>
        <x:v>0</x:v>
      </x:c>
      <x:c r="R330" t="n">
        <x:f>0</x:f>
        <x:v>0</x:v>
      </x:c>
      <x:c r="S330" t="n">
        <x:f>0</x:f>
        <x:v>0</x:v>
      </x:c>
      <x:c r="T330" t="n">
        <x:f>S330*(1+($BG330+('Assumptions'!$D$18-$BG330)*(6-5)/5))</x:f>
        <x:v>0</x:v>
      </x:c>
      <x:c r="U330" t="n">
        <x:f>T330*(1+($BG330+('Assumptions'!$D$18-$BG330)*(7-5)/5))</x:f>
        <x:v>0</x:v>
      </x:c>
      <x:c r="V330" t="n">
        <x:f>U330*(1+($BG330+('Assumptions'!$D$18-$BG330)*(8-5)/5))</x:f>
        <x:v>0</x:v>
      </x:c>
      <x:c r="W330" t="n">
        <x:f>V330*(1+($BG330+('Assumptions'!$D$18-$BG330)*(9-5)/5))</x:f>
        <x:v>0</x:v>
      </x:c>
      <x:c r="X330" t="n">
        <x:f>W330*(1+($BG330+('Assumptions'!$D$18-$BG330)*(10-5)/5))</x:f>
        <x:v>0</x:v>
      </x:c>
      <x:c r="Y330" t="n">
        <x:f>E330*'POWL Model'!$B$62+O330*'POWL Model'!$B$63+'POWL Model'!$B$73+'POWL Model'!$B$74</x:f>
        <x:v>315</x:v>
      </x:c>
      <x:c r="Z330" t="n">
        <x:f>F330*'POWL Model'!$C$62+P330*'POWL Model'!$C$63+'POWL Model'!$C$73+'POWL Model'!$C$74</x:f>
        <x:v>405.9</x:v>
      </x:c>
      <x:c r="AA330" t="n">
        <x:f>G330*'POWL Model'!$D$62+Q330*'POWL Model'!$D$63+'POWL Model'!$D$73+'POWL Model'!$D$74</x:f>
        <x:v>499.257</x:v>
      </x:c>
      <x:c r="AB330" t="n">
        <x:f>H330*'POWL Model'!$E$62+R330*'POWL Model'!$E$63+'POWL Model'!$E$73+'POWL Model'!$E$74</x:f>
        <x:v>600.1296074999999</x:v>
      </x:c>
      <x:c r="AC330" t="n">
        <x:f>I330*'POWL Model'!$F$62+S330*'POWL Model'!$F$63+'POWL Model'!$F$73+'POWL Model'!$F$74</x:f>
        <x:v>720.9929191499999</x:v>
      </x:c>
      <x:c r="AD330" t="n">
        <x:f>AX330*$AC330/$AW330</x:f>
        <x:v>857.9815737884998</x:v>
      </x:c>
      <x:c r="AE330" t="n">
        <x:f>AY330*$AC330/$AW330</x:f>
        <x:v>986.6788098567747</x:v>
      </x:c>
      <x:c r="AF330" t="n">
        <x:f>AZ330*$AC330/$AW330</x:f>
        <x:v>1095.2134789410197</x:v>
      </x:c>
      <x:c r="AG330" t="n">
        <x:f>BA330*$AC330/$AW330</x:f>
        <x:v>1171.8784224668914</x:v>
      </x:c>
      <x:c r="AH330" t="n">
        <x:f>BB330*$AC330/$AW330</x:f>
        <x:v>1207.034775140898</x:v>
      </x:c>
      <x:c r="AI330" t="n">
        <x:f>Y330*(1-'Assumptions'!$F$18)+AS330*'Assumptions'!$G$18-AS330*'POWL Model'!$B$65-(AS330-'Inputs'!$G$14)*'Assumptions'!$H$18-'Assumptions'!$I$18</x:f>
        <x:v>183.9</x:v>
      </x:c>
      <x:c r="AJ330" t="n">
        <x:f>Z330*(1-'Assumptions'!$F$18)+AT330*'Assumptions'!$G$18-AT330*'POWL Model'!$C$65-(AT330-AS330)*'Assumptions'!$H$18-0</x:f>
        <x:v>242.61899999999997</x:v>
      </x:c>
      <x:c r="AK330" t="n">
        <x:f>AA330*(1-'Assumptions'!$F$18)+AU330*'Assumptions'!$G$18-AU330*'POWL Model'!$D$65-(AU330-AT330)*'Assumptions'!$H$18-0</x:f>
        <x:v>305.22942</x:v>
      </x:c>
      <x:c r="AL330" t="n">
        <x:f>AB330*(1-'Assumptions'!$F$18)+AV330*'Assumptions'!$G$18-AV330*'POWL Model'!$E$65-(AV330-AU330)*'Assumptions'!$H$18-0</x:f>
        <x:v>370.40784569999994</x:v>
      </x:c>
      <x:c r="AM330" t="n">
        <x:f>AC330*(1-'Assumptions'!$F$18)+AW330*'Assumptions'!$G$18-AW330*'POWL Model'!$F$65-(AW330-AV330)*'Assumptions'!$H$18-0</x:f>
        <x:v>442.55511167399993</x:v>
      </x:c>
      <x:c r="AN330" t="n">
        <x:f>AD330*(1-'Assumptions'!$F$18)+AX330*'Assumptions'!$G$18-AX330*'POWL Model'!$G$65-(AX330-AW330)*'Assumptions'!$H$18-0</x:f>
        <x:v>537.8057848920598</x:v>
      </x:c>
      <x:c r="AO330" t="n">
        <x:f>AE330*(1-'Assumptions'!$F$18)+AY330*'Assumptions'!$G$18-AY330*'POWL Model'!$H$65-(AY330-AX330)*'Assumptions'!$H$18-0</x:f>
        <x:v>632.2098510858689</x:v>
      </x:c>
      <x:c r="AP330" t="n">
        <x:f>AF330*(1-'Assumptions'!$F$18)+AZ330*'Assumptions'!$G$18-AZ330*'POWL Model'!$I$65-(AZ330-AY330)*'Assumptions'!$H$18-0</x:f>
        <x:v>718.0954408727143</x:v>
      </x:c>
      <x:c r="AQ330" t="n">
        <x:f>AG330*(1-'Assumptions'!$F$18)+BA330*'Assumptions'!$G$18-BA330*'POWL Model'!$J$65-(BA330-AZ330)*'Assumptions'!$H$18-0</x:f>
        <x:v>787.1560038263143</x:v>
      </x:c>
      <x:c r="AR330" t="n">
        <x:f>AH330*(1-'Assumptions'!$F$18)+BB330*'Assumptions'!$G$18-BB330*'POWL Model'!$K$65-(BB330-BA330)*'Assumptions'!$H$18-0</x:f>
        <x:v>831.63189306379</x:v>
      </x:c>
      <x:c r="AS330" t="n">
        <x:f>E330+O330</x:f>
        <x:v>1500</x:v>
      </x:c>
      <x:c r="AT330" t="n">
        <x:f>F330+P330</x:f>
        <x:v>1845</x:v>
      </x:c>
      <x:c r="AU330" t="n">
        <x:f>G330+Q330</x:f>
        <x:v>2269.35</x:v>
      </x:c>
      <x:c r="AV330" t="n">
        <x:f>H330+R330</x:f>
        <x:v>2791.3005</x:v>
      </x:c>
      <x:c r="AW330" t="n">
        <x:f>I330+S330</x:f>
        <x:v>3433.299615</x:v>
      </x:c>
      <x:c r="AX330" t="n">
        <x:f>J330+T330</x:f>
        <x:v>4085.6265418499997</x:v>
      </x:c>
      <x:c r="AY330" t="n">
        <x:f>K330+U330</x:f>
        <x:v>4698.470523127499</x:v>
      </x:c>
      <x:c r="AZ330" t="n">
        <x:f>L330+V330</x:f>
        <x:v>5215.3022806715235</x:v>
      </x:c>
      <x:c r="BA330" t="n">
        <x:f>M330+W330</x:f>
        <x:v>5580.373440318531</x:v>
      </x:c>
      <x:c r="BB330" t="n">
        <x:f>N330+X330</x:f>
        <x:v>5747.784643528087</x:v>
      </x:c>
      <x:c r="BC330" t="n">
        <x:f>AS330/'Inputs'!$G$14-1</x:f>
        <x:v>0.25</x:v>
      </x:c>
      <x:c r="BD330" t="n">
        <x:f>AT330/AS330-1</x:f>
        <x:v>0.22999999999999998</x:v>
      </x:c>
      <x:c r="BE330" t="n">
        <x:f>AU330/AT330-1</x:f>
        <x:v>0.22999999999999998</x:v>
      </x:c>
      <x:c r="BF330" t="n">
        <x:f>AV330/AU330-1</x:f>
        <x:v>0.22999999999999998</x:v>
      </x:c>
      <x:c r="BG330" t="n">
        <x:f>AW330/AV330-1</x:f>
        <x:v>0.22999999999999998</x:v>
      </x:c>
      <x:c r="BH330" t="n">
        <x:f>AX330/AW330-1</x:f>
        <x:v>0.18999999999999995</x:v>
      </x:c>
      <x:c r="BI330" t="n">
        <x:f>AY330/AX330-1</x:f>
        <x:v>0.1499999999999999</x:v>
      </x:c>
      <x:c r="BJ330" t="n">
        <x:f>AZ330/AY330-1</x:f>
        <x:v>0.10999999999999988</x:v>
      </x:c>
      <x:c r="BK330" t="n">
        <x:f>BA330/AZ330-1</x:f>
        <x:v>0.07000000000000006</x:v>
      </x:c>
      <x:c r="BL330" t="n">
        <x:f>BB330/BA330-1</x:f>
        <x:v>0.030000000000000027</x:v>
      </x:c>
      <x:c r="BM330" t="n">
        <x:f>AH330*(1-'Assumptions'!$F$18)*(1+'Assumptions'!$D$18)*(1-'Assumptions'!$D$18/'Assumptions'!$E$18)</x:f>
        <x:v>831.4828033426596</x:v>
      </x:c>
      <x:c r="BN330" t="n">
        <x:f>SUMPRODUCT(AI330:AR330,'POWL Model'!$B$83:$K$83)+BM330/('Assumptions'!$C$18-'Assumptions'!$D$18)*'POWL Model'!$K$83</x:f>
        <x:v>6752.880719059868</x:v>
      </x:c>
      <x:c r="BO330" t="n">
        <x:f>'POWL Model'!$B$94</x:f>
        <x:v>230.812</x:v>
      </x:c>
      <x:c r="BP330" t="n">
        <x:f>'Inputs'!$G$8</x:f>
        <x:v>36.604</x:v>
      </x:c>
    </x:row>
    <x:row r="331">
      <x:c r="A331" t="str">
        <x:v>POWL</x:v>
      </x:c>
      <x:c r="B331" s="22" t="n">
        <x:v>0.24</x:v>
      </x:c>
      <x:c r="C331" s="42" t="n">
        <x:f>(BN331+BO331)/BP331</x:f>
        <x:v>198.82445609658146</x:v>
      </x:c>
      <x:c r="D331" s="22" t="n">
        <x:f>C331/'Inputs'!$G$5-1</x:f>
        <x:v>0.09744690675377532</x:v>
      </x:c>
      <x:c r="E331" t="n">
        <x:f>('Assumptions'!$M$18+'Assumptions'!$N$18)*(1+$B331)^0</x:f>
        <x:v>1500</x:v>
      </x:c>
      <x:c r="F331" t="n">
        <x:f>('Assumptions'!$M$18+'Assumptions'!$N$18)*(1+$B331)^1</x:f>
        <x:v>1860</x:v>
      </x:c>
      <x:c r="G331" t="n">
        <x:f>('Assumptions'!$M$18+'Assumptions'!$N$18)*(1+$B331)^2</x:f>
        <x:v>2306.4</x:v>
      </x:c>
      <x:c r="H331" t="n">
        <x:f>('Assumptions'!$M$18+'Assumptions'!$N$18)*(1+$B331)^3</x:f>
        <x:v>2859.936</x:v>
      </x:c>
      <x:c r="I331" t="n">
        <x:f>('Assumptions'!$M$18+'Assumptions'!$N$18)*(1+$B331)^4</x:f>
        <x:v>3546.3206400000004</x:v>
      </x:c>
      <x:c r="J331" t="n">
        <x:f>I331*(1+($BG331+('Assumptions'!$D$18-$BG331)*(6-5)/5))</x:f>
        <x:v>4248.492126720001</x:v>
      </x:c>
      <x:c r="K331" t="n">
        <x:f>J331*(1+($BG331+('Assumptions'!$D$18-$BG331)*(7-5)/5))</x:f>
        <x:v>4911.25689848832</x:v>
      </x:c>
      <x:c r="L331" t="n">
        <x:f>K331*(1+($BG331+('Assumptions'!$D$18-$BG331)*(8-5)/5))</x:f>
        <x:v>5471.140184915988</x:v>
      </x:c>
      <x:c r="M331" t="n">
        <x:f>L331*(1+($BG331+('Assumptions'!$D$18-$BG331)*(9-5)/5))</x:f>
        <x:v>5865.06227822994</x:v>
      </x:c>
      <x:c r="N331" t="n">
        <x:f>M331*(1+($BG331+('Assumptions'!$D$18-$BG331)*(10-5)/5))</x:f>
        <x:v>6041.014146576838</x:v>
      </x:c>
      <x:c r="O331" t="n">
        <x:f>0</x:f>
        <x:v>0</x:v>
      </x:c>
      <x:c r="P331" t="n">
        <x:f>0</x:f>
        <x:v>0</x:v>
      </x:c>
      <x:c r="Q331" t="n">
        <x:f>0</x:f>
        <x:v>0</x:v>
      </x:c>
      <x:c r="R331" t="n">
        <x:f>0</x:f>
        <x:v>0</x:v>
      </x:c>
      <x:c r="S331" t="n">
        <x:f>0</x:f>
        <x:v>0</x:v>
      </x:c>
      <x:c r="T331" t="n">
        <x:f>S331*(1+($BG331+('Assumptions'!$D$18-$BG331)*(6-5)/5))</x:f>
        <x:v>0</x:v>
      </x:c>
      <x:c r="U331" t="n">
        <x:f>T331*(1+($BG331+('Assumptions'!$D$18-$BG331)*(7-5)/5))</x:f>
        <x:v>0</x:v>
      </x:c>
      <x:c r="V331" t="n">
        <x:f>U331*(1+($BG331+('Assumptions'!$D$18-$BG331)*(8-5)/5))</x:f>
        <x:v>0</x:v>
      </x:c>
      <x:c r="W331" t="n">
        <x:f>V331*(1+($BG331+('Assumptions'!$D$18-$BG331)*(9-5)/5))</x:f>
        <x:v>0</x:v>
      </x:c>
      <x:c r="X331" t="n">
        <x:f>W331*(1+($BG331+('Assumptions'!$D$18-$BG331)*(10-5)/5))</x:f>
        <x:v>0</x:v>
      </x:c>
      <x:c r="Y331" t="n">
        <x:f>E331*'POWL Model'!$B$62+O331*'POWL Model'!$B$63+'POWL Model'!$B$73+'POWL Model'!$B$74</x:f>
        <x:v>315</x:v>
      </x:c>
      <x:c r="Z331" t="n">
        <x:f>F331*'POWL Model'!$C$62+P331*'POWL Model'!$C$63+'POWL Model'!$C$73+'POWL Model'!$C$74</x:f>
        <x:v>409.2</x:v>
      </x:c>
      <x:c r="AA331" t="n">
        <x:f>G331*'POWL Model'!$D$62+Q331*'POWL Model'!$D$63+'POWL Model'!$D$73+'POWL Model'!$D$74</x:f>
        <x:v>507.408</x:v>
      </x:c>
      <x:c r="AB331" t="n">
        <x:f>H331*'POWL Model'!$E$62+R331*'POWL Model'!$E$63+'POWL Model'!$E$73+'POWL Model'!$E$74</x:f>
        <x:v>614.88624</x:v>
      </x:c>
      <x:c r="AC331" t="n">
        <x:f>I331*'POWL Model'!$F$62+S331*'POWL Model'!$F$63+'POWL Model'!$F$73+'POWL Model'!$F$74</x:f>
        <x:v>744.7273344</x:v>
      </x:c>
      <x:c r="AD331" t="n">
        <x:f>AX331*$AC331/$AW331</x:f>
        <x:v>892.1833466112</x:v>
      </x:c>
      <x:c r="AE331" t="n">
        <x:f>AY331*$AC331/$AW331</x:f>
        <x:v>1031.363948682547</x:v>
      </x:c>
      <x:c r="AF331" t="n">
        <x:f>AZ331*$AC331/$AW331</x:f>
        <x:v>1148.9394388323574</x:v>
      </x:c>
      <x:c r="AG331" t="n">
        <x:f>BA331*$AC331/$AW331</x:f>
        <x:v>1231.6630784282872</x:v>
      </x:c>
      <x:c r="AH331" t="n">
        <x:f>BB331*$AC331/$AW331</x:f>
        <x:v>1268.612970781136</x:v>
      </x:c>
      <x:c r="AI331" t="n">
        <x:f>Y331*(1-'Assumptions'!$F$18)+AS331*'Assumptions'!$G$18-AS331*'POWL Model'!$B$65-(AS331-'Inputs'!$G$14)*'Assumptions'!$H$18-'Assumptions'!$I$18</x:f>
        <x:v>183.9</x:v>
      </x:c>
      <x:c r="AJ331" t="n">
        <x:f>Z331*(1-'Assumptions'!$F$18)+AT331*'Assumptions'!$G$18-AT331*'POWL Model'!$C$65-(AT331-AS331)*'Assumptions'!$H$18-0</x:f>
        <x:v>243.372</x:v>
      </x:c>
      <x:c r="AK331" t="n">
        <x:f>AA331*(1-'Assumptions'!$F$18)+AU331*'Assumptions'!$G$18-AU331*'POWL Model'!$D$65-(AU331-AT331)*'Assumptions'!$H$18-0</x:f>
        <x:v>308.70047999999997</x:v>
      </x:c>
      <x:c r="AL331" t="n">
        <x:f>AB331*(1-'Assumptions'!$F$18)+AV331*'Assumptions'!$G$18-AV331*'POWL Model'!$E$65-(AV331-AU331)*'Assumptions'!$H$18-0</x:f>
        <x:v>377.6407104</x:v>
      </x:c>
      <x:c r="AM331" t="n">
        <x:f>AC331*(1-'Assumptions'!$F$18)+AW331*'Assumptions'!$G$18-AW331*'POWL Model'!$F$65-(AW331-AV331)*'Assumptions'!$H$18-0</x:f>
        <x:v>454.79846246400007</x:v>
      </x:c>
      <x:c r="AN331" t="n">
        <x:f>AD331*(1-'Assumptions'!$F$18)+AX331*'Assumptions'!$G$18-AX331*'POWL Model'!$G$65-(AX331-AW331)*'Assumptions'!$H$18-0</x:f>
        <x:v>556.8602892318719</x:v>
      </x:c>
      <x:c r="AO331" t="n">
        <x:f>AE331*(1-'Assumptions'!$F$18)+AY331*'Assumptions'!$G$18-AY331*'POWL Model'!$H$65-(AY331-AX331)*'Assumptions'!$H$18-0</x:f>
        <x:v>658.625041040044</x:v>
      </x:c>
      <x:c r="AP331" t="n">
        <x:f>AF331*(1-'Assumptions'!$F$18)+AZ331*'Assumptions'!$G$18-AZ331*'POWL Model'!$I$65-(AZ331-AY331)*'Assumptions'!$H$18-0</x:f>
        <x:v>751.5519626508328</x:v>
      </x:c>
      <x:c r="AQ331" t="n">
        <x:f>AG331*(1-'Assumptions'!$F$18)+BA331*'Assumptions'!$G$18-BA331*'POWL Model'!$J$65-(BA331-AZ331)*'Assumptions'!$H$18-0</x:f>
        <x:v>826.2909829353438</x:v>
      </x:c>
      <x:c r="AR331" t="n">
        <x:f>AH331*(1-'Assumptions'!$F$18)+BB331*'Assumptions'!$G$18-BB331*'POWL Model'!$K$65-(BB331-BA331)*'Assumptions'!$H$18-0</x:f>
        <x:v>874.0585012000514</x:v>
      </x:c>
      <x:c r="AS331" t="n">
        <x:f>E331+O331</x:f>
        <x:v>1500</x:v>
      </x:c>
      <x:c r="AT331" t="n">
        <x:f>F331+P331</x:f>
        <x:v>1860</x:v>
      </x:c>
      <x:c r="AU331" t="n">
        <x:f>G331+Q331</x:f>
        <x:v>2306.4</x:v>
      </x:c>
      <x:c r="AV331" t="n">
        <x:f>H331+R331</x:f>
        <x:v>2859.936</x:v>
      </x:c>
      <x:c r="AW331" t="n">
        <x:f>I331+S331</x:f>
        <x:v>3546.3206400000004</x:v>
      </x:c>
      <x:c r="AX331" t="n">
        <x:f>J331+T331</x:f>
        <x:v>4248.492126720001</x:v>
      </x:c>
      <x:c r="AY331" t="n">
        <x:f>K331+U331</x:f>
        <x:v>4911.25689848832</x:v>
      </x:c>
      <x:c r="AZ331" t="n">
        <x:f>L331+V331</x:f>
        <x:v>5471.140184915988</x:v>
      </x:c>
      <x:c r="BA331" t="n">
        <x:f>M331+W331</x:f>
        <x:v>5865.06227822994</x:v>
      </x:c>
      <x:c r="BB331" t="n">
        <x:f>N331+X331</x:f>
        <x:v>6041.014146576838</x:v>
      </x:c>
      <x:c r="BC331" t="n">
        <x:f>AS331/'Inputs'!$G$14-1</x:f>
        <x:v>0.25</x:v>
      </x:c>
      <x:c r="BD331" t="n">
        <x:f>AT331/AS331-1</x:f>
        <x:v>0.24</x:v>
      </x:c>
      <x:c r="BE331" t="n">
        <x:f>AU331/AT331-1</x:f>
        <x:v>0.24</x:v>
      </x:c>
      <x:c r="BF331" t="n">
        <x:f>AV331/AU331-1</x:f>
        <x:v>0.24</x:v>
      </x:c>
      <x:c r="BG331" t="n">
        <x:f>AW331/AV331-1</x:f>
        <x:v>0.24</x:v>
      </x:c>
      <x:c r="BH331" t="n">
        <x:f>AX331/AW331-1</x:f>
        <x:v>0.19800000000000018</x:v>
      </x:c>
      <x:c r="BI331" t="n">
        <x:f>AY331/AX331-1</x:f>
        <x:v>0.15599999999999992</x:v>
      </x:c>
      <x:c r="BJ331" t="n">
        <x:f>AZ331/AY331-1</x:f>
        <x:v>0.11399999999999988</x:v>
      </x:c>
      <x:c r="BK331" t="n">
        <x:f>BA331/AZ331-1</x:f>
        <x:v>0.07200000000000006</x:v>
      </x:c>
      <x:c r="BL331" t="n">
        <x:f>BB331/BA331-1</x:f>
        <x:v>0.030000000000000027</x:v>
      </x:c>
      <x:c r="BM331" t="n">
        <x:f>AH331*(1-'Assumptions'!$F$18)*(1+'Assumptions'!$D$18)*(1-'Assumptions'!$D$18/'Assumptions'!$E$18)</x:f>
        <x:v>873.9018055041765</x:v>
      </x:c>
      <x:c r="BN331" t="n">
        <x:f>SUMPRODUCT(AI331:AR331,'POWL Model'!$B$83:$K$83)+BM331/('Assumptions'!$C$18-'Assumptions'!$D$18)*'POWL Model'!$K$83</x:f>
        <x:v>7046.9583909592675</x:v>
      </x:c>
      <x:c r="BO331" t="n">
        <x:f>'POWL Model'!$B$94</x:f>
        <x:v>230.812</x:v>
      </x:c>
      <x:c r="BP331" t="n">
        <x:f>'Inputs'!$G$8</x:f>
        <x:v>36.604</x:v>
      </x:c>
    </x:row>
    <x:row r="332">
      <x:c r="A332" t="str">
        <x:v>POWL</x:v>
      </x:c>
      <x:c r="B332" s="22" t="n">
        <x:v>0.25</x:v>
      </x:c>
      <x:c r="C332" s="42" t="n">
        <x:f>(BN332+BO332)/BP332</x:f>
        <x:v>207.18475477375682</x:v>
      </x:c>
      <x:c r="D332" s="22" t="n">
        <x:f>C332/'Inputs'!$G$5-1</x:f>
        <x:v>0.14359306051640353</x:v>
      </x:c>
      <x:c r="E332" t="n">
        <x:f>('Assumptions'!$M$18+'Assumptions'!$N$18)*(1+$B332)^0</x:f>
        <x:v>1500</x:v>
      </x:c>
      <x:c r="F332" t="n">
        <x:f>('Assumptions'!$M$18+'Assumptions'!$N$18)*(1+$B332)^1</x:f>
        <x:v>1875</x:v>
      </x:c>
      <x:c r="G332" t="n">
        <x:f>('Assumptions'!$M$18+'Assumptions'!$N$18)*(1+$B332)^2</x:f>
        <x:v>2343.75</x:v>
      </x:c>
      <x:c r="H332" t="n">
        <x:f>('Assumptions'!$M$18+'Assumptions'!$N$18)*(1+$B332)^3</x:f>
        <x:v>2929.6875</x:v>
      </x:c>
      <x:c r="I332" t="n">
        <x:f>('Assumptions'!$M$18+'Assumptions'!$N$18)*(1+$B332)^4</x:f>
        <x:v>3662.109375</x:v>
      </x:c>
      <x:c r="J332" t="n">
        <x:f>I332*(1+($BG332+('Assumptions'!$D$18-$BG332)*(6-5)/5))</x:f>
        <x:v>4416.50390625</x:v>
      </x:c>
      <x:c r="K332" t="n">
        <x:f>J332*(1+($BG332+('Assumptions'!$D$18-$BG332)*(7-5)/5))</x:f>
        <x:v>5131.9775390625</x:v>
      </x:c>
      <x:c r="L332" t="n">
        <x:f>K332*(1+($BG332+('Assumptions'!$D$18-$BG332)*(8-5)/5))</x:f>
        <x:v>5737.550888671874</x:v>
      </x:c>
      <x:c r="M332" t="n">
        <x:f>L332*(1+($BG332+('Assumptions'!$D$18-$BG332)*(9-5)/5))</x:f>
        <x:v>6162.129654433594</x:v>
      </x:c>
      <x:c r="N332" t="n">
        <x:f>M332*(1+($BG332+('Assumptions'!$D$18-$BG332)*(10-5)/5))</x:f>
        <x:v>6346.993544066601</x:v>
      </x:c>
      <x:c r="O332" t="n">
        <x:f>0</x:f>
        <x:v>0</x:v>
      </x:c>
      <x:c r="P332" t="n">
        <x:f>0</x:f>
        <x:v>0</x:v>
      </x:c>
      <x:c r="Q332" t="n">
        <x:f>0</x:f>
        <x:v>0</x:v>
      </x:c>
      <x:c r="R332" t="n">
        <x:f>0</x:f>
        <x:v>0</x:v>
      </x:c>
      <x:c r="S332" t="n">
        <x:f>0</x:f>
        <x:v>0</x:v>
      </x:c>
      <x:c r="T332" t="n">
        <x:f>S332*(1+($BG332+('Assumptions'!$D$18-$BG332)*(6-5)/5))</x:f>
        <x:v>0</x:v>
      </x:c>
      <x:c r="U332" t="n">
        <x:f>T332*(1+($BG332+('Assumptions'!$D$18-$BG332)*(7-5)/5))</x:f>
        <x:v>0</x:v>
      </x:c>
      <x:c r="V332" t="n">
        <x:f>U332*(1+($BG332+('Assumptions'!$D$18-$BG332)*(8-5)/5))</x:f>
        <x:v>0</x:v>
      </x:c>
      <x:c r="W332" t="n">
        <x:f>V332*(1+($BG332+('Assumptions'!$D$18-$BG332)*(9-5)/5))</x:f>
        <x:v>0</x:v>
      </x:c>
      <x:c r="X332" t="n">
        <x:f>W332*(1+($BG332+('Assumptions'!$D$18-$BG332)*(10-5)/5))</x:f>
        <x:v>0</x:v>
      </x:c>
      <x:c r="Y332" t="n">
        <x:f>E332*'POWL Model'!$B$62+O332*'POWL Model'!$B$63+'POWL Model'!$B$73+'POWL Model'!$B$74</x:f>
        <x:v>315</x:v>
      </x:c>
      <x:c r="Z332" t="n">
        <x:f>F332*'POWL Model'!$C$62+P332*'POWL Model'!$C$63+'POWL Model'!$C$73+'POWL Model'!$C$74</x:f>
        <x:v>412.5</x:v>
      </x:c>
      <x:c r="AA332" t="n">
        <x:f>G332*'POWL Model'!$D$62+Q332*'POWL Model'!$D$63+'POWL Model'!$D$73+'POWL Model'!$D$74</x:f>
        <x:v>515.625</x:v>
      </x:c>
      <x:c r="AB332" t="n">
        <x:f>H332*'POWL Model'!$E$62+R332*'POWL Model'!$E$63+'POWL Model'!$E$73+'POWL Model'!$E$74</x:f>
        <x:v>629.8828125</x:v>
      </x:c>
      <x:c r="AC332" t="n">
        <x:f>I332*'POWL Model'!$F$62+S332*'POWL Model'!$F$63+'POWL Model'!$F$73+'POWL Model'!$F$74</x:f>
        <x:v>769.04296875</x:v>
      </x:c>
      <x:c r="AD332" t="n">
        <x:f>AX332*$AC332/$AW332</x:f>
        <x:v>927.4658203125</x:v>
      </x:c>
      <x:c r="AE332" t="n">
        <x:f>AY332*$AC332/$AW332</x:f>
        <x:v>1077.715283203125</x:v>
      </x:c>
      <x:c r="AF332" t="n">
        <x:f>AZ332*$AC332/$AW332</x:f>
        <x:v>1204.8856866210938</x:v>
      </x:c>
      <x:c r="AG332" t="n">
        <x:f>BA332*$AC332/$AW332</x:f>
        <x:v>1294.0472274310546</x:v>
      </x:c>
      <x:c r="AH332" t="n">
        <x:f>BB332*$AC332/$AW332</x:f>
        <x:v>1332.8686442539863</x:v>
      </x:c>
      <x:c r="AI332" t="n">
        <x:f>Y332*(1-'Assumptions'!$F$18)+AS332*'Assumptions'!$G$18-AS332*'POWL Model'!$B$65-(AS332-'Inputs'!$G$14)*'Assumptions'!$H$18-'Assumptions'!$I$18</x:f>
        <x:v>183.9</x:v>
      </x:c>
      <x:c r="AJ332" t="n">
        <x:f>Z332*(1-'Assumptions'!$F$18)+AT332*'Assumptions'!$G$18-AT332*'POWL Model'!$C$65-(AT332-AS332)*'Assumptions'!$H$18-0</x:f>
        <x:v>244.125</x:v>
      </x:c>
      <x:c r="AK332" t="n">
        <x:f>AA332*(1-'Assumptions'!$F$18)+AU332*'Assumptions'!$G$18-AU332*'POWL Model'!$D$65-(AU332-AT332)*'Assumptions'!$H$18-0</x:f>
        <x:v>312.1875</x:v>
      </x:c>
      <x:c r="AL332" t="n">
        <x:f>AB332*(1-'Assumptions'!$F$18)+AV332*'Assumptions'!$G$18-AV332*'POWL Model'!$E$65-(AV332-AU332)*'Assumptions'!$H$18-0</x:f>
        <x:v>384.9609375</x:v>
      </x:c>
      <x:c r="AM332" t="n">
        <x:f>AC332*(1-'Assumptions'!$F$18)+AW332*'Assumptions'!$G$18-AW332*'POWL Model'!$F$65-(AW332-AV332)*'Assumptions'!$H$18-0</x:f>
        <x:v>467.28515625</x:v>
      </x:c>
      <x:c r="AN332" t="n">
        <x:f>AD332*(1-'Assumptions'!$F$18)+AX332*'Assumptions'!$G$18-AX332*'POWL Model'!$G$65-(AX332-AW332)*'Assumptions'!$H$18-0</x:f>
        <x:v>576.4365234375</x:v>
      </x:c>
      <x:c r="AO332" t="n">
        <x:f>AE332*(1-'Assumptions'!$F$18)+AY332*'Assumptions'!$G$18-AY332*'POWL Model'!$H$65-(AY332-AX332)*'Assumptions'!$H$18-0</x:f>
        <x:v>685.932521484375</x:v>
      </x:c>
      <x:c r="AP332" t="n">
        <x:f>AF332*(1-'Assumptions'!$F$18)+AZ332*'Assumptions'!$G$18-AZ332*'POWL Model'!$I$65-(AZ332-AY332)*'Assumptions'!$H$18-0</x:f>
        <x:v>786.3051762070314</x:v>
      </x:c>
      <x:c r="AQ332" t="n">
        <x:f>AG332*(1-'Assumptions'!$F$18)+BA332*'Assumptions'!$G$18-BA332*'POWL Model'!$J$65-(BA332-AZ332)*'Assumptions'!$H$18-0</x:f>
        <x:v>867.0724604182263</x:v>
      </x:c>
      <x:c r="AR332" t="n">
        <x:f>AH332*(1-'Assumptions'!$F$18)+BB332*'Assumptions'!$G$18-BB332*'POWL Model'!$K$65-(BB332-BA332)*'Assumptions'!$H$18-0</x:f>
        <x:v>918.3298581409297</x:v>
      </x:c>
      <x:c r="AS332" t="n">
        <x:f>E332+O332</x:f>
        <x:v>1500</x:v>
      </x:c>
      <x:c r="AT332" t="n">
        <x:f>F332+P332</x:f>
        <x:v>1875</x:v>
      </x:c>
      <x:c r="AU332" t="n">
        <x:f>G332+Q332</x:f>
        <x:v>2343.75</x:v>
      </x:c>
      <x:c r="AV332" t="n">
        <x:f>H332+R332</x:f>
        <x:v>2929.6875</x:v>
      </x:c>
      <x:c r="AW332" t="n">
        <x:f>I332+S332</x:f>
        <x:v>3662.109375</x:v>
      </x:c>
      <x:c r="AX332" t="n">
        <x:f>J332+T332</x:f>
        <x:v>4416.50390625</x:v>
      </x:c>
      <x:c r="AY332" t="n">
        <x:f>K332+U332</x:f>
        <x:v>5131.9775390625</x:v>
      </x:c>
      <x:c r="AZ332" t="n">
        <x:f>L332+V332</x:f>
        <x:v>5737.550888671874</x:v>
      </x:c>
      <x:c r="BA332" t="n">
        <x:f>M332+W332</x:f>
        <x:v>6162.129654433594</x:v>
      </x:c>
      <x:c r="BB332" t="n">
        <x:f>N332+X332</x:f>
        <x:v>6346.993544066601</x:v>
      </x:c>
      <x:c r="BC332" t="n">
        <x:f>AS332/'Inputs'!$G$14-1</x:f>
        <x:v>0.25</x:v>
      </x:c>
      <x:c r="BD332" t="n">
        <x:f>AT332/AS332-1</x:f>
        <x:v>0.25</x:v>
      </x:c>
      <x:c r="BE332" t="n">
        <x:f>AU332/AT332-1</x:f>
        <x:v>0.25</x:v>
      </x:c>
      <x:c r="BF332" t="n">
        <x:f>AV332/AU332-1</x:f>
        <x:v>0.25</x:v>
      </x:c>
      <x:c r="BG332" t="n">
        <x:f>AW332/AV332-1</x:f>
        <x:v>0.25</x:v>
      </x:c>
      <x:c r="BH332" t="n">
        <x:f>AX332/AW332-1</x:f>
        <x:v>0.20599999999999996</x:v>
      </x:c>
      <x:c r="BI332" t="n">
        <x:f>AY332/AX332-1</x:f>
        <x:v>0.16199999999999992</x:v>
      </x:c>
      <x:c r="BJ332" t="n">
        <x:f>AZ332/AY332-1</x:f>
        <x:v>0.11799999999999988</x:v>
      </x:c>
      <x:c r="BK332" t="n">
        <x:f>BA332/AZ332-1</x:f>
        <x:v>0.07400000000000007</x:v>
      </x:c>
      <x:c r="BL332" t="n">
        <x:f>BB332/BA332-1</x:f>
        <x:v>0.030000000000000027</x:v>
      </x:c>
      <x:c r="BM332" t="n">
        <x:f>AH332*(1-'Assumptions'!$F$18)*(1+'Assumptions'!$D$18)*(1-'Assumptions'!$D$18/'Assumptions'!$E$18)</x:f>
        <x:v>918.1652257553782</x:v>
      </x:c>
      <x:c r="BN332" t="n">
        <x:f>SUMPRODUCT(AI332:AR332,'POWL Model'!$B$83:$K$83)+BM332/('Assumptions'!$C$18-'Assumptions'!$D$18)*'POWL Model'!$K$83</x:f>
        <x:v>7352.978763738594</x:v>
      </x:c>
      <x:c r="BO332" t="n">
        <x:f>'POWL Model'!$B$94</x:f>
        <x:v>230.812</x:v>
      </x:c>
      <x:c r="BP332" t="n">
        <x:f>'Inputs'!$G$8</x:f>
        <x:v>36.604</x:v>
      </x:c>
    </x:row>
    <x:row r="333">
      <x:c r="A333" t="str">
        <x:v>POWL</x:v>
      </x:c>
      <x:c r="B333" s="22" t="n">
        <x:v>0.26</x:v>
      </x:c>
      <x:c r="C333" s="42" t="n">
        <x:f>(BN333+BO333)/BP333</x:f>
        <x:v>215.88261327404064</x:v>
      </x:c>
      <x:c r="D333" s="22" t="n">
        <x:f>C333/'Inputs'!$G$5-1</x:f>
        <x:v>0.19160243569045998</x:v>
      </x:c>
      <x:c r="E333" t="n">
        <x:f>('Assumptions'!$M$18+'Assumptions'!$N$18)*(1+$B333)^0</x:f>
        <x:v>1500</x:v>
      </x:c>
      <x:c r="F333" t="n">
        <x:f>('Assumptions'!$M$18+'Assumptions'!$N$18)*(1+$B333)^1</x:f>
        <x:v>1890</x:v>
      </x:c>
      <x:c r="G333" t="n">
        <x:f>('Assumptions'!$M$18+'Assumptions'!$N$18)*(1+$B333)^2</x:f>
        <x:v>2381.4</x:v>
      </x:c>
      <x:c r="H333" t="n">
        <x:f>('Assumptions'!$M$18+'Assumptions'!$N$18)*(1+$B333)^3</x:f>
        <x:v>3000.5640000000003</x:v>
      </x:c>
      <x:c r="I333" t="n">
        <x:f>('Assumptions'!$M$18+'Assumptions'!$N$18)*(1+$B333)^4</x:f>
        <x:v>3780.7106400000002</x:v>
      </x:c>
      <x:c r="J333" t="n">
        <x:f>I333*(1+($BG333+('Assumptions'!$D$18-$BG333)*(6-5)/5))</x:f>
        <x:v>4589.7827169600005</x:v>
      </x:c>
      <x:c r="K333" t="n">
        <x:f>J333*(1+($BG333+('Assumptions'!$D$18-$BG333)*(7-5)/5))</x:f>
        <x:v>5360.86621340928</x:v>
      </x:c>
      <x:c r="L333" t="n">
        <x:f>K333*(1+($BG333+('Assumptions'!$D$18-$BG333)*(8-5)/5))</x:f>
        <x:v>6014.8918914452115</x:v>
      </x:c>
      <x:c r="M333" t="n">
        <x:f>L333*(1+($BG333+('Assumptions'!$D$18-$BG333)*(9-5)/5))</x:f>
        <x:v>6472.023675195048</x:v>
      </x:c>
      <x:c r="N333" t="n">
        <x:f>M333*(1+($BG333+('Assumptions'!$D$18-$BG333)*(10-5)/5))</x:f>
        <x:v>6666.1843854509</x:v>
      </x:c>
      <x:c r="O333" t="n">
        <x:f>0</x:f>
        <x:v>0</x:v>
      </x:c>
      <x:c r="P333" t="n">
        <x:f>0</x:f>
        <x:v>0</x:v>
      </x:c>
      <x:c r="Q333" t="n">
        <x:f>0</x:f>
        <x:v>0</x:v>
      </x:c>
      <x:c r="R333" t="n">
        <x:f>0</x:f>
        <x:v>0</x:v>
      </x:c>
      <x:c r="S333" t="n">
        <x:f>0</x:f>
        <x:v>0</x:v>
      </x:c>
      <x:c r="T333" t="n">
        <x:f>S333*(1+($BG333+('Assumptions'!$D$18-$BG333)*(6-5)/5))</x:f>
        <x:v>0</x:v>
      </x:c>
      <x:c r="U333" t="n">
        <x:f>T333*(1+($BG333+('Assumptions'!$D$18-$BG333)*(7-5)/5))</x:f>
        <x:v>0</x:v>
      </x:c>
      <x:c r="V333" t="n">
        <x:f>U333*(1+($BG333+('Assumptions'!$D$18-$BG333)*(8-5)/5))</x:f>
        <x:v>0</x:v>
      </x:c>
      <x:c r="W333" t="n">
        <x:f>V333*(1+($BG333+('Assumptions'!$D$18-$BG333)*(9-5)/5))</x:f>
        <x:v>0</x:v>
      </x:c>
      <x:c r="X333" t="n">
        <x:f>W333*(1+($BG333+('Assumptions'!$D$18-$BG333)*(10-5)/5))</x:f>
        <x:v>0</x:v>
      </x:c>
      <x:c r="Y333" t="n">
        <x:f>E333*'POWL Model'!$B$62+O333*'POWL Model'!$B$63+'POWL Model'!$B$73+'POWL Model'!$B$74</x:f>
        <x:v>315</x:v>
      </x:c>
      <x:c r="Z333" t="n">
        <x:f>F333*'POWL Model'!$C$62+P333*'POWL Model'!$C$63+'POWL Model'!$C$73+'POWL Model'!$C$74</x:f>
        <x:v>415.8</x:v>
      </x:c>
      <x:c r="AA333" t="n">
        <x:f>G333*'POWL Model'!$D$62+Q333*'POWL Model'!$D$63+'POWL Model'!$D$73+'POWL Model'!$D$74</x:f>
        <x:v>523.908</x:v>
      </x:c>
      <x:c r="AB333" t="n">
        <x:f>H333*'POWL Model'!$E$62+R333*'POWL Model'!$E$63+'POWL Model'!$E$73+'POWL Model'!$E$74</x:f>
        <x:v>645.12126</x:v>
      </x:c>
      <x:c r="AC333" t="n">
        <x:f>I333*'POWL Model'!$F$62+S333*'POWL Model'!$F$63+'POWL Model'!$F$73+'POWL Model'!$F$74</x:f>
        <x:v>793.9492344</x:v>
      </x:c>
      <x:c r="AD333" t="n">
        <x:f>AX333*$AC333/$AW333</x:f>
        <x:v>963.8543705616001</x:v>
      </x:c>
      <x:c r="AE333" t="n">
        <x:f>AY333*$AC333/$AW333</x:f>
        <x:v>1125.7819048159488</x:v>
      </x:c>
      <x:c r="AF333" t="n">
        <x:f>AZ333*$AC333/$AW333</x:f>
        <x:v>1263.1272972034942</x:v>
      </x:c>
      <x:c r="AG333" t="n">
        <x:f>BA333*$AC333/$AW333</x:f>
        <x:v>1359.1249717909602</x:v>
      </x:c>
      <x:c r="AH333" t="n">
        <x:f>BB333*$AC333/$AW333</x:f>
        <x:v>1399.898720944689</x:v>
      </x:c>
      <x:c r="AI333" t="n">
        <x:f>Y333*(1-'Assumptions'!$F$18)+AS333*'Assumptions'!$G$18-AS333*'POWL Model'!$B$65-(AS333-'Inputs'!$G$14)*'Assumptions'!$H$18-'Assumptions'!$I$18</x:f>
        <x:v>183.9</x:v>
      </x:c>
      <x:c r="AJ333" t="n">
        <x:f>Z333*(1-'Assumptions'!$F$18)+AT333*'Assumptions'!$G$18-AT333*'POWL Model'!$C$65-(AT333-AS333)*'Assumptions'!$H$18-0</x:f>
        <x:v>244.87800000000004</x:v>
      </x:c>
      <x:c r="AK333" t="n">
        <x:f>AA333*(1-'Assumptions'!$F$18)+AU333*'Assumptions'!$G$18-AU333*'POWL Model'!$D$65-(AU333-AT333)*'Assumptions'!$H$18-0</x:f>
        <x:v>315.69048</x:v>
      </x:c>
      <x:c r="AL333" t="n">
        <x:f>AB333*(1-'Assumptions'!$F$18)+AV333*'Assumptions'!$G$18-AV333*'POWL Model'!$E$65-(AV333-AU333)*'Assumptions'!$H$18-0</x:f>
        <x:v>392.36898959999996</x:v>
      </x:c>
      <x:c r="AM333" t="n">
        <x:f>AC333*(1-'Assumptions'!$F$18)+AW333*'Assumptions'!$G$18-AW333*'POWL Model'!$F$65-(AW333-AV333)*'Assumptions'!$H$18-0</x:f>
        <x:v>480.01822646399995</x:v>
      </x:c>
      <x:c r="AN333" t="n">
        <x:f>AD333*(1-'Assumptions'!$F$18)+AX333*'Assumptions'!$G$18-AX333*'POWL Model'!$G$65-(AX333-AW333)*'Assumptions'!$H$18-0</x:f>
        <x:v>596.5447213272961</x:v>
      </x:c>
      <x:c r="AO333" t="n">
        <x:f>AE333*(1-'Assumptions'!$F$18)+AY333*'Assumptions'!$G$18-AY333*'POWL Model'!$H$65-(AY333-AX333)*'Assumptions'!$H$18-0</x:f>
        <x:v>714.1555034542818</x:v>
      </x:c>
      <x:c r="AP333" t="n">
        <x:f>AF333*(1-'Assumptions'!$F$18)+AZ333*'Assumptions'!$G$18-AZ333*'POWL Model'!$I$65-(AZ333-AY333)*'Assumptions'!$H$18-0</x:f>
        <x:v>822.39547537372</x:v>
      </x:c>
      <x:c r="AQ333" t="n">
        <x:f>AG333*(1-'Assumptions'!$F$18)+BA333*'Assumptions'!$G$18-BA333*'POWL Model'!$J$65-(BA333-AZ333)*'Assumptions'!$H$18-0</x:f>
        <x:v>909.5575160838057</x:v>
      </x:c>
      <x:c r="AR333" t="n">
        <x:f>AH333*(1-'Assumptions'!$F$18)+BB333*'Assumptions'!$G$18-BB333*'POWL Model'!$K$65-(BB333-BA333)*'Assumptions'!$H$18-0</x:f>
        <x:v>964.5127442669676</x:v>
      </x:c>
      <x:c r="AS333" t="n">
        <x:f>E333+O333</x:f>
        <x:v>1500</x:v>
      </x:c>
      <x:c r="AT333" t="n">
        <x:f>F333+P333</x:f>
        <x:v>1890</x:v>
      </x:c>
      <x:c r="AU333" t="n">
        <x:f>G333+Q333</x:f>
        <x:v>2381.4</x:v>
      </x:c>
      <x:c r="AV333" t="n">
        <x:f>H333+R333</x:f>
        <x:v>3000.5640000000003</x:v>
      </x:c>
      <x:c r="AW333" t="n">
        <x:f>I333+S333</x:f>
        <x:v>3780.7106400000002</x:v>
      </x:c>
      <x:c r="AX333" t="n">
        <x:f>J333+T333</x:f>
        <x:v>4589.7827169600005</x:v>
      </x:c>
      <x:c r="AY333" t="n">
        <x:f>K333+U333</x:f>
        <x:v>5360.86621340928</x:v>
      </x:c>
      <x:c r="AZ333" t="n">
        <x:f>L333+V333</x:f>
        <x:v>6014.8918914452115</x:v>
      </x:c>
      <x:c r="BA333" t="n">
        <x:f>M333+W333</x:f>
        <x:v>6472.023675195048</x:v>
      </x:c>
      <x:c r="BB333" t="n">
        <x:f>N333+X333</x:f>
        <x:v>6666.1843854509</x:v>
      </x:c>
      <x:c r="BC333" t="n">
        <x:f>AS333/'Inputs'!$G$14-1</x:f>
        <x:v>0.25</x:v>
      </x:c>
      <x:c r="BD333" t="n">
        <x:f>AT333/AS333-1</x:f>
        <x:v>0.26</x:v>
      </x:c>
      <x:c r="BE333" t="n">
        <x:f>AU333/AT333-1</x:f>
        <x:v>0.26</x:v>
      </x:c>
      <x:c r="BF333" t="n">
        <x:f>AV333/AU333-1</x:f>
        <x:v>0.26</x:v>
      </x:c>
      <x:c r="BG333" t="n">
        <x:f>AW333/AV333-1</x:f>
        <x:v>0.26</x:v>
      </x:c>
      <x:c r="BH333" t="n">
        <x:f>AX333/AW333-1</x:f>
        <x:v>0.21399999999999997</x:v>
      </x:c>
      <x:c r="BI333" t="n">
        <x:f>AY333/AX333-1</x:f>
        <x:v>0.16799999999999993</x:v>
      </x:c>
      <x:c r="BJ333" t="n">
        <x:f>AZ333/AY333-1</x:f>
        <x:v>0.12199999999999989</x:v>
      </x:c>
      <x:c r="BK333" t="n">
        <x:f>BA333/AZ333-1</x:f>
        <x:v>0.07600000000000007</x:v>
      </x:c>
      <x:c r="BL333" t="n">
        <x:f>BB333/BA333-1</x:f>
        <x:v>0.030000000000000027</x:v>
      </x:c>
      <x:c r="BM333" t="n">
        <x:f>AH333*(1-'Assumptions'!$F$18)*(1+'Assumptions'!$D$18)*(1-'Assumptions'!$D$18/'Assumptions'!$E$18)</x:f>
        <x:v>964.3398325048423</x:v>
      </x:c>
      <x:c r="BN333" t="n">
        <x:f>SUMPRODUCT(AI333:AR333,'POWL Model'!$B$83:$K$83)+BM333/('Assumptions'!$C$18-'Assumptions'!$D$18)*'POWL Model'!$K$83</x:f>
        <x:v>7671.355176282984</x:v>
      </x:c>
      <x:c r="BO333" t="n">
        <x:f>'POWL Model'!$B$94</x:f>
        <x:v>230.812</x:v>
      </x:c>
      <x:c r="BP333" t="n">
        <x:f>'Inputs'!$G$8</x:f>
        <x:v>36.604</x:v>
      </x:c>
    </x:row>
    <x:row r="334">
      <x:c r="A334" t="str">
        <x:v>POWL</x:v>
      </x:c>
      <x:c r="B334" s="22" t="n">
        <x:v>0.27</x:v>
      </x:c>
      <x:c r="C334" s="42" t="n">
        <x:f>(BN334+BO334)/BP334</x:f>
        <x:v>224.9296423258506</x:v>
      </x:c>
      <x:c r="D334" s="22" t="n">
        <x:f>C334/'Inputs'!$G$5-1</x:f>
        <x:v>0.2415391197541017</x:v>
      </x:c>
      <x:c r="E334" t="n">
        <x:f>('Assumptions'!$M$18+'Assumptions'!$N$18)*(1+$B334)^0</x:f>
        <x:v>1500</x:v>
      </x:c>
      <x:c r="F334" t="n">
        <x:f>('Assumptions'!$M$18+'Assumptions'!$N$18)*(1+$B334)^1</x:f>
        <x:v>1905</x:v>
      </x:c>
      <x:c r="G334" t="n">
        <x:f>('Assumptions'!$M$18+'Assumptions'!$N$18)*(1+$B334)^2</x:f>
        <x:v>2419.35</x:v>
      </x:c>
      <x:c r="H334" t="n">
        <x:f>('Assumptions'!$M$18+'Assumptions'!$N$18)*(1+$B334)^3</x:f>
        <x:v>3072.5744999999997</x:v>
      </x:c>
      <x:c r="I334" t="n">
        <x:f>('Assumptions'!$M$18+'Assumptions'!$N$18)*(1+$B334)^4</x:f>
        <x:v>3902.169615</x:v>
      </x:c>
      <x:c r="J334" t="n">
        <x:f>I334*(1+($BG334+('Assumptions'!$D$18-$BG334)*(6-5)/5))</x:f>
        <x:v>4768.45126953</x:v>
      </x:c>
      <x:c r="K334" t="n">
        <x:f>J334*(1+($BG334+('Assumptions'!$D$18-$BG334)*(7-5)/5))</x:f>
        <x:v>5598.161790428219</x:v>
      </x:c>
      <x:c r="L334" t="n">
        <x:f>K334*(1+($BG334+('Assumptions'!$D$18-$BG334)*(8-5)/5))</x:f>
        <x:v>6303.530176022175</x:v>
      </x:c>
      <x:c r="M334" t="n">
        <x:f>L334*(1+($BG334+('Assumptions'!$D$18-$BG334)*(9-5)/5))</x:f>
        <x:v>6795.205529751905</x:v>
      </x:c>
      <x:c r="N334" t="n">
        <x:f>M334*(1+($BG334+('Assumptions'!$D$18-$BG334)*(10-5)/5))</x:f>
        <x:v>6999.061695644462</x:v>
      </x:c>
      <x:c r="O334" t="n">
        <x:f>0</x:f>
        <x:v>0</x:v>
      </x:c>
      <x:c r="P334" t="n">
        <x:f>0</x:f>
        <x:v>0</x:v>
      </x:c>
      <x:c r="Q334" t="n">
        <x:f>0</x:f>
        <x:v>0</x:v>
      </x:c>
      <x:c r="R334" t="n">
        <x:f>0</x:f>
        <x:v>0</x:v>
      </x:c>
      <x:c r="S334" t="n">
        <x:f>0</x:f>
        <x:v>0</x:v>
      </x:c>
      <x:c r="T334" t="n">
        <x:f>S334*(1+($BG334+('Assumptions'!$D$18-$BG334)*(6-5)/5))</x:f>
        <x:v>0</x:v>
      </x:c>
      <x:c r="U334" t="n">
        <x:f>T334*(1+($BG334+('Assumptions'!$D$18-$BG334)*(7-5)/5))</x:f>
        <x:v>0</x:v>
      </x:c>
      <x:c r="V334" t="n">
        <x:f>U334*(1+($BG334+('Assumptions'!$D$18-$BG334)*(8-5)/5))</x:f>
        <x:v>0</x:v>
      </x:c>
      <x:c r="W334" t="n">
        <x:f>V334*(1+($BG334+('Assumptions'!$D$18-$BG334)*(9-5)/5))</x:f>
        <x:v>0</x:v>
      </x:c>
      <x:c r="X334" t="n">
        <x:f>W334*(1+($BG334+('Assumptions'!$D$18-$BG334)*(10-5)/5))</x:f>
        <x:v>0</x:v>
      </x:c>
      <x:c r="Y334" t="n">
        <x:f>E334*'POWL Model'!$B$62+O334*'POWL Model'!$B$63+'POWL Model'!$B$73+'POWL Model'!$B$74</x:f>
        <x:v>315</x:v>
      </x:c>
      <x:c r="Z334" t="n">
        <x:f>F334*'POWL Model'!$C$62+P334*'POWL Model'!$C$63+'POWL Model'!$C$73+'POWL Model'!$C$74</x:f>
        <x:v>419.1</x:v>
      </x:c>
      <x:c r="AA334" t="n">
        <x:f>G334*'POWL Model'!$D$62+Q334*'POWL Model'!$D$63+'POWL Model'!$D$73+'POWL Model'!$D$74</x:f>
        <x:v>532.257</x:v>
      </x:c>
      <x:c r="AB334" t="n">
        <x:f>H334*'POWL Model'!$E$62+R334*'POWL Model'!$E$63+'POWL Model'!$E$73+'POWL Model'!$E$74</x:f>
        <x:v>660.6035175</x:v>
      </x:c>
      <x:c r="AC334" t="n">
        <x:f>I334*'POWL Model'!$F$62+S334*'POWL Model'!$F$63+'POWL Model'!$F$73+'POWL Model'!$F$74</x:f>
        <x:v>819.45561915</x:v>
      </x:c>
      <x:c r="AD334" t="n">
        <x:f>AX334*$AC334/$AW334</x:f>
        <x:v>1001.3747666013</x:v>
      </x:c>
      <x:c r="AE334" t="n">
        <x:f>AY334*$AC334/$AW334</x:f>
        <x:v>1175.613975989926</x:v>
      </x:c>
      <x:c r="AF334" t="n">
        <x:f>AZ334*$AC334/$AW334</x:f>
        <x:v>1323.7413369646567</x:v>
      </x:c>
      <x:c r="AG334" t="n">
        <x:f>BA334*$AC334/$AW334</x:f>
        <x:v>1426.9931612479</x:v>
      </x:c>
      <x:c r="AH334" t="n">
        <x:f>BB334*$AC334/$AW334</x:f>
        <x:v>1469.802956085337</x:v>
      </x:c>
      <x:c r="AI334" t="n">
        <x:f>Y334*(1-'Assumptions'!$F$18)+AS334*'Assumptions'!$G$18-AS334*'POWL Model'!$B$65-(AS334-'Inputs'!$G$14)*'Assumptions'!$H$18-'Assumptions'!$I$18</x:f>
        <x:v>183.9</x:v>
      </x:c>
      <x:c r="AJ334" t="n">
        <x:f>Z334*(1-'Assumptions'!$F$18)+AT334*'Assumptions'!$G$18-AT334*'POWL Model'!$C$65-(AT334-AS334)*'Assumptions'!$H$18-0</x:f>
        <x:v>245.63100000000003</x:v>
      </x:c>
      <x:c r="AK334" t="n">
        <x:f>AA334*(1-'Assumptions'!$F$18)+AU334*'Assumptions'!$G$18-AU334*'POWL Model'!$D$65-(AU334-AT334)*'Assumptions'!$H$18-0</x:f>
        <x:v>319.20941999999997</x:v>
      </x:c>
      <x:c r="AL334" t="n">
        <x:f>AB334*(1-'Assumptions'!$F$18)+AV334*'Assumptions'!$G$18-AV334*'POWL Model'!$E$65-(AV334-AU334)*'Assumptions'!$H$18-0</x:f>
        <x:v>399.8653292999999</x:v>
      </x:c>
      <x:c r="AM334" t="n">
        <x:f>AC334*(1-'Assumptions'!$F$18)+AW334*'Assumptions'!$G$18-AW334*'POWL Model'!$F$65-(AW334-AV334)*'Assumptions'!$H$18-0</x:f>
        <x:v>493.00072367399997</x:v>
      </x:c>
      <x:c r="AN334" t="n">
        <x:f>AD334*(1-'Assumptions'!$F$18)+AX334*'Assumptions'!$G$18-AX334*'POWL Model'!$G$65-(AX334-AW334)*'Assumptions'!$H$18-0</x:f>
        <x:v>617.1952419296281</x:v>
      </x:c>
      <x:c r="AO334" t="n">
        <x:f>AE334*(1-'Assumptions'!$F$18)+AY334*'Assumptions'!$G$18-AY334*'POWL Model'!$H$65-(AY334-AX334)*'Assumptions'!$H$18-0</x:f>
        <x:v>743.3176281773833</x:v>
      </x:c>
      <x:c r="AP334" t="n">
        <x:f>AF334*(1-'Assumptions'!$F$18)+AZ334*'Assumptions'!$G$18-AZ334*'POWL Model'!$I$65-(AZ334-AY334)*'Assumptions'!$H$18-0</x:f>
        <x:v>859.8642154214775</x:v>
      </x:c>
      <x:c r="AQ334" t="n">
        <x:f>AG334*(1-'Assumptions'!$F$18)+BA334*'Assumptions'!$G$18-BA334*'POWL Model'!$J$65-(BA334-AZ334)*'Assumptions'!$H$18-0</x:f>
        <x:v>953.804800818408</x:v>
      </x:c>
      <x:c r="AR334" t="n">
        <x:f>AH334*(1-'Assumptions'!$F$18)+BB334*'Assumptions'!$G$18-BB334*'POWL Model'!$K$65-(BB334-BA334)*'Assumptions'!$H$18-0</x:f>
        <x:v>1012.6758896878669</x:v>
      </x:c>
      <x:c r="AS334" t="n">
        <x:f>E334+O334</x:f>
        <x:v>1500</x:v>
      </x:c>
      <x:c r="AT334" t="n">
        <x:f>F334+P334</x:f>
        <x:v>1905</x:v>
      </x:c>
      <x:c r="AU334" t="n">
        <x:f>G334+Q334</x:f>
        <x:v>2419.35</x:v>
      </x:c>
      <x:c r="AV334" t="n">
        <x:f>H334+R334</x:f>
        <x:v>3072.5744999999997</x:v>
      </x:c>
      <x:c r="AW334" t="n">
        <x:f>I334+S334</x:f>
        <x:v>3902.169615</x:v>
      </x:c>
      <x:c r="AX334" t="n">
        <x:f>J334+T334</x:f>
        <x:v>4768.45126953</x:v>
      </x:c>
      <x:c r="AY334" t="n">
        <x:f>K334+U334</x:f>
        <x:v>5598.161790428219</x:v>
      </x:c>
      <x:c r="AZ334" t="n">
        <x:f>L334+V334</x:f>
        <x:v>6303.530176022175</x:v>
      </x:c>
      <x:c r="BA334" t="n">
        <x:f>M334+W334</x:f>
        <x:v>6795.205529751905</x:v>
      </x:c>
      <x:c r="BB334" t="n">
        <x:f>N334+X334</x:f>
        <x:v>6999.061695644462</x:v>
      </x:c>
      <x:c r="BC334" t="n">
        <x:f>AS334/'Inputs'!$G$14-1</x:f>
        <x:v>0.25</x:v>
      </x:c>
      <x:c r="BD334" t="n">
        <x:f>AT334/AS334-1</x:f>
        <x:v>0.27</x:v>
      </x:c>
      <x:c r="BE334" t="n">
        <x:f>AU334/AT334-1</x:f>
        <x:v>0.27</x:v>
      </x:c>
      <x:c r="BF334" t="n">
        <x:f>AV334/AU334-1</x:f>
        <x:v>0.27</x:v>
      </x:c>
      <x:c r="BG334" t="n">
        <x:f>AW334/AV334-1</x:f>
        <x:v>0.27</x:v>
      </x:c>
      <x:c r="BH334" t="n">
        <x:f>AX334/AW334-1</x:f>
        <x:v>0.22199999999999998</x:v>
      </x:c>
      <x:c r="BI334" t="n">
        <x:f>AY334/AX334-1</x:f>
        <x:v>0.17399999999999993</x:v>
      </x:c>
      <x:c r="BJ334" t="n">
        <x:f>AZ334/AY334-1</x:f>
        <x:v>0.1259999999999999</x:v>
      </x:c>
      <x:c r="BK334" t="n">
        <x:f>BA334/AZ334-1</x:f>
        <x:v>0.07800000000000007</x:v>
      </x:c>
      <x:c r="BL334" t="n">
        <x:f>BB334/BA334-1</x:f>
        <x:v>0.030000000000000027</x:v>
      </x:c>
      <x:c r="BM334" t="n">
        <x:f>AH334*(1-'Assumptions'!$F$18)*(1+'Assumptions'!$D$18)*(1-'Assumptions'!$D$18/'Assumptions'!$E$18)</x:f>
        <x:v>1012.4943435407695</x:v>
      </x:c>
      <x:c r="BN334" t="n">
        <x:f>SUMPRODUCT(AI334:AR334,'POWL Model'!$B$83:$K$83)+BM334/('Assumptions'!$C$18-'Assumptions'!$D$18)*'POWL Model'!$K$83</x:f>
        <x:v>8002.512627695435</x:v>
      </x:c>
      <x:c r="BO334" t="n">
        <x:f>'POWL Model'!$B$94</x:f>
        <x:v>230.812</x:v>
      </x:c>
      <x:c r="BP334" t="n">
        <x:f>'Inputs'!$G$8</x:f>
        <x:v>36.604</x:v>
      </x:c>
    </x:row>
    <x:row r="335">
      <x:c r="A335" t="str">
        <x:v>POWL</x:v>
      </x:c>
      <x:c r="B335" s="22" t="n">
        <x:v>0.28</x:v>
      </x:c>
      <x:c r="C335" s="42" t="n">
        <x:f>(BN335+BO335)/BP335</x:f>
        <x:v>234.33777817246988</x:v>
      </x:c>
      <x:c r="D335" s="22" t="n">
        <x:f>C335/'Inputs'!$G$5-1</x:f>
        <x:v>0.29346899692261363</x:v>
      </x:c>
      <x:c r="E335" t="n">
        <x:f>('Assumptions'!$M$18+'Assumptions'!$N$18)*(1+$B335)^0</x:f>
        <x:v>1500</x:v>
      </x:c>
      <x:c r="F335" t="n">
        <x:f>('Assumptions'!$M$18+'Assumptions'!$N$18)*(1+$B335)^1</x:f>
        <x:v>1920</x:v>
      </x:c>
      <x:c r="G335" t="n">
        <x:f>('Assumptions'!$M$18+'Assumptions'!$N$18)*(1+$B335)^2</x:f>
        <x:v>2457.6</x:v>
      </x:c>
      <x:c r="H335" t="n">
        <x:f>('Assumptions'!$M$18+'Assumptions'!$N$18)*(1+$B335)^3</x:f>
        <x:v>3145.7280000000005</x:v>
      </x:c>
      <x:c r="I335" t="n">
        <x:f>('Assumptions'!$M$18+'Assumptions'!$N$18)*(1+$B335)^4</x:f>
        <x:v>4026.53184</x:v>
      </x:c>
      <x:c r="J335" t="n">
        <x:f>I335*(1+($BG335+('Assumptions'!$D$18-$BG335)*(6-5)/5))</x:f>
        <x:v>4952.634163199999</x:v>
      </x:c>
      <x:c r="K335" t="n">
        <x:f>J335*(1+($BG335+('Assumptions'!$D$18-$BG335)*(7-5)/5))</x:f>
        <x:v>5844.108312575999</x:v>
      </x:c>
      <x:c r="L335" t="n">
        <x:f>K335*(1+($BG335+('Assumptions'!$D$18-$BG335)*(8-5)/5))</x:f>
        <x:v>6603.842393210878</x:v>
      </x:c>
      <x:c r="M335" t="n">
        <x:f>L335*(1+($BG335+('Assumptions'!$D$18-$BG335)*(9-5)/5))</x:f>
        <x:v>7132.1497846677485</x:v>
      </x:c>
      <x:c r="N335" t="n">
        <x:f>M335*(1+($BG335+('Assumptions'!$D$18-$BG335)*(10-5)/5))</x:f>
        <x:v>7346.114278207781</x:v>
      </x:c>
      <x:c r="O335" t="n">
        <x:f>0</x:f>
        <x:v>0</x:v>
      </x:c>
      <x:c r="P335" t="n">
        <x:f>0</x:f>
        <x:v>0</x:v>
      </x:c>
      <x:c r="Q335" t="n">
        <x:f>0</x:f>
        <x:v>0</x:v>
      </x:c>
      <x:c r="R335" t="n">
        <x:f>0</x:f>
        <x:v>0</x:v>
      </x:c>
      <x:c r="S335" t="n">
        <x:f>0</x:f>
        <x:v>0</x:v>
      </x:c>
      <x:c r="T335" t="n">
        <x:f>S335*(1+($BG335+('Assumptions'!$D$18-$BG335)*(6-5)/5))</x:f>
        <x:v>0</x:v>
      </x:c>
      <x:c r="U335" t="n">
        <x:f>T335*(1+($BG335+('Assumptions'!$D$18-$BG335)*(7-5)/5))</x:f>
        <x:v>0</x:v>
      </x:c>
      <x:c r="V335" t="n">
        <x:f>U335*(1+($BG335+('Assumptions'!$D$18-$BG335)*(8-5)/5))</x:f>
        <x:v>0</x:v>
      </x:c>
      <x:c r="W335" t="n">
        <x:f>V335*(1+($BG335+('Assumptions'!$D$18-$BG335)*(9-5)/5))</x:f>
        <x:v>0</x:v>
      </x:c>
      <x:c r="X335" t="n">
        <x:f>W335*(1+($BG335+('Assumptions'!$D$18-$BG335)*(10-5)/5))</x:f>
        <x:v>0</x:v>
      </x:c>
      <x:c r="Y335" t="n">
        <x:f>E335*'POWL Model'!$B$62+O335*'POWL Model'!$B$63+'POWL Model'!$B$73+'POWL Model'!$B$74</x:f>
        <x:v>315</x:v>
      </x:c>
      <x:c r="Z335" t="n">
        <x:f>F335*'POWL Model'!$C$62+P335*'POWL Model'!$C$63+'POWL Model'!$C$73+'POWL Model'!$C$74</x:f>
        <x:v>422.4</x:v>
      </x:c>
      <x:c r="AA335" t="n">
        <x:f>G335*'POWL Model'!$D$62+Q335*'POWL Model'!$D$63+'POWL Model'!$D$73+'POWL Model'!$D$74</x:f>
        <x:v>540.672</x:v>
      </x:c>
      <x:c r="AB335" t="n">
        <x:f>H335*'POWL Model'!$E$62+R335*'POWL Model'!$E$63+'POWL Model'!$E$73+'POWL Model'!$E$74</x:f>
        <x:v>676.3315200000001</x:v>
      </x:c>
      <x:c r="AC335" t="n">
        <x:f>I335*'POWL Model'!$F$62+S335*'POWL Model'!$F$63+'POWL Model'!$F$73+'POWL Model'!$F$74</x:f>
        <x:v>845.5716864</x:v>
      </x:c>
      <x:c r="AD335" t="n">
        <x:f>AX335*$AC335/$AW335</x:f>
        <x:v>1040.0531742719998</x:v>
      </x:c>
      <x:c r="AE335" t="n">
        <x:f>AY335*$AC335/$AW335</x:f>
        <x:v>1227.2627456409596</x:v>
      </x:c>
      <x:c r="AF335" t="n">
        <x:f>AZ335*$AC335/$AW335</x:f>
        <x:v>1386.8069025742843</x:v>
      </x:c>
      <x:c r="AG335" t="n">
        <x:f>BA335*$AC335/$AW335</x:f>
        <x:v>1497.751454780227</x:v>
      </x:c>
      <x:c r="AH335" t="n">
        <x:f>BB335*$AC335/$AW335</x:f>
        <x:v>1542.683998423634</x:v>
      </x:c>
      <x:c r="AI335" t="n">
        <x:f>Y335*(1-'Assumptions'!$F$18)+AS335*'Assumptions'!$G$18-AS335*'POWL Model'!$B$65-(AS335-'Inputs'!$G$14)*'Assumptions'!$H$18-'Assumptions'!$I$18</x:f>
        <x:v>183.9</x:v>
      </x:c>
      <x:c r="AJ335" t="n">
        <x:f>Z335*(1-'Assumptions'!$F$18)+AT335*'Assumptions'!$G$18-AT335*'POWL Model'!$C$65-(AT335-AS335)*'Assumptions'!$H$18-0</x:f>
        <x:v>246.38400000000001</x:v>
      </x:c>
      <x:c r="AK335" t="n">
        <x:f>AA335*(1-'Assumptions'!$F$18)+AU335*'Assumptions'!$G$18-AU335*'POWL Model'!$D$65-(AU335-AT335)*'Assumptions'!$H$18-0</x:f>
        <x:v>322.74432</x:v>
      </x:c>
      <x:c r="AL335" t="n">
        <x:f>AB335*(1-'Assumptions'!$F$18)+AV335*'Assumptions'!$G$18-AV335*'POWL Model'!$E$65-(AV335-AU335)*'Assumptions'!$H$18-0</x:f>
        <x:v>407.45041920000006</x:v>
      </x:c>
      <x:c r="AM335" t="n">
        <x:f>AC335*(1-'Assumptions'!$F$18)+AW335*'Assumptions'!$G$18-AW335*'POWL Model'!$F$65-(AW335-AV335)*'Assumptions'!$H$18-0</x:f>
        <x:v>506.235715584</x:v>
      </x:c>
      <x:c r="AN335" t="n">
        <x:f>AD335*(1-'Assumptions'!$F$18)+AX335*'Assumptions'!$G$18-AX335*'POWL Model'!$G$65-(AX335-AW335)*'Assumptions'!$H$18-0</x:f>
        <x:v>638.3985701683199</x:v>
      </x:c>
      <x:c r="AO335" t="n">
        <x:f>AE335*(1-'Assumptions'!$F$18)+AY335*'Assumptions'!$G$18-AY335*'POWL Model'!$H$65-(AY335-AX335)*'Assumptions'!$H$18-0</x:f>
        <x:v>773.4429719986174</x:v>
      </x:c>
      <x:c r="AP335" t="n">
        <x:f>AF335*(1-'Assumptions'!$F$18)+AZ335*'Assumptions'!$G$18-AZ335*'POWL Model'!$I$65-(AZ335-AY335)*'Assumptions'!$H$18-0</x:f>
        <x:v>898.7537291744376</x:v>
      </x:c>
      <x:c r="AQ335" t="n">
        <x:f>AG335*(1-'Assumptions'!$F$18)+BA335*'Assumptions'!$G$18-BA335*'POWL Model'!$J$65-(BA335-AZ335)*'Assumptions'!$H$18-0</x:f>
        <x:v>999.8745690712725</x:v>
      </x:c>
      <x:c r="AR335" t="n">
        <x:f>AH335*(1-'Assumptions'!$F$18)+BB335*'Assumptions'!$G$18-BB335*'POWL Model'!$K$65-(BB335-BA335)*'Assumptions'!$H$18-0</x:f>
        <x:v>1062.890018109465</x:v>
      </x:c>
      <x:c r="AS335" t="n">
        <x:f>E335+O335</x:f>
        <x:v>1500</x:v>
      </x:c>
      <x:c r="AT335" t="n">
        <x:f>F335+P335</x:f>
        <x:v>1920</x:v>
      </x:c>
      <x:c r="AU335" t="n">
        <x:f>G335+Q335</x:f>
        <x:v>2457.6</x:v>
      </x:c>
      <x:c r="AV335" t="n">
        <x:f>H335+R335</x:f>
        <x:v>3145.7280000000005</x:v>
      </x:c>
      <x:c r="AW335" t="n">
        <x:f>I335+S335</x:f>
        <x:v>4026.53184</x:v>
      </x:c>
      <x:c r="AX335" t="n">
        <x:f>J335+T335</x:f>
        <x:v>4952.634163199999</x:v>
      </x:c>
      <x:c r="AY335" t="n">
        <x:f>K335+U335</x:f>
        <x:v>5844.108312575999</x:v>
      </x:c>
      <x:c r="AZ335" t="n">
        <x:f>L335+V335</x:f>
        <x:v>6603.842393210878</x:v>
      </x:c>
      <x:c r="BA335" t="n">
        <x:f>M335+W335</x:f>
        <x:v>7132.1497846677485</x:v>
      </x:c>
      <x:c r="BB335" t="n">
        <x:f>N335+X335</x:f>
        <x:v>7346.114278207781</x:v>
      </x:c>
      <x:c r="BC335" t="n">
        <x:f>AS335/'Inputs'!$G$14-1</x:f>
        <x:v>0.25</x:v>
      </x:c>
      <x:c r="BD335" t="n">
        <x:f>AT335/AS335-1</x:f>
        <x:v>0.28</x:v>
      </x:c>
      <x:c r="BE335" t="n">
        <x:f>AU335/AT335-1</x:f>
        <x:v>0.28</x:v>
      </x:c>
      <x:c r="BF335" t="n">
        <x:f>AV335/AU335-1</x:f>
        <x:v>0.28000000000000025</x:v>
      </x:c>
      <x:c r="BG335" t="n">
        <x:f>AW335/AV335-1</x:f>
        <x:v>0.2799999999999998</x:v>
      </x:c>
      <x:c r="BH335" t="n">
        <x:f>AX335/AW335-1</x:f>
        <x:v>0.22999999999999976</x:v>
      </x:c>
      <x:c r="BI335" t="n">
        <x:f>AY335/AX335-1</x:f>
        <x:v>0.17999999999999994</x:v>
      </x:c>
      <x:c r="BJ335" t="n">
        <x:f>AZ335/AY335-1</x:f>
        <x:v>0.1299999999999999</x:v>
      </x:c>
      <x:c r="BK335" t="n">
        <x:f>BA335/AZ335-1</x:f>
        <x:v>0.08000000000000007</x:v>
      </x:c>
      <x:c r="BL335" t="n">
        <x:f>BB335/BA335-1</x:f>
        <x:v>0.030000000000000027</x:v>
      </x:c>
      <x:c r="BM335" t="n">
        <x:f>AH335*(1-'Assumptions'!$F$18)*(1+'Assumptions'!$D$18)*(1-'Assumptions'!$D$18/'Assumptions'!$E$18)</x:f>
        <x:v>1062.699469890098</x:v>
      </x:c>
      <x:c r="BN335" t="n">
        <x:f>SUMPRODUCT(AI335:AR335,'POWL Model'!$B$83:$K$83)+BM335/('Assumptions'!$C$18-'Assumptions'!$D$18)*'POWL Model'!$K$83</x:f>
        <x:v>8346.888032225088</x:v>
      </x:c>
      <x:c r="BO335" t="n">
        <x:f>'POWL Model'!$B$94</x:f>
        <x:v>230.812</x:v>
      </x:c>
      <x:c r="BP335" t="n">
        <x:f>'Inputs'!$G$8</x:f>
        <x:v>36.604</x:v>
      </x:c>
    </x:row>
    <x:row r="336">
      <x:c r="A336" t="str">
        <x:v>POWL</x:v>
      </x:c>
      <x:c r="B336" s="22" t="n">
        <x:v>0.29</x:v>
      </x:c>
      <x:c r="C336" s="42" t="n">
        <x:f>(BN336+BO336)/BP336</x:f>
        <x:v>244.1192896462145</x:v>
      </x:c>
      <x:c r="D336" s="22" t="n">
        <x:f>C336/'Inputs'!$G$5-1</x:f>
        <x:v>0.34745978719553183</x:v>
      </x:c>
      <x:c r="E336" t="n">
        <x:f>('Assumptions'!$M$18+'Assumptions'!$N$18)*(1+$B336)^0</x:f>
        <x:v>1500</x:v>
      </x:c>
      <x:c r="F336" t="n">
        <x:f>('Assumptions'!$M$18+'Assumptions'!$N$18)*(1+$B336)^1</x:f>
        <x:v>1935</x:v>
      </x:c>
      <x:c r="G336" t="n">
        <x:f>('Assumptions'!$M$18+'Assumptions'!$N$18)*(1+$B336)^2</x:f>
        <x:v>2496.15</x:v>
      </x:c>
      <x:c r="H336" t="n">
        <x:f>('Assumptions'!$M$18+'Assumptions'!$N$18)*(1+$B336)^3</x:f>
        <x:v>3220.0335000000005</x:v>
      </x:c>
      <x:c r="I336" t="n">
        <x:f>('Assumptions'!$M$18+'Assumptions'!$N$18)*(1+$B336)^4</x:f>
        <x:v>4153.843215000001</x:v>
      </x:c>
      <x:c r="J336" t="n">
        <x:f>I336*(1+($BG336+('Assumptions'!$D$18-$BG336)*(6-5)/5))</x:f>
        <x:v>5142.457900170001</x:v>
      </x:c>
      <x:c r="K336" t="n">
        <x:f>J336*(1+($BG336+('Assumptions'!$D$18-$BG336)*(7-5)/5))</x:f>
        <x:v>6098.955069601621</x:v>
      </x:c>
      <x:c r="L336" t="n">
        <x:f>K336*(1+($BG336+('Assumptions'!$D$18-$BG336)*(8-5)/5))</x:f>
        <x:v>6916.215048928239</x:v>
      </x:c>
      <x:c r="M336" t="n">
        <x:f>L336*(1+($BG336+('Assumptions'!$D$18-$BG336)*(9-5)/5))</x:f>
        <x:v>7483.344682940356</x:v>
      </x:c>
      <x:c r="N336" t="n">
        <x:f>M336*(1+($BG336+('Assumptions'!$D$18-$BG336)*(10-5)/5))</x:f>
        <x:v>7707.8450234285665</x:v>
      </x:c>
      <x:c r="O336" t="n">
        <x:f>0</x:f>
        <x:v>0</x:v>
      </x:c>
      <x:c r="P336" t="n">
        <x:f>0</x:f>
        <x:v>0</x:v>
      </x:c>
      <x:c r="Q336" t="n">
        <x:f>0</x:f>
        <x:v>0</x:v>
      </x:c>
      <x:c r="R336" t="n">
        <x:f>0</x:f>
        <x:v>0</x:v>
      </x:c>
      <x:c r="S336" t="n">
        <x:f>0</x:f>
        <x:v>0</x:v>
      </x:c>
      <x:c r="T336" t="n">
        <x:f>S336*(1+($BG336+('Assumptions'!$D$18-$BG336)*(6-5)/5))</x:f>
        <x:v>0</x:v>
      </x:c>
      <x:c r="U336" t="n">
        <x:f>T336*(1+($BG336+('Assumptions'!$D$18-$BG336)*(7-5)/5))</x:f>
        <x:v>0</x:v>
      </x:c>
      <x:c r="V336" t="n">
        <x:f>U336*(1+($BG336+('Assumptions'!$D$18-$BG336)*(8-5)/5))</x:f>
        <x:v>0</x:v>
      </x:c>
      <x:c r="W336" t="n">
        <x:f>V336*(1+($BG336+('Assumptions'!$D$18-$BG336)*(9-5)/5))</x:f>
        <x:v>0</x:v>
      </x:c>
      <x:c r="X336" t="n">
        <x:f>W336*(1+($BG336+('Assumptions'!$D$18-$BG336)*(10-5)/5))</x:f>
        <x:v>0</x:v>
      </x:c>
      <x:c r="Y336" t="n">
        <x:f>E336*'POWL Model'!$B$62+O336*'POWL Model'!$B$63+'POWL Model'!$B$73+'POWL Model'!$B$74</x:f>
        <x:v>315</x:v>
      </x:c>
      <x:c r="Z336" t="n">
        <x:f>F336*'POWL Model'!$C$62+P336*'POWL Model'!$C$63+'POWL Model'!$C$73+'POWL Model'!$C$74</x:f>
        <x:v>425.7</x:v>
      </x:c>
      <x:c r="AA336" t="n">
        <x:f>G336*'POWL Model'!$D$62+Q336*'POWL Model'!$D$63+'POWL Model'!$D$73+'POWL Model'!$D$74</x:f>
        <x:v>549.153</x:v>
      </x:c>
      <x:c r="AB336" t="n">
        <x:f>H336*'POWL Model'!$E$62+R336*'POWL Model'!$E$63+'POWL Model'!$E$73+'POWL Model'!$E$74</x:f>
        <x:v>692.3072025000001</x:v>
      </x:c>
      <x:c r="AC336" t="n">
        <x:f>I336*'POWL Model'!$F$62+S336*'POWL Model'!$F$63+'POWL Model'!$F$73+'POWL Model'!$F$74</x:f>
        <x:v>872.3070751500002</x:v>
      </x:c>
      <x:c r="AD336" t="n">
        <x:f>AX336*$AC336/$AW336</x:f>
        <x:v>1079.9161590357003</x:v>
      </x:c>
      <x:c r="AE336" t="n">
        <x:f>AY336*$AC336/$AW336</x:f>
        <x:v>1280.7805646163404</x:v>
      </x:c>
      <x:c r="AF336" t="n">
        <x:f>AZ336*$AC336/$AW336</x:f>
        <x:v>1452.4051602749303</x:v>
      </x:c>
      <x:c r="AG336" t="n">
        <x:f>BA336*$AC336/$AW336</x:f>
        <x:v>1571.5023834174747</x:v>
      </x:c>
      <x:c r="AH336" t="n">
        <x:f>BB336*$AC336/$AW336</x:f>
        <x:v>1618.647454919999</x:v>
      </x:c>
      <x:c r="AI336" t="n">
        <x:f>Y336*(1-'Assumptions'!$F$18)+AS336*'Assumptions'!$G$18-AS336*'POWL Model'!$B$65-(AS336-'Inputs'!$G$14)*'Assumptions'!$H$18-'Assumptions'!$I$18</x:f>
        <x:v>183.9</x:v>
      </x:c>
      <x:c r="AJ336" t="n">
        <x:f>Z336*(1-'Assumptions'!$F$18)+AT336*'Assumptions'!$G$18-AT336*'POWL Model'!$C$65-(AT336-AS336)*'Assumptions'!$H$18-0</x:f>
        <x:v>247.137</x:v>
      </x:c>
      <x:c r="AK336" t="n">
        <x:f>AA336*(1-'Assumptions'!$F$18)+AU336*'Assumptions'!$G$18-AU336*'POWL Model'!$D$65-(AU336-AT336)*'Assumptions'!$H$18-0</x:f>
        <x:v>326.29518</x:v>
      </x:c>
      <x:c r="AL336" t="n">
        <x:f>AB336*(1-'Assumptions'!$F$18)+AV336*'Assumptions'!$G$18-AV336*'POWL Model'!$E$65-(AV336-AU336)*'Assumptions'!$H$18-0</x:f>
        <x:v>415.12472190000005</x:v>
      </x:c>
      <x:c r="AM336" t="n">
        <x:f>AC336*(1-'Assumptions'!$F$18)+AW336*'Assumptions'!$G$18-AW336*'POWL Model'!$F$65-(AW336-AV336)*'Assumptions'!$H$18-0</x:f>
        <x:v>519.726287034</x:v>
      </x:c>
      <x:c r="AN336" t="n">
        <x:f>AD336*(1-'Assumptions'!$F$18)+AX336*'Assumptions'!$G$18-AX336*'POWL Model'!$G$65-(AX336-AW336)*'Assumptions'!$H$18-0</x:f>
        <x:v>660.1653175480922</x:v>
      </x:c>
      <x:c r="AO336" t="n">
        <x:f>AE336*(1-'Assumptions'!$F$18)+AY336*'Assumptions'!$G$18-AY336*'POWL Model'!$H$65-(AY336-AX336)*'Assumptions'!$H$18-0</x:f>
        <x:v>804.5560513300371</x:v>
      </x:c>
      <x:c r="AP336" t="n">
        <x:f>AF336*(1-'Assumptions'!$F$18)+AZ336*'Assumptions'!$G$18-AZ336*'POWL Model'!$I$65-(AZ336-AY336)*'Assumptions'!$H$18-0</x:f>
        <x:v>939.1073432891463</x:v>
      </x:c>
      <x:c r="AQ336" t="n">
        <x:f>AG336*(1-'Assumptions'!$F$18)+BA336*'Assumptions'!$G$18-BA336*'POWL Model'!$J$65-(BA336-AZ336)*'Assumptions'!$H$18-0</x:f>
        <x:v>1047.8287118007847</x:v>
      </x:c>
      <x:c r="AR336" t="n">
        <x:f>AH336*(1-'Assumptions'!$F$18)+BB336*'Assumptions'!$G$18-BB336*'POWL Model'!$K$65-(BB336-BA336)*'Assumptions'!$H$18-0</x:f>
        <x:v>1115.2278914092353</x:v>
      </x:c>
      <x:c r="AS336" t="n">
        <x:f>E336+O336</x:f>
        <x:v>1500</x:v>
      </x:c>
      <x:c r="AT336" t="n">
        <x:f>F336+P336</x:f>
        <x:v>1935</x:v>
      </x:c>
      <x:c r="AU336" t="n">
        <x:f>G336+Q336</x:f>
        <x:v>2496.15</x:v>
      </x:c>
      <x:c r="AV336" t="n">
        <x:f>H336+R336</x:f>
        <x:v>3220.0335000000005</x:v>
      </x:c>
      <x:c r="AW336" t="n">
        <x:f>I336+S336</x:f>
        <x:v>4153.843215000001</x:v>
      </x:c>
      <x:c r="AX336" t="n">
        <x:f>J336+T336</x:f>
        <x:v>5142.457900170001</x:v>
      </x:c>
      <x:c r="AY336" t="n">
        <x:f>K336+U336</x:f>
        <x:v>6098.955069601621</x:v>
      </x:c>
      <x:c r="AZ336" t="n">
        <x:f>L336+V336</x:f>
        <x:v>6916.215048928239</x:v>
      </x:c>
      <x:c r="BA336" t="n">
        <x:f>M336+W336</x:f>
        <x:v>7483.344682940356</x:v>
      </x:c>
      <x:c r="BB336" t="n">
        <x:f>N336+X336</x:f>
        <x:v>7707.8450234285665</x:v>
      </x:c>
      <x:c r="BC336" t="n">
        <x:f>AS336/'Inputs'!$G$14-1</x:f>
        <x:v>0.25</x:v>
      </x:c>
      <x:c r="BD336" t="n">
        <x:f>AT336/AS336-1</x:f>
        <x:v>0.29000000000000004</x:v>
      </x:c>
      <x:c r="BE336" t="n">
        <x:f>AU336/AT336-1</x:f>
        <x:v>0.29000000000000004</x:v>
      </x:c>
      <x:c r="BF336" t="n">
        <x:f>AV336/AU336-1</x:f>
        <x:v>0.29000000000000004</x:v>
      </x:c>
      <x:c r="BG336" t="n">
        <x:f>AW336/AV336-1</x:f>
        <x:v>0.29000000000000004</x:v>
      </x:c>
      <x:c r="BH336" t="n">
        <x:f>AX336/AW336-1</x:f>
        <x:v>0.238</x:v>
      </x:c>
      <x:c r="BI336" t="n">
        <x:f>AY336/AX336-1</x:f>
        <x:v>0.18599999999999994</x:v>
      </x:c>
      <x:c r="BJ336" t="n">
        <x:f>AZ336/AY336-1</x:f>
        <x:v>0.13400000000000012</x:v>
      </x:c>
      <x:c r="BK336" t="n">
        <x:f>BA336/AZ336-1</x:f>
        <x:v>0.08200000000000007</x:v>
      </x:c>
      <x:c r="BL336" t="n">
        <x:f>BB336/BA336-1</x:f>
        <x:v>0.030000000000000027</x:v>
      </x:c>
      <x:c r="BM336" t="n">
        <x:f>AH336*(1-'Assumptions'!$F$18)*(1+'Assumptions'!$D$18)*(1-'Assumptions'!$D$18/'Assumptions'!$E$18)</x:f>
        <x:v>1115.0279603860104</x:v>
      </x:c>
      <x:c r="BN336" t="n">
        <x:f>SUMPRODUCT(AI336:AR336,'POWL Model'!$B$83:$K$83)+BM336/('Assumptions'!$C$18-'Assumptions'!$D$18)*'POWL Model'!$K$83</x:f>
        <x:v>8704.930478210035</x:v>
      </x:c>
      <x:c r="BO336" t="n">
        <x:f>'POWL Model'!$B$94</x:f>
        <x:v>230.812</x:v>
      </x:c>
      <x:c r="BP336" t="n">
        <x:f>'Inputs'!$G$8</x:f>
        <x:v>36.604</x:v>
      </x:c>
    </x:row>
    <x:row r="337">
      <x:c r="A337" t="str">
        <x:v>POWL</x:v>
      </x:c>
      <x:c r="B337" s="22" t="n">
        <x:v>0.3</x:v>
      </x:c>
      <x:c r="C337" s="42" t="n">
        <x:f>(BN337+BO337)/BP337</x:f>
        <x:v>254.28678535336908</x:v>
      </x:c>
      <x:c r="D337" s="22" t="n">
        <x:f>C337/'Inputs'!$G$5-1</x:f>
        <x:v>0.40358108601517406</x:v>
      </x:c>
      <x:c r="E337" t="n">
        <x:f>('Assumptions'!$M$18+'Assumptions'!$N$18)*(1+$B337)^0</x:f>
        <x:v>1500</x:v>
      </x:c>
      <x:c r="F337" t="n">
        <x:f>('Assumptions'!$M$18+'Assumptions'!$N$18)*(1+$B337)^1</x:f>
        <x:v>1950</x:v>
      </x:c>
      <x:c r="G337" t="n">
        <x:f>('Assumptions'!$M$18+'Assumptions'!$N$18)*(1+$B337)^2</x:f>
        <x:v>2535.0000000000005</x:v>
      </x:c>
      <x:c r="H337" t="n">
        <x:f>('Assumptions'!$M$18+'Assumptions'!$N$18)*(1+$B337)^3</x:f>
        <x:v>3295.500000000001</x:v>
      </x:c>
      <x:c r="I337" t="n">
        <x:f>('Assumptions'!$M$18+'Assumptions'!$N$18)*(1+$B337)^4</x:f>
        <x:v>4284.150000000001</x:v>
      </x:c>
      <x:c r="J337" t="n">
        <x:f>I337*(1+($BG337+('Assumptions'!$D$18-$BG337)*(6-5)/5))</x:f>
        <x:v>5338.050899999999</x:v>
      </x:c>
      <x:c r="K337" t="n">
        <x:f>J337*(1+($BG337+('Assumptions'!$D$18-$BG337)*(7-5)/5))</x:f>
        <x:v>6362.956672799999</x:v>
      </x:c>
      <x:c r="L337" t="n">
        <x:f>K337*(1+($BG337+('Assumptions'!$D$18-$BG337)*(8-5)/5))</x:f>
        <x:v>7241.044693646399</x:v>
      </x:c>
      <x:c r="M337" t="n">
        <x:f>L337*(1+($BG337+('Assumptions'!$D$18-$BG337)*(9-5)/5))</x:f>
        <x:v>7849.292447912697</x:v>
      </x:c>
      <x:c r="N337" t="n">
        <x:f>M337*(1+($BG337+('Assumptions'!$D$18-$BG337)*(10-5)/5))</x:f>
        <x:v>8084.771221350078</x:v>
      </x:c>
      <x:c r="O337" t="n">
        <x:f>0</x:f>
        <x:v>0</x:v>
      </x:c>
      <x:c r="P337" t="n">
        <x:f>0</x:f>
        <x:v>0</x:v>
      </x:c>
      <x:c r="Q337" t="n">
        <x:f>0</x:f>
        <x:v>0</x:v>
      </x:c>
      <x:c r="R337" t="n">
        <x:f>0</x:f>
        <x:v>0</x:v>
      </x:c>
      <x:c r="S337" t="n">
        <x:f>0</x:f>
        <x:v>0</x:v>
      </x:c>
      <x:c r="T337" t="n">
        <x:f>S337*(1+($BG337+('Assumptions'!$D$18-$BG337)*(6-5)/5))</x:f>
        <x:v>0</x:v>
      </x:c>
      <x:c r="U337" t="n">
        <x:f>T337*(1+($BG337+('Assumptions'!$D$18-$BG337)*(7-5)/5))</x:f>
        <x:v>0</x:v>
      </x:c>
      <x:c r="V337" t="n">
        <x:f>U337*(1+($BG337+('Assumptions'!$D$18-$BG337)*(8-5)/5))</x:f>
        <x:v>0</x:v>
      </x:c>
      <x:c r="W337" t="n">
        <x:f>V337*(1+($BG337+('Assumptions'!$D$18-$BG337)*(9-5)/5))</x:f>
        <x:v>0</x:v>
      </x:c>
      <x:c r="X337" t="n">
        <x:f>W337*(1+($BG337+('Assumptions'!$D$18-$BG337)*(10-5)/5))</x:f>
        <x:v>0</x:v>
      </x:c>
      <x:c r="Y337" t="n">
        <x:f>E337*'POWL Model'!$B$62+O337*'POWL Model'!$B$63+'POWL Model'!$B$73+'POWL Model'!$B$74</x:f>
        <x:v>315</x:v>
      </x:c>
      <x:c r="Z337" t="n">
        <x:f>F337*'POWL Model'!$C$62+P337*'POWL Model'!$C$63+'POWL Model'!$C$73+'POWL Model'!$C$74</x:f>
        <x:v>429</x:v>
      </x:c>
      <x:c r="AA337" t="n">
        <x:f>G337*'POWL Model'!$D$62+Q337*'POWL Model'!$D$63+'POWL Model'!$D$73+'POWL Model'!$D$74</x:f>
        <x:v>557.7000000000002</x:v>
      </x:c>
      <x:c r="AB337" t="n">
        <x:f>H337*'POWL Model'!$E$62+R337*'POWL Model'!$E$63+'POWL Model'!$E$73+'POWL Model'!$E$74</x:f>
        <x:v>708.5325000000001</x:v>
      </x:c>
      <x:c r="AC337" t="n">
        <x:f>I337*'POWL Model'!$F$62+S337*'POWL Model'!$F$63+'POWL Model'!$F$73+'POWL Model'!$F$74</x:f>
        <x:v>899.6715</x:v>
      </x:c>
      <x:c r="AD337" t="n">
        <x:f>AX337*$AC337/$AW337</x:f>
        <x:v>1120.9906889999997</x:v>
      </x:c>
      <x:c r="AE337" t="n">
        <x:f>AY337*$AC337/$AW337</x:f>
        <x:v>1336.2209012879996</x:v>
      </x:c>
      <x:c r="AF337" t="n">
        <x:f>AZ337*$AC337/$AW337</x:f>
        <x:v>1520.6193856657437</x:v>
      </x:c>
      <x:c r="AG337" t="n">
        <x:f>BA337*$AC337/$AW337</x:f>
        <x:v>1648.3514140616662</x:v>
      </x:c>
      <x:c r="AH337" t="n">
        <x:f>BB337*$AC337/$AW337</x:f>
        <x:v>1697.8019564835163</x:v>
      </x:c>
      <x:c r="AI337" t="n">
        <x:f>Y337*(1-'Assumptions'!$F$18)+AS337*'Assumptions'!$G$18-AS337*'POWL Model'!$B$65-(AS337-'Inputs'!$G$14)*'Assumptions'!$H$18-'Assumptions'!$I$18</x:f>
        <x:v>183.9</x:v>
      </x:c>
      <x:c r="AJ337" t="n">
        <x:f>Z337*(1-'Assumptions'!$F$18)+AT337*'Assumptions'!$G$18-AT337*'POWL Model'!$C$65-(AT337-AS337)*'Assumptions'!$H$18-0</x:f>
        <x:v>247.89000000000004</x:v>
      </x:c>
      <x:c r="AK337" t="n">
        <x:f>AA337*(1-'Assumptions'!$F$18)+AU337*'Assumptions'!$G$18-AU337*'POWL Model'!$D$65-(AU337-AT337)*'Assumptions'!$H$18-0</x:f>
        <x:v>329.86200000000014</x:v>
      </x:c>
      <x:c r="AL337" t="n">
        <x:f>AB337*(1-'Assumptions'!$F$18)+AV337*'Assumptions'!$G$18-AV337*'POWL Model'!$E$65-(AV337-AU337)*'Assumptions'!$H$18-0</x:f>
        <x:v>422.88870000000003</x:v>
      </x:c>
      <x:c r="AM337" t="n">
        <x:f>AC337*(1-'Assumptions'!$F$18)+AW337*'Assumptions'!$G$18-AW337*'POWL Model'!$F$65-(AW337-AV337)*'Assumptions'!$H$18-0</x:f>
        <x:v>533.47554</x:v>
      </x:c>
      <x:c r="AN337" t="n">
        <x:f>AD337*(1-'Assumptions'!$F$18)+AX337*'Assumptions'!$G$18-AX337*'POWL Model'!$G$65-(AX337-AW337)*'Assumptions'!$H$18-0</x:f>
        <x:v>682.5062228399999</x:v>
      </x:c>
      <x:c r="AO337" t="n">
        <x:f>AE337*(1-'Assumptions'!$F$18)+AY337*'Assumptions'!$G$18-AY337*'POWL Model'!$H$65-(AY337-AX337)*'Assumptions'!$H$18-0</x:f>
        <x:v>836.6818276252798</x:v>
      </x:c>
      <x:c r="AP337" t="n">
        <x:f>AF337*(1-'Assumptions'!$F$18)+AZ337*'Assumptions'!$G$18-AZ337*'POWL Model'!$I$65-(AZ337-AY337)*'Assumptions'!$H$18-0</x:f>
        <x:v>980.9693946975684</x:v>
      </x:c>
      <x:c r="AQ337" t="n">
        <x:f>AG337*(1-'Assumptions'!$F$18)+BA337*'Assumptions'!$G$18-BA337*'POWL Model'!$J$65-(BA337-AZ337)*'Assumptions'!$H$18-0</x:f>
        <x:v>1097.7307898852841</x:v>
      </x:c>
      <x:c r="AR337" t="n">
        <x:f>AH337*(1-'Assumptions'!$F$18)+BB337*'Assumptions'!$G$18-BB337*'POWL Model'!$K$65-(BB337-BA337)*'Assumptions'!$H$18-0</x:f>
        <x:v>1169.7643549275333</x:v>
      </x:c>
      <x:c r="AS337" t="n">
        <x:f>E337+O337</x:f>
        <x:v>1500</x:v>
      </x:c>
      <x:c r="AT337" t="n">
        <x:f>F337+P337</x:f>
        <x:v>1950</x:v>
      </x:c>
      <x:c r="AU337" t="n">
        <x:f>G337+Q337</x:f>
        <x:v>2535.0000000000005</x:v>
      </x:c>
      <x:c r="AV337" t="n">
        <x:f>H337+R337</x:f>
        <x:v>3295.500000000001</x:v>
      </x:c>
      <x:c r="AW337" t="n">
        <x:f>I337+S337</x:f>
        <x:v>4284.150000000001</x:v>
      </x:c>
      <x:c r="AX337" t="n">
        <x:f>J337+T337</x:f>
        <x:v>5338.050899999999</x:v>
      </x:c>
      <x:c r="AY337" t="n">
        <x:f>K337+U337</x:f>
        <x:v>6362.956672799999</x:v>
      </x:c>
      <x:c r="AZ337" t="n">
        <x:f>L337+V337</x:f>
        <x:v>7241.044693646399</x:v>
      </x:c>
      <x:c r="BA337" t="n">
        <x:f>M337+W337</x:f>
        <x:v>7849.292447912697</x:v>
      </x:c>
      <x:c r="BB337" t="n">
        <x:f>N337+X337</x:f>
        <x:v>8084.771221350078</x:v>
      </x:c>
      <x:c r="BC337" t="n">
        <x:f>AS337/'Inputs'!$G$14-1</x:f>
        <x:v>0.25</x:v>
      </x:c>
      <x:c r="BD337" t="n">
        <x:f>AT337/AS337-1</x:f>
        <x:v>0.30000000000000004</x:v>
      </x:c>
      <x:c r="BE337" t="n">
        <x:f>AU337/AT337-1</x:f>
        <x:v>0.30000000000000027</x:v>
      </x:c>
      <x:c r="BF337" t="n">
        <x:f>AV337/AU337-1</x:f>
        <x:v>0.30000000000000004</x:v>
      </x:c>
      <x:c r="BG337" t="n">
        <x:f>AW337/AV337-1</x:f>
        <x:v>0.2999999999999998</x:v>
      </x:c>
      <x:c r="BH337" t="n">
        <x:f>AX337/AW337-1</x:f>
        <x:v>0.24599999999999977</x:v>
      </x:c>
      <x:c r="BI337" t="n">
        <x:f>AY337/AX337-1</x:f>
        <x:v>0.19199999999999995</x:v>
      </x:c>
      <x:c r="BJ337" t="n">
        <x:f>AZ337/AY337-1</x:f>
        <x:v>0.1379999999999999</x:v>
      </x:c>
      <x:c r="BK337" t="n">
        <x:f>BA337/AZ337-1</x:f>
        <x:v>0.08400000000000007</x:v>
      </x:c>
      <x:c r="BL337" t="n">
        <x:f>BB337/BA337-1</x:f>
        <x:v>0.030000000000000027</x:v>
      </x:c>
      <x:c r="BM337" t="n">
        <x:f>AH337*(1-'Assumptions'!$F$18)*(1+'Assumptions'!$D$18)*(1-'Assumptions'!$D$18/'Assumptions'!$E$18)</x:f>
        <x:v>1169.554646951061</x:v>
      </x:c>
      <x:c r="BN337" t="n">
        <x:f>SUMPRODUCT(AI337:AR337,'POWL Model'!$B$83:$K$83)+BM337/('Assumptions'!$C$18-'Assumptions'!$D$18)*'POWL Model'!$K$83</x:f>
        <x:v>9077.101491074722</x:v>
      </x:c>
      <x:c r="BO337" t="n">
        <x:f>'POWL Model'!$B$94</x:f>
        <x:v>230.812</x:v>
      </x:c>
      <x:c r="BP337" t="n">
        <x:f>'Inputs'!$G$8</x:f>
        <x:v>36.604</x:v>
      </x:c>
    </x:row>
    <x:row r="338">
      <x:c r="A338" t="str">
        <x:v>POWL</x:v>
      </x:c>
      <x:c r="B338" s="22" t="n">
        <x:v>0.31</x:v>
      </x:c>
      <x:c r="C338" s="42" t="n">
        <x:f>(BN338+BO338)/BP338</x:f>
        <x:v>264.85322097099487</x:v>
      </x:c>
      <x:c r="D338" s="22" t="n">
        <x:f>C338/'Inputs'!$G$5-1</x:f>
        <x:v>0.46190440454266657</x:v>
      </x:c>
      <x:c r="E338" t="n">
        <x:f>('Assumptions'!$M$18+'Assumptions'!$N$18)*(1+$B338)^0</x:f>
        <x:v>1500</x:v>
      </x:c>
      <x:c r="F338" t="n">
        <x:f>('Assumptions'!$M$18+'Assumptions'!$N$18)*(1+$B338)^1</x:f>
        <x:v>1965</x:v>
      </x:c>
      <x:c r="G338" t="n">
        <x:f>('Assumptions'!$M$18+'Assumptions'!$N$18)*(1+$B338)^2</x:f>
        <x:v>2574.15</x:v>
      </x:c>
      <x:c r="H338" t="n">
        <x:f>('Assumptions'!$M$18+'Assumptions'!$N$18)*(1+$B338)^3</x:f>
        <x:v>3372.136500000001</x:v>
      </x:c>
      <x:c r="I338" t="n">
        <x:f>('Assumptions'!$M$18+'Assumptions'!$N$18)*(1+$B338)^4</x:f>
        <x:v>4417.498815000001</x:v>
      </x:c>
      <x:c r="J338" t="n">
        <x:f>I338*(1+($BG338+('Assumptions'!$D$18-$BG338)*(6-5)/5))</x:f>
        <x:v>5539.543514010001</x:v>
      </x:c>
      <x:c r="K338" t="n">
        <x:f>J338*(1+($BG338+('Assumptions'!$D$18-$BG338)*(7-5)/5))</x:f>
        <x:v>6636.37312978398</x:v>
      </x:c>
      <x:c r="L338" t="n">
        <x:f>K338*(1+($BG338+('Assumptions'!$D$18-$BG338)*(8-5)/5))</x:f>
        <x:v>7578.738114213305</x:v>
      </x:c>
      <x:c r="M338" t="n">
        <x:f>L338*(1+($BG338+('Assumptions'!$D$18-$BG338)*(9-5)/5))</x:f>
        <x:v>8230.50959203565</x:v>
      </x:c>
      <x:c r="N338" t="n">
        <x:f>M338*(1+($BG338+('Assumptions'!$D$18-$BG338)*(10-5)/5))</x:f>
        <x:v>8477.424879796721</x:v>
      </x:c>
      <x:c r="O338" t="n">
        <x:f>0</x:f>
        <x:v>0</x:v>
      </x:c>
      <x:c r="P338" t="n">
        <x:f>0</x:f>
        <x:v>0</x:v>
      </x:c>
      <x:c r="Q338" t="n">
        <x:f>0</x:f>
        <x:v>0</x:v>
      </x:c>
      <x:c r="R338" t="n">
        <x:f>0</x:f>
        <x:v>0</x:v>
      </x:c>
      <x:c r="S338" t="n">
        <x:f>0</x:f>
        <x:v>0</x:v>
      </x:c>
      <x:c r="T338" t="n">
        <x:f>S338*(1+($BG338+('Assumptions'!$D$18-$BG338)*(6-5)/5))</x:f>
        <x:v>0</x:v>
      </x:c>
      <x:c r="U338" t="n">
        <x:f>T338*(1+($BG338+('Assumptions'!$D$18-$BG338)*(7-5)/5))</x:f>
        <x:v>0</x:v>
      </x:c>
      <x:c r="V338" t="n">
        <x:f>U338*(1+($BG338+('Assumptions'!$D$18-$BG338)*(8-5)/5))</x:f>
        <x:v>0</x:v>
      </x:c>
      <x:c r="W338" t="n">
        <x:f>V338*(1+($BG338+('Assumptions'!$D$18-$BG338)*(9-5)/5))</x:f>
        <x:v>0</x:v>
      </x:c>
      <x:c r="X338" t="n">
        <x:f>W338*(1+($BG338+('Assumptions'!$D$18-$BG338)*(10-5)/5))</x:f>
        <x:v>0</x:v>
      </x:c>
      <x:c r="Y338" t="n">
        <x:f>E338*'POWL Model'!$B$62+O338*'POWL Model'!$B$63+'POWL Model'!$B$73+'POWL Model'!$B$74</x:f>
        <x:v>315</x:v>
      </x:c>
      <x:c r="Z338" t="n">
        <x:f>F338*'POWL Model'!$C$62+P338*'POWL Model'!$C$63+'POWL Model'!$C$73+'POWL Model'!$C$74</x:f>
        <x:v>432.3</x:v>
      </x:c>
      <x:c r="AA338" t="n">
        <x:f>G338*'POWL Model'!$D$62+Q338*'POWL Model'!$D$63+'POWL Model'!$D$73+'POWL Model'!$D$74</x:f>
        <x:v>566.313</x:v>
      </x:c>
      <x:c r="AB338" t="n">
        <x:f>H338*'POWL Model'!$E$62+R338*'POWL Model'!$E$63+'POWL Model'!$E$73+'POWL Model'!$E$74</x:f>
        <x:v>725.0093475000002</x:v>
      </x:c>
      <x:c r="AC338" t="n">
        <x:f>I338*'POWL Model'!$F$62+S338*'POWL Model'!$F$63+'POWL Model'!$F$73+'POWL Model'!$F$74</x:f>
        <x:v>927.6747511500001</x:v>
      </x:c>
      <x:c r="AD338" t="n">
        <x:f>AX338*$AC338/$AW338</x:f>
        <x:v>1163.3041379421002</x:v>
      </x:c>
      <x:c r="AE338" t="n">
        <x:f>AY338*$AC338/$AW338</x:f>
        <x:v>1393.6383572546358</x:v>
      </x:c>
      <x:c r="AF338" t="n">
        <x:f>AZ338*$AC338/$AW338</x:f>
        <x:v>1591.5350039847942</x:v>
      </x:c>
      <x:c r="AG338" t="n">
        <x:f>BA338*$AC338/$AW338</x:f>
        <x:v>1728.4070143274866</x:v>
      </x:c>
      <x:c r="AH338" t="n">
        <x:f>BB338*$AC338/$AW338</x:f>
        <x:v>1780.2592247573114</x:v>
      </x:c>
      <x:c r="AI338" t="n">
        <x:f>Y338*(1-'Assumptions'!$F$18)+AS338*'Assumptions'!$G$18-AS338*'POWL Model'!$B$65-(AS338-'Inputs'!$G$14)*'Assumptions'!$H$18-'Assumptions'!$I$18</x:f>
        <x:v>183.9</x:v>
      </x:c>
      <x:c r="AJ338" t="n">
        <x:f>Z338*(1-'Assumptions'!$F$18)+AT338*'Assumptions'!$G$18-AT338*'POWL Model'!$C$65-(AT338-AS338)*'Assumptions'!$H$18-0</x:f>
        <x:v>248.64300000000003</x:v>
      </x:c>
      <x:c r="AK338" t="n">
        <x:f>AA338*(1-'Assumptions'!$F$18)+AU338*'Assumptions'!$G$18-AU338*'POWL Model'!$D$65-(AU338-AT338)*'Assumptions'!$H$18-0</x:f>
        <x:v>333.44478</x:v>
      </x:c>
      <x:c r="AL338" t="n">
        <x:f>AB338*(1-'Assumptions'!$F$18)+AV338*'Assumptions'!$G$18-AV338*'POWL Model'!$E$65-(AV338-AU338)*'Assumptions'!$H$18-0</x:f>
        <x:v>430.7428161</x:v>
      </x:c>
      <x:c r="AM338" t="n">
        <x:f>AC338*(1-'Assumptions'!$F$18)+AW338*'Assumptions'!$G$18-AW338*'POWL Model'!$F$65-(AW338-AV338)*'Assumptions'!$H$18-0</x:f>
        <x:v>547.4865935940002</x:v>
      </x:c>
      <x:c r="AN338" t="n">
        <x:f>AD338*(1-'Assumptions'!$F$18)+AX338*'Assumptions'!$G$18-AX338*'POWL Model'!$G$65-(AX338-AW338)*'Assumptions'!$H$18-0</x:f>
        <x:v>705.4321527668761</x:v>
      </x:c>
      <x:c r="AO338" t="n">
        <x:f>AE338*(1-'Assumptions'!$F$18)+AY338*'Assumptions'!$G$18-AY338*'POWL Model'!$H$65-(AY338-AX338)*'Assumptions'!$H$18-0</x:f>
        <x:v>869.8457123787173</x:v>
      </x:c>
      <x:c r="AP338" t="n">
        <x:f>AF338*(1-'Assumptions'!$F$18)+AZ338*'Assumptions'!$G$18-AZ338*'POWL Model'!$I$65-(AZ338-AY338)*'Assumptions'!$H$18-0</x:f>
        <x:v>1024.3852472149513</x:v>
      </x:c>
      <x:c r="AQ338" t="n">
        <x:f>AG338*(1-'Assumptions'!$F$18)+BA338*'Assumptions'!$G$18-BA338*'POWL Model'!$J$65-(BA338-AZ338)*'Assumptions'!$H$18-0</x:f>
        <x:v>1149.6460680022276</x:v>
      </x:c>
      <x:c r="AR338" t="n">
        <x:f>AH338*(1-'Assumptions'!$F$18)+BB338*'Assumptions'!$G$18-BB338*'POWL Model'!$K$65-(BB338-BA338)*'Assumptions'!$H$18-0</x:f>
        <x:v>1226.576383481889</x:v>
      </x:c>
      <x:c r="AS338" t="n">
        <x:f>E338+O338</x:f>
        <x:v>1500</x:v>
      </x:c>
      <x:c r="AT338" t="n">
        <x:f>F338+P338</x:f>
        <x:v>1965</x:v>
      </x:c>
      <x:c r="AU338" t="n">
        <x:f>G338+Q338</x:f>
        <x:v>2574.15</x:v>
      </x:c>
      <x:c r="AV338" t="n">
        <x:f>H338+R338</x:f>
        <x:v>3372.136500000001</x:v>
      </x:c>
      <x:c r="AW338" t="n">
        <x:f>I338+S338</x:f>
        <x:v>4417.498815000001</x:v>
      </x:c>
      <x:c r="AX338" t="n">
        <x:f>J338+T338</x:f>
        <x:v>5539.543514010001</x:v>
      </x:c>
      <x:c r="AY338" t="n">
        <x:f>K338+U338</x:f>
        <x:v>6636.37312978398</x:v>
      </x:c>
      <x:c r="AZ338" t="n">
        <x:f>L338+V338</x:f>
        <x:v>7578.738114213305</x:v>
      </x:c>
      <x:c r="BA338" t="n">
        <x:f>M338+W338</x:f>
        <x:v>8230.50959203565</x:v>
      </x:c>
      <x:c r="BB338" t="n">
        <x:f>N338+X338</x:f>
        <x:v>8477.424879796721</x:v>
      </x:c>
      <x:c r="BC338" t="n">
        <x:f>AS338/'Inputs'!$G$14-1</x:f>
        <x:v>0.25</x:v>
      </x:c>
      <x:c r="BD338" t="n">
        <x:f>AT338/AS338-1</x:f>
        <x:v>0.31000000000000005</x:v>
      </x:c>
      <x:c r="BE338" t="n">
        <x:f>AU338/AT338-1</x:f>
        <x:v>0.31000000000000005</x:v>
      </x:c>
      <x:c r="BF338" t="n">
        <x:f>AV338/AU338-1</x:f>
        <x:v>0.3100000000000003</x:v>
      </x:c>
      <x:c r="BG338" t="n">
        <x:f>AW338/AV338-1</x:f>
        <x:v>0.30999999999999983</x:v>
      </x:c>
      <x:c r="BH338" t="n">
        <x:f>AX338/AW338-1</x:f>
        <x:v>0.254</x:v>
      </x:c>
      <x:c r="BI338" t="n">
        <x:f>AY338/AX338-1</x:f>
        <x:v>0.19799999999999995</x:v>
      </x:c>
      <x:c r="BJ338" t="n">
        <x:f>AZ338/AY338-1</x:f>
        <x:v>0.1419999999999999</x:v>
      </x:c>
      <x:c r="BK338" t="n">
        <x:f>BA338/AZ338-1</x:f>
        <x:v>0.08600000000000008</x:v>
      </x:c>
      <x:c r="BL338" t="n">
        <x:f>BB338/BA338-1</x:f>
        <x:v>0.030000000000000027</x:v>
      </x:c>
      <x:c r="BM338" t="n">
        <x:f>AH338*(1-'Assumptions'!$F$18)*(1+'Assumptions'!$D$18)*(1-'Assumptions'!$D$18/'Assumptions'!$E$18)</x:f>
        <x:v>1226.3564906032207</x:v>
      </x:c>
      <x:c r="BN338" t="n">
        <x:f>SUMPRODUCT(AI338:AR338,'POWL Model'!$B$83:$K$83)+BM338/('Assumptions'!$C$18-'Assumptions'!$D$18)*'POWL Model'!$K$83</x:f>
        <x:v>9463.875300422296</x:v>
      </x:c>
      <x:c r="BO338" t="n">
        <x:f>'POWL Model'!$B$94</x:f>
        <x:v>230.812</x:v>
      </x:c>
      <x:c r="BP338" t="n">
        <x:f>'Inputs'!$G$8</x:f>
        <x:v>36.604</x:v>
      </x:c>
    </x:row>
    <x:row r="339">
      <x:c r="A339" t="str">
        <x:v>POWL</x:v>
      </x:c>
      <x:c r="B339" s="22" t="n">
        <x:v>0.32</x:v>
      </x:c>
      <x:c r="C339" s="42" t="n">
        <x:f>(BN339+BO339)/BP339</x:f>
        <x:v>275.83190665670764</x:v>
      </x:c>
      <x:c r="D339" s="22" t="n">
        <x:f>C339/'Inputs'!$G$5-1</x:f>
        <x:v>0.5225032105575298</x:v>
      </x:c>
      <x:c r="E339" t="n">
        <x:f>('Assumptions'!$M$18+'Assumptions'!$N$18)*(1+$B339)^0</x:f>
        <x:v>1500</x:v>
      </x:c>
      <x:c r="F339" t="n">
        <x:f>('Assumptions'!$M$18+'Assumptions'!$N$18)*(1+$B339)^1</x:f>
        <x:v>1980</x:v>
      </x:c>
      <x:c r="G339" t="n">
        <x:f>('Assumptions'!$M$18+'Assumptions'!$N$18)*(1+$B339)^2</x:f>
        <x:v>2613.6000000000004</x:v>
      </x:c>
      <x:c r="H339" t="n">
        <x:f>('Assumptions'!$M$18+'Assumptions'!$N$18)*(1+$B339)^3</x:f>
        <x:v>3449.952</x:v>
      </x:c>
      <x:c r="I339" t="n">
        <x:f>('Assumptions'!$M$18+'Assumptions'!$N$18)*(1+$B339)^4</x:f>
        <x:v>4553.936640000001</x:v>
      </x:c>
      <x:c r="J339" t="n">
        <x:f>I339*(1+($BG339+('Assumptions'!$D$18-$BG339)*(6-5)/5))</x:f>
        <x:v>5747.068039680001</x:v>
      </x:c>
      <x:c r="K339" t="n">
        <x:f>J339*(1+($BG339+('Assumptions'!$D$18-$BG339)*(7-5)/5))</x:f>
        <x:v>6919.46991977472</x:v>
      </x:c>
      <x:c r="L339" t="n">
        <x:f>K339*(1+($BG339+('Assumptions'!$D$18-$BG339)*(8-5)/5))</x:f>
        <x:v>7929.71252806183</x:v>
      </x:c>
      <x:c r="M339" t="n">
        <x:f>L339*(1+($BG339+('Assumptions'!$D$18-$BG339)*(9-5)/5))</x:f>
        <x:v>8627.527230531272</x:v>
      </x:c>
      <x:c r="N339" t="n">
        <x:f>M339*(1+($BG339+('Assumptions'!$D$18-$BG339)*(10-5)/5))</x:f>
        <x:v>8886.35304744721</x:v>
      </x:c>
      <x:c r="O339" t="n">
        <x:f>0</x:f>
        <x:v>0</x:v>
      </x:c>
      <x:c r="P339" t="n">
        <x:f>0</x:f>
        <x:v>0</x:v>
      </x:c>
      <x:c r="Q339" t="n">
        <x:f>0</x:f>
        <x:v>0</x:v>
      </x:c>
      <x:c r="R339" t="n">
        <x:f>0</x:f>
        <x:v>0</x:v>
      </x:c>
      <x:c r="S339" t="n">
        <x:f>0</x:f>
        <x:v>0</x:v>
      </x:c>
      <x:c r="T339" t="n">
        <x:f>S339*(1+($BG339+('Assumptions'!$D$18-$BG339)*(6-5)/5))</x:f>
        <x:v>0</x:v>
      </x:c>
      <x:c r="U339" t="n">
        <x:f>T339*(1+($BG339+('Assumptions'!$D$18-$BG339)*(7-5)/5))</x:f>
        <x:v>0</x:v>
      </x:c>
      <x:c r="V339" t="n">
        <x:f>U339*(1+($BG339+('Assumptions'!$D$18-$BG339)*(8-5)/5))</x:f>
        <x:v>0</x:v>
      </x:c>
      <x:c r="W339" t="n">
        <x:f>V339*(1+($BG339+('Assumptions'!$D$18-$BG339)*(9-5)/5))</x:f>
        <x:v>0</x:v>
      </x:c>
      <x:c r="X339" t="n">
        <x:f>W339*(1+($BG339+('Assumptions'!$D$18-$BG339)*(10-5)/5))</x:f>
        <x:v>0</x:v>
      </x:c>
      <x:c r="Y339" t="n">
        <x:f>E339*'POWL Model'!$B$62+O339*'POWL Model'!$B$63+'POWL Model'!$B$73+'POWL Model'!$B$74</x:f>
        <x:v>315</x:v>
      </x:c>
      <x:c r="Z339" t="n">
        <x:f>F339*'POWL Model'!$C$62+P339*'POWL Model'!$C$63+'POWL Model'!$C$73+'POWL Model'!$C$74</x:f>
        <x:v>435.6</x:v>
      </x:c>
      <x:c r="AA339" t="n">
        <x:f>G339*'POWL Model'!$D$62+Q339*'POWL Model'!$D$63+'POWL Model'!$D$73+'POWL Model'!$D$74</x:f>
        <x:v>574.9920000000001</x:v>
      </x:c>
      <x:c r="AB339" t="n">
        <x:f>H339*'POWL Model'!$E$62+R339*'POWL Model'!$E$63+'POWL Model'!$E$73+'POWL Model'!$E$74</x:f>
        <x:v>741.73968</x:v>
      </x:c>
      <x:c r="AC339" t="n">
        <x:f>I339*'POWL Model'!$F$62+S339*'POWL Model'!$F$63+'POWL Model'!$F$73+'POWL Model'!$F$74</x:f>
        <x:v>956.3266944000002</x:v>
      </x:c>
      <x:c r="AD339" t="n">
        <x:f>AX339*$AC339/$AW339</x:f>
        <x:v>1206.8842883328002</x:v>
      </x:c>
      <x:c r="AE339" t="n">
        <x:f>AY339*$AC339/$AW339</x:f>
        <x:v>1453.0886831526911</x:v>
      </x:c>
      <x:c r="AF339" t="n">
        <x:f>AZ339*$AC339/$AW339</x:f>
        <x:v>1665.2396308929845</x:v>
      </x:c>
      <x:c r="AG339" t="n">
        <x:f>BA339*$AC339/$AW339</x:f>
        <x:v>1811.7807184115672</x:v>
      </x:c>
      <x:c r="AH339" t="n">
        <x:f>BB339*$AC339/$AW339</x:f>
        <x:v>1866.134139963914</x:v>
      </x:c>
      <x:c r="AI339" t="n">
        <x:f>Y339*(1-'Assumptions'!$F$18)+AS339*'Assumptions'!$G$18-AS339*'POWL Model'!$B$65-(AS339-'Inputs'!$G$14)*'Assumptions'!$H$18-'Assumptions'!$I$18</x:f>
        <x:v>183.9</x:v>
      </x:c>
      <x:c r="AJ339" t="n">
        <x:f>Z339*(1-'Assumptions'!$F$18)+AT339*'Assumptions'!$G$18-AT339*'POWL Model'!$C$65-(AT339-AS339)*'Assumptions'!$H$18-0</x:f>
        <x:v>249.39600000000002</x:v>
      </x:c>
      <x:c r="AK339" t="n">
        <x:f>AA339*(1-'Assumptions'!$F$18)+AU339*'Assumptions'!$G$18-AU339*'POWL Model'!$D$65-(AU339-AT339)*'Assumptions'!$H$18-0</x:f>
        <x:v>337.04352000000006</x:v>
      </x:c>
      <x:c r="AL339" t="n">
        <x:f>AB339*(1-'Assumptions'!$F$18)+AV339*'Assumptions'!$G$18-AV339*'POWL Model'!$E$65-(AV339-AU339)*'Assumptions'!$H$18-0</x:f>
        <x:v>438.68753279999993</x:v>
      </x:c>
      <x:c r="AM339" t="n">
        <x:f>AC339*(1-'Assumptions'!$F$18)+AW339*'Assumptions'!$G$18-AW339*'POWL Model'!$F$65-(AW339-AV339)*'Assumptions'!$H$18-0</x:f>
        <x:v>561.7625840640001</x:v>
      </x:c>
      <x:c r="AN339" t="n">
        <x:f>AD339*(1-'Assumptions'!$F$18)+AX339*'Assumptions'!$G$18-AX339*'POWL Model'!$G$65-(AX339-AW339)*'Assumptions'!$H$18-0</x:f>
        <x:v>728.9541026887682</x:v>
      </x:c>
      <x:c r="AO339" t="n">
        <x:f>AE339*(1-'Assumptions'!$F$18)+AY339*'Assumptions'!$G$18-AY339*'POWL Model'!$H$65-(AY339-AX339)*'Assumptions'!$H$18-0</x:f>
        <x:v>904.0735721492765</x:v>
      </x:c>
      <x:c r="AP339" t="n">
        <x:f>AF339*(1-'Assumptions'!$F$18)+AZ339*'Assumptions'!$G$18-AZ339*'POWL Model'!$I$65-(AZ339-AY339)*'Assumptions'!$H$18-0</x:f>
        <x:v>1069.4013083132152</x:v>
      </x:c>
      <x:c r="AQ339" t="n">
        <x:f>AG339*(1-'Assumptions'!$F$18)+BA339*'Assumptions'!$G$18-BA339*'POWL Model'!$J$65-(BA339-AZ339)*'Assumptions'!$H$18-0</x:f>
        <x:v>1203.641548979472</x:v>
      </x:c>
      <x:c r="AR339" t="n">
        <x:f>AH339*(1-'Assumptions'!$F$18)+BB339*'Assumptions'!$G$18-BB339*'POWL Model'!$K$65-(BB339-BA339)*'Assumptions'!$H$18-0</x:f>
        <x:v>1285.7431281116146</x:v>
      </x:c>
      <x:c r="AS339" t="n">
        <x:f>E339+O339</x:f>
        <x:v>1500</x:v>
      </x:c>
      <x:c r="AT339" t="n">
        <x:f>F339+P339</x:f>
        <x:v>1980</x:v>
      </x:c>
      <x:c r="AU339" t="n">
        <x:f>G339+Q339</x:f>
        <x:v>2613.6000000000004</x:v>
      </x:c>
      <x:c r="AV339" t="n">
        <x:f>H339+R339</x:f>
        <x:v>3449.952</x:v>
      </x:c>
      <x:c r="AW339" t="n">
        <x:f>I339+S339</x:f>
        <x:v>4553.936640000001</x:v>
      </x:c>
      <x:c r="AX339" t="n">
        <x:f>J339+T339</x:f>
        <x:v>5747.068039680001</x:v>
      </x:c>
      <x:c r="AY339" t="n">
        <x:f>K339+U339</x:f>
        <x:v>6919.46991977472</x:v>
      </x:c>
      <x:c r="AZ339" t="n">
        <x:f>L339+V339</x:f>
        <x:v>7929.71252806183</x:v>
      </x:c>
      <x:c r="BA339" t="n">
        <x:f>M339+W339</x:f>
        <x:v>8627.527230531272</x:v>
      </x:c>
      <x:c r="BB339" t="n">
        <x:f>N339+X339</x:f>
        <x:v>8886.35304744721</x:v>
      </x:c>
      <x:c r="BC339" t="n">
        <x:f>AS339/'Inputs'!$G$14-1</x:f>
        <x:v>0.25</x:v>
      </x:c>
      <x:c r="BD339" t="n">
        <x:f>AT339/AS339-1</x:f>
        <x:v>0.32000000000000006</x:v>
      </x:c>
      <x:c r="BE339" t="n">
        <x:f>AU339/AT339-1</x:f>
        <x:v>0.3200000000000003</x:v>
      </x:c>
      <x:c r="BF339" t="n">
        <x:f>AV339/AU339-1</x:f>
        <x:v>0.31999999999999984</x:v>
      </x:c>
      <x:c r="BG339" t="n">
        <x:f>AW339/AV339-1</x:f>
        <x:v>0.32000000000000006</x:v>
      </x:c>
      <x:c r="BH339" t="n">
        <x:f>AX339/AW339-1</x:f>
        <x:v>0.262</x:v>
      </x:c>
      <x:c r="BI339" t="n">
        <x:f>AY339/AX339-1</x:f>
        <x:v>0.20399999999999996</x:v>
      </x:c>
      <x:c r="BJ339" t="n">
        <x:f>AZ339/AY339-1</x:f>
        <x:v>0.14600000000000013</x:v>
      </x:c>
      <x:c r="BK339" t="n">
        <x:f>BA339/AZ339-1</x:f>
        <x:v>0.08800000000000008</x:v>
      </x:c>
      <x:c r="BL339" t="n">
        <x:f>BB339/BA339-1</x:f>
        <x:v>0.030000000000000027</x:v>
      </x:c>
      <x:c r="BM339" t="n">
        <x:f>AH339*(1-'Assumptions'!$F$18)*(1+'Assumptions'!$D$18)*(1-'Assumptions'!$D$18/'Assumptions'!$E$18)</x:f>
        <x:v>1285.5126281921018</x:v>
      </x:c>
      <x:c r="BN339" t="n">
        <x:f>SUMPRODUCT(AI339:AR339,'POWL Model'!$B$83:$K$83)+BM339/('Assumptions'!$C$18-'Assumptions'!$D$18)*'POWL Model'!$K$83</x:f>
        <x:v>9865.739111262126</x:v>
      </x:c>
      <x:c r="BO339" t="n">
        <x:f>'POWL Model'!$B$94</x:f>
        <x:v>230.812</x:v>
      </x:c>
      <x:c r="BP339" t="n">
        <x:f>'Inputs'!$G$8</x:f>
        <x:v>36.604</x:v>
      </x:c>
    </x:row>
    <x:row r="340">
      <x:c r="A340" t="str">
        <x:v>POWL</x:v>
      </x:c>
      <x:c r="B340" s="22" t="n">
        <x:v>0.33</x:v>
      </x:c>
      <x:c r="C340" s="42" t="n">
        <x:f>(BN340+BO340)/BP340</x:f>
        <x:v>287.23651457254255</x:v>
      </x:c>
      <x:c r="D340" s="22" t="n">
        <x:f>C340/'Inputs'!$G$5-1</x:f>
        <x:v>0.5854529699869877</x:v>
      </x:c>
      <x:c r="E340" t="n">
        <x:f>('Assumptions'!$M$18+'Assumptions'!$N$18)*(1+$B340)^0</x:f>
        <x:v>1500</x:v>
      </x:c>
      <x:c r="F340" t="n">
        <x:f>('Assumptions'!$M$18+'Assumptions'!$N$18)*(1+$B340)^1</x:f>
        <x:v>1995</x:v>
      </x:c>
      <x:c r="G340" t="n">
        <x:f>('Assumptions'!$M$18+'Assumptions'!$N$18)*(1+$B340)^2</x:f>
        <x:v>2653.3500000000004</x:v>
      </x:c>
      <x:c r="H340" t="n">
        <x:f>('Assumptions'!$M$18+'Assumptions'!$N$18)*(1+$B340)^3</x:f>
        <x:v>3528.9555</x:v>
      </x:c>
      <x:c r="I340" t="n">
        <x:f>('Assumptions'!$M$18+'Assumptions'!$N$18)*(1+$B340)^4</x:f>
        <x:v>4693.510815000001</x:v>
      </x:c>
      <x:c r="J340" t="n">
        <x:f>I340*(1+($BG340+('Assumptions'!$D$18-$BG340)*(6-5)/5))</x:f>
        <x:v>5960.758735050001</x:v>
      </x:c>
      <x:c r="K340" t="n">
        <x:f>J340*(1+($BG340+('Assumptions'!$D$18-$BG340)*(7-5)/5))</x:f>
        <x:v>7212.518069410501</x:v>
      </x:c>
      <x:c r="L340" t="n">
        <x:f>K340*(1+($BG340+('Assumptions'!$D$18-$BG340)*(8-5)/5))</x:f>
        <x:v>8294.395779822078</x:v>
      </x:c>
      <x:c r="M340" t="n">
        <x:f>L340*(1+($BG340+('Assumptions'!$D$18-$BG340)*(9-5)/5))</x:f>
        <x:v>9040.891400006065</x:v>
      </x:c>
      <x:c r="N340" t="n">
        <x:f>M340*(1+($BG340+('Assumptions'!$D$18-$BG340)*(10-5)/5))</x:f>
        <x:v>9312.118142006248</x:v>
      </x:c>
      <x:c r="O340" t="n">
        <x:f>0</x:f>
        <x:v>0</x:v>
      </x:c>
      <x:c r="P340" t="n">
        <x:f>0</x:f>
        <x:v>0</x:v>
      </x:c>
      <x:c r="Q340" t="n">
        <x:f>0</x:f>
        <x:v>0</x:v>
      </x:c>
      <x:c r="R340" t="n">
        <x:f>0</x:f>
        <x:v>0</x:v>
      </x:c>
      <x:c r="S340" t="n">
        <x:f>0</x:f>
        <x:v>0</x:v>
      </x:c>
      <x:c r="T340" t="n">
        <x:f>S340*(1+($BG340+('Assumptions'!$D$18-$BG340)*(6-5)/5))</x:f>
        <x:v>0</x:v>
      </x:c>
      <x:c r="U340" t="n">
        <x:f>T340*(1+($BG340+('Assumptions'!$D$18-$BG340)*(7-5)/5))</x:f>
        <x:v>0</x:v>
      </x:c>
      <x:c r="V340" t="n">
        <x:f>U340*(1+($BG340+('Assumptions'!$D$18-$BG340)*(8-5)/5))</x:f>
        <x:v>0</x:v>
      </x:c>
      <x:c r="W340" t="n">
        <x:f>V340*(1+($BG340+('Assumptions'!$D$18-$BG340)*(9-5)/5))</x:f>
        <x:v>0</x:v>
      </x:c>
      <x:c r="X340" t="n">
        <x:f>W340*(1+($BG340+('Assumptions'!$D$18-$BG340)*(10-5)/5))</x:f>
        <x:v>0</x:v>
      </x:c>
      <x:c r="Y340" t="n">
        <x:f>E340*'POWL Model'!$B$62+O340*'POWL Model'!$B$63+'POWL Model'!$B$73+'POWL Model'!$B$74</x:f>
        <x:v>315</x:v>
      </x:c>
      <x:c r="Z340" t="n">
        <x:f>F340*'POWL Model'!$C$62+P340*'POWL Model'!$C$63+'POWL Model'!$C$73+'POWL Model'!$C$74</x:f>
        <x:v>438.9</x:v>
      </x:c>
      <x:c r="AA340" t="n">
        <x:f>G340*'POWL Model'!$D$62+Q340*'POWL Model'!$D$63+'POWL Model'!$D$73+'POWL Model'!$D$74</x:f>
        <x:v>583.7370000000001</x:v>
      </x:c>
      <x:c r="AB340" t="n">
        <x:f>H340*'POWL Model'!$E$62+R340*'POWL Model'!$E$63+'POWL Model'!$E$73+'POWL Model'!$E$74</x:f>
        <x:v>758.7254325</x:v>
      </x:c>
      <x:c r="AC340" t="n">
        <x:f>I340*'POWL Model'!$F$62+S340*'POWL Model'!$F$63+'POWL Model'!$F$73+'POWL Model'!$F$74</x:f>
        <x:v>985.6372711500001</x:v>
      </x:c>
      <x:c r="AD340" t="n">
        <x:f>AX340*$AC340/$AW340</x:f>
        <x:v>1251.7593343605001</x:v>
      </x:c>
      <x:c r="AE340" t="n">
        <x:f>AY340*$AC340/$AW340</x:f>
        <x:v>1514.628794576205</x:v>
      </x:c>
      <x:c r="AF340" t="n">
        <x:f>AZ340*$AC340/$AW340</x:f>
        <x:v>1741.8231137626362</x:v>
      </x:c>
      <x:c r="AG340" t="n">
        <x:f>BA340*$AC340/$AW340</x:f>
        <x:v>1898.5871940012737</x:v>
      </x:c>
      <x:c r="AH340" t="n">
        <x:f>BB340*$AC340/$AW340</x:f>
        <x:v>1955.5448098213117</x:v>
      </x:c>
      <x:c r="AI340" t="n">
        <x:f>Y340*(1-'Assumptions'!$F$18)+AS340*'Assumptions'!$G$18-AS340*'POWL Model'!$B$65-(AS340-'Inputs'!$G$14)*'Assumptions'!$H$18-'Assumptions'!$I$18</x:f>
        <x:v>183.9</x:v>
      </x:c>
      <x:c r="AJ340" t="n">
        <x:f>Z340*(1-'Assumptions'!$F$18)+AT340*'Assumptions'!$G$18-AT340*'POWL Model'!$C$65-(AT340-AS340)*'Assumptions'!$H$18-0</x:f>
        <x:v>250.14899999999994</x:v>
      </x:c>
      <x:c r="AK340" t="n">
        <x:f>AA340*(1-'Assumptions'!$F$18)+AU340*'Assumptions'!$G$18-AU340*'POWL Model'!$D$65-(AU340-AT340)*'Assumptions'!$H$18-0</x:f>
        <x:v>340.6582200000001</x:v>
      </x:c>
      <x:c r="AL340" t="n">
        <x:f>AB340*(1-'Assumptions'!$F$18)+AV340*'Assumptions'!$G$18-AV340*'POWL Model'!$E$65-(AV340-AU340)*'Assumptions'!$H$18-0</x:f>
        <x:v>446.7233127</x:v>
      </x:c>
      <x:c r="AM340" t="n">
        <x:f>AC340*(1-'Assumptions'!$F$18)+AW340*'Assumptions'!$G$18-AW340*'POWL Model'!$F$65-(AW340-AV340)*'Assumptions'!$H$18-0</x:f>
        <x:v>576.306664794</x:v>
      </x:c>
      <x:c r="AN340" t="n">
        <x:f>AD340*(1-'Assumptions'!$F$18)+AX340*'Assumptions'!$G$18-AX340*'POWL Model'!$G$65-(AX340-AW340)*'Assumptions'!$H$18-0</x:f>
        <x:v>753.0831972883801</x:v>
      </x:c>
      <x:c r="AO340" t="n">
        <x:f>AE340*(1-'Assumptions'!$F$18)+AY340*'Assumptions'!$G$18-AY340*'POWL Model'!$H$65-(AY340-AX340)*'Assumptions'!$H$18-0</x:f>
        <x:v>939.3917336089397</x:v>
      </x:c>
      <x:c r="AP340" t="n">
        <x:f>AF340*(1-'Assumptions'!$F$18)+AZ340*'Assumptions'!$G$18-AZ340*'POWL Model'!$I$65-(AZ340-AY340)*'Assumptions'!$H$18-0</x:f>
        <x:v>1116.065046060581</x:v>
      </x:c>
      <x:c r="AQ340" t="n">
        <x:f>AG340*(1-'Assumptions'!$F$18)+BA340*'Assumptions'!$G$18-BA340*'POWL Model'!$J$65-(BA340-AZ340)*'Assumptions'!$H$18-0</x:f>
        <x:v>1259.7860086224966</x:v>
      </x:c>
      <x:c r="AR340" t="n">
        <x:f>AH340*(1-'Assumptions'!$F$18)+BB340*'Assumptions'!$G$18-BB340*'POWL Model'!$K$65-(BB340-BA340)*'Assumptions'!$H$18-0</x:f>
        <x:v>1347.3459635601037</x:v>
      </x:c>
      <x:c r="AS340" t="n">
        <x:f>E340+O340</x:f>
        <x:v>1500</x:v>
      </x:c>
      <x:c r="AT340" t="n">
        <x:f>F340+P340</x:f>
        <x:v>1995</x:v>
      </x:c>
      <x:c r="AU340" t="n">
        <x:f>G340+Q340</x:f>
        <x:v>2653.3500000000004</x:v>
      </x:c>
      <x:c r="AV340" t="n">
        <x:f>H340+R340</x:f>
        <x:v>3528.9555</x:v>
      </x:c>
      <x:c r="AW340" t="n">
        <x:f>I340+S340</x:f>
        <x:v>4693.510815000001</x:v>
      </x:c>
      <x:c r="AX340" t="n">
        <x:f>J340+T340</x:f>
        <x:v>5960.758735050001</x:v>
      </x:c>
      <x:c r="AY340" t="n">
        <x:f>K340+U340</x:f>
        <x:v>7212.518069410501</x:v>
      </x:c>
      <x:c r="AZ340" t="n">
        <x:f>L340+V340</x:f>
        <x:v>8294.395779822078</x:v>
      </x:c>
      <x:c r="BA340" t="n">
        <x:f>M340+W340</x:f>
        <x:v>9040.891400006065</x:v>
      </x:c>
      <x:c r="BB340" t="n">
        <x:f>N340+X340</x:f>
        <x:v>9312.118142006248</x:v>
      </x:c>
      <x:c r="BC340" t="n">
        <x:f>AS340/'Inputs'!$G$14-1</x:f>
        <x:v>0.25</x:v>
      </x:c>
      <x:c r="BD340" t="n">
        <x:f>AT340/AS340-1</x:f>
        <x:v>0.33000000000000007</x:v>
      </x:c>
      <x:c r="BE340" t="n">
        <x:f>AU340/AT340-1</x:f>
        <x:v>0.3300000000000003</x:v>
      </x:c>
      <x:c r="BF340" t="n">
        <x:f>AV340/AU340-1</x:f>
        <x:v>0.32999999999999985</x:v>
      </x:c>
      <x:c r="BG340" t="n">
        <x:f>AW340/AV340-1</x:f>
        <x:v>0.33000000000000007</x:v>
      </x:c>
      <x:c r="BH340" t="n">
        <x:f>AX340/AW340-1</x:f>
        <x:v>0.27</x:v>
      </x:c>
      <x:c r="BI340" t="n">
        <x:f>AY340/AX340-1</x:f>
        <x:v>0.20999999999999996</x:v>
      </x:c>
      <x:c r="BJ340" t="n">
        <x:f>AZ340/AY340-1</x:f>
        <x:v>0.15000000000000036</x:v>
      </x:c>
      <x:c r="BK340" t="n">
        <x:f>BA340/AZ340-1</x:f>
        <x:v>0.09000000000000008</x:v>
      </x:c>
      <x:c r="BL340" t="n">
        <x:f>BB340/BA340-1</x:f>
        <x:v>0.030000000000000027</x:v>
      </x:c>
      <x:c r="BM340" t="n">
        <x:f>AH340*(1-'Assumptions'!$F$18)*(1+'Assumptions'!$D$18)*(1-'Assumptions'!$D$18/'Assumptions'!$E$18)</x:f>
        <x:v>1347.1044198727482</x:v>
      </x:c>
      <x:c r="BN340" t="n">
        <x:f>SUMPRODUCT(AI340:AR340,'POWL Model'!$B$83:$K$83)+BM340/('Assumptions'!$C$18-'Assumptions'!$D$18)*'POWL Model'!$K$83</x:f>
        <x:v>10283.193379413347</x:v>
      </x:c>
      <x:c r="BO340" t="n">
        <x:f>'POWL Model'!$B$94</x:f>
        <x:v>230.812</x:v>
      </x:c>
      <x:c r="BP340" t="n">
        <x:f>'Inputs'!$G$8</x:f>
        <x:v>36.604</x:v>
      </x:c>
    </x:row>
    <x:row r="341">
      <x:c r="A341" t="str">
        <x:v>POWL</x:v>
      </x:c>
      <x:c r="B341" s="22" t="n">
        <x:v>0.34</x:v>
      </x:c>
      <x:c r="C341" s="42" t="n">
        <x:f>(BN341+BO341)/BP341</x:f>
        <x:v>299.08108652401535</x:v>
      </x:c>
      <x:c r="D341" s="22" t="n">
        <x:f>C341/'Inputs'!$G$5-1</x:f>
        <x:v>0.6508311890711231</x:v>
      </x:c>
      <x:c r="E341" t="n">
        <x:f>('Assumptions'!$M$18+'Assumptions'!$N$18)*(1+$B341)^0</x:f>
        <x:v>1500</x:v>
      </x:c>
      <x:c r="F341" t="n">
        <x:f>('Assumptions'!$M$18+'Assumptions'!$N$18)*(1+$B341)^1</x:f>
        <x:v>2010.0000000000002</x:v>
      </x:c>
      <x:c r="G341" t="n">
        <x:f>('Assumptions'!$M$18+'Assumptions'!$N$18)*(1+$B341)^2</x:f>
        <x:v>2693.4000000000005</x:v>
      </x:c>
      <x:c r="H341" t="n">
        <x:f>('Assumptions'!$M$18+'Assumptions'!$N$18)*(1+$B341)^3</x:f>
        <x:v>3609.156000000001</x:v>
      </x:c>
      <x:c r="I341" t="n">
        <x:f>('Assumptions'!$M$18+'Assumptions'!$N$18)*(1+$B341)^4</x:f>
        <x:v>4836.269040000002</x:v>
      </x:c>
      <x:c r="J341" t="n">
        <x:f>I341*(1+($BG341+('Assumptions'!$D$18-$BG341)*(6-5)/5))</x:f>
        <x:v>6180.7518331200035</x:v>
      </x:c>
      <x:c r="K341" t="n">
        <x:f>J341*(1+($BG341+('Assumptions'!$D$18-$BG341)*(7-5)/5))</x:f>
        <x:v>7515.794229073926</x:v>
      </x:c>
      <x:c r="L341" t="n">
        <x:f>K341*(1+($BG341+('Assumptions'!$D$18-$BG341)*(8-5)/5))</x:f>
        <x:v>8673.226540351312</x:v>
      </x:c>
      <x:c r="M341" t="n">
        <x:f>L341*(1+($BG341+('Assumptions'!$D$18-$BG341)*(9-5)/5))</x:f>
        <x:v>9471.163382063633</x:v>
      </x:c>
      <x:c r="N341" t="n">
        <x:f>M341*(1+($BG341+('Assumptions'!$D$18-$BG341)*(10-5)/5))</x:f>
        <x:v>9755.298283525543</x:v>
      </x:c>
      <x:c r="O341" t="n">
        <x:f>0</x:f>
        <x:v>0</x:v>
      </x:c>
      <x:c r="P341" t="n">
        <x:f>0</x:f>
        <x:v>0</x:v>
      </x:c>
      <x:c r="Q341" t="n">
        <x:f>0</x:f>
        <x:v>0</x:v>
      </x:c>
      <x:c r="R341" t="n">
        <x:f>0</x:f>
        <x:v>0</x:v>
      </x:c>
      <x:c r="S341" t="n">
        <x:f>0</x:f>
        <x:v>0</x:v>
      </x:c>
      <x:c r="T341" t="n">
        <x:f>S341*(1+($BG341+('Assumptions'!$D$18-$BG341)*(6-5)/5))</x:f>
        <x:v>0</x:v>
      </x:c>
      <x:c r="U341" t="n">
        <x:f>T341*(1+($BG341+('Assumptions'!$D$18-$BG341)*(7-5)/5))</x:f>
        <x:v>0</x:v>
      </x:c>
      <x:c r="V341" t="n">
        <x:f>U341*(1+($BG341+('Assumptions'!$D$18-$BG341)*(8-5)/5))</x:f>
        <x:v>0</x:v>
      </x:c>
      <x:c r="W341" t="n">
        <x:f>V341*(1+($BG341+('Assumptions'!$D$18-$BG341)*(9-5)/5))</x:f>
        <x:v>0</x:v>
      </x:c>
      <x:c r="X341" t="n">
        <x:f>W341*(1+($BG341+('Assumptions'!$D$18-$BG341)*(10-5)/5))</x:f>
        <x:v>0</x:v>
      </x:c>
      <x:c r="Y341" t="n">
        <x:f>E341*'POWL Model'!$B$62+O341*'POWL Model'!$B$63+'POWL Model'!$B$73+'POWL Model'!$B$74</x:f>
        <x:v>315</x:v>
      </x:c>
      <x:c r="Z341" t="n">
        <x:f>F341*'POWL Model'!$C$62+P341*'POWL Model'!$C$63+'POWL Model'!$C$73+'POWL Model'!$C$74</x:f>
        <x:v>442.20000000000005</x:v>
      </x:c>
      <x:c r="AA341" t="n">
        <x:f>G341*'POWL Model'!$D$62+Q341*'POWL Model'!$D$63+'POWL Model'!$D$73+'POWL Model'!$D$74</x:f>
        <x:v>592.5480000000001</x:v>
      </x:c>
      <x:c r="AB341" t="n">
        <x:f>H341*'POWL Model'!$E$62+R341*'POWL Model'!$E$63+'POWL Model'!$E$73+'POWL Model'!$E$74</x:f>
        <x:v>775.9685400000002</x:v>
      </x:c>
      <x:c r="AC341" t="n">
        <x:f>I341*'POWL Model'!$F$62+S341*'POWL Model'!$F$63+'POWL Model'!$F$73+'POWL Model'!$F$74</x:f>
        <x:v>1015.6164984000004</x:v>
      </x:c>
      <x:c r="AD341" t="n">
        <x:f>AX341*$AC341/$AW341</x:f>
        <x:v>1297.9578849552008</x:v>
      </x:c>
      <x:c r="AE341" t="n">
        <x:f>AY341*$AC341/$AW341</x:f>
        <x:v>1578.3167881055244</x:v>
      </x:c>
      <x:c r="AF341" t="n">
        <x:f>AZ341*$AC341/$AW341</x:f>
        <x:v>1821.3775734737756</x:v>
      </x:c>
      <x:c r="AG341" t="n">
        <x:f>BA341*$AC341/$AW341</x:f>
        <x:v>1988.9443102333628</x:v>
      </x:c>
      <x:c r="AH341" t="n">
        <x:f>BB341*$AC341/$AW341</x:f>
        <x:v>2048.612639540364</x:v>
      </x:c>
      <x:c r="AI341" t="n">
        <x:f>Y341*(1-'Assumptions'!$F$18)+AS341*'Assumptions'!$G$18-AS341*'POWL Model'!$B$65-(AS341-'Inputs'!$G$14)*'Assumptions'!$H$18-'Assumptions'!$I$18</x:f>
        <x:v>183.9</x:v>
      </x:c>
      <x:c r="AJ341" t="n">
        <x:f>Z341*(1-'Assumptions'!$F$18)+AT341*'Assumptions'!$G$18-AT341*'POWL Model'!$C$65-(AT341-AS341)*'Assumptions'!$H$18-0</x:f>
        <x:v>250.90200000000002</x:v>
      </x:c>
      <x:c r="AK341" t="n">
        <x:f>AA341*(1-'Assumptions'!$F$18)+AU341*'Assumptions'!$G$18-AU341*'POWL Model'!$D$65-(AU341-AT341)*'Assumptions'!$H$18-0</x:f>
        <x:v>344.2888800000001</x:v>
      </x:c>
      <x:c r="AL341" t="n">
        <x:f>AB341*(1-'Assumptions'!$F$18)+AV341*'Assumptions'!$G$18-AV341*'POWL Model'!$E$65-(AV341-AU341)*'Assumptions'!$H$18-0</x:f>
        <x:v>454.85061840000014</x:v>
      </x:c>
      <x:c r="AM341" t="n">
        <x:f>AC341*(1-'Assumptions'!$F$18)+AW341*'Assumptions'!$G$18-AW341*'POWL Model'!$F$65-(AW341-AV341)*'Assumptions'!$H$18-0</x:f>
        <x:v>591.1220063040001</x:v>
      </x:c>
      <x:c r="AN341" t="n">
        <x:f>AD341*(1-'Assumptions'!$F$18)+AX341*'Assumptions'!$G$18-AX341*'POWL Model'!$G$65-(AX341-AW341)*'Assumptions'!$H$18-0</x:f>
        <x:v>777.8306912565124</x:v>
      </x:c>
      <x:c r="AO341" t="n">
        <x:f>AE341*(1-'Assumptions'!$F$18)+AY341*'Assumptions'!$G$18-AY341*'POWL Model'!$H$65-(AY341-AX341)*'Assumptions'!$H$18-0</x:f>
        <x:v>975.8269886159194</x:v>
      </x:c>
      <x:c r="AP341" t="n">
        <x:f>AF341*(1-'Assumptions'!$F$18)+AZ341*'Assumptions'!$G$18-AZ341*'POWL Model'!$I$65-(AZ341-AY341)*'Assumptions'!$H$18-0</x:f>
        <x:v>1164.425006228115</x:v>
      </x:c>
      <x:c r="AQ341" t="n">
        <x:f>AG341*(1-'Assumptions'!$F$18)+BA341*'Assumptions'!$G$18-BA341*'POWL Model'!$J$65-(BA341-AZ341)*'Assumptions'!$H$18-0</x:f>
        <x:v>1318.15003102136</x:v>
      </x:c>
      <x:c r="AR341" t="n">
        <x:f>AH341*(1-'Assumptions'!$F$18)+BB341*'Assumptions'!$G$18-BB341*'POWL Model'!$K$65-(BB341-BA341)*'Assumptions'!$H$18-0</x:f>
        <x:v>1411.4685365021792</x:v>
      </x:c>
      <x:c r="AS341" t="n">
        <x:f>E341+O341</x:f>
        <x:v>1500</x:v>
      </x:c>
      <x:c r="AT341" t="n">
        <x:f>F341+P341</x:f>
        <x:v>2010.0000000000002</x:v>
      </x:c>
      <x:c r="AU341" t="n">
        <x:f>G341+Q341</x:f>
        <x:v>2693.4000000000005</x:v>
      </x:c>
      <x:c r="AV341" t="n">
        <x:f>H341+R341</x:f>
        <x:v>3609.156000000001</x:v>
      </x:c>
      <x:c r="AW341" t="n">
        <x:f>I341+S341</x:f>
        <x:v>4836.269040000002</x:v>
      </x:c>
      <x:c r="AX341" t="n">
        <x:f>J341+T341</x:f>
        <x:v>6180.7518331200035</x:v>
      </x:c>
      <x:c r="AY341" t="n">
        <x:f>K341+U341</x:f>
        <x:v>7515.794229073926</x:v>
      </x:c>
      <x:c r="AZ341" t="n">
        <x:f>L341+V341</x:f>
        <x:v>8673.226540351312</x:v>
      </x:c>
      <x:c r="BA341" t="n">
        <x:f>M341+W341</x:f>
        <x:v>9471.163382063633</x:v>
      </x:c>
      <x:c r="BB341" t="n">
        <x:f>N341+X341</x:f>
        <x:v>9755.298283525543</x:v>
      </x:c>
      <x:c r="BC341" t="n">
        <x:f>AS341/'Inputs'!$G$14-1</x:f>
        <x:v>0.25</x:v>
      </x:c>
      <x:c r="BD341" t="n">
        <x:f>AT341/AS341-1</x:f>
        <x:v>0.3400000000000001</x:v>
      </x:c>
      <x:c r="BE341" t="n">
        <x:f>AU341/AT341-1</x:f>
        <x:v>0.3400000000000001</x:v>
      </x:c>
      <x:c r="BF341" t="n">
        <x:f>AV341/AU341-1</x:f>
        <x:v>0.3400000000000001</x:v>
      </x:c>
      <x:c r="BG341" t="n">
        <x:f>AW341/AV341-1</x:f>
        <x:v>0.3400000000000003</x:v>
      </x:c>
      <x:c r="BH341" t="n">
        <x:f>AX341/AW341-1</x:f>
        <x:v>0.27800000000000025</x:v>
      </x:c>
      <x:c r="BI341" t="n">
        <x:f>AY341/AX341-1</x:f>
        <x:v>0.2160000000000002</x:v>
      </x:c>
      <x:c r="BJ341" t="n">
        <x:f>AZ341/AY341-1</x:f>
        <x:v>0.15400000000000014</x:v>
      </x:c>
      <x:c r="BK341" t="n">
        <x:f>BA341/AZ341-1</x:f>
        <x:v>0.09200000000000008</x:v>
      </x:c>
      <x:c r="BL341" t="n">
        <x:f>BB341/BA341-1</x:f>
        <x:v>0.030000000000000027</x:v>
      </x:c>
      <x:c r="BM341" t="n">
        <x:f>AH341*(1-'Assumptions'!$F$18)*(1+'Assumptions'!$D$18)*(1-'Assumptions'!$D$18/'Assumptions'!$E$18)</x:f>
        <x:v>1411.2154973243335</x:v>
      </x:c>
      <x:c r="BN341" t="n">
        <x:f>SUMPRODUCT(AI341:AR341,'POWL Model'!$B$83:$K$83)+BM341/('Assumptions'!$C$18-'Assumptions'!$D$18)*'POWL Model'!$K$83</x:f>
        <x:v>10716.752091125058</x:v>
      </x:c>
      <x:c r="BO341" t="n">
        <x:f>'POWL Model'!$B$94</x:f>
        <x:v>230.812</x:v>
      </x:c>
      <x:c r="BP341" t="n">
        <x:f>'Inputs'!$G$8</x:f>
        <x:v>36.604</x:v>
      </x:c>
    </x:row>
    <x:row r="342">
      <x:c r="A342" t="str">
        <x:v>POWL</x:v>
      </x:c>
      <x:c r="B342" s="22" t="n">
        <x:v>0.35</x:v>
      </x:c>
      <x:c r="C342" s="42" t="n">
        <x:f>(BN342+BO342)/BP342</x:f>
        <x:v>311.3800417155022</x:v>
      </x:c>
      <x:c r="D342" s="22" t="n">
        <x:f>C342/'Inputs'!$G$5-1</x:f>
        <x:v>0.7187174571700736</x:v>
      </x:c>
      <x:c r="E342" t="n">
        <x:f>('Assumptions'!$M$18+'Assumptions'!$N$18)*(1+$B342)^0</x:f>
        <x:v>1500</x:v>
      </x:c>
      <x:c r="F342" t="n">
        <x:f>('Assumptions'!$M$18+'Assumptions'!$N$18)*(1+$B342)^1</x:f>
        <x:v>2025.0000000000002</x:v>
      </x:c>
      <x:c r="G342" t="n">
        <x:f>('Assumptions'!$M$18+'Assumptions'!$N$18)*(1+$B342)^2</x:f>
        <x:v>2733.7500000000005</x:v>
      </x:c>
      <x:c r="H342" t="n">
        <x:f>('Assumptions'!$M$18+'Assumptions'!$N$18)*(1+$B342)^3</x:f>
        <x:v>3690.5625000000005</x:v>
      </x:c>
      <x:c r="I342" t="n">
        <x:f>('Assumptions'!$M$18+'Assumptions'!$N$18)*(1+$B342)^4</x:f>
        <x:v>4982.2593750000015</x:v>
      </x:c>
      <x:c r="J342" t="n">
        <x:f>I342*(1+($BG342+('Assumptions'!$D$18-$BG342)*(6-5)/5))</x:f>
        <x:v>6407.185556250003</x:v>
      </x:c>
      <x:c r="K342" t="n">
        <x:f>J342*(1+($BG342+('Assumptions'!$D$18-$BG342)*(7-5)/5))</x:f>
        <x:v>7829.580749737505</x:v>
      </x:c>
      <x:c r="L342" t="n">
        <x:f>K342*(1+($BG342+('Assumptions'!$D$18-$BG342)*(8-5)/5))</x:f>
        <x:v>9066.654508196032</x:v>
      </x:c>
      <x:c r="M342" t="n">
        <x:f>L342*(1+($BG342+('Assumptions'!$D$18-$BG342)*(9-5)/5))</x:f>
        <x:v>9918.92003196646</x:v>
      </x:c>
      <x:c r="N342" t="n">
        <x:f>M342*(1+($BG342+('Assumptions'!$D$18-$BG342)*(10-5)/5))</x:f>
        <x:v>10216.487632925453</x:v>
      </x:c>
      <x:c r="O342" t="n">
        <x:f>0</x:f>
        <x:v>0</x:v>
      </x:c>
      <x:c r="P342" t="n">
        <x:f>0</x:f>
        <x:v>0</x:v>
      </x:c>
      <x:c r="Q342" t="n">
        <x:f>0</x:f>
        <x:v>0</x:v>
      </x:c>
      <x:c r="R342" t="n">
        <x:f>0</x:f>
        <x:v>0</x:v>
      </x:c>
      <x:c r="S342" t="n">
        <x:f>0</x:f>
        <x:v>0</x:v>
      </x:c>
      <x:c r="T342" t="n">
        <x:f>S342*(1+($BG342+('Assumptions'!$D$18-$BG342)*(6-5)/5))</x:f>
        <x:v>0</x:v>
      </x:c>
      <x:c r="U342" t="n">
        <x:f>T342*(1+($BG342+('Assumptions'!$D$18-$BG342)*(7-5)/5))</x:f>
        <x:v>0</x:v>
      </x:c>
      <x:c r="V342" t="n">
        <x:f>U342*(1+($BG342+('Assumptions'!$D$18-$BG342)*(8-5)/5))</x:f>
        <x:v>0</x:v>
      </x:c>
      <x:c r="W342" t="n">
        <x:f>V342*(1+($BG342+('Assumptions'!$D$18-$BG342)*(9-5)/5))</x:f>
        <x:v>0</x:v>
      </x:c>
      <x:c r="X342" t="n">
        <x:f>W342*(1+($BG342+('Assumptions'!$D$18-$BG342)*(10-5)/5))</x:f>
        <x:v>0</x:v>
      </x:c>
      <x:c r="Y342" t="n">
        <x:f>E342*'POWL Model'!$B$62+O342*'POWL Model'!$B$63+'POWL Model'!$B$73+'POWL Model'!$B$74</x:f>
        <x:v>315</x:v>
      </x:c>
      <x:c r="Z342" t="n">
        <x:f>F342*'POWL Model'!$C$62+P342*'POWL Model'!$C$63+'POWL Model'!$C$73+'POWL Model'!$C$74</x:f>
        <x:v>445.50000000000006</x:v>
      </x:c>
      <x:c r="AA342" t="n">
        <x:f>G342*'POWL Model'!$D$62+Q342*'POWL Model'!$D$63+'POWL Model'!$D$73+'POWL Model'!$D$74</x:f>
        <x:v>601.4250000000001</x:v>
      </x:c>
      <x:c r="AB342" t="n">
        <x:f>H342*'POWL Model'!$E$62+R342*'POWL Model'!$E$63+'POWL Model'!$E$73+'POWL Model'!$E$74</x:f>
        <x:v>793.4709375000001</x:v>
      </x:c>
      <x:c r="AC342" t="n">
        <x:f>I342*'POWL Model'!$F$62+S342*'POWL Model'!$F$63+'POWL Model'!$F$73+'POWL Model'!$F$74</x:f>
        <x:v>1046.2744687500003</x:v>
      </x:c>
      <x:c r="AD342" t="n">
        <x:f>AX342*$AC342/$AW342</x:f>
        <x:v>1345.5089668125006</x:v>
      </x:c>
      <x:c r="AE342" t="n">
        <x:f>AY342*$AC342/$AW342</x:f>
        <x:v>1644.2119574448761</x:v>
      </x:c>
      <x:c r="AF342" t="n">
        <x:f>AZ342*$AC342/$AW342</x:f>
        <x:v>1903.9974467211669</x:v>
      </x:c>
      <x:c r="AG342" t="n">
        <x:f>BA342*$AC342/$AW342</x:f>
        <x:v>2082.9732067129567</x:v>
      </x:c>
      <x:c r="AH342" t="n">
        <x:f>BB342*$AC342/$AW342</x:f>
        <x:v>2145.462402914345</x:v>
      </x:c>
      <x:c r="AI342" t="n">
        <x:f>Y342*(1-'Assumptions'!$F$18)+AS342*'Assumptions'!$G$18-AS342*'POWL Model'!$B$65-(AS342-'Inputs'!$G$14)*'Assumptions'!$H$18-'Assumptions'!$I$18</x:f>
        <x:v>183.9</x:v>
      </x:c>
      <x:c r="AJ342" t="n">
        <x:f>Z342*(1-'Assumptions'!$F$18)+AT342*'Assumptions'!$G$18-AT342*'POWL Model'!$C$65-(AT342-AS342)*'Assumptions'!$H$18-0</x:f>
        <x:v>251.655</x:v>
      </x:c>
      <x:c r="AK342" t="n">
        <x:f>AA342*(1-'Assumptions'!$F$18)+AU342*'Assumptions'!$G$18-AU342*'POWL Model'!$D$65-(AU342-AT342)*'Assumptions'!$H$18-0</x:f>
        <x:v>347.93550000000005</x:v>
      </x:c>
      <x:c r="AL342" t="n">
        <x:f>AB342*(1-'Assumptions'!$F$18)+AV342*'Assumptions'!$G$18-AV342*'POWL Model'!$E$65-(AV342-AU342)*'Assumptions'!$H$18-0</x:f>
        <x:v>463.0699125000001</x:v>
      </x:c>
      <x:c r="AM342" t="n">
        <x:f>AC342*(1-'Assumptions'!$F$18)+AW342*'Assumptions'!$G$18-AW342*'POWL Model'!$F$65-(AW342-AV342)*'Assumptions'!$H$18-0</x:f>
        <x:v>606.2117962500001</x:v>
      </x:c>
      <x:c r="AN342" t="n">
        <x:f>AD342*(1-'Assumptions'!$F$18)+AX342*'Assumptions'!$G$18-AX342*'POWL Model'!$G$65-(AX342-AW342)*'Assumptions'!$H$18-0</x:f>
        <x:v>803.2079699775002</x:v>
      </x:c>
      <x:c r="AO342" t="n">
        <x:f>AE342*(1-'Assumptions'!$F$18)+AY342*'Assumptions'!$G$18-AY342*'POWL Model'!$H$65-(AY342-AX342)*'Assumptions'!$H$18-0</x:f>
        <x:v>1013.4065993125057</x:v>
      </x:c>
      <x:c r="AP342" t="n">
        <x:f>AF342*(1-'Assumptions'!$F$18)+AZ342*'Assumptions'!$G$18-AZ342*'POWL Model'!$I$65-(AZ342-AY342)*'Assumptions'!$H$18-0</x:f>
        <x:v>1214.5308295638818</x:v>
      </x:c>
      <x:c r="AQ342" t="n">
        <x:f>AG342*(1-'Assumptions'!$F$18)+BA342*'Assumptions'!$G$18-BA342*'POWL Model'!$J$65-(BA342-AZ342)*'Assumptions'!$H$18-0</x:f>
        <x:v>1378.8060443412069</x:v>
      </x:c>
      <x:c r="AR342" t="n">
        <x:f>AH342*(1-'Assumptions'!$F$18)+BB342*'Assumptions'!$G$18-BB342*'POWL Model'!$K$65-(BB342-BA342)*'Assumptions'!$H$18-0</x:f>
        <x:v>1478.1968145238975</x:v>
      </x:c>
      <x:c r="AS342" t="n">
        <x:f>E342+O342</x:f>
        <x:v>1500</x:v>
      </x:c>
      <x:c r="AT342" t="n">
        <x:f>F342+P342</x:f>
        <x:v>2025.0000000000002</x:v>
      </x:c>
      <x:c r="AU342" t="n">
        <x:f>G342+Q342</x:f>
        <x:v>2733.7500000000005</x:v>
      </x:c>
      <x:c r="AV342" t="n">
        <x:f>H342+R342</x:f>
        <x:v>3690.5625000000005</x:v>
      </x:c>
      <x:c r="AW342" t="n">
        <x:f>I342+S342</x:f>
        <x:v>4982.2593750000015</x:v>
      </x:c>
      <x:c r="AX342" t="n">
        <x:f>J342+T342</x:f>
        <x:v>6407.185556250003</x:v>
      </x:c>
      <x:c r="AY342" t="n">
        <x:f>K342+U342</x:f>
        <x:v>7829.580749737505</x:v>
      </x:c>
      <x:c r="AZ342" t="n">
        <x:f>L342+V342</x:f>
        <x:v>9066.654508196032</x:v>
      </x:c>
      <x:c r="BA342" t="n">
        <x:f>M342+W342</x:f>
        <x:v>9918.92003196646</x:v>
      </x:c>
      <x:c r="BB342" t="n">
        <x:f>N342+X342</x:f>
        <x:v>10216.487632925453</x:v>
      </x:c>
      <x:c r="BC342" t="n">
        <x:f>AS342/'Inputs'!$G$14-1</x:f>
        <x:v>0.25</x:v>
      </x:c>
      <x:c r="BD342" t="n">
        <x:f>AT342/AS342-1</x:f>
        <x:v>0.3500000000000001</x:v>
      </x:c>
      <x:c r="BE342" t="n">
        <x:f>AU342/AT342-1</x:f>
        <x:v>0.3500000000000001</x:v>
      </x:c>
      <x:c r="BF342" t="n">
        <x:f>AV342/AU342-1</x:f>
        <x:v>0.34999999999999987</x:v>
      </x:c>
      <x:c r="BG342" t="n">
        <x:f>AW342/AV342-1</x:f>
        <x:v>0.3500000000000003</x:v>
      </x:c>
      <x:c r="BH342" t="n">
        <x:f>AX342/AW342-1</x:f>
        <x:v>0.28600000000000025</x:v>
      </x:c>
      <x:c r="BI342" t="n">
        <x:f>AY342/AX342-1</x:f>
        <x:v>0.2220000000000002</x:v>
      </x:c>
      <x:c r="BJ342" t="n">
        <x:f>AZ342/AY342-1</x:f>
        <x:v>0.15800000000000014</x:v>
      </x:c>
      <x:c r="BK342" t="n">
        <x:f>BA342/AZ342-1</x:f>
        <x:v>0.09400000000000008</x:v>
      </x:c>
      <x:c r="BL342" t="n">
        <x:f>BB342/BA342-1</x:f>
        <x:v>0.030000000000000027</x:v>
      </x:c>
      <x:c r="BM342" t="n">
        <x:f>AH342*(1-'Assumptions'!$F$18)*(1+'Assumptions'!$D$18)*(1-'Assumptions'!$D$18/'Assumptions'!$E$18)</x:f>
        <x:v>1477.9318127211873</x:v>
      </x:c>
      <x:c r="BN342" t="n">
        <x:f>SUMPRODUCT(AI342:AR342,'POWL Model'!$B$83:$K$83)+BM342/('Assumptions'!$C$18-'Assumptions'!$D$18)*'POWL Model'!$K$83</x:f>
        <x:v>11166.943046954242</x:v>
      </x:c>
      <x:c r="BO342" t="n">
        <x:f>'POWL Model'!$B$94</x:f>
        <x:v>230.812</x:v>
      </x:c>
      <x:c r="BP342" t="n">
        <x:f>'Inputs'!$G$8</x:f>
        <x:v>36.604</x:v>
      </x:c>
    </x:row>
    <x:row r="343">
      <x:c r="A343" t="str">
        <x:v>POWL</x:v>
      </x:c>
      <x:c r="B343" s="22" t="n">
        <x:v>0.36</x:v>
      </x:c>
      <x:c r="C343" s="42" t="n">
        <x:f>(BN343+BO343)/BP343</x:f>
        <x:v>324.1481846230645</x:v>
      </x:c>
      <x:c r="D343" s="22" t="n">
        <x:f>C343/'Inputs'!$G$5-1</x:f>
        <x:v>0.7891934902194873</x:v>
      </x:c>
      <x:c r="E343" t="n">
        <x:f>('Assumptions'!$M$18+'Assumptions'!$N$18)*(1+$B343)^0</x:f>
        <x:v>1500</x:v>
      </x:c>
      <x:c r="F343" t="n">
        <x:f>('Assumptions'!$M$18+'Assumptions'!$N$18)*(1+$B343)^1</x:f>
        <x:v>2039.9999999999998</x:v>
      </x:c>
      <x:c r="G343" t="n">
        <x:f>('Assumptions'!$M$18+'Assumptions'!$N$18)*(1+$B343)^2</x:f>
        <x:v>2774.3999999999996</x:v>
      </x:c>
      <x:c r="H343" t="n">
        <x:f>('Assumptions'!$M$18+'Assumptions'!$N$18)*(1+$B343)^3</x:f>
        <x:v>3773.1839999999993</x:v>
      </x:c>
      <x:c r="I343" t="n">
        <x:f>('Assumptions'!$M$18+'Assumptions'!$N$18)*(1+$B343)^4</x:f>
        <x:v>5131.530239999998</x:v>
      </x:c>
      <x:c r="J343" t="n">
        <x:f>I343*(1+($BG343+('Assumptions'!$D$18-$BG343)*(6-5)/5))</x:f>
        <x:v>6640.200130559998</x:v>
      </x:c>
      <x:c r="K343" t="n">
        <x:f>J343*(1+($BG343+('Assumptions'!$D$18-$BG343)*(7-5)/5))</x:f>
        <x:v>8154.165760327677</x:v>
      </x:c>
      <x:c r="L343" t="n">
        <x:f>K343*(1+($BG343+('Assumptions'!$D$18-$BG343)*(8-5)/5))</x:f>
        <x:v>9475.14061350076</x:v>
      </x:c>
      <x:c r="M343" t="n">
        <x:f>L343*(1+($BG343+('Assumptions'!$D$18-$BG343)*(9-5)/5))</x:f>
        <x:v>10384.754112396833</x:v>
      </x:c>
      <x:c r="N343" t="n">
        <x:f>M343*(1+($BG343+('Assumptions'!$D$18-$BG343)*(10-5)/5))</x:f>
        <x:v>10696.296735768738</x:v>
      </x:c>
      <x:c r="O343" t="n">
        <x:f>0</x:f>
        <x:v>0</x:v>
      </x:c>
      <x:c r="P343" t="n">
        <x:f>0</x:f>
        <x:v>0</x:v>
      </x:c>
      <x:c r="Q343" t="n">
        <x:f>0</x:f>
        <x:v>0</x:v>
      </x:c>
      <x:c r="R343" t="n">
        <x:f>0</x:f>
        <x:v>0</x:v>
      </x:c>
      <x:c r="S343" t="n">
        <x:f>0</x:f>
        <x:v>0</x:v>
      </x:c>
      <x:c r="T343" t="n">
        <x:f>S343*(1+($BG343+('Assumptions'!$D$18-$BG343)*(6-5)/5))</x:f>
        <x:v>0</x:v>
      </x:c>
      <x:c r="U343" t="n">
        <x:f>T343*(1+($BG343+('Assumptions'!$D$18-$BG343)*(7-5)/5))</x:f>
        <x:v>0</x:v>
      </x:c>
      <x:c r="V343" t="n">
        <x:f>U343*(1+($BG343+('Assumptions'!$D$18-$BG343)*(8-5)/5))</x:f>
        <x:v>0</x:v>
      </x:c>
      <x:c r="W343" t="n">
        <x:f>V343*(1+($BG343+('Assumptions'!$D$18-$BG343)*(9-5)/5))</x:f>
        <x:v>0</x:v>
      </x:c>
      <x:c r="X343" t="n">
        <x:f>W343*(1+($BG343+('Assumptions'!$D$18-$BG343)*(10-5)/5))</x:f>
        <x:v>0</x:v>
      </x:c>
      <x:c r="Y343" t="n">
        <x:f>E343*'POWL Model'!$B$62+O343*'POWL Model'!$B$63+'POWL Model'!$B$73+'POWL Model'!$B$74</x:f>
        <x:v>315</x:v>
      </x:c>
      <x:c r="Z343" t="n">
        <x:f>F343*'POWL Model'!$C$62+P343*'POWL Model'!$C$63+'POWL Model'!$C$73+'POWL Model'!$C$74</x:f>
        <x:v>448.79999999999995</x:v>
      </x:c>
      <x:c r="AA343" t="n">
        <x:f>G343*'POWL Model'!$D$62+Q343*'POWL Model'!$D$63+'POWL Model'!$D$73+'POWL Model'!$D$74</x:f>
        <x:v>610.3679999999999</x:v>
      </x:c>
      <x:c r="AB343" t="n">
        <x:f>H343*'POWL Model'!$E$62+R343*'POWL Model'!$E$63+'POWL Model'!$E$73+'POWL Model'!$E$74</x:f>
        <x:v>811.2345599999999</x:v>
      </x:c>
      <x:c r="AC343" t="n">
        <x:f>I343*'POWL Model'!$F$62+S343*'POWL Model'!$F$63+'POWL Model'!$F$73+'POWL Model'!$F$74</x:f>
        <x:v>1077.6213503999995</x:v>
      </x:c>
      <x:c r="AD343" t="n">
        <x:f>AX343*$AC343/$AW343</x:f>
        <x:v>1394.4420274175995</x:v>
      </x:c>
      <x:c r="AE343" t="n">
        <x:f>AY343*$AC343/$AW343</x:f>
        <x:v>1712.374809668812</x:v>
      </x:c>
      <x:c r="AF343" t="n">
        <x:f>AZ343*$AC343/$AW343</x:f>
        <x:v>1989.7795288351595</x:v>
      </x:c>
      <x:c r="AG343" t="n">
        <x:f>BA343*$AC343/$AW343</x:f>
        <x:v>2180.7983636033346</x:v>
      </x:c>
      <x:c r="AH343" t="n">
        <x:f>BB343*$AC343/$AW343</x:f>
        <x:v>2246.222314511435</x:v>
      </x:c>
      <x:c r="AI343" t="n">
        <x:f>Y343*(1-'Assumptions'!$F$18)+AS343*'Assumptions'!$G$18-AS343*'POWL Model'!$B$65-(AS343-'Inputs'!$G$14)*'Assumptions'!$H$18-'Assumptions'!$I$18</x:f>
        <x:v>183.9</x:v>
      </x:c>
      <x:c r="AJ343" t="n">
        <x:f>Z343*(1-'Assumptions'!$F$18)+AT343*'Assumptions'!$G$18-AT343*'POWL Model'!$C$65-(AT343-AS343)*'Assumptions'!$H$18-0</x:f>
        <x:v>252.408</x:v>
      </x:c>
      <x:c r="AK343" t="n">
        <x:f>AA343*(1-'Assumptions'!$F$18)+AU343*'Assumptions'!$G$18-AU343*'POWL Model'!$D$65-(AU343-AT343)*'Assumptions'!$H$18-0</x:f>
        <x:v>351.59808</x:v>
      </x:c>
      <x:c r="AL343" t="n">
        <x:f>AB343*(1-'Assumptions'!$F$18)+AV343*'Assumptions'!$G$18-AV343*'POWL Model'!$E$65-(AV343-AU343)*'Assumptions'!$H$18-0</x:f>
        <x:v>471.38165760000004</x:v>
      </x:c>
      <x:c r="AM343" t="n">
        <x:f>AC343*(1-'Assumptions'!$F$18)+AW343*'Assumptions'!$G$18-AW343*'POWL Model'!$F$65-(AW343-AV343)*'Assumptions'!$H$18-0</x:f>
        <x:v>621.5792394239998</x:v>
      </x:c>
      <x:c r="AN343" t="n">
        <x:f>AD343*(1-'Assumptions'!$F$18)+AX343*'Assumptions'!$G$18-AX343*'POWL Model'!$G$65-(AX343-AW343)*'Assumptions'!$H$18-0</x:f>
        <x:v>829.2265502146557</x:v>
      </x:c>
      <x:c r="AO343" t="n">
        <x:f>AE343*(1-'Assumptions'!$F$18)+AY343*'Assumptions'!$G$18-AY343*'POWL Model'!$H$65-(AY343-AX343)*'Assumptions'!$H$18-0</x:f>
        <x:v>1052.1583032475971</x:v>
      </x:c>
      <x:c r="AP343" t="n">
        <x:f>AF343*(1-'Assumptions'!$F$18)+AZ343*'Assumptions'!$G$18-AZ343*'POWL Model'!$I$65-(AZ343-AY343)*'Assumptions'!$H$18-0</x:f>
        <x:v>1266.4332692354037</x:v>
      </x:c>
      <x:c r="AQ343" t="n">
        <x:f>AG343*(1-'Assumptions'!$F$18)+BA343*'Assumptions'!$G$18-BA343*'POWL Model'!$J$65-(BA343-AZ343)*'Assumptions'!$H$18-0</x:f>
        <x:v>1441.8283571001648</x:v>
      </x:c>
      <x:c r="AR343" t="n">
        <x:f>AH343*(1-'Assumptions'!$F$18)+BB343*'Assumptions'!$G$18-BB343*'POWL Model'!$K$65-(BB343-BA343)*'Assumptions'!$H$18-0</x:f>
        <x:v>1547.6191358622752</x:v>
      </x:c>
      <x:c r="AS343" t="n">
        <x:f>E343+O343</x:f>
        <x:v>1500</x:v>
      </x:c>
      <x:c r="AT343" t="n">
        <x:f>F343+P343</x:f>
        <x:v>2039.9999999999998</x:v>
      </x:c>
      <x:c r="AU343" t="n">
        <x:f>G343+Q343</x:f>
        <x:v>2774.3999999999996</x:v>
      </x:c>
      <x:c r="AV343" t="n">
        <x:f>H343+R343</x:f>
        <x:v>3773.1839999999993</x:v>
      </x:c>
      <x:c r="AW343" t="n">
        <x:f>I343+S343</x:f>
        <x:v>5131.530239999998</x:v>
      </x:c>
      <x:c r="AX343" t="n">
        <x:f>J343+T343</x:f>
        <x:v>6640.200130559998</x:v>
      </x:c>
      <x:c r="AY343" t="n">
        <x:f>K343+U343</x:f>
        <x:v>8154.165760327677</x:v>
      </x:c>
      <x:c r="AZ343" t="n">
        <x:f>L343+V343</x:f>
        <x:v>9475.14061350076</x:v>
      </x:c>
      <x:c r="BA343" t="n">
        <x:f>M343+W343</x:f>
        <x:v>10384.754112396833</x:v>
      </x:c>
      <x:c r="BB343" t="n">
        <x:f>N343+X343</x:f>
        <x:v>10696.296735768738</x:v>
      </x:c>
      <x:c r="BC343" t="n">
        <x:f>AS343/'Inputs'!$G$14-1</x:f>
        <x:v>0.25</x:v>
      </x:c>
      <x:c r="BD343" t="n">
        <x:f>AT343/AS343-1</x:f>
        <x:v>0.3599999999999999</x:v>
      </x:c>
      <x:c r="BE343" t="n">
        <x:f>AU343/AT343-1</x:f>
        <x:v>0.3599999999999999</x:v>
      </x:c>
      <x:c r="BF343" t="n">
        <x:f>AV343/AU343-1</x:f>
        <x:v>0.3599999999999999</x:v>
      </x:c>
      <x:c r="BG343" t="n">
        <x:f>AW343/AV343-1</x:f>
        <x:v>0.3599999999999999</x:v>
      </x:c>
      <x:c r="BH343" t="n">
        <x:f>AX343/AW343-1</x:f>
        <x:v>0.29400000000000004</x:v>
      </x:c>
      <x:c r="BI343" t="n">
        <x:f>AY343/AX343-1</x:f>
        <x:v>0.22799999999999998</x:v>
      </x:c>
      <x:c r="BJ343" t="n">
        <x:f>AZ343/AY343-1</x:f>
        <x:v>0.16199999999999992</x:v>
      </x:c>
      <x:c r="BK343" t="n">
        <x:f>BA343/AZ343-1</x:f>
        <x:v>0.09600000000000009</x:v>
      </x:c>
      <x:c r="BL343" t="n">
        <x:f>BB343/BA343-1</x:f>
        <x:v>0.030000000000000027</x:v>
      </x:c>
      <x:c r="BM343" t="n">
        <x:f>AH343*(1-'Assumptions'!$F$18)*(1+'Assumptions'!$D$18)*(1-'Assumptions'!$D$18/'Assumptions'!$E$18)</x:f>
        <x:v>1547.3416884636051</x:v>
      </x:c>
      <x:c r="BN343" t="n">
        <x:f>SUMPRODUCT(AI343:AR343,'POWL Model'!$B$83:$K$83)+BM343/('Assumptions'!$C$18-'Assumptions'!$D$18)*'POWL Model'!$K$83</x:f>
        <x:v>11634.308149942652</x:v>
      </x:c>
      <x:c r="BO343" t="n">
        <x:f>'POWL Model'!$B$94</x:f>
        <x:v>230.812</x:v>
      </x:c>
      <x:c r="BP343" t="n">
        <x:f>'Inputs'!$G$8</x:f>
        <x:v>36.604</x:v>
      </x:c>
    </x:row>
    <x:row r="344">
      <x:c r="A344" t="str">
        <x:v>POWL</x:v>
      </x:c>
      <x:c r="B344" s="22" t="n">
        <x:v>0.37</x:v>
      </x:c>
      <x:c r="C344" s="42" t="n">
        <x:f>(BN344+BO344)/BP344</x:f>
        <x:v>337.4007129858463</x:v>
      </x:c>
      <x:c r="D344" s="22" t="n">
        <x:f>C344/'Inputs'!$G$5-1</x:f>
        <x:v>0.8623431748404611</x:v>
      </x:c>
      <x:c r="E344" t="n">
        <x:f>('Assumptions'!$M$18+'Assumptions'!$N$18)*(1+$B344)^0</x:f>
        <x:v>1500</x:v>
      </x:c>
      <x:c r="F344" t="n">
        <x:f>('Assumptions'!$M$18+'Assumptions'!$N$18)*(1+$B344)^1</x:f>
        <x:v>2055</x:v>
      </x:c>
      <x:c r="G344" t="n">
        <x:f>('Assumptions'!$M$18+'Assumptions'!$N$18)*(1+$B344)^2</x:f>
        <x:v>2815.3500000000004</x:v>
      </x:c>
      <x:c r="H344" t="n">
        <x:f>('Assumptions'!$M$18+'Assumptions'!$N$18)*(1+$B344)^3</x:f>
        <x:v>3857.029500000001</x:v>
      </x:c>
      <x:c r="I344" t="n">
        <x:f>('Assumptions'!$M$18+'Assumptions'!$N$18)*(1+$B344)^4</x:f>
        <x:v>5284.130415000001</x:v>
      </x:c>
      <x:c r="J344" t="n">
        <x:f>I344*(1+($BG344+('Assumptions'!$D$18-$BG344)*(6-5)/5))</x:f>
        <x:v>6879.937800330003</x:v>
      </x:c>
      <x:c r="K344" t="n">
        <x:f>J344*(1+($BG344+('Assumptions'!$D$18-$BG344)*(7-5)/5))</x:f>
        <x:v>8489.843245607222</x:v>
      </x:c>
      <x:c r="L344" t="n">
        <x:f>K344*(1+($BG344+('Assumptions'!$D$18-$BG344)*(8-5)/5))</x:f>
        <x:v>9899.157224378023</x:v>
      </x:c>
      <x:c r="M344" t="n">
        <x:f>L344*(1+($BG344+('Assumptions'!$D$18-$BG344)*(9-5)/5))</x:f>
        <x:v>10869.27463236707</x:v>
      </x:c>
      <x:c r="N344" t="n">
        <x:f>M344*(1+($BG344+('Assumptions'!$D$18-$BG344)*(10-5)/5))</x:f>
        <x:v>11195.352871338084</x:v>
      </x:c>
      <x:c r="O344" t="n">
        <x:f>0</x:f>
        <x:v>0</x:v>
      </x:c>
      <x:c r="P344" t="n">
        <x:f>0</x:f>
        <x:v>0</x:v>
      </x:c>
      <x:c r="Q344" t="n">
        <x:f>0</x:f>
        <x:v>0</x:v>
      </x:c>
      <x:c r="R344" t="n">
        <x:f>0</x:f>
        <x:v>0</x:v>
      </x:c>
      <x:c r="S344" t="n">
        <x:f>0</x:f>
        <x:v>0</x:v>
      </x:c>
      <x:c r="T344" t="n">
        <x:f>S344*(1+($BG344+('Assumptions'!$D$18-$BG344)*(6-5)/5))</x:f>
        <x:v>0</x:v>
      </x:c>
      <x:c r="U344" t="n">
        <x:f>T344*(1+($BG344+('Assumptions'!$D$18-$BG344)*(7-5)/5))</x:f>
        <x:v>0</x:v>
      </x:c>
      <x:c r="V344" t="n">
        <x:f>U344*(1+($BG344+('Assumptions'!$D$18-$BG344)*(8-5)/5))</x:f>
        <x:v>0</x:v>
      </x:c>
      <x:c r="W344" t="n">
        <x:f>V344*(1+($BG344+('Assumptions'!$D$18-$BG344)*(9-5)/5))</x:f>
        <x:v>0</x:v>
      </x:c>
      <x:c r="X344" t="n">
        <x:f>W344*(1+($BG344+('Assumptions'!$D$18-$BG344)*(10-5)/5))</x:f>
        <x:v>0</x:v>
      </x:c>
      <x:c r="Y344" t="n">
        <x:f>E344*'POWL Model'!$B$62+O344*'POWL Model'!$B$63+'POWL Model'!$B$73+'POWL Model'!$B$74</x:f>
        <x:v>315</x:v>
      </x:c>
      <x:c r="Z344" t="n">
        <x:f>F344*'POWL Model'!$C$62+P344*'POWL Model'!$C$63+'POWL Model'!$C$73+'POWL Model'!$C$74</x:f>
        <x:v>452.1</x:v>
      </x:c>
      <x:c r="AA344" t="n">
        <x:f>G344*'POWL Model'!$D$62+Q344*'POWL Model'!$D$63+'POWL Model'!$D$73+'POWL Model'!$D$74</x:f>
        <x:v>619.3770000000001</x:v>
      </x:c>
      <x:c r="AB344" t="n">
        <x:f>H344*'POWL Model'!$E$62+R344*'POWL Model'!$E$63+'POWL Model'!$E$73+'POWL Model'!$E$74</x:f>
        <x:v>829.2613425000002</x:v>
      </x:c>
      <x:c r="AC344" t="n">
        <x:f>I344*'POWL Model'!$F$62+S344*'POWL Model'!$F$63+'POWL Model'!$F$73+'POWL Model'!$F$74</x:f>
        <x:v>1109.6673871500002</x:v>
      </x:c>
      <x:c r="AD344" t="n">
        <x:f>AX344*$AC344/$AW344</x:f>
        <x:v>1444.7869380693005</x:v>
      </x:c>
      <x:c r="AE344" t="n">
        <x:f>AY344*$AC344/$AW344</x:f>
        <x:v>1782.8670815775163</x:v>
      </x:c>
      <x:c r="AF344" t="n">
        <x:f>AZ344*$AC344/$AW344</x:f>
        <x:v>2078.8230171193845</x:v>
      </x:c>
      <x:c r="AG344" t="n">
        <x:f>BA344*$AC344/$AW344</x:f>
        <x:v>2282.5476727970845</x:v>
      </x:c>
      <x:c r="AH344" t="n">
        <x:f>BB344*$AC344/$AW344</x:f>
        <x:v>2351.024102980997</x:v>
      </x:c>
      <x:c r="AI344" t="n">
        <x:f>Y344*(1-'Assumptions'!$F$18)+AS344*'Assumptions'!$G$18-AS344*'POWL Model'!$B$65-(AS344-'Inputs'!$G$14)*'Assumptions'!$H$18-'Assumptions'!$I$18</x:f>
        <x:v>183.9</x:v>
      </x:c>
      <x:c r="AJ344" t="n">
        <x:f>Z344*(1-'Assumptions'!$F$18)+AT344*'Assumptions'!$G$18-AT344*'POWL Model'!$C$65-(AT344-AS344)*'Assumptions'!$H$18-0</x:f>
        <x:v>253.161</x:v>
      </x:c>
      <x:c r="AK344" t="n">
        <x:f>AA344*(1-'Assumptions'!$F$18)+AU344*'Assumptions'!$G$18-AU344*'POWL Model'!$D$65-(AU344-AT344)*'Assumptions'!$H$18-0</x:f>
        <x:v>355.27662000000004</x:v>
      </x:c>
      <x:c r="AL344" t="n">
        <x:f>AB344*(1-'Assumptions'!$F$18)+AV344*'Assumptions'!$G$18-AV344*'POWL Model'!$E$65-(AV344-AU344)*'Assumptions'!$H$18-0</x:f>
        <x:v>479.7863163</x:v>
      </x:c>
      <x:c r="AM344" t="n">
        <x:f>AC344*(1-'Assumptions'!$F$18)+AW344*'Assumptions'!$G$18-AW344*'POWL Model'!$F$65-(AW344-AV344)*'Assumptions'!$H$18-0</x:f>
        <x:v>637.2275577540001</x:v>
      </x:c>
      <x:c r="AN344" t="n">
        <x:f>AD344*(1-'Assumptions'!$F$18)+AX344*'Assumptions'!$G$18-AX344*'POWL Model'!$G$65-(AX344-AW344)*'Assumptions'!$H$18-0</x:f>
        <x:v>855.8980807957082</x:v>
      </x:c>
      <x:c r="AO344" t="n">
        <x:f>AE344*(1-'Assumptions'!$F$18)+AY344*'Assumptions'!$G$18-AY344*'POWL Model'!$H$65-(AY344-AX344)*'Assumptions'!$H$18-0</x:f>
        <x:v>1092.1103185239037</x:v>
      </x:c>
      <x:c r="AP344" t="n">
        <x:f>AF344*(1-'Assumptions'!$F$18)+AZ344*'Assumptions'!$G$18-AZ344*'POWL Model'!$I$65-(AZ344-AY344)*'Assumptions'!$H$18-0</x:f>
        <x:v>1320.184208441116</x:v>
      </x:c>
      <x:c r="AQ344" t="n">
        <x:f>AG344*(1-'Assumptions'!$F$18)+BA344*'Assumptions'!$G$18-BA344*'POWL Model'!$J$65-(BA344-AZ344)*'Assumptions'!$H$18-0</x:f>
        <x:v>1507.2931949384747</x:v>
      </x:c>
      <x:c r="AR344" t="n">
        <x:f>AH344*(1-'Assumptions'!$F$18)+BB344*'Assumptions'!$G$18-BB344*'POWL Model'!$K$65-(BB344-BA344)*'Assumptions'!$H$18-0</x:f>
        <x:v>1619.8262599123996</x:v>
      </x:c>
      <x:c r="AS344" t="n">
        <x:f>E344+O344</x:f>
        <x:v>1500</x:v>
      </x:c>
      <x:c r="AT344" t="n">
        <x:f>F344+P344</x:f>
        <x:v>2055</x:v>
      </x:c>
      <x:c r="AU344" t="n">
        <x:f>G344+Q344</x:f>
        <x:v>2815.3500000000004</x:v>
      </x:c>
      <x:c r="AV344" t="n">
        <x:f>H344+R344</x:f>
        <x:v>3857.029500000001</x:v>
      </x:c>
      <x:c r="AW344" t="n">
        <x:f>I344+S344</x:f>
        <x:v>5284.130415000001</x:v>
      </x:c>
      <x:c r="AX344" t="n">
        <x:f>J344+T344</x:f>
        <x:v>6879.937800330003</x:v>
      </x:c>
      <x:c r="AY344" t="n">
        <x:f>K344+U344</x:f>
        <x:v>8489.843245607222</x:v>
      </x:c>
      <x:c r="AZ344" t="n">
        <x:f>L344+V344</x:f>
        <x:v>9899.157224378023</x:v>
      </x:c>
      <x:c r="BA344" t="n">
        <x:f>M344+W344</x:f>
        <x:v>10869.27463236707</x:v>
      </x:c>
      <x:c r="BB344" t="n">
        <x:f>N344+X344</x:f>
        <x:v>11195.352871338084</x:v>
      </x:c>
      <x:c r="BC344" t="n">
        <x:f>AS344/'Inputs'!$G$14-1</x:f>
        <x:v>0.25</x:v>
      </x:c>
      <x:c r="BD344" t="n">
        <x:f>AT344/AS344-1</x:f>
        <x:v>0.3700000000000001</x:v>
      </x:c>
      <x:c r="BE344" t="n">
        <x:f>AU344/AT344-1</x:f>
        <x:v>0.3700000000000001</x:v>
      </x:c>
      <x:c r="BF344" t="n">
        <x:f>AV344/AU344-1</x:f>
        <x:v>0.3700000000000001</x:v>
      </x:c>
      <x:c r="BG344" t="n">
        <x:f>AW344/AV344-1</x:f>
        <x:v>0.3700000000000001</x:v>
      </x:c>
      <x:c r="BH344" t="n">
        <x:f>AX344/AW344-1</x:f>
        <x:v>0.30200000000000005</x:v>
      </x:c>
      <x:c r="BI344" t="n">
        <x:f>AY344/AX344-1</x:f>
        <x:v>0.23399999999999999</x:v>
      </x:c>
      <x:c r="BJ344" t="n">
        <x:f>AZ344/AY344-1</x:f>
        <x:v>0.16600000000000015</x:v>
      </x:c>
      <x:c r="BK344" t="n">
        <x:f>BA344/AZ344-1</x:f>
        <x:v>0.09800000000000009</x:v>
      </x:c>
      <x:c r="BL344" t="n">
        <x:f>BB344/BA344-1</x:f>
        <x:v>0.030000000000000027</x:v>
      </x:c>
      <x:c r="BM344" t="n">
        <x:f>AH344*(1-'Assumptions'!$F$18)*(1+'Assumptions'!$D$18)*(1-'Assumptions'!$D$18/'Assumptions'!$E$18)</x:f>
        <x:v>1619.5358676759015</x:v>
      </x:c>
      <x:c r="BN344" t="n">
        <x:f>SUMPRODUCT(AI344:AR344,'POWL Model'!$B$83:$K$83)+BM344/('Assumptions'!$C$18-'Assumptions'!$D$18)*'POWL Model'!$K$83</x:f>
        <x:v>12119.403698133918</x:v>
      </x:c>
      <x:c r="BO344" t="n">
        <x:f>'POWL Model'!$B$94</x:f>
        <x:v>230.812</x:v>
      </x:c>
      <x:c r="BP344" t="n">
        <x:f>'Inputs'!$G$8</x:f>
        <x:v>36.604</x:v>
      </x:c>
    </x:row>
    <x:row r="345">
      <x:c r="A345" t="str">
        <x:v>POWL</x:v>
      </x:c>
      <x:c r="B345" s="22" t="n">
        <x:v>0.38</x:v>
      </x:c>
      <x:c r="C345" s="42" t="n">
        <x:f>(BN345+BO345)/BP345</x:f>
        <x:v>351.15322591717853</x:v>
      </x:c>
      <x:c r="D345" s="22" t="n">
        <x:f>C345/'Inputs'!$G$5-1</x:f>
        <x:v>0.93825261311022</x:v>
      </x:c>
      <x:c r="E345" t="n">
        <x:f>('Assumptions'!$M$18+'Assumptions'!$N$18)*(1+$B345)^0</x:f>
        <x:v>1500</x:v>
      </x:c>
      <x:c r="F345" t="n">
        <x:f>('Assumptions'!$M$18+'Assumptions'!$N$18)*(1+$B345)^1</x:f>
        <x:v>2070</x:v>
      </x:c>
      <x:c r="G345" t="n">
        <x:f>('Assumptions'!$M$18+'Assumptions'!$N$18)*(1+$B345)^2</x:f>
        <x:v>2856.5999999999995</x:v>
      </x:c>
      <x:c r="H345" t="n">
        <x:f>('Assumptions'!$M$18+'Assumptions'!$N$18)*(1+$B345)^3</x:f>
        <x:v>3942.1079999999993</x:v>
      </x:c>
      <x:c r="I345" t="n">
        <x:f>('Assumptions'!$M$18+'Assumptions'!$N$18)*(1+$B345)^4</x:f>
        <x:v>5440.1090399999985</x:v>
      </x:c>
      <x:c r="J345" t="n">
        <x:f>I345*(1+($BG345+('Assumptions'!$D$18-$BG345)*(6-5)/5))</x:f>
        <x:v>7126.542842399998</x:v>
      </x:c>
      <x:c r="K345" t="n">
        <x:f>J345*(1+($BG345+('Assumptions'!$D$18-$BG345)*(7-5)/5))</x:f>
        <x:v>8836.913124575998</x:v>
      </x:c>
      <x:c r="L345" t="n">
        <x:f>K345*(1+($BG345+('Assumptions'!$D$18-$BG345)*(8-5)/5))</x:f>
        <x:v>10339.188355753917</x:v>
      </x:c>
      <x:c r="M345" t="n">
        <x:f>L345*(1+($BG345+('Assumptions'!$D$18-$BG345)*(9-5)/5))</x:f>
        <x:v>11373.107191329309</x:v>
      </x:c>
      <x:c r="N345" t="n">
        <x:f>M345*(1+($BG345+('Assumptions'!$D$18-$BG345)*(10-5)/5))</x:f>
        <x:v>11714.300407069188</x:v>
      </x:c>
      <x:c r="O345" t="n">
        <x:f>0</x:f>
        <x:v>0</x:v>
      </x:c>
      <x:c r="P345" t="n">
        <x:f>0</x:f>
        <x:v>0</x:v>
      </x:c>
      <x:c r="Q345" t="n">
        <x:f>0</x:f>
        <x:v>0</x:v>
      </x:c>
      <x:c r="R345" t="n">
        <x:f>0</x:f>
        <x:v>0</x:v>
      </x:c>
      <x:c r="S345" t="n">
        <x:f>0</x:f>
        <x:v>0</x:v>
      </x:c>
      <x:c r="T345" t="n">
        <x:f>S345*(1+($BG345+('Assumptions'!$D$18-$BG345)*(6-5)/5))</x:f>
        <x:v>0</x:v>
      </x:c>
      <x:c r="U345" t="n">
        <x:f>T345*(1+($BG345+('Assumptions'!$D$18-$BG345)*(7-5)/5))</x:f>
        <x:v>0</x:v>
      </x:c>
      <x:c r="V345" t="n">
        <x:f>U345*(1+($BG345+('Assumptions'!$D$18-$BG345)*(8-5)/5))</x:f>
        <x:v>0</x:v>
      </x:c>
      <x:c r="W345" t="n">
        <x:f>V345*(1+($BG345+('Assumptions'!$D$18-$BG345)*(9-5)/5))</x:f>
        <x:v>0</x:v>
      </x:c>
      <x:c r="X345" t="n">
        <x:f>W345*(1+($BG345+('Assumptions'!$D$18-$BG345)*(10-5)/5))</x:f>
        <x:v>0</x:v>
      </x:c>
      <x:c r="Y345" t="n">
        <x:f>E345*'POWL Model'!$B$62+O345*'POWL Model'!$B$63+'POWL Model'!$B$73+'POWL Model'!$B$74</x:f>
        <x:v>315</x:v>
      </x:c>
      <x:c r="Z345" t="n">
        <x:f>F345*'POWL Model'!$C$62+P345*'POWL Model'!$C$63+'POWL Model'!$C$73+'POWL Model'!$C$74</x:f>
        <x:v>455.4</x:v>
      </x:c>
      <x:c r="AA345" t="n">
        <x:f>G345*'POWL Model'!$D$62+Q345*'POWL Model'!$D$63+'POWL Model'!$D$73+'POWL Model'!$D$74</x:f>
        <x:v>628.4519999999999</x:v>
      </x:c>
      <x:c r="AB345" t="n">
        <x:f>H345*'POWL Model'!$E$62+R345*'POWL Model'!$E$63+'POWL Model'!$E$73+'POWL Model'!$E$74</x:f>
        <x:v>847.5532199999998</x:v>
      </x:c>
      <x:c r="AC345" t="n">
        <x:f>I345*'POWL Model'!$F$62+S345*'POWL Model'!$F$63+'POWL Model'!$F$73+'POWL Model'!$F$74</x:f>
        <x:v>1142.4228983999997</x:v>
      </x:c>
      <x:c r="AD345" t="n">
        <x:f>AX345*$AC345/$AW345</x:f>
        <x:v>1496.5739969039996</x:v>
      </x:c>
      <x:c r="AE345" t="n">
        <x:f>AY345*$AC345/$AW345</x:f>
        <x:v>1855.7517561609595</x:v>
      </x:c>
      <x:c r="AF345" t="n">
        <x:f>AZ345*$AC345/$AW345</x:f>
        <x:v>2171.229554708322</x:v>
      </x:c>
      <x:c r="AG345" t="n">
        <x:f>BA345*$AC345/$AW345</x:f>
        <x:v>2388.352510179155</x:v>
      </x:c>
      <x:c r="AH345" t="n">
        <x:f>BB345*$AC345/$AW345</x:f>
        <x:v>2460.0030854845295</x:v>
      </x:c>
      <x:c r="AI345" t="n">
        <x:f>Y345*(1-'Assumptions'!$F$18)+AS345*'Assumptions'!$G$18-AS345*'POWL Model'!$B$65-(AS345-'Inputs'!$G$14)*'Assumptions'!$H$18-'Assumptions'!$I$18</x:f>
        <x:v>183.9</x:v>
      </x:c>
      <x:c r="AJ345" t="n">
        <x:f>Z345*(1-'Assumptions'!$F$18)+AT345*'Assumptions'!$G$18-AT345*'POWL Model'!$C$65-(AT345-AS345)*'Assumptions'!$H$18-0</x:f>
        <x:v>253.914</x:v>
      </x:c>
      <x:c r="AK345" t="n">
        <x:f>AA345*(1-'Assumptions'!$F$18)+AU345*'Assumptions'!$G$18-AU345*'POWL Model'!$D$65-(AU345-AT345)*'Assumptions'!$H$18-0</x:f>
        <x:v>358.97112</x:v>
      </x:c>
      <x:c r="AL345" t="n">
        <x:f>AB345*(1-'Assumptions'!$F$18)+AV345*'Assumptions'!$G$18-AV345*'POWL Model'!$E$65-(AV345-AU345)*'Assumptions'!$H$18-0</x:f>
        <x:v>488.28435119999983</x:v>
      </x:c>
      <x:c r="AM345" t="n">
        <x:f>AC345*(1-'Assumptions'!$F$18)+AW345*'Assumptions'!$G$18-AW345*'POWL Model'!$F$65-(AW345-AV345)*'Assumptions'!$H$18-0</x:f>
        <x:v>653.1599903039998</x:v>
      </x:c>
      <x:c r="AN345" t="n">
        <x:f>AD345*(1-'Assumptions'!$F$18)+AX345*'Assumptions'!$G$18-AX345*'POWL Model'!$G$65-(AX345-AW345)*'Assumptions'!$H$18-0</x:f>
        <x:v>883.2343432982398</x:v>
      </x:c>
      <x:c r="AO345" t="n">
        <x:f>AE345*(1-'Assumptions'!$F$18)+AY345*'Assumptions'!$G$18-AY345*'POWL Model'!$H$65-(AY345-AX345)*'Assumptions'!$H$18-0</x:f>
        <x:v>1133.2913489698174</x:v>
      </x:c>
      <x:c r="AP345" t="n">
        <x:f>AF345*(1-'Assumptions'!$F$18)+AZ345*'Assumptions'!$G$18-AZ345*'POWL Model'!$I$65-(AZ345-AY345)*'Assumptions'!$H$18-0</x:f>
        <x:v>1375.836678191486</x:v>
      </x:c>
      <x:c r="AQ345" t="n">
        <x:f>AG345*(1-'Assumptions'!$F$18)+BA345*'Assumptions'!$G$18-BA345*'POWL Model'!$J$65-(BA345-AZ345)*'Assumptions'!$H$18-0</x:f>
        <x:v>1575.278737882667</x:v>
      </x:c>
      <x:c r="AR345" t="n">
        <x:f>AH345*(1-'Assumptions'!$F$18)+BB345*'Assumptions'!$G$18-BB345*'POWL Model'!$K$65-(BB345-BA345)*'Assumptions'!$H$18-0</x:f>
        <x:v>1694.9114185094243</x:v>
      </x:c>
      <x:c r="AS345" t="n">
        <x:f>E345+O345</x:f>
        <x:v>1500</x:v>
      </x:c>
      <x:c r="AT345" t="n">
        <x:f>F345+P345</x:f>
        <x:v>2070</x:v>
      </x:c>
      <x:c r="AU345" t="n">
        <x:f>G345+Q345</x:f>
        <x:v>2856.5999999999995</x:v>
      </x:c>
      <x:c r="AV345" t="n">
        <x:f>H345+R345</x:f>
        <x:v>3942.1079999999993</x:v>
      </x:c>
      <x:c r="AW345" t="n">
        <x:f>I345+S345</x:f>
        <x:v>5440.1090399999985</x:v>
      </x:c>
      <x:c r="AX345" t="n">
        <x:f>J345+T345</x:f>
        <x:v>7126.542842399998</x:v>
      </x:c>
      <x:c r="AY345" t="n">
        <x:f>K345+U345</x:f>
        <x:v>8836.913124575998</x:v>
      </x:c>
      <x:c r="AZ345" t="n">
        <x:f>L345+V345</x:f>
        <x:v>10339.188355753917</x:v>
      </x:c>
      <x:c r="BA345" t="n">
        <x:f>M345+W345</x:f>
        <x:v>11373.107191329309</x:v>
      </x:c>
      <x:c r="BB345" t="n">
        <x:f>N345+X345</x:f>
        <x:v>11714.300407069188</x:v>
      </x:c>
      <x:c r="BC345" t="n">
        <x:f>AS345/'Inputs'!$G$14-1</x:f>
        <x:v>0.25</x:v>
      </x:c>
      <x:c r="BD345" t="n">
        <x:f>AT345/AS345-1</x:f>
        <x:v>0.3799999999999999</x:v>
      </x:c>
      <x:c r="BE345" t="n">
        <x:f>AU345/AT345-1</x:f>
        <x:v>0.37999999999999967</x:v>
      </x:c>
      <x:c r="BF345" t="n">
        <x:f>AV345/AU345-1</x:f>
        <x:v>0.3800000000000001</x:v>
      </x:c>
      <x:c r="BG345" t="n">
        <x:f>AW345/AV345-1</x:f>
        <x:v>0.3799999999999999</x:v>
      </x:c>
      <x:c r="BH345" t="n">
        <x:f>AX345/AW345-1</x:f>
        <x:v>0.31000000000000005</x:v>
      </x:c>
      <x:c r="BI345" t="n">
        <x:f>AY345/AX345-1</x:f>
        <x:v>0.24</x:v>
      </x:c>
      <x:c r="BJ345" t="n">
        <x:f>AZ345/AY345-1</x:f>
        <x:v>0.16999999999999993</x:v>
      </x:c>
      <x:c r="BK345" t="n">
        <x:f>BA345/AZ345-1</x:f>
        <x:v>0.10000000000000009</x:v>
      </x:c>
      <x:c r="BL345" t="n">
        <x:f>BB345/BA345-1</x:f>
        <x:v>0.030000000000000027</x:v>
      </x:c>
      <x:c r="BM345" t="n">
        <x:f>AH345*(1-'Assumptions'!$F$18)*(1+'Assumptions'!$D$18)*(1-'Assumptions'!$D$18/'Assumptions'!$E$18)</x:f>
        <x:v>1694.607565479215</x:v>
      </x:c>
      <x:c r="BN345" t="n">
        <x:f>SUMPRODUCT(AI345:AR345,'POWL Model'!$B$83:$K$83)+BM345/('Assumptions'!$C$18-'Assumptions'!$D$18)*'POWL Model'!$K$83</x:f>
        <x:v>12622.800681472403</x:v>
      </x:c>
      <x:c r="BO345" t="n">
        <x:f>'POWL Model'!$B$94</x:f>
        <x:v>230.812</x:v>
      </x:c>
      <x:c r="BP345" t="n">
        <x:f>'Inputs'!$G$8</x:f>
        <x:v>36.604</x:v>
      </x:c>
    </x:row>
    <x:row r="346">
      <x:c r="A346" t="str">
        <x:v>POWL</x:v>
      </x:c>
      <x:c r="B346" s="22" t="n">
        <x:v>0.39</x:v>
      </x:c>
      <x:c r="C346" s="42" t="n">
        <x:f>(BN346+BO346)/BP346</x:f>
        <x:v>365.42173213653797</x:v>
      </x:c>
      <x:c r="D346" s="22" t="n">
        <x:f>C346/'Inputs'!$G$5-1</x:f>
        <x:v>1.0170101679998784</x:v>
      </x:c>
      <x:c r="E346" t="n">
        <x:f>('Assumptions'!$M$18+'Assumptions'!$N$18)*(1+$B346)^0</x:f>
        <x:v>1500</x:v>
      </x:c>
      <x:c r="F346" t="n">
        <x:f>('Assumptions'!$M$18+'Assumptions'!$N$18)*(1+$B346)^1</x:f>
        <x:v>2085</x:v>
      </x:c>
      <x:c r="G346" t="n">
        <x:f>('Assumptions'!$M$18+'Assumptions'!$N$18)*(1+$B346)^2</x:f>
        <x:v>2898.1500000000005</x:v>
      </x:c>
      <x:c r="H346" t="n">
        <x:f>('Assumptions'!$M$18+'Assumptions'!$N$18)*(1+$B346)^3</x:f>
        <x:v>4028.4285000000013</x:v>
      </x:c>
      <x:c r="I346" t="n">
        <x:f>('Assumptions'!$M$18+'Assumptions'!$N$18)*(1+$B346)^4</x:f>
        <x:v>5599.515615000002</x:v>
      </x:c>
      <x:c r="J346" t="n">
        <x:f>I346*(1+($BG346+('Assumptions'!$D$18-$BG346)*(6-5)/5))</x:f>
        <x:v>7380.161580570003</x:v>
      </x:c>
      <x:c r="K346" t="n">
        <x:f>J346*(1+($BG346+('Assumptions'!$D$18-$BG346)*(7-5)/5))</x:f>
        <x:v>9195.681329390223</x:v>
      </x:c>
      <x:c r="L346" t="n">
        <x:f>K346*(1+($BG346+('Assumptions'!$D$18-$BG346)*(8-5)/5))</x:f>
        <x:v>10795.729880704124</x:v>
      </x:c>
      <x:c r="M346" t="n">
        <x:f>L346*(1+($BG346+('Assumptions'!$D$18-$BG346)*(9-5)/5))</x:f>
        <x:v>11896.894328535946</x:v>
      </x:c>
      <x:c r="N346" t="n">
        <x:f>M346*(1+($BG346+('Assumptions'!$D$18-$BG346)*(10-5)/5))</x:f>
        <x:v>12253.801158392023</x:v>
      </x:c>
      <x:c r="O346" t="n">
        <x:f>0</x:f>
        <x:v>0</x:v>
      </x:c>
      <x:c r="P346" t="n">
        <x:f>0</x:f>
        <x:v>0</x:v>
      </x:c>
      <x:c r="Q346" t="n">
        <x:f>0</x:f>
        <x:v>0</x:v>
      </x:c>
      <x:c r="R346" t="n">
        <x:f>0</x:f>
        <x:v>0</x:v>
      </x:c>
      <x:c r="S346" t="n">
        <x:f>0</x:f>
        <x:v>0</x:v>
      </x:c>
      <x:c r="T346" t="n">
        <x:f>S346*(1+($BG346+('Assumptions'!$D$18-$BG346)*(6-5)/5))</x:f>
        <x:v>0</x:v>
      </x:c>
      <x:c r="U346" t="n">
        <x:f>T346*(1+($BG346+('Assumptions'!$D$18-$BG346)*(7-5)/5))</x:f>
        <x:v>0</x:v>
      </x:c>
      <x:c r="V346" t="n">
        <x:f>U346*(1+($BG346+('Assumptions'!$D$18-$BG346)*(8-5)/5))</x:f>
        <x:v>0</x:v>
      </x:c>
      <x:c r="W346" t="n">
        <x:f>V346*(1+($BG346+('Assumptions'!$D$18-$BG346)*(9-5)/5))</x:f>
        <x:v>0</x:v>
      </x:c>
      <x:c r="X346" t="n">
        <x:f>W346*(1+($BG346+('Assumptions'!$D$18-$BG346)*(10-5)/5))</x:f>
        <x:v>0</x:v>
      </x:c>
      <x:c r="Y346" t="n">
        <x:f>E346*'POWL Model'!$B$62+O346*'POWL Model'!$B$63+'POWL Model'!$B$73+'POWL Model'!$B$74</x:f>
        <x:v>315</x:v>
      </x:c>
      <x:c r="Z346" t="n">
        <x:f>F346*'POWL Model'!$C$62+P346*'POWL Model'!$C$63+'POWL Model'!$C$73+'POWL Model'!$C$74</x:f>
        <x:v>458.7</x:v>
      </x:c>
      <x:c r="AA346" t="n">
        <x:f>G346*'POWL Model'!$D$62+Q346*'POWL Model'!$D$63+'POWL Model'!$D$73+'POWL Model'!$D$74</x:f>
        <x:v>637.5930000000001</x:v>
      </x:c>
      <x:c r="AB346" t="n">
        <x:f>H346*'POWL Model'!$E$62+R346*'POWL Model'!$E$63+'POWL Model'!$E$73+'POWL Model'!$E$74</x:f>
        <x:v>866.1121275000003</x:v>
      </x:c>
      <x:c r="AC346" t="n">
        <x:f>I346*'POWL Model'!$F$62+S346*'POWL Model'!$F$63+'POWL Model'!$F$73+'POWL Model'!$F$74</x:f>
        <x:v>1175.8982791500005</x:v>
      </x:c>
      <x:c r="AD346" t="n">
        <x:f>AX346*$AC346/$AW346</x:f>
        <x:v>1549.8339319197005</x:v>
      </x:c>
      <x:c r="AE346" t="n">
        <x:f>AY346*$AC346/$AW346</x:f>
        <x:v>1931.0930791719468</x:v>
      </x:c>
      <x:c r="AF346" t="n">
        <x:f>AZ346*$AC346/$AW346</x:f>
        <x:v>2267.1032749478663</x:v>
      </x:c>
      <x:c r="AG346" t="n">
        <x:f>BA346*$AC346/$AW346</x:f>
        <x:v>2498.347808992549</x:v>
      </x:c>
      <x:c r="AH346" t="n">
        <x:f>BB346*$AC346/$AW346</x:f>
        <x:v>2573.298243262325</x:v>
      </x:c>
      <x:c r="AI346" t="n">
        <x:f>Y346*(1-'Assumptions'!$F$18)+AS346*'Assumptions'!$G$18-AS346*'POWL Model'!$B$65-(AS346-'Inputs'!$G$14)*'Assumptions'!$H$18-'Assumptions'!$I$18</x:f>
        <x:v>183.9</x:v>
      </x:c>
      <x:c r="AJ346" t="n">
        <x:f>Z346*(1-'Assumptions'!$F$18)+AT346*'Assumptions'!$G$18-AT346*'POWL Model'!$C$65-(AT346-AS346)*'Assumptions'!$H$18-0</x:f>
        <x:v>254.66700000000003</x:v>
      </x:c>
      <x:c r="AK346" t="n">
        <x:f>AA346*(1-'Assumptions'!$F$18)+AU346*'Assumptions'!$G$18-AU346*'POWL Model'!$D$65-(AU346-AT346)*'Assumptions'!$H$18-0</x:f>
        <x:v>362.68158</x:v>
      </x:c>
      <x:c r="AL346" t="n">
        <x:f>AB346*(1-'Assumptions'!$F$18)+AV346*'Assumptions'!$G$18-AV346*'POWL Model'!$E$65-(AV346-AU346)*'Assumptions'!$H$18-0</x:f>
        <x:v>496.8762249000001</x:v>
      </x:c>
      <x:c r="AM346" t="n">
        <x:f>AC346*(1-'Assumptions'!$F$18)+AW346*'Assumptions'!$G$18-AW346*'POWL Model'!$F$65-(AW346-AV346)*'Assumptions'!$H$18-0</x:f>
        <x:v>669.3797932740003</x:v>
      </x:c>
      <x:c r="AN346" t="n">
        <x:f>AD346*(1-'Assumptions'!$F$18)+AX346*'Assumptions'!$G$18-AX346*'POWL Model'!$G$65-(AX346-AW346)*'Assumptions'!$H$18-0</x:f>
        <x:v>911.2472527351321</x:v>
      </x:c>
      <x:c r="AO346" t="n">
        <x:f>AE346*(1-'Assumptions'!$F$18)+AY346*'Assumptions'!$G$18-AY346*'POWL Model'!$H$65-(AY346-AX346)*'Assumptions'!$H$18-0</x:f>
        <x:v>1175.7305893359749</x:v>
      </x:c>
      <x:c r="AP346" t="n">
        <x:f>AF346*(1-'Assumptions'!$F$18)+AZ346*'Assumptions'!$G$18-AZ346*'POWL Model'!$I$65-(AZ346-AY346)*'Assumptions'!$H$18-0</x:f>
        <x:v>1433.4448752605388</x:v>
      </x:c>
      <x:c r="AQ346" t="n">
        <x:f>AG346*(1-'Assumptions'!$F$18)+BA346*'Assumptions'!$G$18-BA346*'POWL Model'!$J$65-(BA346-AZ346)*'Assumptions'!$H$18-0</x:f>
        <x:v>1645.8651581087238</x:v>
      </x:c>
      <x:c r="AR346" t="n">
        <x:f>AH346*(1-'Assumptions'!$F$18)+BB346*'Assumptions'!$G$18-BB346*'POWL Model'!$K$65-(BB346-BA346)*'Assumptions'!$H$18-0</x:f>
        <x:v>1772.9703679930547</x:v>
      </x:c>
      <x:c r="AS346" t="n">
        <x:f>E346+O346</x:f>
        <x:v>1500</x:v>
      </x:c>
      <x:c r="AT346" t="n">
        <x:f>F346+P346</x:f>
        <x:v>2085</x:v>
      </x:c>
      <x:c r="AU346" t="n">
        <x:f>G346+Q346</x:f>
        <x:v>2898.1500000000005</x:v>
      </x:c>
      <x:c r="AV346" t="n">
        <x:f>H346+R346</x:f>
        <x:v>4028.4285000000013</x:v>
      </x:c>
      <x:c r="AW346" t="n">
        <x:f>I346+S346</x:f>
        <x:v>5599.515615000002</x:v>
      </x:c>
      <x:c r="AX346" t="n">
        <x:f>J346+T346</x:f>
        <x:v>7380.161580570003</x:v>
      </x:c>
      <x:c r="AY346" t="n">
        <x:f>K346+U346</x:f>
        <x:v>9195.681329390223</x:v>
      </x:c>
      <x:c r="AZ346" t="n">
        <x:f>L346+V346</x:f>
        <x:v>10795.729880704124</x:v>
      </x:c>
      <x:c r="BA346" t="n">
        <x:f>M346+W346</x:f>
        <x:v>11896.894328535946</x:v>
      </x:c>
      <x:c r="BB346" t="n">
        <x:f>N346+X346</x:f>
        <x:v>12253.801158392023</x:v>
      </x:c>
      <x:c r="BC346" t="n">
        <x:f>AS346/'Inputs'!$G$14-1</x:f>
        <x:v>0.25</x:v>
      </x:c>
      <x:c r="BD346" t="n">
        <x:f>AT346/AS346-1</x:f>
        <x:v>0.3899999999999999</x:v>
      </x:c>
      <x:c r="BE346" t="n">
        <x:f>AU346/AT346-1</x:f>
        <x:v>0.39000000000000035</x:v>
      </x:c>
      <x:c r="BF346" t="n">
        <x:f>AV346/AU346-1</x:f>
        <x:v>0.3900000000000001</x:v>
      </x:c>
      <x:c r="BG346" t="n">
        <x:f>AW346/AV346-1</x:f>
        <x:v>0.3900000000000001</x:v>
      </x:c>
      <x:c r="BH346" t="n">
        <x:f>AX346/AW346-1</x:f>
        <x:v>0.31800000000000006</x:v>
      </x:c>
      <x:c r="BI346" t="n">
        <x:f>AY346/AX346-1</x:f>
        <x:v>0.246</x:v>
      </x:c>
      <x:c r="BJ346" t="n">
        <x:f>AZ346/AY346-1</x:f>
        <x:v>0.17400000000000015</x:v>
      </x:c>
      <x:c r="BK346" t="n">
        <x:f>BA346/AZ346-1</x:f>
        <x:v>0.10200000000000009</x:v>
      </x:c>
      <x:c r="BL346" t="n">
        <x:f>BB346/BA346-1</x:f>
        <x:v>0.030000000000000027</x:v>
      </x:c>
      <x:c r="BM346" t="n">
        <x:f>AH346*(1-'Assumptions'!$F$18)*(1+'Assumptions'!$D$18)*(1-'Assumptions'!$D$18/'Assumptions'!$E$18)</x:f>
        <x:v>1772.652521046658</x:v>
      </x:c>
      <x:c r="BN346" t="n">
        <x:f>SUMPRODUCT(AI346:AR346,'POWL Model'!$B$83:$K$83)+BM346/('Assumptions'!$C$18-'Assumptions'!$D$18)*'POWL Model'!$K$83</x:f>
        <x:v>13145.085083125836</x:v>
      </x:c>
      <x:c r="BO346" t="n">
        <x:f>'POWL Model'!$B$94</x:f>
        <x:v>230.812</x:v>
      </x:c>
      <x:c r="BP346" t="n">
        <x:f>'Inputs'!$G$8</x:f>
        <x:v>36.604</x:v>
      </x:c>
    </x:row>
    <x:row r="347">
      <x:c r="A347" t="str">
        <x:v>POWL</x:v>
      </x:c>
      <x:c r="B347" s="22" t="n">
        <x:v>0.4</x:v>
      </x:c>
      <x:c r="C347" s="42" t="n">
        <x:f>(BN347+BO347)/BP347</x:f>
        <x:v>380.2226583234948</x:v>
      </x:c>
      <x:c r="D347" s="22" t="n">
        <x:f>C347/'Inputs'!$G$5-1</x:f>
        <x:v>1.0987065094855373</x:v>
      </x:c>
      <x:c r="E347" t="n">
        <x:f>('Assumptions'!$M$18+'Assumptions'!$N$18)*(1+$B347)^0</x:f>
        <x:v>1500</x:v>
      </x:c>
      <x:c r="F347" t="n">
        <x:f>('Assumptions'!$M$18+'Assumptions'!$N$18)*(1+$B347)^1</x:f>
        <x:v>2100</x:v>
      </x:c>
      <x:c r="G347" t="n">
        <x:f>('Assumptions'!$M$18+'Assumptions'!$N$18)*(1+$B347)^2</x:f>
        <x:v>2939.9999999999995</x:v>
      </x:c>
      <x:c r="H347" t="n">
        <x:f>('Assumptions'!$M$18+'Assumptions'!$N$18)*(1+$B347)^3</x:f>
        <x:v>4115.999999999999</x:v>
      </x:c>
      <x:c r="I347" t="n">
        <x:f>('Assumptions'!$M$18+'Assumptions'!$N$18)*(1+$B347)^4</x:f>
        <x:v>5762.399999999998</x:v>
      </x:c>
      <x:c r="J347" t="n">
        <x:f>I347*(1+($BG347+('Assumptions'!$D$18-$BG347)*(6-5)/5))</x:f>
        <x:v>7640.942399999995</x:v>
      </x:c>
      <x:c r="K347" t="n">
        <x:f>J347*(1+($BG347+('Assumptions'!$D$18-$BG347)*(7-5)/5))</x:f>
        <x:v>9566.459884799993</x:v>
      </x:c>
      <x:c r="L347" t="n">
        <x:f>K347*(1+($BG347+('Assumptions'!$D$18-$BG347)*(8-5)/5))</x:f>
        <x:v>11269.289744294392</x:v>
      </x:c>
      <x:c r="M347" t="n">
        <x:f>L347*(1+($BG347+('Assumptions'!$D$18-$BG347)*(9-5)/5))</x:f>
        <x:v>12441.29587770101</x:v>
      </x:c>
      <x:c r="N347" t="n">
        <x:f>M347*(1+($BG347+('Assumptions'!$D$18-$BG347)*(10-5)/5))</x:f>
        <x:v>12814.53475403204</x:v>
      </x:c>
      <x:c r="O347" t="n">
        <x:f>0</x:f>
        <x:v>0</x:v>
      </x:c>
      <x:c r="P347" t="n">
        <x:f>0</x:f>
        <x:v>0</x:v>
      </x:c>
      <x:c r="Q347" t="n">
        <x:f>0</x:f>
        <x:v>0</x:v>
      </x:c>
      <x:c r="R347" t="n">
        <x:f>0</x:f>
        <x:v>0</x:v>
      </x:c>
      <x:c r="S347" t="n">
        <x:f>0</x:f>
        <x:v>0</x:v>
      </x:c>
      <x:c r="T347" t="n">
        <x:f>S347*(1+($BG347+('Assumptions'!$D$18-$BG347)*(6-5)/5))</x:f>
        <x:v>0</x:v>
      </x:c>
      <x:c r="U347" t="n">
        <x:f>T347*(1+($BG347+('Assumptions'!$D$18-$BG347)*(7-5)/5))</x:f>
        <x:v>0</x:v>
      </x:c>
      <x:c r="V347" t="n">
        <x:f>U347*(1+($BG347+('Assumptions'!$D$18-$BG347)*(8-5)/5))</x:f>
        <x:v>0</x:v>
      </x:c>
      <x:c r="W347" t="n">
        <x:f>V347*(1+($BG347+('Assumptions'!$D$18-$BG347)*(9-5)/5))</x:f>
        <x:v>0</x:v>
      </x:c>
      <x:c r="X347" t="n">
        <x:f>W347*(1+($BG347+('Assumptions'!$D$18-$BG347)*(10-5)/5))</x:f>
        <x:v>0</x:v>
      </x:c>
      <x:c r="Y347" t="n">
        <x:f>E347*'POWL Model'!$B$62+O347*'POWL Model'!$B$63+'POWL Model'!$B$73+'POWL Model'!$B$74</x:f>
        <x:v>315</x:v>
      </x:c>
      <x:c r="Z347" t="n">
        <x:f>F347*'POWL Model'!$C$62+P347*'POWL Model'!$C$63+'POWL Model'!$C$73+'POWL Model'!$C$74</x:f>
        <x:v>462</x:v>
      </x:c>
      <x:c r="AA347" t="n">
        <x:f>G347*'POWL Model'!$D$62+Q347*'POWL Model'!$D$63+'POWL Model'!$D$73+'POWL Model'!$D$74</x:f>
        <x:v>646.8</x:v>
      </x:c>
      <x:c r="AB347" t="n">
        <x:f>H347*'POWL Model'!$E$62+R347*'POWL Model'!$E$63+'POWL Model'!$E$73+'POWL Model'!$E$74</x:f>
        <x:v>884.9399999999998</x:v>
      </x:c>
      <x:c r="AC347" t="n">
        <x:f>I347*'POWL Model'!$F$62+S347*'POWL Model'!$F$63+'POWL Model'!$F$73+'POWL Model'!$F$74</x:f>
        <x:v>1210.1039999999996</x:v>
      </x:c>
      <x:c r="AD347" t="n">
        <x:f>AX347*$AC347/$AW347</x:f>
        <x:v>1604.5979039999993</x:v>
      </x:c>
      <x:c r="AE347" t="n">
        <x:f>AY347*$AC347/$AW347</x:f>
        <x:v>2008.9565758079987</x:v>
      </x:c>
      <x:c r="AF347" t="n">
        <x:f>AZ347*$AC347/$AW347</x:f>
        <x:v>2366.5508463018223</x:v>
      </x:c>
      <x:c r="AG347" t="n">
        <x:f>BA347*$AC347/$AW347</x:f>
        <x:v>2612.672134317212</x:v>
      </x:c>
      <x:c r="AH347" t="n">
        <x:f>BB347*$AC347/$AW347</x:f>
        <x:v>2691.0522983467285</x:v>
      </x:c>
      <x:c r="AI347" t="n">
        <x:f>Y347*(1-'Assumptions'!$F$18)+AS347*'Assumptions'!$G$18-AS347*'POWL Model'!$B$65-(AS347-'Inputs'!$G$14)*'Assumptions'!$H$18-'Assumptions'!$I$18</x:f>
        <x:v>183.9</x:v>
      </x:c>
      <x:c r="AJ347" t="n">
        <x:f>Z347*(1-'Assumptions'!$F$18)+AT347*'Assumptions'!$G$18-AT347*'POWL Model'!$C$65-(AT347-AS347)*'Assumptions'!$H$18-0</x:f>
        <x:v>255.42000000000002</x:v>
      </x:c>
      <x:c r="AK347" t="n">
        <x:f>AA347*(1-'Assumptions'!$F$18)+AU347*'Assumptions'!$G$18-AU347*'POWL Model'!$D$65-(AU347-AT347)*'Assumptions'!$H$18-0</x:f>
        <x:v>366.408</x:v>
      </x:c>
      <x:c r="AL347" t="n">
        <x:f>AB347*(1-'Assumptions'!$F$18)+AV347*'Assumptions'!$G$18-AV347*'POWL Model'!$E$65-(AV347-AU347)*'Assumptions'!$H$18-0</x:f>
        <x:v>505.56239999999997</x:v>
      </x:c>
      <x:c r="AM347" t="n">
        <x:f>AC347*(1-'Assumptions'!$F$18)+AW347*'Assumptions'!$G$18-AW347*'POWL Model'!$F$65-(AW347-AV347)*'Assumptions'!$H$18-0</x:f>
        <x:v>685.8902399999998</x:v>
      </x:c>
      <x:c r="AN347" t="n">
        <x:f>AD347*(1-'Assumptions'!$F$18)+AX347*'Assumptions'!$G$18-AX347*'POWL Model'!$G$65-(AX347-AW347)*'Assumptions'!$H$18-0</x:f>
        <x:v>939.9488582399998</x:v>
      </x:c>
      <x:c r="AO347" t="n">
        <x:f>AE347*(1-'Assumptions'!$F$18)+AY347*'Assumptions'!$G$18-AY347*'POWL Model'!$H$65-(AY347-AX347)*'Assumptions'!$H$18-0</x:f>
        <x:v>1219.4577305164792</x:v>
      </x:c>
      <x:c r="AP347" t="n">
        <x:f>AF347*(1-'Assumptions'!$F$18)+AZ347*'Assumptions'!$G$18-AZ347*'POWL Model'!$I$65-(AZ347-AY347)*'Assumptions'!$H$18-0</x:f>
        <x:v>1493.0641803084122</x:v>
      </x:c>
      <x:c r="AQ347" t="n">
        <x:f>AG347*(1-'Assumptions'!$F$18)+BA347*'Assumptions'!$G$18-BA347*'POWL Model'!$J$65-(BA347-AZ347)*'Assumptions'!$H$18-0</x:f>
        <x:v>1719.1346582080077</x:v>
      </x:c>
      <x:c r="AR347" t="n">
        <x:f>AH347*(1-'Assumptions'!$F$18)+BB347*'Assumptions'!$G$18-BB347*'POWL Model'!$K$65-(BB347-BA347)*'Assumptions'!$H$18-0</x:f>
        <x:v>1854.1014420620263</x:v>
      </x:c>
      <x:c r="AS347" t="n">
        <x:f>E347+O347</x:f>
        <x:v>1500</x:v>
      </x:c>
      <x:c r="AT347" t="n">
        <x:f>F347+P347</x:f>
        <x:v>2100</x:v>
      </x:c>
      <x:c r="AU347" t="n">
        <x:f>G347+Q347</x:f>
        <x:v>2939.9999999999995</x:v>
      </x:c>
      <x:c r="AV347" t="n">
        <x:f>H347+R347</x:f>
        <x:v>4115.999999999999</x:v>
      </x:c>
      <x:c r="AW347" t="n">
        <x:f>I347+S347</x:f>
        <x:v>5762.399999999998</x:v>
      </x:c>
      <x:c r="AX347" t="n">
        <x:f>J347+T347</x:f>
        <x:v>7640.942399999995</x:v>
      </x:c>
      <x:c r="AY347" t="n">
        <x:f>K347+U347</x:f>
        <x:v>9566.459884799993</x:v>
      </x:c>
      <x:c r="AZ347" t="n">
        <x:f>L347+V347</x:f>
        <x:v>11269.289744294392</x:v>
      </x:c>
      <x:c r="BA347" t="n">
        <x:f>M347+W347</x:f>
        <x:v>12441.29587770101</x:v>
      </x:c>
      <x:c r="BB347" t="n">
        <x:f>N347+X347</x:f>
        <x:v>12814.53475403204</x:v>
      </x:c>
      <x:c r="BC347" t="n">
        <x:f>AS347/'Inputs'!$G$14-1</x:f>
        <x:v>0.25</x:v>
      </x:c>
      <x:c r="BD347" t="n">
        <x:f>AT347/AS347-1</x:f>
        <x:v>0.3999999999999999</x:v>
      </x:c>
      <x:c r="BE347" t="n">
        <x:f>AU347/AT347-1</x:f>
        <x:v>0.3999999999999997</x:v>
      </x:c>
      <x:c r="BF347" t="n">
        <x:f>AV347/AU347-1</x:f>
        <x:v>0.3999999999999999</x:v>
      </x:c>
      <x:c r="BG347" t="n">
        <x:f>AW347/AV347-1</x:f>
        <x:v>0.3999999999999997</x:v>
      </x:c>
      <x:c r="BH347" t="n">
        <x:f>AX347/AW347-1</x:f>
        <x:v>0.3259999999999996</x:v>
      </x:c>
      <x:c r="BI347" t="n">
        <x:f>AY347/AX347-1</x:f>
        <x:v>0.2519999999999998</x:v>
      </x:c>
      <x:c r="BJ347" t="n">
        <x:f>AZ347/AY347-1</x:f>
        <x:v>0.17799999999999994</x:v>
      </x:c>
      <x:c r="BK347" t="n">
        <x:f>BA347/AZ347-1</x:f>
        <x:v>0.10400000000000009</x:v>
      </x:c>
      <x:c r="BL347" t="n">
        <x:f>BB347/BA347-1</x:f>
        <x:v>0.030000000000000027</x:v>
      </x:c>
      <x:c r="BM347" t="n">
        <x:f>AH347*(1-'Assumptions'!$F$18)*(1+'Assumptions'!$D$18)*(1-'Assumptions'!$D$18/'Assumptions'!$E$18)</x:f>
        <x:v>1853.769050448321</x:v>
      </x:c>
      <x:c r="BN347" t="n">
        <x:f>SUMPRODUCT(AI347:AR347,'POWL Model'!$B$83:$K$83)+BM347/('Assumptions'!$C$18-'Assumptions'!$D$18)*'POWL Model'!$K$83</x:f>
        <x:v>13686.858185273202</x:v>
      </x:c>
      <x:c r="BO347" t="n">
        <x:f>'POWL Model'!$B$94</x:f>
        <x:v>230.812</x:v>
      </x:c>
      <x:c r="BP347" t="n">
        <x:f>'Inputs'!$G$8</x:f>
        <x:v>36.604</x:v>
      </x:c>
    </x:row>
    <x:row r="348">
      <x:c r="A348" t="str">
        <x:v>POWL</x:v>
      </x:c>
      <x:c r="B348" s="22" t="n">
        <x:v>0.41</x:v>
      </x:c>
      <x:c r="C348" s="42" t="n">
        <x:f>(BN348+BO348)/BP348</x:f>
        <x:v>395.5728575948126</x:v>
      </x:c>
      <x:c r="D348" s="22" t="n">
        <x:f>C348/'Inputs'!$G$5-1</x:f>
        <x:v>1.1834346613391435</x:v>
      </x:c>
      <x:c r="E348" t="n">
        <x:f>('Assumptions'!$M$18+'Assumptions'!$N$18)*(1+$B348)^0</x:f>
        <x:v>1500</x:v>
      </x:c>
      <x:c r="F348" t="n">
        <x:f>('Assumptions'!$M$18+'Assumptions'!$N$18)*(1+$B348)^1</x:f>
        <x:v>2115</x:v>
      </x:c>
      <x:c r="G348" t="n">
        <x:f>('Assumptions'!$M$18+'Assumptions'!$N$18)*(1+$B348)^2</x:f>
        <x:v>2982.1499999999996</x:v>
      </x:c>
      <x:c r="H348" t="n">
        <x:f>('Assumptions'!$M$18+'Assumptions'!$N$18)*(1+$B348)^3</x:f>
        <x:v>4204.831499999999</x:v>
      </x:c>
      <x:c r="I348" t="n">
        <x:f>('Assumptions'!$M$18+'Assumptions'!$N$18)*(1+$B348)^4</x:f>
        <x:v>5928.8124149999985</x:v>
      </x:c>
      <x:c r="J348" t="n">
        <x:f>I348*(1+($BG348+('Assumptions'!$D$18-$BG348)*(6-5)/5))</x:f>
        <x:v>7909.035761609998</x:v>
      </x:c>
      <x:c r="K348" t="n">
        <x:f>J348*(1+($BG348+('Assumptions'!$D$18-$BG348)*(7-5)/5))</x:f>
        <x:v>9949.566988105378</x:v>
      </x:c>
      <x:c r="L348" t="n">
        <x:f>K348*(1+($BG348+('Assumptions'!$D$18-$BG348)*(8-5)/5))</x:f>
        <x:v>11760.388179940557</x:v>
      </x:c>
      <x:c r="M348" t="n">
        <x:f>L348*(1+($BG348+('Assumptions'!$D$18-$BG348)*(9-5)/5))</x:f>
        <x:v>13006.989327014255</x:v>
      </x:c>
      <x:c r="N348" t="n">
        <x:f>M348*(1+($BG348+('Assumptions'!$D$18-$BG348)*(10-5)/5))</x:f>
        <x:v>13397.199006824683</x:v>
      </x:c>
      <x:c r="O348" t="n">
        <x:f>0</x:f>
        <x:v>0</x:v>
      </x:c>
      <x:c r="P348" t="n">
        <x:f>0</x:f>
        <x:v>0</x:v>
      </x:c>
      <x:c r="Q348" t="n">
        <x:f>0</x:f>
        <x:v>0</x:v>
      </x:c>
      <x:c r="R348" t="n">
        <x:f>0</x:f>
        <x:v>0</x:v>
      </x:c>
      <x:c r="S348" t="n">
        <x:f>0</x:f>
        <x:v>0</x:v>
      </x:c>
      <x:c r="T348" t="n">
        <x:f>S348*(1+($BG348+('Assumptions'!$D$18-$BG348)*(6-5)/5))</x:f>
        <x:v>0</x:v>
      </x:c>
      <x:c r="U348" t="n">
        <x:f>T348*(1+($BG348+('Assumptions'!$D$18-$BG348)*(7-5)/5))</x:f>
        <x:v>0</x:v>
      </x:c>
      <x:c r="V348" t="n">
        <x:f>U348*(1+($BG348+('Assumptions'!$D$18-$BG348)*(8-5)/5))</x:f>
        <x:v>0</x:v>
      </x:c>
      <x:c r="W348" t="n">
        <x:f>V348*(1+($BG348+('Assumptions'!$D$18-$BG348)*(9-5)/5))</x:f>
        <x:v>0</x:v>
      </x:c>
      <x:c r="X348" t="n">
        <x:f>W348*(1+($BG348+('Assumptions'!$D$18-$BG348)*(10-5)/5))</x:f>
        <x:v>0</x:v>
      </x:c>
      <x:c r="Y348" t="n">
        <x:f>E348*'POWL Model'!$B$62+O348*'POWL Model'!$B$63+'POWL Model'!$B$73+'POWL Model'!$B$74</x:f>
        <x:v>315</x:v>
      </x:c>
      <x:c r="Z348" t="n">
        <x:f>F348*'POWL Model'!$C$62+P348*'POWL Model'!$C$63+'POWL Model'!$C$73+'POWL Model'!$C$74</x:f>
        <x:v>465.3</x:v>
      </x:c>
      <x:c r="AA348" t="n">
        <x:f>G348*'POWL Model'!$D$62+Q348*'POWL Model'!$D$63+'POWL Model'!$D$73+'POWL Model'!$D$74</x:f>
        <x:v>656.073</x:v>
      </x:c>
      <x:c r="AB348" t="n">
        <x:f>H348*'POWL Model'!$E$62+R348*'POWL Model'!$E$63+'POWL Model'!$E$73+'POWL Model'!$E$74</x:f>
        <x:v>904.0387724999998</x:v>
      </x:c>
      <x:c r="AC348" t="n">
        <x:f>I348*'POWL Model'!$F$62+S348*'POWL Model'!$F$63+'POWL Model'!$F$73+'POWL Model'!$F$74</x:f>
        <x:v>1245.0506071499997</x:v>
      </x:c>
      <x:c r="AD348" t="n">
        <x:f>AX348*$AC348/$AW348</x:f>
        <x:v>1660.8975099380996</x:v>
      </x:c>
      <x:c r="AE348" t="n">
        <x:f>AY348*$AC348/$AW348</x:f>
        <x:v>2089.4090675021293</x:v>
      </x:c>
      <x:c r="AF348" t="n">
        <x:f>AZ348*$AC348/$AW348</x:f>
        <x:v>2469.681517787517</x:v>
      </x:c>
      <x:c r="AG348" t="n">
        <x:f>BA348*$AC348/$AW348</x:f>
        <x:v>2731.4677586729936</x:v>
      </x:c>
      <x:c r="AH348" t="n">
        <x:f>BB348*$AC348/$AW348</x:f>
        <x:v>2813.411791433183</x:v>
      </x:c>
      <x:c r="AI348" t="n">
        <x:f>Y348*(1-'Assumptions'!$F$18)+AS348*'Assumptions'!$G$18-AS348*'POWL Model'!$B$65-(AS348-'Inputs'!$G$14)*'Assumptions'!$H$18-'Assumptions'!$I$18</x:f>
        <x:v>183.9</x:v>
      </x:c>
      <x:c r="AJ348" t="n">
        <x:f>Z348*(1-'Assumptions'!$F$18)+AT348*'Assumptions'!$G$18-AT348*'POWL Model'!$C$65-(AT348-AS348)*'Assumptions'!$H$18-0</x:f>
        <x:v>256.173</x:v>
      </x:c>
      <x:c r="AK348" t="n">
        <x:f>AA348*(1-'Assumptions'!$F$18)+AU348*'Assumptions'!$G$18-AU348*'POWL Model'!$D$65-(AU348-AT348)*'Assumptions'!$H$18-0</x:f>
        <x:v>370.15038</x:v>
      </x:c>
      <x:c r="AL348" t="n">
        <x:f>AB348*(1-'Assumptions'!$F$18)+AV348*'Assumptions'!$G$18-AV348*'POWL Model'!$E$65-(AV348-AU348)*'Assumptions'!$H$18-0</x:f>
        <x:v>514.3433390999999</x:v>
      </x:c>
      <x:c r="AM348" t="n">
        <x:f>AC348*(1-'Assumptions'!$F$18)+AW348*'Assumptions'!$G$18-AW348*'POWL Model'!$F$65-(AW348-AV348)*'Assumptions'!$H$18-0</x:f>
        <x:v>702.6946209539998</x:v>
      </x:c>
      <x:c r="AN348" t="n">
        <x:f>AD348*(1-'Assumptions'!$F$18)+AX348*'Assumptions'!$G$18-AX348*'POWL Model'!$G$65-(AX348-AW348)*'Assumptions'!$H$18-0</x:f>
        <x:v>969.3513437526359</x:v>
      </x:c>
      <x:c r="AO348" t="n">
        <x:f>AE348*(1-'Assumptions'!$F$18)+AY348*'Assumptions'!$G$18-AY348*'POWL Model'!$H$65-(AY348-AX348)*'Assumptions'!$H$18-0</x:f>
        <x:v>1264.5029647948159</x:v>
      </x:c>
      <x:c r="AP348" t="n">
        <x:f>AF348*(1-'Assumptions'!$F$18)+AZ348*'Assumptions'!$G$18-AZ348*'POWL Model'!$I$65-(AZ348-AY348)*'Assumptions'!$H$18-0</x:f>
        <x:v>1554.751176175708</x:v>
      </x:c>
      <x:c r="AQ348" t="n">
        <x:f>AG348*(1-'Assumptions'!$F$18)+BA348*'Assumptions'!$G$18-BA348*'POWL Model'!$J$65-(BA348-AZ348)*'Assumptions'!$H$18-0</x:f>
        <x:v>1795.1715099599342</x:v>
      </x:c>
      <x:c r="AR348" t="n">
        <x:f>AH348*(1-'Assumptions'!$F$18)+BB348*'Assumptions'!$G$18-BB348*'POWL Model'!$K$65-(BB348-BA348)*'Assumptions'!$H$18-0</x:f>
        <x:v>1938.40560542628</x:v>
      </x:c>
      <x:c r="AS348" t="n">
        <x:f>E348+O348</x:f>
        <x:v>1500</x:v>
      </x:c>
      <x:c r="AT348" t="n">
        <x:f>F348+P348</x:f>
        <x:v>2115</x:v>
      </x:c>
      <x:c r="AU348" t="n">
        <x:f>G348+Q348</x:f>
        <x:v>2982.1499999999996</x:v>
      </x:c>
      <x:c r="AV348" t="n">
        <x:f>H348+R348</x:f>
        <x:v>4204.831499999999</x:v>
      </x:c>
      <x:c r="AW348" t="n">
        <x:f>I348+S348</x:f>
        <x:v>5928.8124149999985</x:v>
      </x:c>
      <x:c r="AX348" t="n">
        <x:f>J348+T348</x:f>
        <x:v>7909.035761609998</x:v>
      </x:c>
      <x:c r="AY348" t="n">
        <x:f>K348+U348</x:f>
        <x:v>9949.566988105378</x:v>
      </x:c>
      <x:c r="AZ348" t="n">
        <x:f>L348+V348</x:f>
        <x:v>11760.388179940557</x:v>
      </x:c>
      <x:c r="BA348" t="n">
        <x:f>M348+W348</x:f>
        <x:v>13006.989327014255</x:v>
      </x:c>
      <x:c r="BB348" t="n">
        <x:f>N348+X348</x:f>
        <x:v>13397.199006824683</x:v>
      </x:c>
      <x:c r="BC348" t="n">
        <x:f>AS348/'Inputs'!$G$14-1</x:f>
        <x:v>0.25</x:v>
      </x:c>
      <x:c r="BD348" t="n">
        <x:f>AT348/AS348-1</x:f>
        <x:v>0.4099999999999999</x:v>
      </x:c>
      <x:c r="BE348" t="n">
        <x:f>AU348/AT348-1</x:f>
        <x:v>0.4099999999999999</x:v>
      </x:c>
      <x:c r="BF348" t="n">
        <x:f>AV348/AU348-1</x:f>
        <x:v>0.4099999999999999</x:v>
      </x:c>
      <x:c r="BG348" t="n">
        <x:f>AW348/AV348-1</x:f>
        <x:v>0.4099999999999999</x:v>
      </x:c>
      <x:c r="BH348" t="n">
        <x:f>AX348/AW348-1</x:f>
        <x:v>0.3340000000000001</x:v>
      </x:c>
      <x:c r="BI348" t="n">
        <x:f>AY348/AX348-1</x:f>
        <x:v>0.258</x:v>
      </x:c>
      <x:c r="BJ348" t="n">
        <x:f>AZ348/AY348-1</x:f>
        <x:v>0.18199999999999994</x:v>
      </x:c>
      <x:c r="BK348" t="n">
        <x:f>BA348/AZ348-1</x:f>
        <x:v>0.10599999999999987</x:v>
      </x:c>
      <x:c r="BL348" t="n">
        <x:f>BB348/BA348-1</x:f>
        <x:v>0.030000000000000027</x:v>
      </x:c>
      <x:c r="BM348" t="n">
        <x:f>AH348*(1-'Assumptions'!$F$18)*(1+'Assumptions'!$D$18)*(1-'Assumptions'!$D$18/'Assumptions'!$E$18)</x:f>
        <x:v>1938.0581002938284</x:v>
      </x:c>
      <x:c r="BN348" t="n">
        <x:f>SUMPRODUCT(AI348:AR348,'POWL Model'!$B$83:$K$83)+BM348/('Assumptions'!$C$18-'Assumptions'!$D$18)*'POWL Model'!$K$83</x:f>
        <x:v>14248.73687940052</x:v>
      </x:c>
      <x:c r="BO348" t="n">
        <x:f>'POWL Model'!$B$94</x:f>
        <x:v>230.812</x:v>
      </x:c>
      <x:c r="BP348" t="n">
        <x:f>'Inputs'!$G$8</x:f>
        <x:v>36.604</x:v>
      </x:c>
    </x:row>
    <x:row r="349">
      <x:c r="A349" t="str">
        <x:v>POWL</x:v>
      </x:c>
      <x:c r="B349" s="22" t="n">
        <x:v>0.42</x:v>
      </x:c>
      <x:c r="C349" s="42" t="n">
        <x:f>(BN349+BO349)/BP349</x:f>
        <x:v>411.48961810584285</x:v>
      </x:c>
      <x:c r="D349" s="22" t="n">
        <x:f>C349/'Inputs'!$G$5-1</x:f>
        <x:v>1.271290048605414</x:v>
      </x:c>
      <x:c r="E349" t="n">
        <x:f>('Assumptions'!$M$18+'Assumptions'!$N$18)*(1+$B349)^0</x:f>
        <x:v>1500</x:v>
      </x:c>
      <x:c r="F349" t="n">
        <x:f>('Assumptions'!$M$18+'Assumptions'!$N$18)*(1+$B349)^1</x:f>
        <x:v>2130</x:v>
      </x:c>
      <x:c r="G349" t="n">
        <x:f>('Assumptions'!$M$18+'Assumptions'!$N$18)*(1+$B349)^2</x:f>
        <x:v>3024.6</x:v>
      </x:c>
      <x:c r="H349" t="n">
        <x:f>('Assumptions'!$M$18+'Assumptions'!$N$18)*(1+$B349)^3</x:f>
        <x:v>4294.932</x:v>
      </x:c>
      <x:c r="I349" t="n">
        <x:f>('Assumptions'!$M$18+'Assumptions'!$N$18)*(1+$B349)^4</x:f>
        <x:v>6098.80344</x:v>
      </x:c>
      <x:c r="J349" t="n">
        <x:f>I349*(1+($BG349+('Assumptions'!$D$18-$BG349)*(6-5)/5))</x:f>
        <x:v>8184.59421648</x:v>
      </x:c>
      <x:c r="K349" t="n">
        <x:f>J349*(1+($BG349+('Assumptions'!$D$18-$BG349)*(7-5)/5))</x:f>
        <x:v>10345.32708963072</x:v>
      </x:c>
      <x:c r="L349" t="n">
        <x:f>K349*(1+($BG349+('Assumptions'!$D$18-$BG349)*(8-5)/5))</x:f>
        <x:v>12269.557928302034</x:v>
      </x:c>
      <x:c r="M349" t="n">
        <x:f>L349*(1+($BG349+('Assumptions'!$D$18-$BG349)*(9-5)/5))</x:f>
        <x:v>13594.670184558656</x:v>
      </x:c>
      <x:c r="N349" t="n">
        <x:f>M349*(1+($BG349+('Assumptions'!$D$18-$BG349)*(10-5)/5))</x:f>
        <x:v>14002.510290095415</x:v>
      </x:c>
      <x:c r="O349" t="n">
        <x:f>0</x:f>
        <x:v>0</x:v>
      </x:c>
      <x:c r="P349" t="n">
        <x:f>0</x:f>
        <x:v>0</x:v>
      </x:c>
      <x:c r="Q349" t="n">
        <x:f>0</x:f>
        <x:v>0</x:v>
      </x:c>
      <x:c r="R349" t="n">
        <x:f>0</x:f>
        <x:v>0</x:v>
      </x:c>
      <x:c r="S349" t="n">
        <x:f>0</x:f>
        <x:v>0</x:v>
      </x:c>
      <x:c r="T349" t="n">
        <x:f>S349*(1+($BG349+('Assumptions'!$D$18-$BG349)*(6-5)/5))</x:f>
        <x:v>0</x:v>
      </x:c>
      <x:c r="U349" t="n">
        <x:f>T349*(1+($BG349+('Assumptions'!$D$18-$BG349)*(7-5)/5))</x:f>
        <x:v>0</x:v>
      </x:c>
      <x:c r="V349" t="n">
        <x:f>U349*(1+($BG349+('Assumptions'!$D$18-$BG349)*(8-5)/5))</x:f>
        <x:v>0</x:v>
      </x:c>
      <x:c r="W349" t="n">
        <x:f>V349*(1+($BG349+('Assumptions'!$D$18-$BG349)*(9-5)/5))</x:f>
        <x:v>0</x:v>
      </x:c>
      <x:c r="X349" t="n">
        <x:f>W349*(1+($BG349+('Assumptions'!$D$18-$BG349)*(10-5)/5))</x:f>
        <x:v>0</x:v>
      </x:c>
      <x:c r="Y349" t="n">
        <x:f>E349*'POWL Model'!$B$62+O349*'POWL Model'!$B$63+'POWL Model'!$B$73+'POWL Model'!$B$74</x:f>
        <x:v>315</x:v>
      </x:c>
      <x:c r="Z349" t="n">
        <x:f>F349*'POWL Model'!$C$62+P349*'POWL Model'!$C$63+'POWL Model'!$C$73+'POWL Model'!$C$74</x:f>
        <x:v>468.6</x:v>
      </x:c>
      <x:c r="AA349" t="n">
        <x:f>G349*'POWL Model'!$D$62+Q349*'POWL Model'!$D$63+'POWL Model'!$D$73+'POWL Model'!$D$74</x:f>
        <x:v>665.412</x:v>
      </x:c>
      <x:c r="AB349" t="n">
        <x:f>H349*'POWL Model'!$E$62+R349*'POWL Model'!$E$63+'POWL Model'!$E$73+'POWL Model'!$E$74</x:f>
        <x:v>923.4103799999999</x:v>
      </x:c>
      <x:c r="AC349" t="n">
        <x:f>I349*'POWL Model'!$F$62+S349*'POWL Model'!$F$63+'POWL Model'!$F$73+'POWL Model'!$F$74</x:f>
        <x:v>1280.7487224</x:v>
      </x:c>
      <x:c r="AD349" t="n">
        <x:f>AX349*$AC349/$AW349</x:f>
        <x:v>1718.7647854607999</x:v>
      </x:c>
      <x:c r="AE349" t="n">
        <x:f>AY349*$AC349/$AW349</x:f>
        <x:v>2172.518688822451</x:v>
      </x:c>
      <x:c r="AF349" t="n">
        <x:f>AZ349*$AC349/$AW349</x:f>
        <x:v>2576.6071649434275</x:v>
      </x:c>
      <x:c r="AG349" t="n">
        <x:f>BA349*$AC349/$AW349</x:f>
        <x:v>2854.880738757318</x:v>
      </x:c>
      <x:c r="AH349" t="n">
        <x:f>BB349*$AC349/$AW349</x:f>
        <x:v>2940.527160920037</x:v>
      </x:c>
      <x:c r="AI349" t="n">
        <x:f>Y349*(1-'Assumptions'!$F$18)+AS349*'Assumptions'!$G$18-AS349*'POWL Model'!$B$65-(AS349-'Inputs'!$G$14)*'Assumptions'!$H$18-'Assumptions'!$I$18</x:f>
        <x:v>183.9</x:v>
      </x:c>
      <x:c r="AJ349" t="n">
        <x:f>Z349*(1-'Assumptions'!$F$18)+AT349*'Assumptions'!$G$18-AT349*'POWL Model'!$C$65-(AT349-AS349)*'Assumptions'!$H$18-0</x:f>
        <x:v>256.92600000000004</x:v>
      </x:c>
      <x:c r="AK349" t="n">
        <x:f>AA349*(1-'Assumptions'!$F$18)+AU349*'Assumptions'!$G$18-AU349*'POWL Model'!$D$65-(AU349-AT349)*'Assumptions'!$H$18-0</x:f>
        <x:v>373.9087200000001</x:v>
      </x:c>
      <x:c r="AL349" t="n">
        <x:f>AB349*(1-'Assumptions'!$F$18)+AV349*'Assumptions'!$G$18-AV349*'POWL Model'!$E$65-(AV349-AU349)*'Assumptions'!$H$18-0</x:f>
        <x:v>523.2195048</x:v>
      </x:c>
      <x:c r="AM349" t="n">
        <x:f>AC349*(1-'Assumptions'!$F$18)+AW349*'Assumptions'!$G$18-AW349*'POWL Model'!$F$65-(AW349-AV349)*'Assumptions'!$H$18-0</x:f>
        <x:v>719.7962437439999</x:v>
      </x:c>
      <x:c r="AN349" t="n">
        <x:f>AD349*(1-'Assumptions'!$F$18)+AX349*'Assumptions'!$G$18-AX349*'POWL Model'!$G$65-(AX349-AW349)*'Assumptions'!$H$18-0</x:f>
        <x:v>999.4670287044478</x:v>
      </x:c>
      <x:c r="AO349" t="n">
        <x:f>AE349*(1-'Assumptions'!$F$18)+AY349*'Assumptions'!$G$18-AY349*'POWL Model'!$H$65-(AY349-AX349)*'Assumptions'!$H$18-0</x:f>
        <x:v>1310.8969911144222</x:v>
      </x:c>
      <x:c r="AP349" t="n">
        <x:f>AF349*(1-'Assumptions'!$F$18)+AZ349*'Assumptions'!$G$18-AZ349*'POWL Model'!$I$65-(AZ349-AY349)*'Assumptions'!$H$18-0</x:f>
        <x:v>1618.5636663502492</x:v>
      </x:c>
      <x:c r="AQ349" t="n">
        <x:f>AG349*(1-'Assumptions'!$F$18)+BA349*'Assumptions'!$G$18-BA349*'POWL Model'!$J$65-(BA349-AZ349)*'Assumptions'!$H$18-0</x:f>
        <x:v>1874.0620936151954</x:v>
      </x:c>
      <x:c r="AR349" t="n">
        <x:f>AH349*(1-'Assumptions'!$F$18)+BB349*'Assumptions'!$G$18-BB349*'POWL Model'!$K$65-(BB349-BA349)*'Assumptions'!$H$18-0</x:f>
        <x:v>2025.9865082644076</x:v>
      </x:c>
      <x:c r="AS349" t="n">
        <x:f>E349+O349</x:f>
        <x:v>1500</x:v>
      </x:c>
      <x:c r="AT349" t="n">
        <x:f>F349+P349</x:f>
        <x:v>2130</x:v>
      </x:c>
      <x:c r="AU349" t="n">
        <x:f>G349+Q349</x:f>
        <x:v>3024.6</x:v>
      </x:c>
      <x:c r="AV349" t="n">
        <x:f>H349+R349</x:f>
        <x:v>4294.932</x:v>
      </x:c>
      <x:c r="AW349" t="n">
        <x:f>I349+S349</x:f>
        <x:v>6098.80344</x:v>
      </x:c>
      <x:c r="AX349" t="n">
        <x:f>J349+T349</x:f>
        <x:v>8184.59421648</x:v>
      </x:c>
      <x:c r="AY349" t="n">
        <x:f>K349+U349</x:f>
        <x:v>10345.32708963072</x:v>
      </x:c>
      <x:c r="AZ349" t="n">
        <x:f>L349+V349</x:f>
        <x:v>12269.557928302034</x:v>
      </x:c>
      <x:c r="BA349" t="n">
        <x:f>M349+W349</x:f>
        <x:v>13594.670184558656</x:v>
      </x:c>
      <x:c r="BB349" t="n">
        <x:f>N349+X349</x:f>
        <x:v>14002.510290095415</x:v>
      </x:c>
      <x:c r="BC349" t="n">
        <x:f>AS349/'Inputs'!$G$14-1</x:f>
        <x:v>0.25</x:v>
      </x:c>
      <x:c r="BD349" t="n">
        <x:f>AT349/AS349-1</x:f>
        <x:v>0.41999999999999993</x:v>
      </x:c>
      <x:c r="BE349" t="n">
        <x:f>AU349/AT349-1</x:f>
        <x:v>0.41999999999999993</x:v>
      </x:c>
      <x:c r="BF349" t="n">
        <x:f>AV349/AU349-1</x:f>
        <x:v>0.41999999999999993</x:v>
      </x:c>
      <x:c r="BG349" t="n">
        <x:f>AW349/AV349-1</x:f>
        <x:v>0.41999999999999993</x:v>
      </x:c>
      <x:c r="BH349" t="n">
        <x:f>AX349/AW349-1</x:f>
        <x:v>0.3420000000000001</x:v>
      </x:c>
      <x:c r="BI349" t="n">
        <x:f>AY349/AX349-1</x:f>
        <x:v>0.264</x:v>
      </x:c>
      <x:c r="BJ349" t="n">
        <x:f>AZ349/AY349-1</x:f>
        <x:v>0.18599999999999994</x:v>
      </x:c>
      <x:c r="BK349" t="n">
        <x:f>BA349/AZ349-1</x:f>
        <x:v>0.1080000000000001</x:v>
      </x:c>
      <x:c r="BL349" t="n">
        <x:f>BB349/BA349-1</x:f>
        <x:v>0.030000000000000027</x:v>
      </x:c>
      <x:c r="BM349" t="n">
        <x:f>AH349*(1-'Assumptions'!$F$18)*(1+'Assumptions'!$D$18)*(1-'Assumptions'!$D$18/'Assumptions'!$E$18)</x:f>
        <x:v>2025.6233021800208</x:v>
      </x:c>
      <x:c r="BN349" t="n">
        <x:f>SUMPRODUCT(AI349:AR349,'POWL Model'!$B$83:$K$83)+BM349/('Assumptions'!$C$18-'Assumptions'!$D$18)*'POWL Model'!$K$83</x:f>
        <x:v>14831.353981146272</x:v>
      </x:c>
      <x:c r="BO349" t="n">
        <x:f>'POWL Model'!$B$94</x:f>
        <x:v>230.812</x:v>
      </x:c>
      <x:c r="BP349" t="n">
        <x:f>'Inputs'!$G$8</x:f>
        <x:v>36.604</x:v>
      </x:c>
    </x:row>
    <x:row r="350">
      <x:c r="A350" t="str">
        <x:v>POWL</x:v>
      </x:c>
      <x:c r="B350" s="22" t="n">
        <x:v>0.43</x:v>
      </x:c>
      <x:c r="C350" s="42" t="n">
        <x:f>(BN350+BO350)/BP350</x:f>
        <x:v>427.9906717773865</x:v>
      </x:c>
      <x:c r="D350" s="22" t="n">
        <x:f>C350/'Inputs'!$G$5-1</x:f>
        <x:v>1.362370545771301</x:v>
      </x:c>
      <x:c r="E350" t="n">
        <x:f>('Assumptions'!$M$18+'Assumptions'!$N$18)*(1+$B350)^0</x:f>
        <x:v>1500</x:v>
      </x:c>
      <x:c r="F350" t="n">
        <x:f>('Assumptions'!$M$18+'Assumptions'!$N$18)*(1+$B350)^1</x:f>
        <x:v>2145</x:v>
      </x:c>
      <x:c r="G350" t="n">
        <x:f>('Assumptions'!$M$18+'Assumptions'!$N$18)*(1+$B350)^2</x:f>
        <x:v>3067.3499999999995</x:v>
      </x:c>
      <x:c r="H350" t="n">
        <x:f>('Assumptions'!$M$18+'Assumptions'!$N$18)*(1+$B350)^3</x:f>
        <x:v>4386.3105</x:v>
      </x:c>
      <x:c r="I350" t="n">
        <x:f>('Assumptions'!$M$18+'Assumptions'!$N$18)*(1+$B350)^4</x:f>
        <x:v>6272.424014999999</x:v>
      </x:c>
      <x:c r="J350" t="n">
        <x:f>I350*(1+($BG350+('Assumptions'!$D$18-$BG350)*(6-5)/5))</x:f>
        <x:v>8467.77242025</x:v>
      </x:c>
      <x:c r="K350" t="n">
        <x:f>J350*(1+($BG350+('Assumptions'!$D$18-$BG350)*(7-5)/5))</x:f>
        <x:v>10754.0709737175</x:v>
      </x:c>
      <x:c r="L350" t="n">
        <x:f>K350*(1+($BG350+('Assumptions'!$D$18-$BG350)*(8-5)/5))</x:f>
        <x:v>12797.344458723825</x:v>
      </x:c>
      <x:c r="M350" t="n">
        <x:f>L350*(1+($BG350+('Assumptions'!$D$18-$BG350)*(9-5)/5))</x:f>
        <x:v>14205.052349183443</x:v>
      </x:c>
      <x:c r="N350" t="n">
        <x:f>M350*(1+($BG350+('Assumptions'!$D$18-$BG350)*(10-5)/5))</x:f>
        <x:v>14631.203919658947</x:v>
      </x:c>
      <x:c r="O350" t="n">
        <x:f>0</x:f>
        <x:v>0</x:v>
      </x:c>
      <x:c r="P350" t="n">
        <x:f>0</x:f>
        <x:v>0</x:v>
      </x:c>
      <x:c r="Q350" t="n">
        <x:f>0</x:f>
        <x:v>0</x:v>
      </x:c>
      <x:c r="R350" t="n">
        <x:f>0</x:f>
        <x:v>0</x:v>
      </x:c>
      <x:c r="S350" t="n">
        <x:f>0</x:f>
        <x:v>0</x:v>
      </x:c>
      <x:c r="T350" t="n">
        <x:f>S350*(1+($BG350+('Assumptions'!$D$18-$BG350)*(6-5)/5))</x:f>
        <x:v>0</x:v>
      </x:c>
      <x:c r="U350" t="n">
        <x:f>T350*(1+($BG350+('Assumptions'!$D$18-$BG350)*(7-5)/5))</x:f>
        <x:v>0</x:v>
      </x:c>
      <x:c r="V350" t="n">
        <x:f>U350*(1+($BG350+('Assumptions'!$D$18-$BG350)*(8-5)/5))</x:f>
        <x:v>0</x:v>
      </x:c>
      <x:c r="W350" t="n">
        <x:f>V350*(1+($BG350+('Assumptions'!$D$18-$BG350)*(9-5)/5))</x:f>
        <x:v>0</x:v>
      </x:c>
      <x:c r="X350" t="n">
        <x:f>W350*(1+($BG350+('Assumptions'!$D$18-$BG350)*(10-5)/5))</x:f>
        <x:v>0</x:v>
      </x:c>
      <x:c r="Y350" t="n">
        <x:f>E350*'POWL Model'!$B$62+O350*'POWL Model'!$B$63+'POWL Model'!$B$73+'POWL Model'!$B$74</x:f>
        <x:v>315</x:v>
      </x:c>
      <x:c r="Z350" t="n">
        <x:f>F350*'POWL Model'!$C$62+P350*'POWL Model'!$C$63+'POWL Model'!$C$73+'POWL Model'!$C$74</x:f>
        <x:v>471.9</x:v>
      </x:c>
      <x:c r="AA350" t="n">
        <x:f>G350*'POWL Model'!$D$62+Q350*'POWL Model'!$D$63+'POWL Model'!$D$73+'POWL Model'!$D$74</x:f>
        <x:v>674.8169999999999</x:v>
      </x:c>
      <x:c r="AB350" t="n">
        <x:f>H350*'POWL Model'!$E$62+R350*'POWL Model'!$E$63+'POWL Model'!$E$73+'POWL Model'!$E$74</x:f>
        <x:v>943.0567574999999</x:v>
      </x:c>
      <x:c r="AC350" t="n">
        <x:f>I350*'POWL Model'!$F$62+S350*'POWL Model'!$F$63+'POWL Model'!$F$73+'POWL Model'!$F$74</x:f>
        <x:v>1317.2090431499996</x:v>
      </x:c>
      <x:c r="AD350" t="n">
        <x:f>AX350*$AC350/$AW350</x:f>
        <x:v>1778.2322082524997</x:v>
      </x:c>
      <x:c r="AE350" t="n">
        <x:f>AY350*$AC350/$AW350</x:f>
        <x:v>2258.354904480675</x:v>
      </x:c>
      <x:c r="AF350" t="n">
        <x:f>AZ350*$AC350/$AW350</x:f>
        <x:v>2687.4423363320025</x:v>
      </x:c>
      <x:c r="AG350" t="n">
        <x:f>BA350*$AC350/$AW350</x:f>
        <x:v>2983.0609933285227</x:v>
      </x:c>
      <x:c r="AH350" t="n">
        <x:f>BB350*$AC350/$AW350</x:f>
        <x:v>3072.5528231283783</x:v>
      </x:c>
      <x:c r="AI350" t="n">
        <x:f>Y350*(1-'Assumptions'!$F$18)+AS350*'Assumptions'!$G$18-AS350*'POWL Model'!$B$65-(AS350-'Inputs'!$G$14)*'Assumptions'!$H$18-'Assumptions'!$I$18</x:f>
        <x:v>183.9</x:v>
      </x:c>
      <x:c r="AJ350" t="n">
        <x:f>Z350*(1-'Assumptions'!$F$18)+AT350*'Assumptions'!$G$18-AT350*'POWL Model'!$C$65-(AT350-AS350)*'Assumptions'!$H$18-0</x:f>
        <x:v>257.67900000000003</x:v>
      </x:c>
      <x:c r="AK350" t="n">
        <x:f>AA350*(1-'Assumptions'!$F$18)+AU350*'Assumptions'!$G$18-AU350*'POWL Model'!$D$65-(AU350-AT350)*'Assumptions'!$H$18-0</x:f>
        <x:v>377.68302000000006</x:v>
      </x:c>
      <x:c r="AL350" t="n">
        <x:f>AB350*(1-'Assumptions'!$F$18)+AV350*'Assumptions'!$G$18-AV350*'POWL Model'!$E$65-(AV350-AU350)*'Assumptions'!$H$18-0</x:f>
        <x:v>532.1913596999998</x:v>
      </x:c>
      <x:c r="AM350" t="n">
        <x:f>AC350*(1-'Assumptions'!$F$18)+AW350*'Assumptions'!$G$18-AW350*'POWL Model'!$F$65-(AW350-AV350)*'Assumptions'!$H$18-0</x:f>
        <x:v>737.1984331139997</x:v>
      </x:c>
      <x:c r="AN350" t="n">
        <x:f>AD350*(1-'Assumptions'!$F$18)+AX350*'Assumptions'!$G$18-AX350*'POWL Model'!$G$65-(AX350-AW350)*'Assumptions'!$H$18-0</x:f>
        <x:v>1030.3083687038998</x:v>
      </x:c>
      <x:c r="AO350" t="n">
        <x:f>AE350*(1-'Assumptions'!$F$18)+AY350*'Assumptions'!$G$18-AY350*'POWL Model'!$H$65-(AY350-AX350)*'Assumptions'!$H$18-0</x:f>
        <x:v>1358.6710203739526</x:v>
      </x:c>
      <x:c r="AP350" t="n">
        <x:f>AF350*(1-'Assumptions'!$F$18)+AZ350*'Assumptions'!$G$18-AZ350*'POWL Model'!$I$65-(AZ350-AY350)*'Assumptions'!$H$18-0</x:f>
        <x:v>1684.5606936070035</x:v>
      </x:c>
      <x:c r="AQ350" t="n">
        <x:f>AG350*(1-'Assumptions'!$F$18)+BA350*'Assumptions'!$G$18-BA350*'POWL Model'!$J$65-(BA350-AZ350)*'Assumptions'!$H$18-0</x:f>
        <x:v>1955.8949376935143</x:v>
      </x:c>
      <x:c r="AR350" t="n">
        <x:f>AH350*(1-'Assumptions'!$F$18)+BB350*'Assumptions'!$G$18-BB350*'POWL Model'!$K$65-(BB350-BA350)*'Assumptions'!$H$18-0</x:f>
        <x:v>2116.95054149411</x:v>
      </x:c>
      <x:c r="AS350" t="n">
        <x:f>E350+O350</x:f>
        <x:v>1500</x:v>
      </x:c>
      <x:c r="AT350" t="n">
        <x:f>F350+P350</x:f>
        <x:v>2145</x:v>
      </x:c>
      <x:c r="AU350" t="n">
        <x:f>G350+Q350</x:f>
        <x:v>3067.3499999999995</x:v>
      </x:c>
      <x:c r="AV350" t="n">
        <x:f>H350+R350</x:f>
        <x:v>4386.3105</x:v>
      </x:c>
      <x:c r="AW350" t="n">
        <x:f>I350+S350</x:f>
        <x:v>6272.424014999999</x:v>
      </x:c>
      <x:c r="AX350" t="n">
        <x:f>J350+T350</x:f>
        <x:v>8467.77242025</x:v>
      </x:c>
      <x:c r="AY350" t="n">
        <x:f>K350+U350</x:f>
        <x:v>10754.0709737175</x:v>
      </x:c>
      <x:c r="AZ350" t="n">
        <x:f>L350+V350</x:f>
        <x:v>12797.344458723825</x:v>
      </x:c>
      <x:c r="BA350" t="n">
        <x:f>M350+W350</x:f>
        <x:v>14205.052349183443</x:v>
      </x:c>
      <x:c r="BB350" t="n">
        <x:f>N350+X350</x:f>
        <x:v>14631.203919658947</x:v>
      </x:c>
      <x:c r="BC350" t="n">
        <x:f>AS350/'Inputs'!$G$14-1</x:f>
        <x:v>0.25</x:v>
      </x:c>
      <x:c r="BD350" t="n">
        <x:f>AT350/AS350-1</x:f>
        <x:v>0.42999999999999994</x:v>
      </x:c>
      <x:c r="BE350" t="n">
        <x:f>AU350/AT350-1</x:f>
        <x:v>0.4299999999999997</x:v>
      </x:c>
      <x:c r="BF350" t="n">
        <x:f>AV350/AU350-1</x:f>
        <x:v>0.43000000000000016</x:v>
      </x:c>
      <x:c r="BG350" t="n">
        <x:f>AW350/AV350-1</x:f>
        <x:v>0.42999999999999994</x:v>
      </x:c>
      <x:c r="BH350" t="n">
        <x:f>AX350/AW350-1</x:f>
        <x:v>0.3500000000000001</x:v>
      </x:c>
      <x:c r="BI350" t="n">
        <x:f>AY350/AX350-1</x:f>
        <x:v>0.27</x:v>
      </x:c>
      <x:c r="BJ350" t="n">
        <x:f>AZ350/AY350-1</x:f>
        <x:v>0.18999999999999995</x:v>
      </x:c>
      <x:c r="BK350" t="n">
        <x:f>BA350/AZ350-1</x:f>
        <x:v>0.10999999999999988</x:v>
      </x:c>
      <x:c r="BL350" t="n">
        <x:f>BB350/BA350-1</x:f>
        <x:v>0.030000000000000027</x:v>
      </x:c>
      <x:c r="BM350" t="n">
        <x:f>AH350*(1-'Assumptions'!$F$18)*(1+'Assumptions'!$D$18)*(1-'Assumptions'!$D$18/'Assumptions'!$E$18)</x:f>
        <x:v>2116.5710279515074</x:v>
      </x:c>
      <x:c r="BN350" t="n">
        <x:f>SUMPRODUCT(AI350:AR350,'POWL Model'!$B$83:$K$83)+BM350/('Assumptions'!$C$18-'Assumptions'!$D$18)*'POWL Model'!$K$83</x:f>
        <x:v>15435.358549739456</x:v>
      </x:c>
      <x:c r="BO350" t="n">
        <x:f>'POWL Model'!$B$94</x:f>
        <x:v>230.812</x:v>
      </x:c>
      <x:c r="BP350" t="n">
        <x:f>'Inputs'!$G$8</x:f>
        <x:v>36.604</x:v>
      </x:c>
    </x:row>
    <x:row r="351">
      <x:c r="A351" t="str">
        <x:v>POWL</x:v>
      </x:c>
      <x:c r="B351" s="22" t="n">
        <x:v>0.44</x:v>
      </x:c>
      <x:c r="C351" s="42" t="n">
        <x:f>(BN351+BO351)/BP351</x:f>
        <x:v>445.0942031491836</x:v>
      </x:c>
      <x:c r="D351" s="22" t="n">
        <x:f>C351/'Inputs'!$G$5-1</x:f>
        <x:v>1.4567765256343965</x:v>
      </x:c>
      <x:c r="E351" t="n">
        <x:f>('Assumptions'!$M$18+'Assumptions'!$N$18)*(1+$B351)^0</x:f>
        <x:v>1500</x:v>
      </x:c>
      <x:c r="F351" t="n">
        <x:f>('Assumptions'!$M$18+'Assumptions'!$N$18)*(1+$B351)^1</x:f>
        <x:v>2160</x:v>
      </x:c>
      <x:c r="G351" t="n">
        <x:f>('Assumptions'!$M$18+'Assumptions'!$N$18)*(1+$B351)^2</x:f>
        <x:v>3110.3999999999996</x:v>
      </x:c>
      <x:c r="H351" t="n">
        <x:f>('Assumptions'!$M$18+'Assumptions'!$N$18)*(1+$B351)^3</x:f>
        <x:v>4478.976</x:v>
      </x:c>
      <x:c r="I351" t="n">
        <x:f>('Assumptions'!$M$18+'Assumptions'!$N$18)*(1+$B351)^4</x:f>
        <x:v>6449.725439999999</x:v>
      </x:c>
      <x:c r="J351" t="n">
        <x:f>I351*(1+($BG351+('Assumptions'!$D$18-$BG351)*(6-5)/5))</x:f>
        <x:v>8758.72714752</x:v>
      </x:c>
      <x:c r="K351" t="n">
        <x:f>J351*(1+($BG351+('Assumptions'!$D$18-$BG351)*(7-5)/5))</x:f>
        <x:v>11176.13584023552</x:v>
      </x:c>
      <x:c r="L351" t="n">
        <x:f>K351*(1+($BG351+('Assumptions'!$D$18-$BG351)*(8-5)/5))</x:f>
        <x:v>13344.306193241211</x:v>
      </x:c>
      <x:c r="M351" t="n">
        <x:f>L351*(1+($BG351+('Assumptions'!$D$18-$BG351)*(9-5)/5))</x:f>
        <x:v>14838.868486884228</x:v>
      </x:c>
      <x:c r="N351" t="n">
        <x:f>M351*(1+($BG351+('Assumptions'!$D$18-$BG351)*(10-5)/5))</x:f>
        <x:v>15284.034541490755</x:v>
      </x:c>
      <x:c r="O351" t="n">
        <x:f>0</x:f>
        <x:v>0</x:v>
      </x:c>
      <x:c r="P351" t="n">
        <x:f>0</x:f>
        <x:v>0</x:v>
      </x:c>
      <x:c r="Q351" t="n">
        <x:f>0</x:f>
        <x:v>0</x:v>
      </x:c>
      <x:c r="R351" t="n">
        <x:f>0</x:f>
        <x:v>0</x:v>
      </x:c>
      <x:c r="S351" t="n">
        <x:f>0</x:f>
        <x:v>0</x:v>
      </x:c>
      <x:c r="T351" t="n">
        <x:f>S351*(1+($BG351+('Assumptions'!$D$18-$BG351)*(6-5)/5))</x:f>
        <x:v>0</x:v>
      </x:c>
      <x:c r="U351" t="n">
        <x:f>T351*(1+($BG351+('Assumptions'!$D$18-$BG351)*(7-5)/5))</x:f>
        <x:v>0</x:v>
      </x:c>
      <x:c r="V351" t="n">
        <x:f>U351*(1+($BG351+('Assumptions'!$D$18-$BG351)*(8-5)/5))</x:f>
        <x:v>0</x:v>
      </x:c>
      <x:c r="W351" t="n">
        <x:f>V351*(1+($BG351+('Assumptions'!$D$18-$BG351)*(9-5)/5))</x:f>
        <x:v>0</x:v>
      </x:c>
      <x:c r="X351" t="n">
        <x:f>W351*(1+($BG351+('Assumptions'!$D$18-$BG351)*(10-5)/5))</x:f>
        <x:v>0</x:v>
      </x:c>
      <x:c r="Y351" t="n">
        <x:f>E351*'POWL Model'!$B$62+O351*'POWL Model'!$B$63+'POWL Model'!$B$73+'POWL Model'!$B$74</x:f>
        <x:v>315</x:v>
      </x:c>
      <x:c r="Z351" t="n">
        <x:f>F351*'POWL Model'!$C$62+P351*'POWL Model'!$C$63+'POWL Model'!$C$73+'POWL Model'!$C$74</x:f>
        <x:v>475.2</x:v>
      </x:c>
      <x:c r="AA351" t="n">
        <x:f>G351*'POWL Model'!$D$62+Q351*'POWL Model'!$D$63+'POWL Model'!$D$73+'POWL Model'!$D$74</x:f>
        <x:v>684.2879999999999</x:v>
      </x:c>
      <x:c r="AB351" t="n">
        <x:f>H351*'POWL Model'!$E$62+R351*'POWL Model'!$E$63+'POWL Model'!$E$73+'POWL Model'!$E$74</x:f>
        <x:v>962.97984</x:v>
      </x:c>
      <x:c r="AC351" t="n">
        <x:f>I351*'POWL Model'!$F$62+S351*'POWL Model'!$F$63+'POWL Model'!$F$73+'POWL Model'!$F$74</x:f>
        <x:v>1354.4423423999997</x:v>
      </x:c>
      <x:c r="AD351" t="n">
        <x:f>AX351*$AC351/$AW351</x:f>
        <x:v>1839.3327009792</x:v>
      </x:c>
      <x:c r="AE351" t="n">
        <x:f>AY351*$AC351/$AW351</x:f>
        <x:v>2346.9885264494587</x:v>
      </x:c>
      <x:c r="AF351" t="n">
        <x:f>AZ351*$AC351/$AW351</x:f>
        <x:v>2802.3043005806544</x:v>
      </x:c>
      <x:c r="AG351" t="n">
        <x:f>BA351*$AC351/$AW351</x:f>
        <x:v>3116.1623822456877</x:v>
      </x:c>
      <x:c r="AH351" t="n">
        <x:f>BB351*$AC351/$AW351</x:f>
        <x:v>3209.647253713058</x:v>
      </x:c>
      <x:c r="AI351" t="n">
        <x:f>Y351*(1-'Assumptions'!$F$18)+AS351*'Assumptions'!$G$18-AS351*'POWL Model'!$B$65-(AS351-'Inputs'!$G$14)*'Assumptions'!$H$18-'Assumptions'!$I$18</x:f>
        <x:v>183.9</x:v>
      </x:c>
      <x:c r="AJ351" t="n">
        <x:f>Z351*(1-'Assumptions'!$F$18)+AT351*'Assumptions'!$G$18-AT351*'POWL Model'!$C$65-(AT351-AS351)*'Assumptions'!$H$18-0</x:f>
        <x:v>258.432</x:v>
      </x:c>
      <x:c r="AK351" t="n">
        <x:f>AA351*(1-'Assumptions'!$F$18)+AU351*'Assumptions'!$G$18-AU351*'POWL Model'!$D$65-(AU351-AT351)*'Assumptions'!$H$18-0</x:f>
        <x:v>381.47328</x:v>
      </x:c>
      <x:c r="AL351" t="n">
        <x:f>AB351*(1-'Assumptions'!$F$18)+AV351*'Assumptions'!$G$18-AV351*'POWL Model'!$E$65-(AV351-AU351)*'Assumptions'!$H$18-0</x:f>
        <x:v>541.2593664</x:v>
      </x:c>
      <x:c r="AM351" t="n">
        <x:f>AC351*(1-'Assumptions'!$F$18)+AW351*'Assumptions'!$G$18-AW351*'POWL Model'!$F$65-(AW351-AV351)*'Assumptions'!$H$18-0</x:f>
        <x:v>754.904530944</x:v>
      </x:c>
      <x:c r="AN351" t="n">
        <x:f>AD351*(1-'Assumptions'!$F$18)+AX351*'Assumptions'!$G$18-AX351*'POWL Model'!$G$65-(AX351-AW351)*'Assumptions'!$H$18-0</x:f>
        <x:v>1061.8879562219518</x:v>
      </x:c>
      <x:c r="AO351" t="n">
        <x:f>AE351*(1-'Assumptions'!$F$18)+AY351*'Assumptions'!$G$18-AY351*'POWL Model'!$H$65-(AY351-AX351)*'Assumptions'!$H$18-0</x:f>
        <x:v>1407.8567807472105</x:v>
      </x:c>
      <x:c r="AP351" t="n">
        <x:f>AF351*(1-'Assumptions'!$F$18)+AZ351*'Assumptions'!$G$18-AZ351*'POWL Model'!$I$65-(AZ351-AY351)*'Assumptions'!$H$18-0</x:f>
        <x:v>1752.8025588218336</x:v>
      </x:c>
      <x:c r="AQ351" t="n">
        <x:f>AG351*(1-'Assumptions'!$F$18)+BA351*'Assumptions'!$G$18-BA351*'POWL Model'!$J$65-(BA351-AZ351)*'Assumptions'!$H$18-0</x:f>
        <x:v>2040.7607592998102</x:v>
      </x:c>
      <x:c r="AR351" t="n">
        <x:f>AH351*(1-'Assumptions'!$F$18)+BB351*'Assumptions'!$G$18-BB351*'POWL Model'!$K$65-(BB351-BA351)*'Assumptions'!$H$18-0</x:f>
        <x:v>2211.406892863383</x:v>
      </x:c>
      <x:c r="AS351" t="n">
        <x:f>E351+O351</x:f>
        <x:v>1500</x:v>
      </x:c>
      <x:c r="AT351" t="n">
        <x:f>F351+P351</x:f>
        <x:v>2160</x:v>
      </x:c>
      <x:c r="AU351" t="n">
        <x:f>G351+Q351</x:f>
        <x:v>3110.3999999999996</x:v>
      </x:c>
      <x:c r="AV351" t="n">
        <x:f>H351+R351</x:f>
        <x:v>4478.976</x:v>
      </x:c>
      <x:c r="AW351" t="n">
        <x:f>I351+S351</x:f>
        <x:v>6449.725439999999</x:v>
      </x:c>
      <x:c r="AX351" t="n">
        <x:f>J351+T351</x:f>
        <x:v>8758.72714752</x:v>
      </x:c>
      <x:c r="AY351" t="n">
        <x:f>K351+U351</x:f>
        <x:v>11176.13584023552</x:v>
      </x:c>
      <x:c r="AZ351" t="n">
        <x:f>L351+V351</x:f>
        <x:v>13344.306193241211</x:v>
      </x:c>
      <x:c r="BA351" t="n">
        <x:f>M351+W351</x:f>
        <x:v>14838.868486884228</x:v>
      </x:c>
      <x:c r="BB351" t="n">
        <x:f>N351+X351</x:f>
        <x:v>15284.034541490755</x:v>
      </x:c>
      <x:c r="BC351" t="n">
        <x:f>AS351/'Inputs'!$G$14-1</x:f>
        <x:v>0.25</x:v>
      </x:c>
      <x:c r="BD351" t="n">
        <x:f>AT351/AS351-1</x:f>
        <x:v>0.43999999999999995</x:v>
      </x:c>
      <x:c r="BE351" t="n">
        <x:f>AU351/AT351-1</x:f>
        <x:v>0.4399999999999997</x:v>
      </x:c>
      <x:c r="BF351" t="n">
        <x:f>AV351/AU351-1</x:f>
        <x:v>0.44000000000000017</x:v>
      </x:c>
      <x:c r="BG351" t="n">
        <x:f>AW351/AV351-1</x:f>
        <x:v>0.43999999999999995</x:v>
      </x:c>
      <x:c r="BH351" t="n">
        <x:f>AX351/AW351-1</x:f>
        <x:v>0.3580000000000001</x:v>
      </x:c>
      <x:c r="BI351" t="n">
        <x:f>AY351/AX351-1</x:f>
        <x:v>0.276</x:v>
      </x:c>
      <x:c r="BJ351" t="n">
        <x:f>AZ351/AY351-1</x:f>
        <x:v>0.19399999999999995</x:v>
      </x:c>
      <x:c r="BK351" t="n">
        <x:f>BA351/AZ351-1</x:f>
        <x:v>0.1120000000000001</x:v>
      </x:c>
      <x:c r="BL351" t="n">
        <x:f>BB351/BA351-1</x:f>
        <x:v>0.030000000000000027</x:v>
      </x:c>
      <x:c r="BM351" t="n">
        <x:f>AH351*(1-'Assumptions'!$F$18)*(1+'Assumptions'!$D$18)*(1-'Assumptions'!$D$18/'Assumptions'!$E$18)</x:f>
        <x:v>2211.010445781792</x:v>
      </x:c>
      <x:c r="BN351" t="n">
        <x:f>SUMPRODUCT(AI351:AR351,'POWL Model'!$B$83:$K$83)+BM351/('Assumptions'!$C$18-'Assumptions'!$D$18)*'POWL Model'!$K$83</x:f>
        <x:v>16061.416212072716</x:v>
      </x:c>
      <x:c r="BO351" t="n">
        <x:f>'POWL Model'!$B$94</x:f>
        <x:v>230.812</x:v>
      </x:c>
      <x:c r="BP351" t="n">
        <x:f>'Inputs'!$G$8</x:f>
        <x:v>36.604</x:v>
      </x:c>
    </x:row>
    <x:row r="352">
      <x:c r="A352" t="str">
        <x:v>POWL</x:v>
      </x:c>
      <x:c r="B352" s="22" t="n">
        <x:v>0.45</x:v>
      </x:c>
      <x:c r="C352" s="42" t="n">
        <x:f>(BN352+BO352)/BP352</x:f>
        <x:v>462.8188583611991</x:v>
      </x:c>
      <x:c r="D352" s="22" t="n">
        <x:f>C352/'Inputs'!$G$5-1</x:f>
        <x:v>1.5546109088767408</x:v>
      </x:c>
      <x:c r="E352" t="n">
        <x:f>('Assumptions'!$M$18+'Assumptions'!$N$18)*(1+$B352)^0</x:f>
        <x:v>1500</x:v>
      </x:c>
      <x:c r="F352" t="n">
        <x:f>('Assumptions'!$M$18+'Assumptions'!$N$18)*(1+$B352)^1</x:f>
        <x:v>2175</x:v>
      </x:c>
      <x:c r="G352" t="n">
        <x:f>('Assumptions'!$M$18+'Assumptions'!$N$18)*(1+$B352)^2</x:f>
        <x:v>3153.75</x:v>
      </x:c>
      <x:c r="H352" t="n">
        <x:f>('Assumptions'!$M$18+'Assumptions'!$N$18)*(1+$B352)^3</x:f>
        <x:v>4572.9375</x:v>
      </x:c>
      <x:c r="I352" t="n">
        <x:f>('Assumptions'!$M$18+'Assumptions'!$N$18)*(1+$B352)^4</x:f>
        <x:v>6630.759375</x:v>
      </x:c>
      <x:c r="J352" t="n">
        <x:f>I352*(1+($BG352+('Assumptions'!$D$18-$BG352)*(6-5)/5))</x:f>
        <x:v>9057.61730625</x:v>
      </x:c>
      <x:c r="K352" t="n">
        <x:f>J352*(1+($BG352+('Assumptions'!$D$18-$BG352)*(7-5)/5))</x:f>
        <x:v>11611.8653866125</x:v>
      </x:c>
      <x:c r="L352" t="n">
        <x:f>K352*(1+($BG352+('Assumptions'!$D$18-$BG352)*(8-5)/5))</x:f>
        <x:v>13911.014733161775</x:v>
      </x:c>
      <x:c r="M352" t="n">
        <x:f>L352*(1+($BG352+('Assumptions'!$D$18-$BG352)*(9-5)/5))</x:f>
        <x:v>15496.870412742217</x:v>
      </x:c>
      <x:c r="N352" t="n">
        <x:f>M352*(1+($BG352+('Assumptions'!$D$18-$BG352)*(10-5)/5))</x:f>
        <x:v>15961.776525124484</x:v>
      </x:c>
      <x:c r="O352" t="n">
        <x:f>0</x:f>
        <x:v>0</x:v>
      </x:c>
      <x:c r="P352" t="n">
        <x:f>0</x:f>
        <x:v>0</x:v>
      </x:c>
      <x:c r="Q352" t="n">
        <x:f>0</x:f>
        <x:v>0</x:v>
      </x:c>
      <x:c r="R352" t="n">
        <x:f>0</x:f>
        <x:v>0</x:v>
      </x:c>
      <x:c r="S352" t="n">
        <x:f>0</x:f>
        <x:v>0</x:v>
      </x:c>
      <x:c r="T352" t="n">
        <x:f>S352*(1+($BG352+('Assumptions'!$D$18-$BG352)*(6-5)/5))</x:f>
        <x:v>0</x:v>
      </x:c>
      <x:c r="U352" t="n">
        <x:f>T352*(1+($BG352+('Assumptions'!$D$18-$BG352)*(7-5)/5))</x:f>
        <x:v>0</x:v>
      </x:c>
      <x:c r="V352" t="n">
        <x:f>U352*(1+($BG352+('Assumptions'!$D$18-$BG352)*(8-5)/5))</x:f>
        <x:v>0</x:v>
      </x:c>
      <x:c r="W352" t="n">
        <x:f>V352*(1+($BG352+('Assumptions'!$D$18-$BG352)*(9-5)/5))</x:f>
        <x:v>0</x:v>
      </x:c>
      <x:c r="X352" t="n">
        <x:f>W352*(1+($BG352+('Assumptions'!$D$18-$BG352)*(10-5)/5))</x:f>
        <x:v>0</x:v>
      </x:c>
      <x:c r="Y352" t="n">
        <x:f>E352*'POWL Model'!$B$62+O352*'POWL Model'!$B$63+'POWL Model'!$B$73+'POWL Model'!$B$74</x:f>
        <x:v>315</x:v>
      </x:c>
      <x:c r="Z352" t="n">
        <x:f>F352*'POWL Model'!$C$62+P352*'POWL Model'!$C$63+'POWL Model'!$C$73+'POWL Model'!$C$74</x:f>
        <x:v>478.5</x:v>
      </x:c>
      <x:c r="AA352" t="n">
        <x:f>G352*'POWL Model'!$D$62+Q352*'POWL Model'!$D$63+'POWL Model'!$D$73+'POWL Model'!$D$74</x:f>
        <x:v>693.825</x:v>
      </x:c>
      <x:c r="AB352" t="n">
        <x:f>H352*'POWL Model'!$E$62+R352*'POWL Model'!$E$63+'POWL Model'!$E$73+'POWL Model'!$E$74</x:f>
        <x:v>983.1815625</x:v>
      </x:c>
      <x:c r="AC352" t="n">
        <x:f>I352*'POWL Model'!$F$62+S352*'POWL Model'!$F$63+'POWL Model'!$F$73+'POWL Model'!$F$74</x:f>
        <x:v>1392.4594687499998</x:v>
      </x:c>
      <x:c r="AD352" t="n">
        <x:f>AX352*$AC352/$AW352</x:f>
        <x:v>1902.0996343125</x:v>
      </x:c>
      <x:c r="AE352" t="n">
        <x:f>AY352*$AC352/$AW352</x:f>
        <x:v>2438.491731188625</x:v>
      </x:c>
      <x:c r="AF352" t="n">
        <x:f>AZ352*$AC352/$AW352</x:f>
        <x:v>2921.3130939639723</x:v>
      </x:c>
      <x:c r="AG352" t="n">
        <x:f>BA352*$AC352/$AW352</x:f>
        <x:v>3254.3427866758657</x:v>
      </x:c>
      <x:c r="AH352" t="n">
        <x:f>BB352*$AC352/$AW352</x:f>
        <x:v>3351.9730702761412</x:v>
      </x:c>
      <x:c r="AI352" t="n">
        <x:f>Y352*(1-'Assumptions'!$F$18)+AS352*'Assumptions'!$G$18-AS352*'POWL Model'!$B$65-(AS352-'Inputs'!$G$14)*'Assumptions'!$H$18-'Assumptions'!$I$18</x:f>
        <x:v>183.9</x:v>
      </x:c>
      <x:c r="AJ352" t="n">
        <x:f>Z352*(1-'Assumptions'!$F$18)+AT352*'Assumptions'!$G$18-AT352*'POWL Model'!$C$65-(AT352-AS352)*'Assumptions'!$H$18-0</x:f>
        <x:v>259.185</x:v>
      </x:c>
      <x:c r="AK352" t="n">
        <x:f>AA352*(1-'Assumptions'!$F$18)+AU352*'Assumptions'!$G$18-AU352*'POWL Model'!$D$65-(AU352-AT352)*'Assumptions'!$H$18-0</x:f>
        <x:v>385.27950000000004</x:v>
      </x:c>
      <x:c r="AL352" t="n">
        <x:f>AB352*(1-'Assumptions'!$F$18)+AV352*'Assumptions'!$G$18-AV352*'POWL Model'!$E$65-(AV352-AU352)*'Assumptions'!$H$18-0</x:f>
        <x:v>550.4239875</x:v>
      </x:c>
      <x:c r="AM352" t="n">
        <x:f>AC352*(1-'Assumptions'!$F$18)+AW352*'Assumptions'!$G$18-AW352*'POWL Model'!$F$65-(AW352-AV352)*'Assumptions'!$H$18-0</x:f>
        <x:v>772.9178962499998</x:v>
      </x:c>
      <x:c r="AN352" t="n">
        <x:f>AD352*(1-'Assumptions'!$F$18)+AX352*'Assumptions'!$G$18-AX352*'POWL Model'!$G$65-(AX352-AW352)*'Assumptions'!$H$18-0</x:f>
        <x:v>1094.2185212774998</x:v>
      </x:c>
      <x:c r="AO352" t="n">
        <x:f>AE352*(1-'Assumptions'!$F$18)+AY352*'Assumptions'!$G$18-AY352*'POWL Model'!$H$65-(AY352-AX352)*'Assumptions'!$H$18-0</x:f>
        <x:v>1458.486523027755</x:v>
      </x:c>
      <x:c r="AP352" t="n">
        <x:f>AF352*(1-'Assumptions'!$F$18)+AZ352*'Assumptions'!$G$18-AZ352*'POWL Model'!$I$65-(AZ352-AY352)*'Assumptions'!$H$18-0</x:f>
        <x:v>1823.35083995975</x:v>
      </x:c>
      <x:c r="AQ352" t="n">
        <x:f>AG352*(1-'Assumptions'!$F$18)+BA352*'Assumptions'!$G$18-BA352*'POWL Model'!$J$65-(BA352-AZ352)*'Assumptions'!$H$18-0</x:f>
        <x:v>2128.7525049627075</x:v>
      </x:c>
      <x:c r="AR352" t="n">
        <x:f>AH352*(1-'Assumptions'!$F$18)+BB352*'Assumptions'!$G$18-BB352*'POWL Model'!$K$65-(BB352-BA352)*'Assumptions'!$H$18-0</x:f>
        <x:v>2309.467603870147</x:v>
      </x:c>
      <x:c r="AS352" t="n">
        <x:f>E352+O352</x:f>
        <x:v>1500</x:v>
      </x:c>
      <x:c r="AT352" t="n">
        <x:f>F352+P352</x:f>
        <x:v>2175</x:v>
      </x:c>
      <x:c r="AU352" t="n">
        <x:f>G352+Q352</x:f>
        <x:v>3153.75</x:v>
      </x:c>
      <x:c r="AV352" t="n">
        <x:f>H352+R352</x:f>
        <x:v>4572.9375</x:v>
      </x:c>
      <x:c r="AW352" t="n">
        <x:f>I352+S352</x:f>
        <x:v>6630.759375</x:v>
      </x:c>
      <x:c r="AX352" t="n">
        <x:f>J352+T352</x:f>
        <x:v>9057.61730625</x:v>
      </x:c>
      <x:c r="AY352" t="n">
        <x:f>K352+U352</x:f>
        <x:v>11611.8653866125</x:v>
      </x:c>
      <x:c r="AZ352" t="n">
        <x:f>L352+V352</x:f>
        <x:v>13911.014733161775</x:v>
      </x:c>
      <x:c r="BA352" t="n">
        <x:f>M352+W352</x:f>
        <x:v>15496.870412742217</x:v>
      </x:c>
      <x:c r="BB352" t="n">
        <x:f>N352+X352</x:f>
        <x:v>15961.776525124484</x:v>
      </x:c>
      <x:c r="BC352" t="n">
        <x:f>AS352/'Inputs'!$G$14-1</x:f>
        <x:v>0.25</x:v>
      </x:c>
      <x:c r="BD352" t="n">
        <x:f>AT352/AS352-1</x:f>
        <x:v>0.44999999999999996</x:v>
      </x:c>
      <x:c r="BE352" t="n">
        <x:f>AU352/AT352-1</x:f>
        <x:v>0.44999999999999996</x:v>
      </x:c>
      <x:c r="BF352" t="n">
        <x:f>AV352/AU352-1</x:f>
        <x:v>0.44999999999999996</x:v>
      </x:c>
      <x:c r="BG352" t="n">
        <x:f>AW352/AV352-1</x:f>
        <x:v>0.44999999999999996</x:v>
      </x:c>
      <x:c r="BH352" t="n">
        <x:f>AX352/AW352-1</x:f>
        <x:v>0.3660000000000001</x:v>
      </x:c>
      <x:c r="BI352" t="n">
        <x:f>AY352/AX352-1</x:f>
        <x:v>0.28200000000000003</x:v>
      </x:c>
      <x:c r="BJ352" t="n">
        <x:f>AZ352/AY352-1</x:f>
        <x:v>0.19799999999999995</x:v>
      </x:c>
      <x:c r="BK352" t="n">
        <x:f>BA352/AZ352-1</x:f>
        <x:v>0.11399999999999988</x:v>
      </x:c>
      <x:c r="BL352" t="n">
        <x:f>BB352/BA352-1</x:f>
        <x:v>0.030000000000000027</x:v>
      </x:c>
      <x:c r="BM352" t="n">
        <x:f>AH352*(1-'Assumptions'!$F$18)*(1+'Assumptions'!$D$18)*(1-'Assumptions'!$D$18/'Assumptions'!$E$18)</x:f>
        <x:v>2309.053577082704</x:v>
      </x:c>
      <x:c r="BN352" t="n">
        <x:f>SUMPRODUCT(AI352:AR352,'POWL Model'!$B$83:$K$83)+BM352/('Assumptions'!$C$18-'Assumptions'!$D$18)*'POWL Model'!$K$83</x:f>
        <x:v>16710.20949145333</x:v>
      </x:c>
      <x:c r="BO352" t="n">
        <x:f>'POWL Model'!$B$94</x:f>
        <x:v>230.812</x:v>
      </x:c>
      <x:c r="BP352" t="n">
        <x:f>'Inputs'!$G$8</x:f>
        <x:v>36.604</x:v>
      </x:c>
    </x:row>
    <x:row r="353">
      <x:c r="A353" t="str">
        <x:v>POWL</x:v>
      </x:c>
      <x:c r="B353" s="22" t="n">
        <x:v>0.46</x:v>
      </x:c>
      <x:c r="C353" s="42" t="n">
        <x:f>(BN353+BO353)/BP353</x:f>
        <x:v>481.18375426388775</x:v>
      </x:c>
      <x:c r="D353" s="22" t="n">
        <x:f>C353/'Inputs'!$G$5-1</x:f>
        <x:v>1.6559792143505425</x:v>
      </x:c>
      <x:c r="E353" t="n">
        <x:f>('Assumptions'!$M$18+'Assumptions'!$N$18)*(1+$B353)^0</x:f>
        <x:v>1500</x:v>
      </x:c>
      <x:c r="F353" t="n">
        <x:f>('Assumptions'!$M$18+'Assumptions'!$N$18)*(1+$B353)^1</x:f>
        <x:v>2190</x:v>
      </x:c>
      <x:c r="G353" t="n">
        <x:f>('Assumptions'!$M$18+'Assumptions'!$N$18)*(1+$B353)^2</x:f>
        <x:v>3197.3999999999996</x:v>
      </x:c>
      <x:c r="H353" t="n">
        <x:f>('Assumptions'!$M$18+'Assumptions'!$N$18)*(1+$B353)^3</x:f>
        <x:v>4668.204</x:v>
      </x:c>
      <x:c r="I353" t="n">
        <x:f>('Assumptions'!$M$18+'Assumptions'!$N$18)*(1+$B353)^4</x:f>
        <x:v>6815.577839999998</x:v>
      </x:c>
      <x:c r="J353" t="n">
        <x:f>I353*(1+($BG353+('Assumptions'!$D$18-$BG353)*(6-5)/5))</x:f>
        <x:v>9364.603952159996</x:v>
      </x:c>
      <x:c r="K353" t="n">
        <x:f>J353*(1+($BG353+('Assumptions'!$D$18-$BG353)*(7-5)/5))</x:f>
        <x:v>12061.609890382073</x:v>
      </x:c>
      <x:c r="L353" t="n">
        <x:f>K353*(1+($BG353+('Assumptions'!$D$18-$BG353)*(8-5)/5))</x:f>
        <x:v>14498.05508823925</x:v>
      </x:c>
      <x:c r="M353" t="n">
        <x:f>L353*(1+($BG353+('Assumptions'!$D$18-$BG353)*(9-5)/5))</x:f>
        <x:v>16179.829478475005</x:v>
      </x:c>
      <x:c r="N353" t="n">
        <x:f>M353*(1+($BG353+('Assumptions'!$D$18-$BG353)*(10-5)/5))</x:f>
        <x:v>16665.224362829256</x:v>
      </x:c>
      <x:c r="O353" t="n">
        <x:f>0</x:f>
        <x:v>0</x:v>
      </x:c>
      <x:c r="P353" t="n">
        <x:f>0</x:f>
        <x:v>0</x:v>
      </x:c>
      <x:c r="Q353" t="n">
        <x:f>0</x:f>
        <x:v>0</x:v>
      </x:c>
      <x:c r="R353" t="n">
        <x:f>0</x:f>
        <x:v>0</x:v>
      </x:c>
      <x:c r="S353" t="n">
        <x:f>0</x:f>
        <x:v>0</x:v>
      </x:c>
      <x:c r="T353" t="n">
        <x:f>S353*(1+($BG353+('Assumptions'!$D$18-$BG353)*(6-5)/5))</x:f>
        <x:v>0</x:v>
      </x:c>
      <x:c r="U353" t="n">
        <x:f>T353*(1+($BG353+('Assumptions'!$D$18-$BG353)*(7-5)/5))</x:f>
        <x:v>0</x:v>
      </x:c>
      <x:c r="V353" t="n">
        <x:f>U353*(1+($BG353+('Assumptions'!$D$18-$BG353)*(8-5)/5))</x:f>
        <x:v>0</x:v>
      </x:c>
      <x:c r="W353" t="n">
        <x:f>V353*(1+($BG353+('Assumptions'!$D$18-$BG353)*(9-5)/5))</x:f>
        <x:v>0</x:v>
      </x:c>
      <x:c r="X353" t="n">
        <x:f>W353*(1+($BG353+('Assumptions'!$D$18-$BG353)*(10-5)/5))</x:f>
        <x:v>0</x:v>
      </x:c>
      <x:c r="Y353" t="n">
        <x:f>E353*'POWL Model'!$B$62+O353*'POWL Model'!$B$63+'POWL Model'!$B$73+'POWL Model'!$B$74</x:f>
        <x:v>315</x:v>
      </x:c>
      <x:c r="Z353" t="n">
        <x:f>F353*'POWL Model'!$C$62+P353*'POWL Model'!$C$63+'POWL Model'!$C$73+'POWL Model'!$C$74</x:f>
        <x:v>481.8</x:v>
      </x:c>
      <x:c r="AA353" t="n">
        <x:f>G353*'POWL Model'!$D$62+Q353*'POWL Model'!$D$63+'POWL Model'!$D$73+'POWL Model'!$D$74</x:f>
        <x:v>703.4279999999999</x:v>
      </x:c>
      <x:c r="AB353" t="n">
        <x:f>H353*'POWL Model'!$E$62+R353*'POWL Model'!$E$63+'POWL Model'!$E$73+'POWL Model'!$E$74</x:f>
        <x:v>1003.6638599999999</x:v>
      </x:c>
      <x:c r="AC353" t="n">
        <x:f>I353*'POWL Model'!$F$62+S353*'POWL Model'!$F$63+'POWL Model'!$F$73+'POWL Model'!$F$74</x:f>
        <x:v>1431.2713463999996</x:v>
      </x:c>
      <x:c r="AD353" t="n">
        <x:f>AX353*$AC353/$AW353</x:f>
        <x:v>1966.5668299535994</x:v>
      </x:c>
      <x:c r="AE353" t="n">
        <x:f>AY353*$AC353/$AW353</x:f>
        <x:v>2532.938076980235</x:v>
      </x:c>
      <x:c r="AF353" t="n">
        <x:f>AZ353*$AC353/$AW353</x:f>
        <x:v>3044.591568530243</x:v>
      </x:c>
      <x:c r="AG353" t="n">
        <x:f>BA353*$AC353/$AW353</x:f>
        <x:v>3397.764190479751</x:v>
      </x:c>
      <x:c r="AH353" t="n">
        <x:f>BB353*$AC353/$AW353</x:f>
        <x:v>3499.697116194144</x:v>
      </x:c>
      <x:c r="AI353" t="n">
        <x:f>Y353*(1-'Assumptions'!$F$18)+AS353*'Assumptions'!$G$18-AS353*'POWL Model'!$B$65-(AS353-'Inputs'!$G$14)*'Assumptions'!$H$18-'Assumptions'!$I$18</x:f>
        <x:v>183.9</x:v>
      </x:c>
      <x:c r="AJ353" t="n">
        <x:f>Z353*(1-'Assumptions'!$F$18)+AT353*'Assumptions'!$G$18-AT353*'POWL Model'!$C$65-(AT353-AS353)*'Assumptions'!$H$18-0</x:f>
        <x:v>259.938</x:v>
      </x:c>
      <x:c r="AK353" t="n">
        <x:f>AA353*(1-'Assumptions'!$F$18)+AU353*'Assumptions'!$G$18-AU353*'POWL Model'!$D$65-(AU353-AT353)*'Assumptions'!$H$18-0</x:f>
        <x:v>389.10167999999993</x:v>
      </x:c>
      <x:c r="AL353" t="n">
        <x:f>AB353*(1-'Assumptions'!$F$18)+AV353*'Assumptions'!$G$18-AV353*'POWL Model'!$E$65-(AV353-AU353)*'Assumptions'!$H$18-0</x:f>
        <x:v>559.6856855999999</x:v>
      </x:c>
      <x:c r="AM353" t="n">
        <x:f>AC353*(1-'Assumptions'!$F$18)+AW353*'Assumptions'!$G$18-AW353*'POWL Model'!$F$65-(AW353-AV353)*'Assumptions'!$H$18-0</x:f>
        <x:v>791.241905184</x:v>
      </x:c>
      <x:c r="AN353" t="n">
        <x:f>AD353*(1-'Assumptions'!$F$18)+AX353*'Assumptions'!$G$18-AX353*'POWL Model'!$G$65-(AX353-AW353)*'Assumptions'!$H$18-0</x:f>
        <x:v>1127.312932122816</x:v>
      </x:c>
      <x:c r="AO353" t="n">
        <x:f>AE353*(1-'Assumptions'!$F$18)+AY353*'Assumptions'!$G$18-AY353*'POWL Model'!$H$65-(AY353-AX353)*'Assumptions'!$H$18-0</x:f>
        <x:v>1510.593025998186</x:v>
      </x:c>
      <x:c r="AP353" t="n">
        <x:f>AF353*(1-'Assumptions'!$F$18)+AZ353*'Assumptions'!$G$18-AZ353*'POWL Model'!$I$65-(AZ353-AY353)*'Assumptions'!$H$18-0</x:f>
        <x:v>1896.2684112383959</x:v>
      </x:c>
      <x:c r="AQ353" t="n">
        <x:f>AG353*(1-'Assumptions'!$F$18)+BA353*'Assumptions'!$G$18-BA353*'POWL Model'!$J$65-(BA353-AZ353)*'Assumptions'!$H$18-0</x:f>
        <x:v>2219.9653919993357</x:v>
      </x:c>
      <x:c r="AR353" t="n">
        <x:f>AH353*(1-'Assumptions'!$F$18)+BB353*'Assumptions'!$G$18-BB353*'POWL Model'!$K$65-(BB353-BA353)*'Assumptions'!$H$18-0</x:f>
        <x:v>2411.2476275181734</x:v>
      </x:c>
      <x:c r="AS353" t="n">
        <x:f>E353+O353</x:f>
        <x:v>1500</x:v>
      </x:c>
      <x:c r="AT353" t="n">
        <x:f>F353+P353</x:f>
        <x:v>2190</x:v>
      </x:c>
      <x:c r="AU353" t="n">
        <x:f>G353+Q353</x:f>
        <x:v>3197.3999999999996</x:v>
      </x:c>
      <x:c r="AV353" t="n">
        <x:f>H353+R353</x:f>
        <x:v>4668.204</x:v>
      </x:c>
      <x:c r="AW353" t="n">
        <x:f>I353+S353</x:f>
        <x:v>6815.577839999998</x:v>
      </x:c>
      <x:c r="AX353" t="n">
        <x:f>J353+T353</x:f>
        <x:v>9364.603952159996</x:v>
      </x:c>
      <x:c r="AY353" t="n">
        <x:f>K353+U353</x:f>
        <x:v>12061.609890382073</x:v>
      </x:c>
      <x:c r="AZ353" t="n">
        <x:f>L353+V353</x:f>
        <x:v>14498.05508823925</x:v>
      </x:c>
      <x:c r="BA353" t="n">
        <x:f>M353+W353</x:f>
        <x:v>16179.829478475005</x:v>
      </x:c>
      <x:c r="BB353" t="n">
        <x:f>N353+X353</x:f>
        <x:v>16665.224362829256</x:v>
      </x:c>
      <x:c r="BC353" t="n">
        <x:f>AS353/'Inputs'!$G$14-1</x:f>
        <x:v>0.25</x:v>
      </x:c>
      <x:c r="BD353" t="n">
        <x:f>AT353/AS353-1</x:f>
        <x:v>0.45999999999999996</x:v>
      </x:c>
      <x:c r="BE353" t="n">
        <x:f>AU353/AT353-1</x:f>
        <x:v>0.45999999999999974</x:v>
      </x:c>
      <x:c r="BF353" t="n">
        <x:f>AV353/AU353-1</x:f>
        <x:v>0.4600000000000002</x:v>
      </x:c>
      <x:c r="BG353" t="n">
        <x:f>AW353/AV353-1</x:f>
        <x:v>0.45999999999999974</x:v>
      </x:c>
      <x:c r="BH353" t="n">
        <x:f>AX353/AW353-1</x:f>
        <x:v>0.3739999999999999</x:v>
      </x:c>
      <x:c r="BI353" t="n">
        <x:f>AY353/AX353-1</x:f>
        <x:v>0.2879999999999998</x:v>
      </x:c>
      <x:c r="BJ353" t="n">
        <x:f>AZ353/AY353-1</x:f>
        <x:v>0.20199999999999996</x:v>
      </x:c>
      <x:c r="BK353" t="n">
        <x:f>BA353/AZ353-1</x:f>
        <x:v>0.1160000000000001</x:v>
      </x:c>
      <x:c r="BL353" t="n">
        <x:f>BB353/BA353-1</x:f>
        <x:v>0.030000000000000027</x:v>
      </x:c>
      <x:c r="BM353" t="n">
        <x:f>AH353*(1-'Assumptions'!$F$18)*(1+'Assumptions'!$D$18)*(1-'Assumptions'!$D$18/'Assumptions'!$E$18)</x:f>
        <x:v>2410.815354249963</x:v>
      </x:c>
      <x:c r="BN353" t="n">
        <x:f>SUMPRODUCT(AI353:AR353,'POWL Model'!$B$83:$K$83)+BM353/('Assumptions'!$C$18-'Assumptions'!$D$18)*'POWL Model'!$K$83</x:f>
        <x:v>17382.438141075345</x:v>
      </x:c>
      <x:c r="BO353" t="n">
        <x:f>'POWL Model'!$B$94</x:f>
        <x:v>230.812</x:v>
      </x:c>
      <x:c r="BP353" t="n">
        <x:f>'Inputs'!$G$8</x:f>
        <x:v>36.604</x:v>
      </x:c>
    </x:row>
    <x:row r="354">
      <x:c r="A354" t="str">
        <x:v>POWL</x:v>
      </x:c>
      <x:c r="B354" s="22" t="n">
        <x:v>0.47</x:v>
      </x:c>
      <x:c r="C354" s="42" t="n">
        <x:f>(BN354+BO354)/BP354</x:f>
        <x:v>500.2084876586149</x:v>
      </x:c>
      <x:c r="D354" s="22" t="n">
        <x:f>C354/'Inputs'!$G$5-1</x:f>
        <x:v>1.7609896100823255</x:v>
      </x:c>
      <x:c r="E354" t="n">
        <x:f>('Assumptions'!$M$18+'Assumptions'!$N$18)*(1+$B354)^0</x:f>
        <x:v>1500</x:v>
      </x:c>
      <x:c r="F354" t="n">
        <x:f>('Assumptions'!$M$18+'Assumptions'!$N$18)*(1+$B354)^1</x:f>
        <x:v>2205</x:v>
      </x:c>
      <x:c r="G354" t="n">
        <x:f>('Assumptions'!$M$18+'Assumptions'!$N$18)*(1+$B354)^2</x:f>
        <x:v>3241.35</x:v>
      </x:c>
      <x:c r="H354" t="n">
        <x:f>('Assumptions'!$M$18+'Assumptions'!$N$18)*(1+$B354)^3</x:f>
        <x:v>4764.7845</x:v>
      </x:c>
      <x:c r="I354" t="n">
        <x:f>('Assumptions'!$M$18+'Assumptions'!$N$18)*(1+$B354)^4</x:f>
        <x:v>7004.233214999998</x:v>
      </x:c>
      <x:c r="J354" t="n">
        <x:f>I354*(1+($BG354+('Assumptions'!$D$18-$BG354)*(6-5)/5))</x:f>
        <x:v>9679.850303129995</x:v>
      </x:c>
      <x:c r="K354" t="n">
        <x:f>J354*(1+($BG354+('Assumptions'!$D$18-$BG354)*(7-5)/5))</x:f>
        <x:v>12525.726292250212</x:v>
      </x:c>
      <x:c r="L354" t="n">
        <x:f>K354*(1+($BG354+('Assumptions'!$D$18-$BG354)*(8-5)/5))</x:f>
        <x:v>15106.025908453756</x:v>
      </x:c>
      <x:c r="M354" t="n">
        <x:f>L354*(1+($BG354+('Assumptions'!$D$18-$BG354)*(9-5)/5))</x:f>
        <x:v>16888.536965651296</x:v>
      </x:c>
      <x:c r="N354" t="n">
        <x:f>M354*(1+($BG354+('Assumptions'!$D$18-$BG354)*(10-5)/5))</x:f>
        <x:v>17395.193074620835</x:v>
      </x:c>
      <x:c r="O354" t="n">
        <x:f>0</x:f>
        <x:v>0</x:v>
      </x:c>
      <x:c r="P354" t="n">
        <x:f>0</x:f>
        <x:v>0</x:v>
      </x:c>
      <x:c r="Q354" t="n">
        <x:f>0</x:f>
        <x:v>0</x:v>
      </x:c>
      <x:c r="R354" t="n">
        <x:f>0</x:f>
        <x:v>0</x:v>
      </x:c>
      <x:c r="S354" t="n">
        <x:f>0</x:f>
        <x:v>0</x:v>
      </x:c>
      <x:c r="T354" t="n">
        <x:f>S354*(1+($BG354+('Assumptions'!$D$18-$BG354)*(6-5)/5))</x:f>
        <x:v>0</x:v>
      </x:c>
      <x:c r="U354" t="n">
        <x:f>T354*(1+($BG354+('Assumptions'!$D$18-$BG354)*(7-5)/5))</x:f>
        <x:v>0</x:v>
      </x:c>
      <x:c r="V354" t="n">
        <x:f>U354*(1+($BG354+('Assumptions'!$D$18-$BG354)*(8-5)/5))</x:f>
        <x:v>0</x:v>
      </x:c>
      <x:c r="W354" t="n">
        <x:f>V354*(1+($BG354+('Assumptions'!$D$18-$BG354)*(9-5)/5))</x:f>
        <x:v>0</x:v>
      </x:c>
      <x:c r="X354" t="n">
        <x:f>W354*(1+($BG354+('Assumptions'!$D$18-$BG354)*(10-5)/5))</x:f>
        <x:v>0</x:v>
      </x:c>
      <x:c r="Y354" t="n">
        <x:f>E354*'POWL Model'!$B$62+O354*'POWL Model'!$B$63+'POWL Model'!$B$73+'POWL Model'!$B$74</x:f>
        <x:v>315</x:v>
      </x:c>
      <x:c r="Z354" t="n">
        <x:f>F354*'POWL Model'!$C$62+P354*'POWL Model'!$C$63+'POWL Model'!$C$73+'POWL Model'!$C$74</x:f>
        <x:v>485.1</x:v>
      </x:c>
      <x:c r="AA354" t="n">
        <x:f>G354*'POWL Model'!$D$62+Q354*'POWL Model'!$D$63+'POWL Model'!$D$73+'POWL Model'!$D$74</x:f>
        <x:v>713.097</x:v>
      </x:c>
      <x:c r="AB354" t="n">
        <x:f>H354*'POWL Model'!$E$62+R354*'POWL Model'!$E$63+'POWL Model'!$E$73+'POWL Model'!$E$74</x:f>
        <x:v>1024.4286674999998</x:v>
      </x:c>
      <x:c r="AC354" t="n">
        <x:f>I354*'POWL Model'!$F$62+S354*'POWL Model'!$F$63+'POWL Model'!$F$73+'POWL Model'!$F$74</x:f>
        <x:v>1470.8889751499996</x:v>
      </x:c>
      <x:c r="AD354" t="n">
        <x:f>AX354*$AC354/$AW354</x:f>
        <x:v>2032.768563657299</x:v>
      </x:c>
      <x:c r="AE354" t="n">
        <x:f>AY354*$AC354/$AW354</x:f>
        <x:v>2630.4025213725445</x:v>
      </x:c>
      <x:c r="AF354" t="n">
        <x:f>AZ354*$AC354/$AW354</x:f>
        <x:v>3172.2654407752884</x:v>
      </x:c>
      <x:c r="AG354" t="n">
        <x:f>BA354*$AC354/$AW354</x:f>
        <x:v>3546.592762786772</x:v>
      </x:c>
      <x:c r="AH354" t="n">
        <x:f>BB354*$AC354/$AW354</x:f>
        <x:v>3652.990545670375</x:v>
      </x:c>
      <x:c r="AI354" t="n">
        <x:f>Y354*(1-'Assumptions'!$F$18)+AS354*'Assumptions'!$G$18-AS354*'POWL Model'!$B$65-(AS354-'Inputs'!$G$14)*'Assumptions'!$H$18-'Assumptions'!$I$18</x:f>
        <x:v>183.9</x:v>
      </x:c>
      <x:c r="AJ354" t="n">
        <x:f>Z354*(1-'Assumptions'!$F$18)+AT354*'Assumptions'!$G$18-AT354*'POWL Model'!$C$65-(AT354-AS354)*'Assumptions'!$H$18-0</x:f>
        <x:v>260.69100000000003</x:v>
      </x:c>
      <x:c r="AK354" t="n">
        <x:f>AA354*(1-'Assumptions'!$F$18)+AU354*'Assumptions'!$G$18-AU354*'POWL Model'!$D$65-(AU354-AT354)*'Assumptions'!$H$18-0</x:f>
        <x:v>392.93981999999994</x:v>
      </x:c>
      <x:c r="AL354" t="n">
        <x:f>AB354*(1-'Assumptions'!$F$18)+AV354*'Assumptions'!$G$18-AV354*'POWL Model'!$E$65-(AV354-AU354)*'Assumptions'!$H$18-0</x:f>
        <x:v>569.0449232999999</x:v>
      </x:c>
      <x:c r="AM354" t="n">
        <x:f>AC354*(1-'Assumptions'!$F$18)+AW354*'Assumptions'!$G$18-AW354*'POWL Model'!$F$65-(AW354-AV354)*'Assumptions'!$H$18-0</x:f>
        <x:v>809.8799510339998</x:v>
      </x:c>
      <x:c r="AN354" t="n">
        <x:f>AD354*(1-'Assumptions'!$F$18)+AX354*'Assumptions'!$G$18-AX354*'POWL Model'!$G$65-(AX354-AW354)*'Assumptions'!$H$18-0</x:f>
        <x:v>1161.1841959289877</x:v>
      </x:c>
      <x:c r="AO354" t="n">
        <x:f>AE354*(1-'Assumptions'!$F$18)+AY354*'Assumptions'!$G$18-AY354*'POWL Model'!$H$65-(AY354-AX354)*'Assumptions'!$H$18-0</x:f>
        <x:v>1564.2096018241095</x:v>
      </x:c>
      <x:c r="AP354" t="n">
        <x:f>AF354*(1-'Assumptions'!$F$18)+AZ354*'Assumptions'!$G$18-AZ354*'POWL Model'!$I$65-(AZ354-AY354)*'Assumptions'!$H$18-0</x:f>
        <x:v>1971.61946246742</x:v>
      </x:c>
      <x:c r="AQ354" t="n">
        <x:f>AG354*(1-'Assumptions'!$F$18)+BA354*'Assumptions'!$G$18-BA354*'POWL Model'!$J$65-(BA354-AZ354)*'Assumptions'!$H$18-0</x:f>
        <x:v>2314.496950410377</x:v>
      </x:c>
      <x:c r="AR354" t="n">
        <x:f>AH354*(1-'Assumptions'!$F$18)+BB354*'Assumptions'!$G$18-BB354*'POWL Model'!$K$65-(BB354-BA354)*'Assumptions'!$H$18-0</x:f>
        <x:v>2516.864886917081</x:v>
      </x:c>
      <x:c r="AS354" t="n">
        <x:f>E354+O354</x:f>
        <x:v>1500</x:v>
      </x:c>
      <x:c r="AT354" t="n">
        <x:f>F354+P354</x:f>
        <x:v>2205</x:v>
      </x:c>
      <x:c r="AU354" t="n">
        <x:f>G354+Q354</x:f>
        <x:v>3241.35</x:v>
      </x:c>
      <x:c r="AV354" t="n">
        <x:f>H354+R354</x:f>
        <x:v>4764.7845</x:v>
      </x:c>
      <x:c r="AW354" t="n">
        <x:f>I354+S354</x:f>
        <x:v>7004.233214999998</x:v>
      </x:c>
      <x:c r="AX354" t="n">
        <x:f>J354+T354</x:f>
        <x:v>9679.850303129995</x:v>
      </x:c>
      <x:c r="AY354" t="n">
        <x:f>K354+U354</x:f>
        <x:v>12525.726292250212</x:v>
      </x:c>
      <x:c r="AZ354" t="n">
        <x:f>L354+V354</x:f>
        <x:v>15106.025908453756</x:v>
      </x:c>
      <x:c r="BA354" t="n">
        <x:f>M354+W354</x:f>
        <x:v>16888.536965651296</x:v>
      </x:c>
      <x:c r="BB354" t="n">
        <x:f>N354+X354</x:f>
        <x:v>17395.193074620835</x:v>
      </x:c>
      <x:c r="BC354" t="n">
        <x:f>AS354/'Inputs'!$G$14-1</x:f>
        <x:v>0.25</x:v>
      </x:c>
      <x:c r="BD354" t="n">
        <x:f>AT354/AS354-1</x:f>
        <x:v>0.47</x:v>
      </x:c>
      <x:c r="BE354" t="n">
        <x:f>AU354/AT354-1</x:f>
        <x:v>0.47</x:v>
      </x:c>
      <x:c r="BF354" t="n">
        <x:f>AV354/AU354-1</x:f>
        <x:v>0.47</x:v>
      </x:c>
      <x:c r="BG354" t="n">
        <x:f>AW354/AV354-1</x:f>
        <x:v>0.46999999999999975</x:v>
      </x:c>
      <x:c r="BH354" t="n">
        <x:f>AX354/AW354-1</x:f>
        <x:v>0.3819999999999997</x:v>
      </x:c>
      <x:c r="BI354" t="n">
        <x:f>AY354/AX354-1</x:f>
        <x:v>0.2939999999999998</x:v>
      </x:c>
      <x:c r="BJ354" t="n">
        <x:f>AZ354/AY354-1</x:f>
        <x:v>0.20599999999999996</x:v>
      </x:c>
      <x:c r="BK354" t="n">
        <x:f>BA354/AZ354-1</x:f>
        <x:v>0.11799999999999988</x:v>
      </x:c>
      <x:c r="BL354" t="n">
        <x:f>BB354/BA354-1</x:f>
        <x:v>0.030000000000000027</x:v>
      </x:c>
      <x:c r="BM354" t="n">
        <x:f>AH354*(1-'Assumptions'!$F$18)*(1+'Assumptions'!$D$18)*(1-'Assumptions'!$D$18/'Assumptions'!$E$18)</x:f>
        <x:v>2516.413679252677</x:v>
      </x:c>
      <x:c r="BN354" t="n">
        <x:f>SUMPRODUCT(AI354:AR354,'POWL Model'!$B$83:$K$83)+BM354/('Assumptions'!$C$18-'Assumptions'!$D$18)*'POWL Model'!$K$83</x:f>
        <x:v>18078.819482255938</x:v>
      </x:c>
      <x:c r="BO354" t="n">
        <x:f>'POWL Model'!$B$94</x:f>
        <x:v>230.812</x:v>
      </x:c>
      <x:c r="BP354" t="n">
        <x:f>'Inputs'!$G$8</x:f>
        <x:v>36.604</x:v>
      </x:c>
    </x:row>
    <x:row r="355">
      <x:c r="A355" t="str">
        <x:v>POWL</x:v>
      </x:c>
      <x:c r="B355" s="22" t="n">
        <x:v>0.48</x:v>
      </x:c>
      <x:c r="C355" s="42" t="n">
        <x:f>(BN355+BO355)/BP355</x:f>
        <x:v>519.9131446694211</x:v>
      </x:c>
      <x:c r="D355" s="22" t="n">
        <x:f>C355/'Inputs'!$G$5-1</x:f>
        <x:v>1.8697529650020481</x:v>
      </x:c>
      <x:c r="E355" t="n">
        <x:f>('Assumptions'!$M$18+'Assumptions'!$N$18)*(1+$B355)^0</x:f>
        <x:v>1500</x:v>
      </x:c>
      <x:c r="F355" t="n">
        <x:f>('Assumptions'!$M$18+'Assumptions'!$N$18)*(1+$B355)^1</x:f>
        <x:v>2220</x:v>
      </x:c>
      <x:c r="G355" t="n">
        <x:f>('Assumptions'!$M$18+'Assumptions'!$N$18)*(1+$B355)^2</x:f>
        <x:v>3285.6</x:v>
      </x:c>
      <x:c r="H355" t="n">
        <x:f>('Assumptions'!$M$18+'Assumptions'!$N$18)*(1+$B355)^3</x:f>
        <x:v>4862.688</x:v>
      </x:c>
      <x:c r="I355" t="n">
        <x:f>('Assumptions'!$M$18+'Assumptions'!$N$18)*(1+$B355)^4</x:f>
        <x:v>7196.77824</x:v>
      </x:c>
      <x:c r="J355" t="n">
        <x:f>I355*(1+($BG355+('Assumptions'!$D$18-$BG355)*(6-5)/5))</x:f>
        <x:v>10003.5217536</x:v>
      </x:c>
      <x:c r="K355" t="n">
        <x:f>J355*(1+($BG355+('Assumptions'!$D$18-$BG355)*(7-5)/5))</x:f>
        <x:v>13004.578279680001</x:v>
      </x:c>
      <x:c r="L355" t="n">
        <x:f>K355*(1+($BG355+('Assumptions'!$D$18-$BG355)*(8-5)/5))</x:f>
        <x:v>15735.539718412801</x:v>
      </x:c>
      <x:c r="M355" t="n">
        <x:f>L355*(1+($BG355+('Assumptions'!$D$18-$BG355)*(9-5)/5))</x:f>
        <x:v>17623.80448462234</x:v>
      </x:c>
      <x:c r="N355" t="n">
        <x:f>M355*(1+($BG355+('Assumptions'!$D$18-$BG355)*(10-5)/5))</x:f>
        <x:v>18152.51861916101</x:v>
      </x:c>
      <x:c r="O355" t="n">
        <x:f>0</x:f>
        <x:v>0</x:v>
      </x:c>
      <x:c r="P355" t="n">
        <x:f>0</x:f>
        <x:v>0</x:v>
      </x:c>
      <x:c r="Q355" t="n">
        <x:f>0</x:f>
        <x:v>0</x:v>
      </x:c>
      <x:c r="R355" t="n">
        <x:f>0</x:f>
        <x:v>0</x:v>
      </x:c>
      <x:c r="S355" t="n">
        <x:f>0</x:f>
        <x:v>0</x:v>
      </x:c>
      <x:c r="T355" t="n">
        <x:f>S355*(1+($BG355+('Assumptions'!$D$18-$BG355)*(6-5)/5))</x:f>
        <x:v>0</x:v>
      </x:c>
      <x:c r="U355" t="n">
        <x:f>T355*(1+($BG355+('Assumptions'!$D$18-$BG355)*(7-5)/5))</x:f>
        <x:v>0</x:v>
      </x:c>
      <x:c r="V355" t="n">
        <x:f>U355*(1+($BG355+('Assumptions'!$D$18-$BG355)*(8-5)/5))</x:f>
        <x:v>0</x:v>
      </x:c>
      <x:c r="W355" t="n">
        <x:f>V355*(1+($BG355+('Assumptions'!$D$18-$BG355)*(9-5)/5))</x:f>
        <x:v>0</x:v>
      </x:c>
      <x:c r="X355" t="n">
        <x:f>W355*(1+($BG355+('Assumptions'!$D$18-$BG355)*(10-5)/5))</x:f>
        <x:v>0</x:v>
      </x:c>
      <x:c r="Y355" t="n">
        <x:f>E355*'POWL Model'!$B$62+O355*'POWL Model'!$B$63+'POWL Model'!$B$73+'POWL Model'!$B$74</x:f>
        <x:v>315</x:v>
      </x:c>
      <x:c r="Z355" t="n">
        <x:f>F355*'POWL Model'!$C$62+P355*'POWL Model'!$C$63+'POWL Model'!$C$73+'POWL Model'!$C$74</x:f>
        <x:v>488.4</x:v>
      </x:c>
      <x:c r="AA355" t="n">
        <x:f>G355*'POWL Model'!$D$62+Q355*'POWL Model'!$D$63+'POWL Model'!$D$73+'POWL Model'!$D$74</x:f>
        <x:v>722.832</x:v>
      </x:c>
      <x:c r="AB355" t="n">
        <x:f>H355*'POWL Model'!$E$62+R355*'POWL Model'!$E$63+'POWL Model'!$E$73+'POWL Model'!$E$74</x:f>
        <x:v>1045.47792</x:v>
      </x:c>
      <x:c r="AC355" t="n">
        <x:f>I355*'POWL Model'!$F$62+S355*'POWL Model'!$F$63+'POWL Model'!$F$73+'POWL Model'!$F$74</x:f>
        <x:v>1511.3234303999998</x:v>
      </x:c>
      <x:c r="AD355" t="n">
        <x:f>AX355*$AC355/$AW355</x:f>
        <x:v>2100.7395682559995</x:v>
      </x:c>
      <x:c r="AE355" t="n">
        <x:f>AY355*$AC355/$AW355</x:f>
        <x:v>2730.9614387328</x:v>
      </x:c>
      <x:c r="AF355" t="n">
        <x:f>AZ355*$AC355/$AW355</x:f>
        <x:v>3304.463340866688</x:v>
      </x:c>
      <x:c r="AG355" t="n">
        <x:f>BA355*$AC355/$AW355</x:f>
        <x:v>3700.9989417706906</x:v>
      </x:c>
      <x:c r="AH355" t="n">
        <x:f>BB355*$AC355/$AW355</x:f>
        <x:v>3812.028910023811</x:v>
      </x:c>
      <x:c r="AI355" t="n">
        <x:f>Y355*(1-'Assumptions'!$F$18)+AS355*'Assumptions'!$G$18-AS355*'POWL Model'!$B$65-(AS355-'Inputs'!$G$14)*'Assumptions'!$H$18-'Assumptions'!$I$18</x:f>
        <x:v>183.9</x:v>
      </x:c>
      <x:c r="AJ355" t="n">
        <x:f>Z355*(1-'Assumptions'!$F$18)+AT355*'Assumptions'!$G$18-AT355*'POWL Model'!$C$65-(AT355-AS355)*'Assumptions'!$H$18-0</x:f>
        <x:v>261.44399999999996</x:v>
      </x:c>
      <x:c r="AK355" t="n">
        <x:f>AA355*(1-'Assumptions'!$F$18)+AU355*'Assumptions'!$G$18-AU355*'POWL Model'!$D$65-(AU355-AT355)*'Assumptions'!$H$18-0</x:f>
        <x:v>396.79392</x:v>
      </x:c>
      <x:c r="AL355" t="n">
        <x:f>AB355*(1-'Assumptions'!$F$18)+AV355*'Assumptions'!$G$18-AV355*'POWL Model'!$E$65-(AV355-AU355)*'Assumptions'!$H$18-0</x:f>
        <x:v>578.5021632000002</x:v>
      </x:c>
      <x:c r="AM355" t="n">
        <x:f>AC355*(1-'Assumptions'!$F$18)+AW355*'Assumptions'!$G$18-AW355*'POWL Model'!$F$65-(AW355-AV355)*'Assumptions'!$H$18-0</x:f>
        <x:v>828.8354442239998</x:v>
      </x:c>
      <x:c r="AN355" t="n">
        <x:f>AD355*(1-'Assumptions'!$F$18)+AX355*'Assumptions'!$G$18-AX355*'POWL Model'!$G$65-(AX355-AW355)*'Assumptions'!$H$18-0</x:f>
        <x:v>1195.8454594713598</x:v>
      </x:c>
      <x:c r="AO355" t="n">
        <x:f>AE355*(1-'Assumptions'!$F$18)+AY355*'Assumptions'!$G$18-AY355*'POWL Model'!$H$65-(AY355-AX355)*'Assumptions'!$H$18-0</x:f>
        <x:v>1619.370101472768</x:v>
      </x:c>
      <x:c r="AP355" t="n">
        <x:f>AF355*(1-'Assumptions'!$F$18)+AZ355*'Assumptions'!$G$18-AZ355*'POWL Model'!$I$65-(AZ355-AY355)*'Assumptions'!$H$18-0</x:f>
        <x:v>2049.469518564449</x:v>
      </x:c>
      <x:c r="AQ355" t="n">
        <x:f>AG355*(1-'Assumptions'!$F$18)+BA355*'Assumptions'!$G$18-BA355*'POWL Model'!$J$65-(BA355-AZ355)*'Assumptions'!$H$18-0</x:f>
        <x:v>2412.447065309303</x:v>
      </x:c>
      <x:c r="AR355" t="n">
        <x:f>AH355*(1-'Assumptions'!$F$18)+BB355*'Assumptions'!$G$18-BB355*'POWL Model'!$K$65-(BB355-BA355)*'Assumptions'!$H$18-0</x:f>
        <x:v>2626.4403347342973</x:v>
      </x:c>
      <x:c r="AS355" t="n">
        <x:f>E355+O355</x:f>
        <x:v>1500</x:v>
      </x:c>
      <x:c r="AT355" t="n">
        <x:f>F355+P355</x:f>
        <x:v>2220</x:v>
      </x:c>
      <x:c r="AU355" t="n">
        <x:f>G355+Q355</x:f>
        <x:v>3285.6</x:v>
      </x:c>
      <x:c r="AV355" t="n">
        <x:f>H355+R355</x:f>
        <x:v>4862.688</x:v>
      </x:c>
      <x:c r="AW355" t="n">
        <x:f>I355+S355</x:f>
        <x:v>7196.77824</x:v>
      </x:c>
      <x:c r="AX355" t="n">
        <x:f>J355+T355</x:f>
        <x:v>10003.5217536</x:v>
      </x:c>
      <x:c r="AY355" t="n">
        <x:f>K355+U355</x:f>
        <x:v>13004.578279680001</x:v>
      </x:c>
      <x:c r="AZ355" t="n">
        <x:f>L355+V355</x:f>
        <x:v>15735.539718412801</x:v>
      </x:c>
      <x:c r="BA355" t="n">
        <x:f>M355+W355</x:f>
        <x:v>17623.80448462234</x:v>
      </x:c>
      <x:c r="BB355" t="n">
        <x:f>N355+X355</x:f>
        <x:v>18152.51861916101</x:v>
      </x:c>
      <x:c r="BC355" t="n">
        <x:f>AS355/'Inputs'!$G$14-1</x:f>
        <x:v>0.25</x:v>
      </x:c>
      <x:c r="BD355" t="n">
        <x:f>AT355/AS355-1</x:f>
        <x:v>0.48</x:v>
      </x:c>
      <x:c r="BE355" t="n">
        <x:f>AU355/AT355-1</x:f>
        <x:v>0.48</x:v>
      </x:c>
      <x:c r="BF355" t="n">
        <x:f>AV355/AU355-1</x:f>
        <x:v>0.48</x:v>
      </x:c>
      <x:c r="BG355" t="n">
        <x:f>AW355/AV355-1</x:f>
        <x:v>0.48</x:v>
      </x:c>
      <x:c r="BH355" t="n">
        <x:f>AX355/AW355-1</x:f>
        <x:v>0.3900000000000001</x:v>
      </x:c>
      <x:c r="BI355" t="n">
        <x:f>AY355/AX355-1</x:f>
        <x:v>0.30000000000000004</x:v>
      </x:c>
      <x:c r="BJ355" t="n">
        <x:f>AZ355/AY355-1</x:f>
        <x:v>0.20999999999999996</x:v>
      </x:c>
      <x:c r="BK355" t="n">
        <x:f>BA355/AZ355-1</x:f>
        <x:v>0.1200000000000001</x:v>
      </x:c>
      <x:c r="BL355" t="n">
        <x:f>BB355/BA355-1</x:f>
        <x:v>0.030000000000000027</x:v>
      </x:c>
      <x:c r="BM355" t="n">
        <x:f>AH355*(1-'Assumptions'!$F$18)*(1+'Assumptions'!$D$18)*(1-'Assumptions'!$D$18/'Assumptions'!$E$18)</x:f>
        <x:v>2625.9694830746425</x:v>
      </x:c>
      <x:c r="BN355" t="n">
        <x:f>SUMPRODUCT(AI355:AR355,'POWL Model'!$B$83:$K$83)+BM355/('Assumptions'!$C$18-'Assumptions'!$D$18)*'POWL Model'!$K$83</x:f>
        <x:v>18800.088747479487</x:v>
      </x:c>
      <x:c r="BO355" t="n">
        <x:f>'POWL Model'!$B$94</x:f>
        <x:v>230.812</x:v>
      </x:c>
      <x:c r="BP355" t="n">
        <x:f>'Inputs'!$G$8</x:f>
        <x:v>36.604</x:v>
      </x:c>
    </x:row>
    <x:row r="356">
      <x:c r="A356" t="str">
        <x:v>POWL</x:v>
      </x:c>
      <x:c r="B356" s="22" t="n">
        <x:v>0.49</x:v>
      </x:c>
      <x:c r="C356" s="42" t="n">
        <x:f>(BN356+BO356)/BP356</x:f>
        <x:v>540.3183102473189</x:v>
      </x:c>
      <x:c r="D356" s="22" t="n">
        <x:f>C356/'Inputs'!$G$5-1</x:f>
        <x:v>1.9823829014037586</x:v>
      </x:c>
      <x:c r="E356" t="n">
        <x:f>('Assumptions'!$M$18+'Assumptions'!$N$18)*(1+$B356)^0</x:f>
        <x:v>1500</x:v>
      </x:c>
      <x:c r="F356" t="n">
        <x:f>('Assumptions'!$M$18+'Assumptions'!$N$18)*(1+$B356)^1</x:f>
        <x:v>2235</x:v>
      </x:c>
      <x:c r="G356" t="n">
        <x:f>('Assumptions'!$M$18+'Assumptions'!$N$18)*(1+$B356)^2</x:f>
        <x:v>3330.15</x:v>
      </x:c>
      <x:c r="H356" t="n">
        <x:f>('Assumptions'!$M$18+'Assumptions'!$N$18)*(1+$B356)^3</x:f>
        <x:v>4961.9235</x:v>
      </x:c>
      <x:c r="I356" t="n">
        <x:f>('Assumptions'!$M$18+'Assumptions'!$N$18)*(1+$B356)^4</x:f>
        <x:v>7393.266014999999</x:v>
      </x:c>
      <x:c r="J356" t="n">
        <x:f>I356*(1+($BG356+('Assumptions'!$D$18-$BG356)*(6-5)/5))</x:f>
        <x:v>10335.78588897</x:v>
      </x:c>
      <x:c r="K356" t="n">
        <x:f>J356*(1+($BG356+('Assumptions'!$D$18-$BG356)*(7-5)/5))</x:f>
        <x:v>13498.536370994821</x:v>
      </x:c>
      <x:c r="L356" t="n">
        <x:f>K356*(1+($BG356+('Assumptions'!$D$18-$BG356)*(8-5)/5))</x:f>
        <x:v>16387.223154387713</x:v>
      </x:c>
      <x:c r="M356" t="n">
        <x:f>L356*(1+($BG356+('Assumptions'!$D$18-$BG356)*(9-5)/5))</x:f>
        <x:v>18386.464379223013</x:v>
      </x:c>
      <x:c r="N356" t="n">
        <x:f>M356*(1+($BG356+('Assumptions'!$D$18-$BG356)*(10-5)/5))</x:f>
        <x:v>18938.058310599703</x:v>
      </x:c>
      <x:c r="O356" t="n">
        <x:f>0</x:f>
        <x:v>0</x:v>
      </x:c>
      <x:c r="P356" t="n">
        <x:f>0</x:f>
        <x:v>0</x:v>
      </x:c>
      <x:c r="Q356" t="n">
        <x:f>0</x:f>
        <x:v>0</x:v>
      </x:c>
      <x:c r="R356" t="n">
        <x:f>0</x:f>
        <x:v>0</x:v>
      </x:c>
      <x:c r="S356" t="n">
        <x:f>0</x:f>
        <x:v>0</x:v>
      </x:c>
      <x:c r="T356" t="n">
        <x:f>S356*(1+($BG356+('Assumptions'!$D$18-$BG356)*(6-5)/5))</x:f>
        <x:v>0</x:v>
      </x:c>
      <x:c r="U356" t="n">
        <x:f>T356*(1+($BG356+('Assumptions'!$D$18-$BG356)*(7-5)/5))</x:f>
        <x:v>0</x:v>
      </x:c>
      <x:c r="V356" t="n">
        <x:f>U356*(1+($BG356+('Assumptions'!$D$18-$BG356)*(8-5)/5))</x:f>
        <x:v>0</x:v>
      </x:c>
      <x:c r="W356" t="n">
        <x:f>V356*(1+($BG356+('Assumptions'!$D$18-$BG356)*(9-5)/5))</x:f>
        <x:v>0</x:v>
      </x:c>
      <x:c r="X356" t="n">
        <x:f>W356*(1+($BG356+('Assumptions'!$D$18-$BG356)*(10-5)/5))</x:f>
        <x:v>0</x:v>
      </x:c>
      <x:c r="Y356" t="n">
        <x:f>E356*'POWL Model'!$B$62+O356*'POWL Model'!$B$63+'POWL Model'!$B$73+'POWL Model'!$B$74</x:f>
        <x:v>315</x:v>
      </x:c>
      <x:c r="Z356" t="n">
        <x:f>F356*'POWL Model'!$C$62+P356*'POWL Model'!$C$63+'POWL Model'!$C$73+'POWL Model'!$C$74</x:f>
        <x:v>491.7</x:v>
      </x:c>
      <x:c r="AA356" t="n">
        <x:f>G356*'POWL Model'!$D$62+Q356*'POWL Model'!$D$63+'POWL Model'!$D$73+'POWL Model'!$D$74</x:f>
        <x:v>732.633</x:v>
      </x:c>
      <x:c r="AB356" t="n">
        <x:f>H356*'POWL Model'!$E$62+R356*'POWL Model'!$E$63+'POWL Model'!$E$73+'POWL Model'!$E$74</x:f>
        <x:v>1066.8135525</x:v>
      </x:c>
      <x:c r="AC356" t="n">
        <x:f>I356*'POWL Model'!$F$62+S356*'POWL Model'!$F$63+'POWL Model'!$F$73+'POWL Model'!$F$74</x:f>
        <x:v>1552.5858631499998</x:v>
      </x:c>
      <x:c r="AD356" t="n">
        <x:f>AX356*$AC356/$AW356</x:f>
        <x:v>2170.5150366837</x:v>
      </x:c>
      <x:c r="AE356" t="n">
        <x:f>AY356*$AC356/$AW356</x:f>
        <x:v>2834.6926379089127</x:v>
      </x:c>
      <x:c r="AF356" t="n">
        <x:f>AZ356*$AC356/$AW356</x:f>
        <x:v>3441.3168624214195</x:v>
      </x:c>
      <x:c r="AG356" t="n">
        <x:f>BA356*$AC356/$AW356</x:f>
        <x:v>3861.1575196368326</x:v>
      </x:c>
      <x:c r="AH356" t="n">
        <x:f>BB356*$AC356/$AW356</x:f>
        <x:v>3976.9922452259375</x:v>
      </x:c>
      <x:c r="AI356" t="n">
        <x:f>Y356*(1-'Assumptions'!$F$18)+AS356*'Assumptions'!$G$18-AS356*'POWL Model'!$B$65-(AS356-'Inputs'!$G$14)*'Assumptions'!$H$18-'Assumptions'!$I$18</x:f>
        <x:v>183.9</x:v>
      </x:c>
      <x:c r="AJ356" t="n">
        <x:f>Z356*(1-'Assumptions'!$F$18)+AT356*'Assumptions'!$G$18-AT356*'POWL Model'!$C$65-(AT356-AS356)*'Assumptions'!$H$18-0</x:f>
        <x:v>262.197</x:v>
      </x:c>
      <x:c r="AK356" t="n">
        <x:f>AA356*(1-'Assumptions'!$F$18)+AU356*'Assumptions'!$G$18-AU356*'POWL Model'!$D$65-(AU356-AT356)*'Assumptions'!$H$18-0</x:f>
        <x:v>400.66398000000004</x:v>
      </x:c>
      <x:c r="AL356" t="n">
        <x:f>AB356*(1-'Assumptions'!$F$18)+AV356*'Assumptions'!$G$18-AV356*'POWL Model'!$E$65-(AV356-AU356)*'Assumptions'!$H$18-0</x:f>
        <x:v>588.0578679</x:v>
      </x:c>
      <x:c r="AM356" t="n">
        <x:f>AC356*(1-'Assumptions'!$F$18)+AW356*'Assumptions'!$G$18-AW356*'POWL Model'!$F$65-(AW356-AV356)*'Assumptions'!$H$18-0</x:f>
        <x:v>848.111812314</x:v>
      </x:c>
      <x:c r="AN356" t="n">
        <x:f>AD356*(1-'Assumptions'!$F$18)+AX356*'Assumptions'!$G$18-AX356*'POWL Model'!$G$65-(AX356-AW356)*'Assumptions'!$H$18-0</x:f>
        <x:v>1231.310009814972</x:v>
      </x:c>
      <x:c r="AO356" t="n">
        <x:f>AE356*(1-'Assumptions'!$F$18)+AY356*'Assumptions'!$G$18-AY356*'POWL Model'!$H$65-(AY356-AX356)*'Assumptions'!$H$18-0</x:f>
        <x:v>1676.1089201563536</x:v>
      </x:c>
      <x:c r="AP356" t="n">
        <x:f>AF356*(1-'Assumptions'!$F$18)+AZ356*'Assumptions'!$G$18-AZ356*'POWL Model'!$I$65-(AZ356-AY356)*'Assumptions'!$H$18-0</x:f>
        <x:v>2129.885459248337</x:v>
      </x:c>
      <x:c r="AQ356" t="n">
        <x:f>AG356*(1-'Assumptions'!$F$18)+BA356*'Assumptions'!$G$18-BA356*'POWL Model'!$J$65-(BA356-AZ356)*'Assumptions'!$H$18-0</x:f>
        <x:v>2513.918019889787</x:v>
      </x:c>
      <x:c r="AR356" t="n">
        <x:f>AH356*(1-'Assumptions'!$F$18)+BB356*'Assumptions'!$G$18-BB356*'POWL Model'!$K$65-(BB356-BA356)*'Assumptions'!$H$18-0</x:f>
        <x:v>2740.098013506847</x:v>
      </x:c>
      <x:c r="AS356" t="n">
        <x:f>E356+O356</x:f>
        <x:v>1500</x:v>
      </x:c>
      <x:c r="AT356" t="n">
        <x:f>F356+P356</x:f>
        <x:v>2235</x:v>
      </x:c>
      <x:c r="AU356" t="n">
        <x:f>G356+Q356</x:f>
        <x:v>3330.15</x:v>
      </x:c>
      <x:c r="AV356" t="n">
        <x:f>H356+R356</x:f>
        <x:v>4961.9235</x:v>
      </x:c>
      <x:c r="AW356" t="n">
        <x:f>I356+S356</x:f>
        <x:v>7393.266014999999</x:v>
      </x:c>
      <x:c r="AX356" t="n">
        <x:f>J356+T356</x:f>
        <x:v>10335.78588897</x:v>
      </x:c>
      <x:c r="AY356" t="n">
        <x:f>K356+U356</x:f>
        <x:v>13498.536370994821</x:v>
      </x:c>
      <x:c r="AZ356" t="n">
        <x:f>L356+V356</x:f>
        <x:v>16387.223154387713</x:v>
      </x:c>
      <x:c r="BA356" t="n">
        <x:f>M356+W356</x:f>
        <x:v>18386.464379223013</x:v>
      </x:c>
      <x:c r="BB356" t="n">
        <x:f>N356+X356</x:f>
        <x:v>18938.058310599703</x:v>
      </x:c>
      <x:c r="BC356" t="n">
        <x:f>AS356/'Inputs'!$G$14-1</x:f>
        <x:v>0.25</x:v>
      </x:c>
      <x:c r="BD356" t="n">
        <x:f>AT356/AS356-1</x:f>
        <x:v>0.49</x:v>
      </x:c>
      <x:c r="BE356" t="n">
        <x:f>AU356/AT356-1</x:f>
        <x:v>0.49</x:v>
      </x:c>
      <x:c r="BF356" t="n">
        <x:f>AV356/AU356-1</x:f>
        <x:v>0.49</x:v>
      </x:c>
      <x:c r="BG356" t="n">
        <x:f>AW356/AV356-1</x:f>
        <x:v>0.49</x:v>
      </x:c>
      <x:c r="BH356" t="n">
        <x:f>AX356/AW356-1</x:f>
        <x:v>0.39800000000000013</x:v>
      </x:c>
      <x:c r="BI356" t="n">
        <x:f>AY356/AX356-1</x:f>
        <x:v>0.30600000000000005</x:v>
      </x:c>
      <x:c r="BJ356" t="n">
        <x:f>AZ356/AY356-1</x:f>
        <x:v>0.21399999999999997</x:v>
      </x:c>
      <x:c r="BK356" t="n">
        <x:f>BA356/AZ356-1</x:f>
        <x:v>0.12199999999999989</x:v>
      </x:c>
      <x:c r="BL356" t="n">
        <x:f>BB356/BA356-1</x:f>
        <x:v>0.030000000000000027</x:v>
      </x:c>
      <x:c r="BM356" t="n">
        <x:f>AH356*(1-'Assumptions'!$F$18)*(1+'Assumptions'!$D$18)*(1-'Assumptions'!$D$18/'Assumptions'!$E$18)</x:f>
        <x:v>2739.6067860153203</x:v>
      </x:c>
      <x:c r="BN356" t="n">
        <x:f>SUMPRODUCT(AI356:AR356,'POWL Model'!$B$83:$K$83)+BM356/('Assumptions'!$C$18-'Assumptions'!$D$18)*'POWL Model'!$K$83</x:f>
        <x:v>19546.99942829286</x:v>
      </x:c>
      <x:c r="BO356" t="n">
        <x:f>'POWL Model'!$B$94</x:f>
        <x:v>230.812</x:v>
      </x:c>
      <x:c r="BP356" t="n">
        <x:f>'Inputs'!$G$8</x:f>
        <x:v>36.604</x:v>
      </x:c>
    </x:row>
    <x:row r="357">
      <x:c r="A357" t="str">
        <x:v>POWL</x:v>
      </x:c>
      <x:c r="B357" s="22" t="n">
        <x:v>0.5</x:v>
      </x:c>
      <x:c r="C357" s="42" t="n">
        <x:f>(BN357+BO357)/BP357</x:f>
        <x:v>561.4450778083279</x:v>
      </x:c>
      <x:c r="D357" s="22" t="n">
        <x:f>C357/'Inputs'!$G$5-1</x:f>
        <x:v>2.0989958481444386</x:v>
      </x:c>
      <x:c r="E357" t="n">
        <x:f>('Assumptions'!$M$18+'Assumptions'!$N$18)*(1+$B357)^0</x:f>
        <x:v>1500</x:v>
      </x:c>
      <x:c r="F357" t="n">
        <x:f>('Assumptions'!$M$18+'Assumptions'!$N$18)*(1+$B357)^1</x:f>
        <x:v>2250</x:v>
      </x:c>
      <x:c r="G357" t="n">
        <x:f>('Assumptions'!$M$18+'Assumptions'!$N$18)*(1+$B357)^2</x:f>
        <x:v>3375</x:v>
      </x:c>
      <x:c r="H357" t="n">
        <x:f>('Assumptions'!$M$18+'Assumptions'!$N$18)*(1+$B357)^3</x:f>
        <x:v>5062.5</x:v>
      </x:c>
      <x:c r="I357" t="n">
        <x:f>('Assumptions'!$M$18+'Assumptions'!$N$18)*(1+$B357)^4</x:f>
        <x:v>7593.75</x:v>
      </x:c>
      <x:c r="J357" t="n">
        <x:f>I357*(1+($BG357+('Assumptions'!$D$18-$BG357)*(6-5)/5))</x:f>
        <x:v>10676.812500000002</x:v>
      </x:c>
      <x:c r="K357" t="n">
        <x:f>J357*(1+($BG357+('Assumptions'!$D$18-$BG357)*(7-5)/5))</x:f>
        <x:v>14007.978000000003</x:v>
      </x:c>
      <x:c r="L357" t="n">
        <x:f>K357*(1+($BG357+('Assumptions'!$D$18-$BG357)*(8-5)/5))</x:f>
        <x:v>17061.717204000004</x:v>
      </x:c>
      <x:c r="M357" t="n">
        <x:f>L357*(1+($BG357+('Assumptions'!$D$18-$BG357)*(9-5)/5))</x:f>
        <x:v>19177.370137296006</x:v>
      </x:c>
      <x:c r="N357" t="n">
        <x:f>M357*(1+($BG357+('Assumptions'!$D$18-$BG357)*(10-5)/5))</x:f>
        <x:v>19752.691241414886</x:v>
      </x:c>
      <x:c r="O357" t="n">
        <x:f>0</x:f>
        <x:v>0</x:v>
      </x:c>
      <x:c r="P357" t="n">
        <x:f>0</x:f>
        <x:v>0</x:v>
      </x:c>
      <x:c r="Q357" t="n">
        <x:f>0</x:f>
        <x:v>0</x:v>
      </x:c>
      <x:c r="R357" t="n">
        <x:f>0</x:f>
        <x:v>0</x:v>
      </x:c>
      <x:c r="S357" t="n">
        <x:f>0</x:f>
        <x:v>0</x:v>
      </x:c>
      <x:c r="T357" t="n">
        <x:f>S357*(1+($BG357+('Assumptions'!$D$18-$BG357)*(6-5)/5))</x:f>
        <x:v>0</x:v>
      </x:c>
      <x:c r="U357" t="n">
        <x:f>T357*(1+($BG357+('Assumptions'!$D$18-$BG357)*(7-5)/5))</x:f>
        <x:v>0</x:v>
      </x:c>
      <x:c r="V357" t="n">
        <x:f>U357*(1+($BG357+('Assumptions'!$D$18-$BG357)*(8-5)/5))</x:f>
        <x:v>0</x:v>
      </x:c>
      <x:c r="W357" t="n">
        <x:f>V357*(1+($BG357+('Assumptions'!$D$18-$BG357)*(9-5)/5))</x:f>
        <x:v>0</x:v>
      </x:c>
      <x:c r="X357" t="n">
        <x:f>W357*(1+($BG357+('Assumptions'!$D$18-$BG357)*(10-5)/5))</x:f>
        <x:v>0</x:v>
      </x:c>
      <x:c r="Y357" t="n">
        <x:f>E357*'POWL Model'!$B$62+O357*'POWL Model'!$B$63+'POWL Model'!$B$73+'POWL Model'!$B$74</x:f>
        <x:v>315</x:v>
      </x:c>
      <x:c r="Z357" t="n">
        <x:f>F357*'POWL Model'!$C$62+P357*'POWL Model'!$C$63+'POWL Model'!$C$73+'POWL Model'!$C$74</x:f>
        <x:v>495</x:v>
      </x:c>
      <x:c r="AA357" t="n">
        <x:f>G357*'POWL Model'!$D$62+Q357*'POWL Model'!$D$63+'POWL Model'!$D$73+'POWL Model'!$D$74</x:f>
        <x:v>742.5</x:v>
      </x:c>
      <x:c r="AB357" t="n">
        <x:f>H357*'POWL Model'!$E$62+R357*'POWL Model'!$E$63+'POWL Model'!$E$73+'POWL Model'!$E$74</x:f>
        <x:v>1088.4375</x:v>
      </x:c>
      <x:c r="AC357" t="n">
        <x:f>I357*'POWL Model'!$F$62+S357*'POWL Model'!$F$63+'POWL Model'!$F$73+'POWL Model'!$F$74</x:f>
        <x:v>1594.6875</x:v>
      </x:c>
      <x:c r="AD357" t="n">
        <x:f>AX357*$AC357/$AW357</x:f>
        <x:v>2242.1306250000007</x:v>
      </x:c>
      <x:c r="AE357" t="n">
        <x:f>AY357*$AC357/$AW357</x:f>
        <x:v>2941.6753800000006</x:v>
      </x:c>
      <x:c r="AF357" t="n">
        <x:f>AZ357*$AC357/$AW357</x:f>
        <x:v>3582.960612840001</x:v>
      </x:c>
      <x:c r="AG357" t="n">
        <x:f>BA357*$AC357/$AW357</x:f>
        <x:v>4027.247728832161</x:v>
      </x:c>
      <x:c r="AH357" t="n">
        <x:f>BB357*$AC357/$AW357</x:f>
        <x:v>4148.065160697126</x:v>
      </x:c>
      <x:c r="AI357" t="n">
        <x:f>Y357*(1-'Assumptions'!$F$18)+AS357*'Assumptions'!$G$18-AS357*'POWL Model'!$B$65-(AS357-'Inputs'!$G$14)*'Assumptions'!$H$18-'Assumptions'!$I$18</x:f>
        <x:v>183.9</x:v>
      </x:c>
      <x:c r="AJ357" t="n">
        <x:f>Z357*(1-'Assumptions'!$F$18)+AT357*'Assumptions'!$G$18-AT357*'POWL Model'!$C$65-(AT357-AS357)*'Assumptions'!$H$18-0</x:f>
        <x:v>262.95</x:v>
      </x:c>
      <x:c r="AK357" t="n">
        <x:f>AA357*(1-'Assumptions'!$F$18)+AU357*'Assumptions'!$G$18-AU357*'POWL Model'!$D$65-(AU357-AT357)*'Assumptions'!$H$18-0</x:f>
        <x:v>404.54999999999995</x:v>
      </x:c>
      <x:c r="AL357" t="n">
        <x:f>AB357*(1-'Assumptions'!$F$18)+AV357*'Assumptions'!$G$18-AV357*'POWL Model'!$E$65-(AV357-AU357)*'Assumptions'!$H$18-0</x:f>
        <x:v>597.7125</x:v>
      </x:c>
      <x:c r="AM357" t="n">
        <x:f>AC357*(1-'Assumptions'!$F$18)+AW357*'Assumptions'!$G$18-AW357*'POWL Model'!$F$65-(AW357-AV357)*'Assumptions'!$H$18-0</x:f>
        <x:v>867.7125000000001</x:v>
      </x:c>
      <x:c r="AN357" t="n">
        <x:f>AD357*(1-'Assumptions'!$F$18)+AX357*'Assumptions'!$G$18-AX357*'POWL Model'!$G$65-(AX357-AW357)*'Assumptions'!$H$18-0</x:f>
        <x:v>1267.5912750000002</x:v>
      </x:c>
      <x:c r="AO357" t="n">
        <x:f>AE357*(1-'Assumptions'!$F$18)+AY357*'Assumptions'!$G$18-AY357*'POWL Model'!$H$65-(AY357-AX357)*'Assumptions'!$H$18-0</x:f>
        <x:v>1734.4610028000002</x:v>
      </x:c>
      <x:c r="AP357" t="n">
        <x:f>AF357*(1-'Assumptions'!$F$18)+AZ357*'Assumptions'!$G$18-AZ357*'POWL Model'!$I$65-(AZ357-AY357)*'Assumptions'!$H$18-0</x:f>
        <x:v>2212.9355389104003</x:v>
      </x:c>
      <x:c r="AQ357" t="n">
        <x:f>AG357*(1-'Assumptions'!$F$18)+BA357*'Assumptions'!$G$18-BA357*'POWL Model'!$J$65-(BA357-AZ357)*'Assumptions'!$H$18-0</x:f>
        <x:v>2619.0145389352906</x:v>
      </x:c>
      <x:c r="AR357" t="n">
        <x:f>AH357*(1-'Assumptions'!$F$18)+BB357*'Assumptions'!$G$18-BB357*'POWL Model'!$K$65-(BB357-BA357)*'Assumptions'!$H$18-0</x:f>
        <x:v>2857.965116820949</x:v>
      </x:c>
      <x:c r="AS357" t="n">
        <x:f>E357+O357</x:f>
        <x:v>1500</x:v>
      </x:c>
      <x:c r="AT357" t="n">
        <x:f>F357+P357</x:f>
        <x:v>2250</x:v>
      </x:c>
      <x:c r="AU357" t="n">
        <x:f>G357+Q357</x:f>
        <x:v>3375</x:v>
      </x:c>
      <x:c r="AV357" t="n">
        <x:f>H357+R357</x:f>
        <x:v>5062.5</x:v>
      </x:c>
      <x:c r="AW357" t="n">
        <x:f>I357+S357</x:f>
        <x:v>7593.75</x:v>
      </x:c>
      <x:c r="AX357" t="n">
        <x:f>J357+T357</x:f>
        <x:v>10676.812500000002</x:v>
      </x:c>
      <x:c r="AY357" t="n">
        <x:f>K357+U357</x:f>
        <x:v>14007.978000000003</x:v>
      </x:c>
      <x:c r="AZ357" t="n">
        <x:f>L357+V357</x:f>
        <x:v>17061.717204000004</x:v>
      </x:c>
      <x:c r="BA357" t="n">
        <x:f>M357+W357</x:f>
        <x:v>19177.370137296006</x:v>
      </x:c>
      <x:c r="BB357" t="n">
        <x:f>N357+X357</x:f>
        <x:v>19752.691241414886</x:v>
      </x:c>
      <x:c r="BC357" t="n">
        <x:f>AS357/'Inputs'!$G$14-1</x:f>
        <x:v>0.25</x:v>
      </x:c>
      <x:c r="BD357" t="n">
        <x:f>AT357/AS357-1</x:f>
        <x:v>0.5</x:v>
      </x:c>
      <x:c r="BE357" t="n">
        <x:f>AU357/AT357-1</x:f>
        <x:v>0.5</x:v>
      </x:c>
      <x:c r="BF357" t="n">
        <x:f>AV357/AU357-1</x:f>
        <x:v>0.5</x:v>
      </x:c>
      <x:c r="BG357" t="n">
        <x:f>AW357/AV357-1</x:f>
        <x:v>0.5</x:v>
      </x:c>
      <x:c r="BH357" t="n">
        <x:f>AX357/AW357-1</x:f>
        <x:v>0.40600000000000014</x:v>
      </x:c>
      <x:c r="BI357" t="n">
        <x:f>AY357/AX357-1</x:f>
        <x:v>0.31200000000000006</x:v>
      </x:c>
      <x:c r="BJ357" t="n">
        <x:f>AZ357/AY357-1</x:f>
        <x:v>0.21799999999999997</x:v>
      </x:c>
      <x:c r="BK357" t="n">
        <x:f>BA357/AZ357-1</x:f>
        <x:v>0.12400000000000011</x:v>
      </x:c>
      <x:c r="BL357" t="n">
        <x:f>BB357/BA357-1</x:f>
        <x:v>0.030000000000000027</x:v>
      </x:c>
      <x:c r="BM357" t="n">
        <x:f>AH357*(1-'Assumptions'!$F$18)*(1+'Assumptions'!$D$18)*(1-'Assumptions'!$D$18/'Assumptions'!$E$18)</x:f>
        <x:v>2857.452758858465</x:v>
      </x:c>
      <x:c r="BN357" t="n">
        <x:f>SUMPRODUCT(AI357:AR357,'POWL Model'!$B$83:$K$83)+BM357/('Assumptions'!$C$18-'Assumptions'!$D$18)*'POWL Model'!$K$83</x:f>
        <x:v>20320.323628096034</x:v>
      </x:c>
      <x:c r="BO357" t="n">
        <x:f>'POWL Model'!$B$94</x:f>
        <x:v>230.812</x:v>
      </x:c>
      <x:c r="BP357" t="n">
        <x:f>'Inputs'!$G$8</x:f>
        <x:v>36.604</x:v>
      </x:c>
    </x:row>
    <x:row r="358">
      <x:c r="A358" t="str">
        <x:v>POWL</x:v>
      </x:c>
      <x:c r="B358" s="22" t="n">
        <x:v>0.51</x:v>
      </x:c>
      <x:c r="C358" s="42" t="n">
        <x:f>(BN358+BO358)/BP358</x:f>
        <x:v>583.3150590064364</x:v>
      </x:c>
      <x:c r="D358" s="22" t="n">
        <x:f>C358/'Inputs'!$G$5-1</x:f>
        <x:v>2.219711094587605</x:v>
      </x:c>
      <x:c r="E358" t="n">
        <x:f>('Assumptions'!$M$18+'Assumptions'!$N$18)*(1+$B358)^0</x:f>
        <x:v>1500</x:v>
      </x:c>
      <x:c r="F358" t="n">
        <x:f>('Assumptions'!$M$18+'Assumptions'!$N$18)*(1+$B358)^1</x:f>
        <x:v>2265</x:v>
      </x:c>
      <x:c r="G358" t="n">
        <x:f>('Assumptions'!$M$18+'Assumptions'!$N$18)*(1+$B358)^2</x:f>
        <x:v>3420.15</x:v>
      </x:c>
      <x:c r="H358" t="n">
        <x:f>('Assumptions'!$M$18+'Assumptions'!$N$18)*(1+$B358)^3</x:f>
        <x:v>5164.4265</x:v>
      </x:c>
      <x:c r="I358" t="n">
        <x:f>('Assumptions'!$M$18+'Assumptions'!$N$18)*(1+$B358)^4</x:f>
        <x:v>7798.284015</x:v>
      </x:c>
      <x:c r="J358" t="n">
        <x:f>I358*(1+($BG358+('Assumptions'!$D$18-$BG358)*(6-5)/5))</x:f>
        <x:v>11026.773597210002</x:v>
      </x:c>
      <x:c r="K358" t="n">
        <x:f>J358*(1+($BG358+('Assumptions'!$D$18-$BG358)*(7-5)/5))</x:f>
        <x:v>14533.287601122784</x:v>
      </x:c>
      <x:c r="L358" t="n">
        <x:f>K358*(1+($BG358+('Assumptions'!$D$18-$BG358)*(8-5)/5))</x:f>
        <x:v>17759.67744857204</x:v>
      </x:c>
      <x:c r="M358" t="n">
        <x:f>L358*(1+($BG358+('Assumptions'!$D$18-$BG358)*(9-5)/5))</x:f>
        <x:v>19997.396807092122</x:v>
      </x:c>
      <x:c r="N358" t="n">
        <x:f>M358*(1+($BG358+('Assumptions'!$D$18-$BG358)*(10-5)/5))</x:f>
        <x:v>20597.318711304884</x:v>
      </x:c>
      <x:c r="O358" t="n">
        <x:f>0</x:f>
        <x:v>0</x:v>
      </x:c>
      <x:c r="P358" t="n">
        <x:f>0</x:f>
        <x:v>0</x:v>
      </x:c>
      <x:c r="Q358" t="n">
        <x:f>0</x:f>
        <x:v>0</x:v>
      </x:c>
      <x:c r="R358" t="n">
        <x:f>0</x:f>
        <x:v>0</x:v>
      </x:c>
      <x:c r="S358" t="n">
        <x:f>0</x:f>
        <x:v>0</x:v>
      </x:c>
      <x:c r="T358" t="n">
        <x:f>S358*(1+($BG358+('Assumptions'!$D$18-$BG358)*(6-5)/5))</x:f>
        <x:v>0</x:v>
      </x:c>
      <x:c r="U358" t="n">
        <x:f>T358*(1+($BG358+('Assumptions'!$D$18-$BG358)*(7-5)/5))</x:f>
        <x:v>0</x:v>
      </x:c>
      <x:c r="V358" t="n">
        <x:f>U358*(1+($BG358+('Assumptions'!$D$18-$BG358)*(8-5)/5))</x:f>
        <x:v>0</x:v>
      </x:c>
      <x:c r="W358" t="n">
        <x:f>V358*(1+($BG358+('Assumptions'!$D$18-$BG358)*(9-5)/5))</x:f>
        <x:v>0</x:v>
      </x:c>
      <x:c r="X358" t="n">
        <x:f>W358*(1+($BG358+('Assumptions'!$D$18-$BG358)*(10-5)/5))</x:f>
        <x:v>0</x:v>
      </x:c>
      <x:c r="Y358" t="n">
        <x:f>E358*'POWL Model'!$B$62+O358*'POWL Model'!$B$63+'POWL Model'!$B$73+'POWL Model'!$B$74</x:f>
        <x:v>315</x:v>
      </x:c>
      <x:c r="Z358" t="n">
        <x:f>F358*'POWL Model'!$C$62+P358*'POWL Model'!$C$63+'POWL Model'!$C$73+'POWL Model'!$C$74</x:f>
        <x:v>498.3</x:v>
      </x:c>
      <x:c r="AA358" t="n">
        <x:f>G358*'POWL Model'!$D$62+Q358*'POWL Model'!$D$63+'POWL Model'!$D$73+'POWL Model'!$D$74</x:f>
        <x:v>752.433</x:v>
      </x:c>
      <x:c r="AB358" t="n">
        <x:f>H358*'POWL Model'!$E$62+R358*'POWL Model'!$E$63+'POWL Model'!$E$73+'POWL Model'!$E$74</x:f>
        <x:v>1110.3516975</x:v>
      </x:c>
      <x:c r="AC358" t="n">
        <x:f>I358*'POWL Model'!$F$62+S358*'POWL Model'!$F$63+'POWL Model'!$F$73+'POWL Model'!$F$74</x:f>
        <x:v>1637.63964315</x:v>
      </x:c>
      <x:c r="AD358" t="n">
        <x:f>AX358*$AC358/$AW358</x:f>
        <x:v>2315.6224554141004</x:v>
      </x:c>
      <x:c r="AE358" t="n">
        <x:f>AY358*$AC358/$AW358</x:f>
        <x:v>3051.9903962357844</x:v>
      </x:c>
      <x:c r="AF358" t="n">
        <x:f>AZ358*$AC358/$AW358</x:f>
        <x:v>3729.5322642001283</x:v>
      </x:c>
      <x:c r="AG358" t="n">
        <x:f>BA358*$AC358/$AW358</x:f>
        <x:v>4199.453329489345</x:v>
      </x:c>
      <x:c r="AH358" t="n">
        <x:f>BB358*$AC358/$AW358</x:f>
        <x:v>4325.436929374026</x:v>
      </x:c>
      <x:c r="AI358" t="n">
        <x:f>Y358*(1-'Assumptions'!$F$18)+AS358*'Assumptions'!$G$18-AS358*'POWL Model'!$B$65-(AS358-'Inputs'!$G$14)*'Assumptions'!$H$18-'Assumptions'!$I$18</x:f>
        <x:v>183.9</x:v>
      </x:c>
      <x:c r="AJ358" t="n">
        <x:f>Z358*(1-'Assumptions'!$F$18)+AT358*'Assumptions'!$G$18-AT358*'POWL Model'!$C$65-(AT358-AS358)*'Assumptions'!$H$18-0</x:f>
        <x:v>263.70300000000003</x:v>
      </x:c>
      <x:c r="AK358" t="n">
        <x:f>AA358*(1-'Assumptions'!$F$18)+AU358*'Assumptions'!$G$18-AU358*'POWL Model'!$D$65-(AU358-AT358)*'Assumptions'!$H$18-0</x:f>
        <x:v>408.45198000000005</x:v>
      </x:c>
      <x:c r="AL358" t="n">
        <x:f>AB358*(1-'Assumptions'!$F$18)+AV358*'Assumptions'!$G$18-AV358*'POWL Model'!$E$65-(AV358-AU358)*'Assumptions'!$H$18-0</x:f>
        <x:v>607.4665221</x:v>
      </x:c>
      <x:c r="AM358" t="n">
        <x:f>AC358*(1-'Assumptions'!$F$18)+AW358*'Assumptions'!$G$18-AW358*'POWL Model'!$F$65-(AW358-AV358)*'Assumptions'!$H$18-0</x:f>
        <x:v>887.6409691139999</x:v>
      </x:c>
      <x:c r="AN358" t="n">
        <x:f>AD358*(1-'Assumptions'!$F$18)+AX358*'Assumptions'!$G$18-AX358*'POWL Model'!$G$65-(AX358-AW358)*'Assumptions'!$H$18-0</x:f>
        <x:v>1304.702824727196</x:v>
      </x:c>
      <x:c r="AO358" t="n">
        <x:f>AE358*(1-'Assumptions'!$F$18)+AY358*'Assumptions'!$G$18-AY358*'POWL Model'!$H$65-(AY358-AX358)*'Assumptions'!$H$18-0</x:f>
        <x:v>1794.4618495344441</x:v>
      </x:c>
      <x:c r="AP358" t="n">
        <x:f>AF358*(1-'Assumptions'!$F$18)+AZ358*'Assumptions'!$G$18-AZ358*'POWL Model'!$I$65-(AZ358-AY358)*'Assumptions'!$H$18-0</x:f>
        <x:v>2298.689406664307</x:v>
      </x:c>
      <x:c r="AQ358" t="n">
        <x:f>AG358*(1-'Assumptions'!$F$18)+BA358*'Assumptions'!$G$18-BA358*'POWL Model'!$J$65-(BA358-AZ358)*'Assumptions'!$H$18-0</x:f>
        <x:v>2727.843832874789</x:v>
      </x:c>
      <x:c r="AR358" t="n">
        <x:f>AH358*(1-'Assumptions'!$F$18)+BB358*'Assumptions'!$G$18-BB358*'POWL Model'!$K$65-(BB358-BA358)*'Assumptions'!$H$18-0</x:f>
        <x:v>2980.1720513673245</x:v>
      </x:c>
      <x:c r="AS358" t="n">
        <x:f>E358+O358</x:f>
        <x:v>1500</x:v>
      </x:c>
      <x:c r="AT358" t="n">
        <x:f>F358+P358</x:f>
        <x:v>2265</x:v>
      </x:c>
      <x:c r="AU358" t="n">
        <x:f>G358+Q358</x:f>
        <x:v>3420.15</x:v>
      </x:c>
      <x:c r="AV358" t="n">
        <x:f>H358+R358</x:f>
        <x:v>5164.4265</x:v>
      </x:c>
      <x:c r="AW358" t="n">
        <x:f>I358+S358</x:f>
        <x:v>7798.284015</x:v>
      </x:c>
      <x:c r="AX358" t="n">
        <x:f>J358+T358</x:f>
        <x:v>11026.773597210002</x:v>
      </x:c>
      <x:c r="AY358" t="n">
        <x:f>K358+U358</x:f>
        <x:v>14533.287601122784</x:v>
      </x:c>
      <x:c r="AZ358" t="n">
        <x:f>L358+V358</x:f>
        <x:v>17759.67744857204</x:v>
      </x:c>
      <x:c r="BA358" t="n">
        <x:f>M358+W358</x:f>
        <x:v>19997.396807092122</x:v>
      </x:c>
      <x:c r="BB358" t="n">
        <x:f>N358+X358</x:f>
        <x:v>20597.318711304884</x:v>
      </x:c>
      <x:c r="BC358" t="n">
        <x:f>AS358/'Inputs'!$G$14-1</x:f>
        <x:v>0.25</x:v>
      </x:c>
      <x:c r="BD358" t="n">
        <x:f>AT358/AS358-1</x:f>
        <x:v>0.51</x:v>
      </x:c>
      <x:c r="BE358" t="n">
        <x:f>AU358/AT358-1</x:f>
        <x:v>0.51</x:v>
      </x:c>
      <x:c r="BF358" t="n">
        <x:f>AV358/AU358-1</x:f>
        <x:v>0.5099999999999998</x:v>
      </x:c>
      <x:c r="BG358" t="n">
        <x:f>AW358/AV358-1</x:f>
        <x:v>0.5100000000000002</x:v>
      </x:c>
      <x:c r="BH358" t="n">
        <x:f>AX358/AW358-1</x:f>
        <x:v>0.41400000000000015</x:v>
      </x:c>
      <x:c r="BI358" t="n">
        <x:f>AY358/AX358-1</x:f>
        <x:v>0.31800000000000006</x:v>
      </x:c>
      <x:c r="BJ358" t="n">
        <x:f>AZ358/AY358-1</x:f>
        <x:v>0.22199999999999998</x:v>
      </x:c>
      <x:c r="BK358" t="n">
        <x:f>BA358/AZ358-1</x:f>
        <x:v>0.1260000000000001</x:v>
      </x:c>
      <x:c r="BL358" t="n">
        <x:f>BB358/BA358-1</x:f>
        <x:v>0.030000000000000027</x:v>
      </x:c>
      <x:c r="BM358" t="n">
        <x:f>AH358*(1-'Assumptions'!$F$18)*(1+'Assumptions'!$D$18)*(1-'Assumptions'!$D$18/'Assumptions'!$E$18)</x:f>
        <x:v>2979.6377849163086</x:v>
      </x:c>
      <x:c r="BN358" t="n">
        <x:f>SUMPRODUCT(AI358:AR358,'POWL Model'!$B$83:$K$83)+BM358/('Assumptions'!$C$18-'Assumptions'!$D$18)*'POWL Model'!$K$83</x:f>
        <x:v>21120.852419871597</x:v>
      </x:c>
      <x:c r="BO358" t="n">
        <x:f>'POWL Model'!$B$94</x:f>
        <x:v>230.812</x:v>
      </x:c>
      <x:c r="BP358" t="n">
        <x:f>'Inputs'!$G$8</x:f>
        <x:v>36.604</x:v>
      </x:c>
    </x:row>
    <x:row r="359">
      <x:c r="A359" t="str">
        <x:v>POWL</x:v>
      </x:c>
      <x:c r="B359" s="22" t="n">
        <x:v>0.52</x:v>
      </x:c>
      <x:c r="C359" s="42" t="n">
        <x:f>(BN359+BO359)/BP359</x:f>
        <x:v>605.950393642709</x:v>
      </x:c>
      <x:c r="D359" s="22" t="n">
        <x:f>C359/'Inputs'!$G$5-1</x:f>
        <x:v>2.3446508452983883</x:v>
      </x:c>
      <x:c r="E359" t="n">
        <x:f>('Assumptions'!$M$18+'Assumptions'!$N$18)*(1+$B359)^0</x:f>
        <x:v>1500</x:v>
      </x:c>
      <x:c r="F359" t="n">
        <x:f>('Assumptions'!$M$18+'Assumptions'!$N$18)*(1+$B359)^1</x:f>
        <x:v>2280</x:v>
      </x:c>
      <x:c r="G359" t="n">
        <x:f>('Assumptions'!$M$18+'Assumptions'!$N$18)*(1+$B359)^2</x:f>
        <x:v>3465.6</x:v>
      </x:c>
      <x:c r="H359" t="n">
        <x:f>('Assumptions'!$M$18+'Assumptions'!$N$18)*(1+$B359)^3</x:f>
        <x:v>5267.712</x:v>
      </x:c>
      <x:c r="I359" t="n">
        <x:f>('Assumptions'!$M$18+'Assumptions'!$N$18)*(1+$B359)^4</x:f>
        <x:v>8006.92224</x:v>
      </x:c>
      <x:c r="J359" t="n">
        <x:f>I359*(1+($BG359+('Assumptions'!$D$18-$BG359)*(6-5)/5))</x:f>
        <x:v>11385.843425279998</x:v>
      </x:c>
      <x:c r="K359" t="n">
        <x:f>J359*(1+($BG359+('Assumptions'!$D$18-$BG359)*(7-5)/5))</x:f>
        <x:v>15074.856695070715</x:v>
      </x:c>
      <x:c r="L359" t="n">
        <x:f>K359*(1+($BG359+('Assumptions'!$D$18-$BG359)*(8-5)/5))</x:f>
        <x:v>18481.774308156695</x:v>
      </x:c>
      <x:c r="M359" t="n">
        <x:f>L359*(1+($BG359+('Assumptions'!$D$18-$BG359)*(9-5)/5))</x:f>
        <x:v>20847.441419600753</x:v>
      </x:c>
      <x:c r="N359" t="n">
        <x:f>M359*(1+($BG359+('Assumptions'!$D$18-$BG359)*(10-5)/5))</x:f>
        <x:v>21472.864662188775</x:v>
      </x:c>
      <x:c r="O359" t="n">
        <x:f>0</x:f>
        <x:v>0</x:v>
      </x:c>
      <x:c r="P359" t="n">
        <x:f>0</x:f>
        <x:v>0</x:v>
      </x:c>
      <x:c r="Q359" t="n">
        <x:f>0</x:f>
        <x:v>0</x:v>
      </x:c>
      <x:c r="R359" t="n">
        <x:f>0</x:f>
        <x:v>0</x:v>
      </x:c>
      <x:c r="S359" t="n">
        <x:f>0</x:f>
        <x:v>0</x:v>
      </x:c>
      <x:c r="T359" t="n">
        <x:f>S359*(1+($BG359+('Assumptions'!$D$18-$BG359)*(6-5)/5))</x:f>
        <x:v>0</x:v>
      </x:c>
      <x:c r="U359" t="n">
        <x:f>T359*(1+($BG359+('Assumptions'!$D$18-$BG359)*(7-5)/5))</x:f>
        <x:v>0</x:v>
      </x:c>
      <x:c r="V359" t="n">
        <x:f>U359*(1+($BG359+('Assumptions'!$D$18-$BG359)*(8-5)/5))</x:f>
        <x:v>0</x:v>
      </x:c>
      <x:c r="W359" t="n">
        <x:f>V359*(1+($BG359+('Assumptions'!$D$18-$BG359)*(9-5)/5))</x:f>
        <x:v>0</x:v>
      </x:c>
      <x:c r="X359" t="n">
        <x:f>W359*(1+($BG359+('Assumptions'!$D$18-$BG359)*(10-5)/5))</x:f>
        <x:v>0</x:v>
      </x:c>
      <x:c r="Y359" t="n">
        <x:f>E359*'POWL Model'!$B$62+O359*'POWL Model'!$B$63+'POWL Model'!$B$73+'POWL Model'!$B$74</x:f>
        <x:v>315</x:v>
      </x:c>
      <x:c r="Z359" t="n">
        <x:f>F359*'POWL Model'!$C$62+P359*'POWL Model'!$C$63+'POWL Model'!$C$73+'POWL Model'!$C$74</x:f>
        <x:v>501.6</x:v>
      </x:c>
      <x:c r="AA359" t="n">
        <x:f>G359*'POWL Model'!$D$62+Q359*'POWL Model'!$D$63+'POWL Model'!$D$73+'POWL Model'!$D$74</x:f>
        <x:v>762.432</x:v>
      </x:c>
      <x:c r="AB359" t="n">
        <x:f>H359*'POWL Model'!$E$62+R359*'POWL Model'!$E$63+'POWL Model'!$E$73+'POWL Model'!$E$74</x:f>
        <x:v>1132.55808</x:v>
      </x:c>
      <x:c r="AC359" t="n">
        <x:f>I359*'POWL Model'!$F$62+S359*'POWL Model'!$F$63+'POWL Model'!$F$73+'POWL Model'!$F$74</x:f>
        <x:v>1681.4536704</x:v>
      </x:c>
      <x:c r="AD359" t="n">
        <x:f>AX359*$AC359/$AW359</x:f>
        <x:v>2391.0271193087997</x:v>
      </x:c>
      <x:c r="AE359" t="n">
        <x:f>AY359*$AC359/$AW359</x:f>
        <x:v>3165.71990596485</x:v>
      </x:c>
      <x:c r="AF359" t="n">
        <x:f>AZ359*$AC359/$AW359</x:f>
        <x:v>3881.172604712906</x:v>
      </x:c>
      <x:c r="AG359" t="n">
        <x:f>BA359*$AC359/$AW359</x:f>
        <x:v>4377.962698116158</x:v>
      </x:c>
      <x:c r="AH359" t="n">
        <x:f>BB359*$AC359/$AW359</x:f>
        <x:v>4509.301579059643</x:v>
      </x:c>
      <x:c r="AI359" t="n">
        <x:f>Y359*(1-'Assumptions'!$F$18)+AS359*'Assumptions'!$G$18-AS359*'POWL Model'!$B$65-(AS359-'Inputs'!$G$14)*'Assumptions'!$H$18-'Assumptions'!$I$18</x:f>
        <x:v>183.9</x:v>
      </x:c>
      <x:c r="AJ359" t="n">
        <x:f>Z359*(1-'Assumptions'!$F$18)+AT359*'Assumptions'!$G$18-AT359*'POWL Model'!$C$65-(AT359-AS359)*'Assumptions'!$H$18-0</x:f>
        <x:v>264.456</x:v>
      </x:c>
      <x:c r="AK359" t="n">
        <x:f>AA359*(1-'Assumptions'!$F$18)+AU359*'Assumptions'!$G$18-AU359*'POWL Model'!$D$65-(AU359-AT359)*'Assumptions'!$H$18-0</x:f>
        <x:v>412.3699199999999</x:v>
      </x:c>
      <x:c r="AL359" t="n">
        <x:f>AB359*(1-'Assumptions'!$F$18)+AV359*'Assumptions'!$G$18-AV359*'POWL Model'!$E$65-(AV359-AU359)*'Assumptions'!$H$18-0</x:f>
        <x:v>617.3203967999999</x:v>
      </x:c>
      <x:c r="AM359" t="n">
        <x:f>AC359*(1-'Assumptions'!$F$18)+AW359*'Assumptions'!$G$18-AW359*'POWL Model'!$F$65-(AW359-AV359)*'Assumptions'!$H$18-0</x:f>
        <x:v>907.9006986239999</x:v>
      </x:c>
      <x:c r="AN359" t="n">
        <x:f>AD359*(1-'Assumptions'!$F$18)+AX359*'Assumptions'!$G$18-AX359*'POWL Model'!$G$65-(AX359-AW359)*'Assumptions'!$H$18-0</x:f>
        <x:v>1342.658371043328</x:v>
      </x:c>
      <x:c r="AO359" t="n">
        <x:f>AE359*(1-'Assumptions'!$F$18)+AY359*'Assumptions'!$G$18-AY359*'POWL Model'!$H$65-(AY359-AX359)*'Assumptions'!$H$18-0</x:f>
        <x:v>1856.147521213366</x:v>
      </x:c>
      <x:c r="AP359" t="n">
        <x:f>AF359*(1-'Assumptions'!$F$18)+AZ359*'Assumptions'!$G$18-AZ359*'POWL Model'!$I$65-(AZ359-AY359)*'Assumptions'!$H$18-0</x:f>
        <x:v>2387.21812657533</x:v>
      </x:c>
      <x:c r="AQ359" t="n">
        <x:f>AG359*(1-'Assumptions'!$F$18)+BA359*'Assumptions'!$G$18-BA359*'POWL Model'!$J$65-(BA359-AZ359)*'Assumptions'!$H$18-0</x:f>
        <x:v>2840.515642388665</x:v>
      </x:c>
      <x:c r="AR359" t="n">
        <x:f>AH359*(1-'Assumptions'!$F$18)+BB359*'Assumptions'!$G$18-BB359*'POWL Model'!$K$65-(BB359-BA359)*'Assumptions'!$H$18-0</x:f>
        <x:v>3106.8524998802613</x:v>
      </x:c>
      <x:c r="AS359" t="n">
        <x:f>E359+O359</x:f>
        <x:v>1500</x:v>
      </x:c>
      <x:c r="AT359" t="n">
        <x:f>F359+P359</x:f>
        <x:v>2280</x:v>
      </x:c>
      <x:c r="AU359" t="n">
        <x:f>G359+Q359</x:f>
        <x:v>3465.6</x:v>
      </x:c>
      <x:c r="AV359" t="n">
        <x:f>H359+R359</x:f>
        <x:v>5267.712</x:v>
      </x:c>
      <x:c r="AW359" t="n">
        <x:f>I359+S359</x:f>
        <x:v>8006.92224</x:v>
      </x:c>
      <x:c r="AX359" t="n">
        <x:f>J359+T359</x:f>
        <x:v>11385.843425279998</x:v>
      </x:c>
      <x:c r="AY359" t="n">
        <x:f>K359+U359</x:f>
        <x:v>15074.856695070715</x:v>
      </x:c>
      <x:c r="AZ359" t="n">
        <x:f>L359+V359</x:f>
        <x:v>18481.774308156695</x:v>
      </x:c>
      <x:c r="BA359" t="n">
        <x:f>M359+W359</x:f>
        <x:v>20847.441419600753</x:v>
      </x:c>
      <x:c r="BB359" t="n">
        <x:f>N359+X359</x:f>
        <x:v>21472.864662188775</x:v>
      </x:c>
      <x:c r="BC359" t="n">
        <x:f>AS359/'Inputs'!$G$14-1</x:f>
        <x:v>0.25</x:v>
      </x:c>
      <x:c r="BD359" t="n">
        <x:f>AT359/AS359-1</x:f>
        <x:v>0.52</x:v>
      </x:c>
      <x:c r="BE359" t="n">
        <x:f>AU359/AT359-1</x:f>
        <x:v>0.52</x:v>
      </x:c>
      <x:c r="BF359" t="n">
        <x:f>AV359/AU359-1</x:f>
        <x:v>0.5200000000000002</x:v>
      </x:c>
      <x:c r="BG359" t="n">
        <x:f>AW359/AV359-1</x:f>
        <x:v>0.5199999999999998</x:v>
      </x:c>
      <x:c r="BH359" t="n">
        <x:f>AX359/AW359-1</x:f>
        <x:v>0.4219999999999997</x:v>
      </x:c>
      <x:c r="BI359" t="n">
        <x:f>AY359/AX359-1</x:f>
        <x:v>0.32399999999999984</x:v>
      </x:c>
      <x:c r="BJ359" t="n">
        <x:f>AZ359/AY359-1</x:f>
        <x:v>0.22599999999999976</x:v>
      </x:c>
      <x:c r="BK359" t="n">
        <x:f>BA359/AZ359-1</x:f>
        <x:v>0.1280000000000001</x:v>
      </x:c>
      <x:c r="BL359" t="n">
        <x:f>BB359/BA359-1</x:f>
        <x:v>0.030000000000000027</x:v>
      </x:c>
      <x:c r="BM359" t="n">
        <x:f>AH359*(1-'Assumptions'!$F$18)*(1+'Assumptions'!$D$18)*(1-'Assumptions'!$D$18/'Assumptions'!$E$18)</x:f>
        <x:v>3106.295522957342</x:v>
      </x:c>
      <x:c r="BN359" t="n">
        <x:f>SUMPRODUCT(AI359:AR359,'POWL Model'!$B$83:$K$83)+BM359/('Assumptions'!$C$18-'Assumptions'!$D$18)*'POWL Model'!$K$83</x:f>
        <x:v>21949.396208897717</x:v>
      </x:c>
      <x:c r="BO359" t="n">
        <x:f>'POWL Model'!$B$94</x:f>
        <x:v>230.812</x:v>
      </x:c>
      <x:c r="BP359" t="n">
        <x:f>'Inputs'!$G$8</x:f>
        <x:v>36.604</x:v>
      </x:c>
    </x:row>
    <x:row r="360">
      <x:c r="A360" t="str">
        <x:v>POWL</x:v>
      </x:c>
      <x:c r="B360" s="22" t="n">
        <x:v>0.53</x:v>
      </x:c>
      <x:c r="C360" s="42" t="n">
        <x:f>(BN360+BO360)/BP360</x:f>
        <x:v>629.3737597117438</x:v>
      </x:c>
      <x:c r="D360" s="22" t="n">
        <x:f>C360/'Inputs'!$G$5-1</x:f>
        <x:v>2.473940275496737</x:v>
      </x:c>
      <x:c r="E360" t="n">
        <x:f>('Assumptions'!$M$18+'Assumptions'!$N$18)*(1+$B360)^0</x:f>
        <x:v>1500</x:v>
      </x:c>
      <x:c r="F360" t="n">
        <x:f>('Assumptions'!$M$18+'Assumptions'!$N$18)*(1+$B360)^1</x:f>
        <x:v>2295</x:v>
      </x:c>
      <x:c r="G360" t="n">
        <x:f>('Assumptions'!$M$18+'Assumptions'!$N$18)*(1+$B360)^2</x:f>
        <x:v>3511.35</x:v>
      </x:c>
      <x:c r="H360" t="n">
        <x:f>('Assumptions'!$M$18+'Assumptions'!$N$18)*(1+$B360)^3</x:f>
        <x:v>5372.365500000001</x:v>
      </x:c>
      <x:c r="I360" t="n">
        <x:f>('Assumptions'!$M$18+'Assumptions'!$N$18)*(1+$B360)^4</x:f>
        <x:v>8219.719215000001</x:v>
      </x:c>
      <x:c r="J360" t="n">
        <x:f>I360*(1+($BG360+('Assumptions'!$D$18-$BG360)*(6-5)/5))</x:f>
        <x:v>11754.198477450003</x:v>
      </x:c>
      <x:c r="K360" t="n">
        <x:f>J360*(1+($BG360+('Assumptions'!$D$18-$BG360)*(7-5)/5))</x:f>
        <x:v>15633.083975008505</x:v>
      </x:c>
      <x:c r="L360" t="n">
        <x:f>K360*(1+($BG360+('Assumptions'!$D$18-$BG360)*(8-5)/5))</x:f>
        <x:v>19228.69328926046</x:v>
      </x:c>
      <x:c r="M360" t="n">
        <x:f>L360*(1+($BG360+('Assumptions'!$D$18-$BG360)*(9-5)/5))</x:f>
        <x:v>21728.423416864316</x:v>
      </x:c>
      <x:c r="N360" t="n">
        <x:f>M360*(1+($BG360+('Assumptions'!$D$18-$BG360)*(10-5)/5))</x:f>
        <x:v>22380.276119370246</x:v>
      </x:c>
      <x:c r="O360" t="n">
        <x:f>0</x:f>
        <x:v>0</x:v>
      </x:c>
      <x:c r="P360" t="n">
        <x:f>0</x:f>
        <x:v>0</x:v>
      </x:c>
      <x:c r="Q360" t="n">
        <x:f>0</x:f>
        <x:v>0</x:v>
      </x:c>
      <x:c r="R360" t="n">
        <x:f>0</x:f>
        <x:v>0</x:v>
      </x:c>
      <x:c r="S360" t="n">
        <x:f>0</x:f>
        <x:v>0</x:v>
      </x:c>
      <x:c r="T360" t="n">
        <x:f>S360*(1+($BG360+('Assumptions'!$D$18-$BG360)*(6-5)/5))</x:f>
        <x:v>0</x:v>
      </x:c>
      <x:c r="U360" t="n">
        <x:f>T360*(1+($BG360+('Assumptions'!$D$18-$BG360)*(7-5)/5))</x:f>
        <x:v>0</x:v>
      </x:c>
      <x:c r="V360" t="n">
        <x:f>U360*(1+($BG360+('Assumptions'!$D$18-$BG360)*(8-5)/5))</x:f>
        <x:v>0</x:v>
      </x:c>
      <x:c r="W360" t="n">
        <x:f>V360*(1+($BG360+('Assumptions'!$D$18-$BG360)*(9-5)/5))</x:f>
        <x:v>0</x:v>
      </x:c>
      <x:c r="X360" t="n">
        <x:f>W360*(1+($BG360+('Assumptions'!$D$18-$BG360)*(10-5)/5))</x:f>
        <x:v>0</x:v>
      </x:c>
      <x:c r="Y360" t="n">
        <x:f>E360*'POWL Model'!$B$62+O360*'POWL Model'!$B$63+'POWL Model'!$B$73+'POWL Model'!$B$74</x:f>
        <x:v>315</x:v>
      </x:c>
      <x:c r="Z360" t="n">
        <x:f>F360*'POWL Model'!$C$62+P360*'POWL Model'!$C$63+'POWL Model'!$C$73+'POWL Model'!$C$74</x:f>
        <x:v>504.9</x:v>
      </x:c>
      <x:c r="AA360" t="n">
        <x:f>G360*'POWL Model'!$D$62+Q360*'POWL Model'!$D$63+'POWL Model'!$D$73+'POWL Model'!$D$74</x:f>
        <x:v>772.497</x:v>
      </x:c>
      <x:c r="AB360" t="n">
        <x:f>H360*'POWL Model'!$E$62+R360*'POWL Model'!$E$63+'POWL Model'!$E$73+'POWL Model'!$E$74</x:f>
        <x:v>1155.0585825</x:v>
      </x:c>
      <x:c r="AC360" t="n">
        <x:f>I360*'POWL Model'!$F$62+S360*'POWL Model'!$F$63+'POWL Model'!$F$73+'POWL Model'!$F$74</x:f>
        <x:v>1726.14103515</x:v>
      </x:c>
      <x:c r="AD360" t="n">
        <x:f>AX360*$AC360/$AW360</x:f>
        <x:v>2468.3816802645006</x:v>
      </x:c>
      <x:c r="AE360" t="n">
        <x:f>AY360*$AC360/$AW360</x:f>
        <x:v>3282.947634751786</x:v>
      </x:c>
      <x:c r="AF360" t="n">
        <x:f>AZ360*$AC360/$AW360</x:f>
        <x:v>4038.0255907446963</x:v>
      </x:c>
      <x:c r="AG360" t="n">
        <x:f>BA360*$AC360/$AW360</x:f>
        <x:v>4562.968917541506</x:v>
      </x:c>
      <x:c r="AH360" t="n">
        <x:f>BB360*$AC360/$AW360</x:f>
        <x:v>4699.8579850677515</x:v>
      </x:c>
      <x:c r="AI360" t="n">
        <x:f>Y360*(1-'Assumptions'!$F$18)+AS360*'Assumptions'!$G$18-AS360*'POWL Model'!$B$65-(AS360-'Inputs'!$G$14)*'Assumptions'!$H$18-'Assumptions'!$I$18</x:f>
        <x:v>183.9</x:v>
      </x:c>
      <x:c r="AJ360" t="n">
        <x:f>Z360*(1-'Assumptions'!$F$18)+AT360*'Assumptions'!$G$18-AT360*'POWL Model'!$C$65-(AT360-AS360)*'Assumptions'!$H$18-0</x:f>
        <x:v>265.209</x:v>
      </x:c>
      <x:c r="AK360" t="n">
        <x:f>AA360*(1-'Assumptions'!$F$18)+AU360*'Assumptions'!$G$18-AU360*'POWL Model'!$D$65-(AU360-AT360)*'Assumptions'!$H$18-0</x:f>
        <x:v>416.30382</x:v>
      </x:c>
      <x:c r="AL360" t="n">
        <x:f>AB360*(1-'Assumptions'!$F$18)+AV360*'Assumptions'!$G$18-AV360*'POWL Model'!$E$65-(AV360-AU360)*'Assumptions'!$H$18-0</x:f>
        <x:v>627.2745867</x:v>
      </x:c>
      <x:c r="AM360" t="n">
        <x:f>AC360*(1-'Assumptions'!$F$18)+AW360*'Assumptions'!$G$18-AW360*'POWL Model'!$F$65-(AW360-AV360)*'Assumptions'!$H$18-0</x:f>
        <x:v>928.4951846340001</x:v>
      </x:c>
      <x:c r="AN360" t="n">
        <x:f>AD360*(1-'Assumptions'!$F$18)+AX360*'Assumptions'!$G$18-AX360*'POWL Model'!$G$65-(AX360-AW360)*'Assumptions'!$H$18-0</x:f>
        <x:v>1381.4717690266202</x:v>
      </x:c>
      <x:c r="AO360" t="n">
        <x:f>AE360*(1-'Assumptions'!$F$18)+AY360*'Assumptions'!$G$18-AY360*'POWL Model'!$H$65-(AY360-AX360)*'Assumptions'!$H$18-0</x:f>
        <x:v>1919.5546449554051</x:v>
      </x:c>
      <x:c r="AP360" t="n">
        <x:f>AF360*(1-'Assumptions'!$F$18)+AZ360*'Assumptions'!$G$18-AZ360*'POWL Model'!$I$65-(AZ360-AY360)*'Assumptions'!$H$18-0</x:f>
        <x:v>2478.5941980696475</x:v>
      </x:c>
      <x:c r="AQ360" t="n">
        <x:f>AG360*(1-'Assumptions'!$F$18)+BA360*'Assumptions'!$G$18-BA360*'POWL Model'!$J$65-(BA360-AZ360)*'Assumptions'!$H$18-0</x:f>
        <x:v>2957.1422835687868</x:v>
      </x:c>
      <x:c r="AR360" t="n">
        <x:f>AH360*(1-'Assumptions'!$F$18)+BB360*'Assumptions'!$G$18-BB360*'POWL Model'!$K$65-(BB360-BA360)*'Assumptions'!$H$18-0</x:f>
        <x:v>3238.143484968455</x:v>
      </x:c>
      <x:c r="AS360" t="n">
        <x:f>E360+O360</x:f>
        <x:v>1500</x:v>
      </x:c>
      <x:c r="AT360" t="n">
        <x:f>F360+P360</x:f>
        <x:v>2295</x:v>
      </x:c>
      <x:c r="AU360" t="n">
        <x:f>G360+Q360</x:f>
        <x:v>3511.35</x:v>
      </x:c>
      <x:c r="AV360" t="n">
        <x:f>H360+R360</x:f>
        <x:v>5372.365500000001</x:v>
      </x:c>
      <x:c r="AW360" t="n">
        <x:f>I360+S360</x:f>
        <x:v>8219.719215000001</x:v>
      </x:c>
      <x:c r="AX360" t="n">
        <x:f>J360+T360</x:f>
        <x:v>11754.198477450003</x:v>
      </x:c>
      <x:c r="AY360" t="n">
        <x:f>K360+U360</x:f>
        <x:v>15633.083975008505</x:v>
      </x:c>
      <x:c r="AZ360" t="n">
        <x:f>L360+V360</x:f>
        <x:v>19228.69328926046</x:v>
      </x:c>
      <x:c r="BA360" t="n">
        <x:f>M360+W360</x:f>
        <x:v>21728.423416864316</x:v>
      </x:c>
      <x:c r="BB360" t="n">
        <x:f>N360+X360</x:f>
        <x:v>22380.276119370246</x:v>
      </x:c>
      <x:c r="BC360" t="n">
        <x:f>AS360/'Inputs'!$G$14-1</x:f>
        <x:v>0.25</x:v>
      </x:c>
      <x:c r="BD360" t="n">
        <x:f>AT360/AS360-1</x:f>
        <x:v>0.53</x:v>
      </x:c>
      <x:c r="BE360" t="n">
        <x:f>AU360/AT360-1</x:f>
        <x:v>0.53</x:v>
      </x:c>
      <x:c r="BF360" t="n">
        <x:f>AV360/AU360-1</x:f>
        <x:v>0.5300000000000002</x:v>
      </x:c>
      <x:c r="BG360" t="n">
        <x:f>AW360/AV360-1</x:f>
        <x:v>0.53</x:v>
      </x:c>
      <x:c r="BH360" t="n">
        <x:f>AX360/AW360-1</x:f>
        <x:v>0.43000000000000016</x:v>
      </x:c>
      <x:c r="BI360" t="n">
        <x:f>AY360/AX360-1</x:f>
        <x:v>0.33000000000000007</x:v>
      </x:c>
      <x:c r="BJ360" t="n">
        <x:f>AZ360/AY360-1</x:f>
        <x:v>0.22999999999999998</x:v>
      </x:c>
      <x:c r="BK360" t="n">
        <x:f>BA360/AZ360-1</x:f>
        <x:v>0.1299999999999999</x:v>
      </x:c>
      <x:c r="BL360" t="n">
        <x:f>BB360/BA360-1</x:f>
        <x:v>0.030000000000000027</x:v>
      </x:c>
      <x:c r="BM360" t="n">
        <x:f>AH360*(1-'Assumptions'!$F$18)*(1+'Assumptions'!$D$18)*(1-'Assumptions'!$D$18/'Assumptions'!$E$18)</x:f>
        <x:v>3237.5629710257117</x:v>
      </x:c>
      <x:c r="BN360" t="n">
        <x:f>SUMPRODUCT(AI360:AR360,'POWL Model'!$B$83:$K$83)+BM360/('Assumptions'!$C$18-'Assumptions'!$D$18)*'POWL Model'!$K$83</x:f>
        <x:v>22806.78510048867</x:v>
      </x:c>
      <x:c r="BO360" t="n">
        <x:f>'POWL Model'!$B$94</x:f>
        <x:v>230.812</x:v>
      </x:c>
      <x:c r="BP360" t="n">
        <x:f>'Inputs'!$G$8</x:f>
        <x:v>36.604</x:v>
      </x:c>
    </x:row>
    <x:row r="361">
      <x:c r="A361" t="str">
        <x:v>POWL</x:v>
      </x:c>
      <x:c r="B361" s="22" t="n">
        <x:v>0.54</x:v>
      </x:c>
      <x:c r="C361" s="42" t="n">
        <x:f>(BN361+BO361)/BP361</x:f>
        <x:v>653.6083835866993</x:v>
      </x:c>
      <x:c r="D361" s="22" t="n">
        <x:f>C361/'Inputs'!$G$5-1</x:f>
        <x:v>2.607707587275484</x:v>
      </x:c>
      <x:c r="E361" t="n">
        <x:f>('Assumptions'!$M$18+'Assumptions'!$N$18)*(1+$B361)^0</x:f>
        <x:v>1500</x:v>
      </x:c>
      <x:c r="F361" t="n">
        <x:f>('Assumptions'!$M$18+'Assumptions'!$N$18)*(1+$B361)^1</x:f>
        <x:v>2310</x:v>
      </x:c>
      <x:c r="G361" t="n">
        <x:f>('Assumptions'!$M$18+'Assumptions'!$N$18)*(1+$B361)^2</x:f>
        <x:v>3557.4</x:v>
      </x:c>
      <x:c r="H361" t="n">
        <x:f>('Assumptions'!$M$18+'Assumptions'!$N$18)*(1+$B361)^3</x:f>
        <x:v>5478.396000000001</x:v>
      </x:c>
      <x:c r="I361" t="n">
        <x:f>('Assumptions'!$M$18+'Assumptions'!$N$18)*(1+$B361)^4</x:f>
        <x:v>8436.729839999998</x:v>
      </x:c>
      <x:c r="J361" t="n">
        <x:f>I361*(1+($BG361+('Assumptions'!$D$18-$BG361)*(6-5)/5))</x:f>
        <x:v>12132.017509919995</x:v>
      </x:c>
      <x:c r="K361" t="n">
        <x:f>J361*(1+($BG361+('Assumptions'!$D$18-$BG361)*(7-5)/5))</x:f>
        <x:v>16208.37539325311</x:v>
      </x:c>
      <x:c r="L361" t="n">
        <x:f>K361*(1+($BG361+('Assumptions'!$D$18-$BG361)*(8-5)/5))</x:f>
        <x:v>20001.135235274338</x:v>
      </x:c>
      <x:c r="M361" t="n">
        <x:f>L361*(1+($BG361+('Assumptions'!$D$18-$BG361)*(9-5)/5))</x:f>
        <x:v>22641.285086330547</x:v>
      </x:c>
      <x:c r="N361" t="n">
        <x:f>M361*(1+($BG361+('Assumptions'!$D$18-$BG361)*(10-5)/5))</x:f>
        <x:v>23320.523638920462</x:v>
      </x:c>
      <x:c r="O361" t="n">
        <x:f>0</x:f>
        <x:v>0</x:v>
      </x:c>
      <x:c r="P361" t="n">
        <x:f>0</x:f>
        <x:v>0</x:v>
      </x:c>
      <x:c r="Q361" t="n">
        <x:f>0</x:f>
        <x:v>0</x:v>
      </x:c>
      <x:c r="R361" t="n">
        <x:f>0</x:f>
        <x:v>0</x:v>
      </x:c>
      <x:c r="S361" t="n">
        <x:f>0</x:f>
        <x:v>0</x:v>
      </x:c>
      <x:c r="T361" t="n">
        <x:f>S361*(1+($BG361+('Assumptions'!$D$18-$BG361)*(6-5)/5))</x:f>
        <x:v>0</x:v>
      </x:c>
      <x:c r="U361" t="n">
        <x:f>T361*(1+($BG361+('Assumptions'!$D$18-$BG361)*(7-5)/5))</x:f>
        <x:v>0</x:v>
      </x:c>
      <x:c r="V361" t="n">
        <x:f>U361*(1+($BG361+('Assumptions'!$D$18-$BG361)*(8-5)/5))</x:f>
        <x:v>0</x:v>
      </x:c>
      <x:c r="W361" t="n">
        <x:f>V361*(1+($BG361+('Assumptions'!$D$18-$BG361)*(9-5)/5))</x:f>
        <x:v>0</x:v>
      </x:c>
      <x:c r="X361" t="n">
        <x:f>W361*(1+($BG361+('Assumptions'!$D$18-$BG361)*(10-5)/5))</x:f>
        <x:v>0</x:v>
      </x:c>
      <x:c r="Y361" t="n">
        <x:f>E361*'POWL Model'!$B$62+O361*'POWL Model'!$B$63+'POWL Model'!$B$73+'POWL Model'!$B$74</x:f>
        <x:v>315</x:v>
      </x:c>
      <x:c r="Z361" t="n">
        <x:f>F361*'POWL Model'!$C$62+P361*'POWL Model'!$C$63+'POWL Model'!$C$73+'POWL Model'!$C$74</x:f>
        <x:v>508.2</x:v>
      </x:c>
      <x:c r="AA361" t="n">
        <x:f>G361*'POWL Model'!$D$62+Q361*'POWL Model'!$D$63+'POWL Model'!$D$73+'POWL Model'!$D$74</x:f>
        <x:v>782.628</x:v>
      </x:c>
      <x:c r="AB361" t="n">
        <x:f>H361*'POWL Model'!$E$62+R361*'POWL Model'!$E$63+'POWL Model'!$E$73+'POWL Model'!$E$74</x:f>
        <x:v>1177.8551400000001</x:v>
      </x:c>
      <x:c r="AC361" t="n">
        <x:f>I361*'POWL Model'!$F$62+S361*'POWL Model'!$F$63+'POWL Model'!$F$73+'POWL Model'!$F$74</x:f>
        <x:v>1771.7132663999996</x:v>
      </x:c>
      <x:c r="AD361" t="n">
        <x:f>AX361*$AC361/$AW361</x:f>
        <x:v>2547.7236770831987</x:v>
      </x:c>
      <x:c r="AE361" t="n">
        <x:f>AY361*$AC361/$AW361</x:f>
        <x:v>3403.7588325831534</x:v>
      </x:c>
      <x:c r="AF361" t="n">
        <x:f>AZ361*$AC361/$AW361</x:f>
        <x:v>4200.238399407611</x:v>
      </x:c>
      <x:c r="AG361" t="n">
        <x:f>BA361*$AC361/$AW361</x:f>
        <x:v>4754.669868129415</x:v>
      </x:c>
      <x:c r="AH361" t="n">
        <x:f>BB361*$AC361/$AW361</x:f>
        <x:v>4897.309964173297</x:v>
      </x:c>
      <x:c r="AI361" t="n">
        <x:f>Y361*(1-'Assumptions'!$F$18)+AS361*'Assumptions'!$G$18-AS361*'POWL Model'!$B$65-(AS361-'Inputs'!$G$14)*'Assumptions'!$H$18-'Assumptions'!$I$18</x:f>
        <x:v>183.9</x:v>
      </x:c>
      <x:c r="AJ361" t="n">
        <x:f>Z361*(1-'Assumptions'!$F$18)+AT361*'Assumptions'!$G$18-AT361*'POWL Model'!$C$65-(AT361-AS361)*'Assumptions'!$H$18-0</x:f>
        <x:v>265.962</x:v>
      </x:c>
      <x:c r="AK361" t="n">
        <x:f>AA361*(1-'Assumptions'!$F$18)+AU361*'Assumptions'!$G$18-AU361*'POWL Model'!$D$65-(AU361-AT361)*'Assumptions'!$H$18-0</x:f>
        <x:v>420.25368000000003</x:v>
      </x:c>
      <x:c r="AL361" t="n">
        <x:f>AB361*(1-'Assumptions'!$F$18)+AV361*'Assumptions'!$G$18-AV361*'POWL Model'!$E$65-(AV361-AU361)*'Assumptions'!$H$18-0</x:f>
        <x:v>637.3295544</x:v>
      </x:c>
      <x:c r="AM361" t="n">
        <x:f>AC361*(1-'Assumptions'!$F$18)+AW361*'Assumptions'!$G$18-AW361*'POWL Model'!$F$65-(AW361-AV361)*'Assumptions'!$H$18-0</x:f>
        <x:v>949.4279403839998</x:v>
      </x:c>
      <x:c r="AN361" t="n">
        <x:f>AD361*(1-'Assumptions'!$F$18)+AX361*'Assumptions'!$G$18-AX361*'POWL Model'!$G$65-(AX361-AW361)*'Assumptions'!$H$18-0</x:f>
        <x:v>1421.1570174721912</x:v>
      </x:c>
      <x:c r="AO361" t="n">
        <x:f>AE361*(1-'Assumptions'!$F$18)+AY361*'Assumptions'!$G$18-AY361*'POWL Model'!$H$65-(AY361-AX361)*'Assumptions'!$H$18-0</x:f>
        <x:v>1984.7204197108476</x:v>
      </x:c>
      <x:c r="AP361" t="n">
        <x:f>AF361*(1-'Assumptions'!$F$18)+AZ361*'Assumptions'!$G$18-AZ361*'POWL Model'!$I$65-(AZ361-AY361)*'Assumptions'!$H$18-0</x:f>
        <x:v>2572.891576524369</x:v>
      </x:c>
      <x:c r="AQ361" t="n">
        <x:f>AG361*(1-'Assumptions'!$F$18)+BA361*'Assumptions'!$G$18-BA361*'POWL Model'!$J$65-(BA361-AZ361)*'Assumptions'!$H$18-0</x:f>
        <x:v>3077.838693636768</x:v>
      </x:c>
      <x:c r="AR361" t="n">
        <x:f>AH361*(1-'Assumptions'!$F$18)+BB361*'Assumptions'!$G$18-BB361*'POWL Model'!$K$65-(BB361-BA361)*'Assumptions'!$H$18-0</x:f>
        <x:v>3374.1854338456687</x:v>
      </x:c>
      <x:c r="AS361" t="n">
        <x:f>E361+O361</x:f>
        <x:v>1500</x:v>
      </x:c>
      <x:c r="AT361" t="n">
        <x:f>F361+P361</x:f>
        <x:v>2310</x:v>
      </x:c>
      <x:c r="AU361" t="n">
        <x:f>G361+Q361</x:f>
        <x:v>3557.4</x:v>
      </x:c>
      <x:c r="AV361" t="n">
        <x:f>H361+R361</x:f>
        <x:v>5478.396000000001</x:v>
      </x:c>
      <x:c r="AW361" t="n">
        <x:f>I361+S361</x:f>
        <x:v>8436.729839999998</x:v>
      </x:c>
      <x:c r="AX361" t="n">
        <x:f>J361+T361</x:f>
        <x:v>12132.017509919995</x:v>
      </x:c>
      <x:c r="AY361" t="n">
        <x:f>K361+U361</x:f>
        <x:v>16208.37539325311</x:v>
      </x:c>
      <x:c r="AZ361" t="n">
        <x:f>L361+V361</x:f>
        <x:v>20001.135235274338</x:v>
      </x:c>
      <x:c r="BA361" t="n">
        <x:f>M361+W361</x:f>
        <x:v>22641.285086330547</x:v>
      </x:c>
      <x:c r="BB361" t="n">
        <x:f>N361+X361</x:f>
        <x:v>23320.523638920462</x:v>
      </x:c>
      <x:c r="BC361" t="n">
        <x:f>AS361/'Inputs'!$G$14-1</x:f>
        <x:v>0.25</x:v>
      </x:c>
      <x:c r="BD361" t="n">
        <x:f>AT361/AS361-1</x:f>
        <x:v>0.54</x:v>
      </x:c>
      <x:c r="BE361" t="n">
        <x:f>AU361/AT361-1</x:f>
        <x:v>0.54</x:v>
      </x:c>
      <x:c r="BF361" t="n">
        <x:f>AV361/AU361-1</x:f>
        <x:v>0.54</x:v>
      </x:c>
      <x:c r="BG361" t="n">
        <x:f>AW361/AV361-1</x:f>
        <x:v>0.5399999999999996</x:v>
      </x:c>
      <x:c r="BH361" t="n">
        <x:f>AX361/AW361-1</x:f>
        <x:v>0.4379999999999997</x:v>
      </x:c>
      <x:c r="BI361" t="n">
        <x:f>AY361/AX361-1</x:f>
        <x:v>0.33599999999999985</x:v>
      </x:c>
      <x:c r="BJ361" t="n">
        <x:f>AZ361/AY361-1</x:f>
        <x:v>0.23399999999999999</x:v>
      </x:c>
      <x:c r="BK361" t="n">
        <x:f>BA361/AZ361-1</x:f>
        <x:v>0.1319999999999999</x:v>
      </x:c>
      <x:c r="BL361" t="n">
        <x:f>BB361/BA361-1</x:f>
        <x:v>0.030000000000000027</x:v>
      </x:c>
      <x:c r="BM361" t="n">
        <x:f>AH361*(1-'Assumptions'!$F$18)*(1+'Assumptions'!$D$18)*(1-'Assumptions'!$D$18/'Assumptions'!$E$18)</x:f>
        <x:v>3373.5805311602744</x:v>
      </x:c>
      <x:c r="BN361" t="n">
        <x:f>SUMPRODUCT(AI361:AR361,'POWL Model'!$B$83:$K$83)+BM361/('Assumptions'!$C$18-'Assumptions'!$D$18)*'POWL Model'!$K$83</x:f>
        <x:v>23693.86927280754</x:v>
      </x:c>
      <x:c r="BO361" t="n">
        <x:f>'POWL Model'!$B$94</x:f>
        <x:v>230.812</x:v>
      </x:c>
      <x:c r="BP361" t="n">
        <x:f>'Inputs'!$G$8</x:f>
        <x:v>36.604</x:v>
      </x:c>
    </x:row>
    <x:row r="362">
      <x:c r="A362" t="str">
        <x:v>POWL</x:v>
      </x:c>
      <x:c r="B362" s="22" t="n">
        <x:v>0.55</x:v>
      </x:c>
      <x:c r="C362" s="42" t="n">
        <x:f>(BN362+BO362)/BP362</x:f>
        <x:v>678.6780503441179</x:v>
      </x:c>
      <x:c r="D362" s="22" t="n">
        <x:f>C362/'Inputs'!$G$5-1</x:f>
        <x:v>2.746084066590042</x:v>
      </x:c>
      <x:c r="E362" t="n">
        <x:f>('Assumptions'!$M$18+'Assumptions'!$N$18)*(1+$B362)^0</x:f>
        <x:v>1500</x:v>
      </x:c>
      <x:c r="F362" t="n">
        <x:f>('Assumptions'!$M$18+'Assumptions'!$N$18)*(1+$B362)^1</x:f>
        <x:v>2325</x:v>
      </x:c>
      <x:c r="G362" t="n">
        <x:f>('Assumptions'!$M$18+'Assumptions'!$N$18)*(1+$B362)^2</x:f>
        <x:v>3603.7500000000005</x:v>
      </x:c>
      <x:c r="H362" t="n">
        <x:f>('Assumptions'!$M$18+'Assumptions'!$N$18)*(1+$B362)^3</x:f>
        <x:v>5585.812500000001</x:v>
      </x:c>
      <x:c r="I362" t="n">
        <x:f>('Assumptions'!$M$18+'Assumptions'!$N$18)*(1+$B362)^4</x:f>
        <x:v>8658.009375000001</x:v>
      </x:c>
      <x:c r="J362" t="n">
        <x:f>I362*(1+($BG362+('Assumptions'!$D$18-$BG362)*(6-5)/5))</x:f>
        <x:v>12519.481556250004</x:v>
      </x:c>
      <x:c r="K362" t="n">
        <x:f>J362*(1+($BG362+('Assumptions'!$D$18-$BG362)*(7-5)/5))</x:f>
        <x:v>16801.144248487508</x:v>
      </x:c>
      <x:c r="L362" t="n">
        <x:f>K362*(1+($BG362+('Assumptions'!$D$18-$BG362)*(8-5)/5))</x:f>
        <x:v>20799.816579627535</x:v>
      </x:c>
      <x:c r="M362" t="n">
        <x:f>L362*(1+($BG362+('Assumptions'!$D$18-$BG362)*(9-5)/5))</x:f>
        <x:v>23586.99200129762</x:v>
      </x:c>
      <x:c r="N362" t="n">
        <x:f>M362*(1+($BG362+('Assumptions'!$D$18-$BG362)*(10-5)/5))</x:f>
        <x:v>24294.60176133655</x:v>
      </x:c>
      <x:c r="O362" t="n">
        <x:f>0</x:f>
        <x:v>0</x:v>
      </x:c>
      <x:c r="P362" t="n">
        <x:f>0</x:f>
        <x:v>0</x:v>
      </x:c>
      <x:c r="Q362" t="n">
        <x:f>0</x:f>
        <x:v>0</x:v>
      </x:c>
      <x:c r="R362" t="n">
        <x:f>0</x:f>
        <x:v>0</x:v>
      </x:c>
      <x:c r="S362" t="n">
        <x:f>0</x:f>
        <x:v>0</x:v>
      </x:c>
      <x:c r="T362" t="n">
        <x:f>S362*(1+($BG362+('Assumptions'!$D$18-$BG362)*(6-5)/5))</x:f>
        <x:v>0</x:v>
      </x:c>
      <x:c r="U362" t="n">
        <x:f>T362*(1+($BG362+('Assumptions'!$D$18-$BG362)*(7-5)/5))</x:f>
        <x:v>0</x:v>
      </x:c>
      <x:c r="V362" t="n">
        <x:f>U362*(1+($BG362+('Assumptions'!$D$18-$BG362)*(8-5)/5))</x:f>
        <x:v>0</x:v>
      </x:c>
      <x:c r="W362" t="n">
        <x:f>V362*(1+($BG362+('Assumptions'!$D$18-$BG362)*(9-5)/5))</x:f>
        <x:v>0</x:v>
      </x:c>
      <x:c r="X362" t="n">
        <x:f>W362*(1+($BG362+('Assumptions'!$D$18-$BG362)*(10-5)/5))</x:f>
        <x:v>0</x:v>
      </x:c>
      <x:c r="Y362" t="n">
        <x:f>E362*'POWL Model'!$B$62+O362*'POWL Model'!$B$63+'POWL Model'!$B$73+'POWL Model'!$B$74</x:f>
        <x:v>315</x:v>
      </x:c>
      <x:c r="Z362" t="n">
        <x:f>F362*'POWL Model'!$C$62+P362*'POWL Model'!$C$63+'POWL Model'!$C$73+'POWL Model'!$C$74</x:f>
        <x:v>511.5</x:v>
      </x:c>
      <x:c r="AA362" t="n">
        <x:f>G362*'POWL Model'!$D$62+Q362*'POWL Model'!$D$63+'POWL Model'!$D$73+'POWL Model'!$D$74</x:f>
        <x:v>792.8250000000002</x:v>
      </x:c>
      <x:c r="AB362" t="n">
        <x:f>H362*'POWL Model'!$E$62+R362*'POWL Model'!$E$63+'POWL Model'!$E$73+'POWL Model'!$E$74</x:f>
        <x:v>1200.9496875000002</x:v>
      </x:c>
      <x:c r="AC362" t="n">
        <x:f>I362*'POWL Model'!$F$62+S362*'POWL Model'!$F$63+'POWL Model'!$F$73+'POWL Model'!$F$74</x:f>
        <x:v>1818.1819687500004</x:v>
      </x:c>
      <x:c r="AD362" t="n">
        <x:f>AX362*$AC362/$AW362</x:f>
        <x:v>2629.091126812501</x:v>
      </x:c>
      <x:c r="AE362" t="n">
        <x:f>AY362*$AC362/$AW362</x:f>
        <x:v>3528.240292182377</x:v>
      </x:c>
      <x:c r="AF362" t="n">
        <x:f>AZ362*$AC362/$AW362</x:f>
        <x:v>4367.961481721783</x:v>
      </x:c>
      <x:c r="AG362" t="n">
        <x:f>BA362*$AC362/$AW362</x:f>
        <x:v>4953.268320272501</x:v>
      </x:c>
      <x:c r="AH362" t="n">
        <x:f>BB362*$AC362/$AW362</x:f>
        <x:v>5101.866369880676</x:v>
      </x:c>
      <x:c r="AI362" t="n">
        <x:f>Y362*(1-'Assumptions'!$F$18)+AS362*'Assumptions'!$G$18-AS362*'POWL Model'!$B$65-(AS362-'Inputs'!$G$14)*'Assumptions'!$H$18-'Assumptions'!$I$18</x:f>
        <x:v>183.9</x:v>
      </x:c>
      <x:c r="AJ362" t="n">
        <x:f>Z362*(1-'Assumptions'!$F$18)+AT362*'Assumptions'!$G$18-AT362*'POWL Model'!$C$65-(AT362-AS362)*'Assumptions'!$H$18-0</x:f>
        <x:v>266.71500000000003</x:v>
      </x:c>
      <x:c r="AK362" t="n">
        <x:f>AA362*(1-'Assumptions'!$F$18)+AU362*'Assumptions'!$G$18-AU362*'POWL Model'!$D$65-(AU362-AT362)*'Assumptions'!$H$18-0</x:f>
        <x:v>424.2195000000001</x:v>
      </x:c>
      <x:c r="AL362" t="n">
        <x:f>AB362*(1-'Assumptions'!$F$18)+AV362*'Assumptions'!$G$18-AV362*'POWL Model'!$E$65-(AV362-AU362)*'Assumptions'!$H$18-0</x:f>
        <x:v>647.4857625000001</x:v>
      </x:c>
      <x:c r="AM362" t="n">
        <x:f>AC362*(1-'Assumptions'!$F$18)+AW362*'Assumptions'!$G$18-AW362*'POWL Model'!$F$65-(AW362-AV362)*'Assumptions'!$H$18-0</x:f>
        <x:v>970.7024962500001</x:v>
      </x:c>
      <x:c r="AN362" t="n">
        <x:f>AD362*(1-'Assumptions'!$F$18)+AX362*'Assumptions'!$G$18-AX362*'POWL Model'!$G$65-(AX362-AW362)*'Assumptions'!$H$18-0</x:f>
        <x:v>1461.7282595775002</x:v>
      </x:c>
      <x:c r="AO362" t="n">
        <x:f>AE362*(1-'Assumptions'!$F$18)+AY362*'Assumptions'!$G$18-AY362*'POWL Model'!$H$65-(AY362-AX362)*'Assumptions'!$H$18-0</x:f>
        <x:v>2051.682621853006</x:v>
      </x:c>
      <x:c r="AP362" t="n">
        <x:f>AF362*(1-'Assumptions'!$F$18)+AZ362*'Assumptions'!$G$18-AZ362*'POWL Model'!$I$65-(AZ362-AY362)*'Assumptions'!$H$18-0</x:f>
        <x:v>2670.1856940390217</x:v>
      </x:c>
      <x:c r="AQ362" t="n">
        <x:f>AG362*(1-'Assumptions'!$F$18)+BA362*'Assumptions'!$G$18-BA362*'POWL Model'!$J$65-(BA362-AZ362)*'Assumptions'!$H$18-0</x:f>
        <x:v>3202.722477224521</x:v>
      </x:c>
      <x:c r="AR362" t="n">
        <x:f>AH362*(1-'Assumptions'!$F$18)+BB362*'Assumptions'!$G$18-BB362*'POWL Model'!$K$65-(BB362-BA362)*'Assumptions'!$H$18-0</x:f>
        <x:v>3515.122243969382</x:v>
      </x:c>
      <x:c r="AS362" t="n">
        <x:f>E362+O362</x:f>
        <x:v>1500</x:v>
      </x:c>
      <x:c r="AT362" t="n">
        <x:f>F362+P362</x:f>
        <x:v>2325</x:v>
      </x:c>
      <x:c r="AU362" t="n">
        <x:f>G362+Q362</x:f>
        <x:v>3603.7500000000005</x:v>
      </x:c>
      <x:c r="AV362" t="n">
        <x:f>H362+R362</x:f>
        <x:v>5585.812500000001</x:v>
      </x:c>
      <x:c r="AW362" t="n">
        <x:f>I362+S362</x:f>
        <x:v>8658.009375000001</x:v>
      </x:c>
      <x:c r="AX362" t="n">
        <x:f>J362+T362</x:f>
        <x:v>12519.481556250004</x:v>
      </x:c>
      <x:c r="AY362" t="n">
        <x:f>K362+U362</x:f>
        <x:v>16801.144248487508</x:v>
      </x:c>
      <x:c r="AZ362" t="n">
        <x:f>L362+V362</x:f>
        <x:v>20799.816579627535</x:v>
      </x:c>
      <x:c r="BA362" t="n">
        <x:f>M362+W362</x:f>
        <x:v>23586.99200129762</x:v>
      </x:c>
      <x:c r="BB362" t="n">
        <x:f>N362+X362</x:f>
        <x:v>24294.60176133655</x:v>
      </x:c>
      <x:c r="BC362" t="n">
        <x:f>AS362/'Inputs'!$G$14-1</x:f>
        <x:v>0.25</x:v>
      </x:c>
      <x:c r="BD362" t="n">
        <x:f>AT362/AS362-1</x:f>
        <x:v>0.55</x:v>
      </x:c>
      <x:c r="BE362" t="n">
        <x:f>AU362/AT362-1</x:f>
        <x:v>0.5500000000000003</x:v>
      </x:c>
      <x:c r="BF362" t="n">
        <x:f>AV362/AU362-1</x:f>
        <x:v>0.55</x:v>
      </x:c>
      <x:c r="BG362" t="n">
        <x:f>AW362/AV362-1</x:f>
        <x:v>0.55</x:v>
      </x:c>
      <x:c r="BH362" t="n">
        <x:f>AX362/AW362-1</x:f>
        <x:v>0.4460000000000002</x:v>
      </x:c>
      <x:c r="BI362" t="n">
        <x:f>AY362/AX362-1</x:f>
        <x:v>0.3420000000000001</x:v>
      </x:c>
      <x:c r="BJ362" t="n">
        <x:f>AZ362/AY362-1</x:f>
        <x:v>0.238</x:v>
      </x:c>
      <x:c r="BK362" t="n">
        <x:f>BA362/AZ362-1</x:f>
        <x:v>0.1339999999999999</x:v>
      </x:c>
      <x:c r="BL362" t="n">
        <x:f>BB362/BA362-1</x:f>
        <x:v>0.030000000000000027</x:v>
      </x:c>
      <x:c r="BM362" t="n">
        <x:f>AH362*(1-'Assumptions'!$F$18)*(1+'Assumptions'!$D$18)*(1-'Assumptions'!$D$18/'Assumptions'!$E$18)</x:f>
        <x:v>3514.492075021482</x:v>
      </x:c>
      <x:c r="BN362" t="n">
        <x:f>SUMPRODUCT(AI362:AR362,'POWL Model'!$B$83:$K$83)+BM362/('Assumptions'!$C$18-'Assumptions'!$D$18)*'POWL Model'!$K$83</x:f>
        <x:v>24611.519354796088</x:v>
      </x:c>
      <x:c r="BO362" t="n">
        <x:f>'POWL Model'!$B$94</x:f>
        <x:v>230.812</x:v>
      </x:c>
      <x:c r="BP362" t="n">
        <x:f>'Inputs'!$G$8</x:f>
        <x:v>36.604</x:v>
      </x:c>
    </x:row>
    <x:row r="363">
      <x:c r="A363" t="str">
        <x:v>POWL</x:v>
      </x:c>
      <x:c r="B363" s="22" t="n">
        <x:v>0.56</x:v>
      </x:c>
      <x:c r="C363" s="42" t="n">
        <x:f>(BN363+BO363)/BP363</x:f>
        <x:v>704.6071142297587</x:v>
      </x:c>
      <x:c r="D363" s="22" t="n">
        <x:f>C363/'Inputs'!$G$5-1</x:f>
        <x:v>2.8892041410264326</x:v>
      </x:c>
      <x:c r="E363" t="n">
        <x:f>('Assumptions'!$M$18+'Assumptions'!$N$18)*(1+$B363)^0</x:f>
        <x:v>1500</x:v>
      </x:c>
      <x:c r="F363" t="n">
        <x:f>('Assumptions'!$M$18+'Assumptions'!$N$18)*(1+$B363)^1</x:f>
        <x:v>2340</x:v>
      </x:c>
      <x:c r="G363" t="n">
        <x:f>('Assumptions'!$M$18+'Assumptions'!$N$18)*(1+$B363)^2</x:f>
        <x:v>3650.4</x:v>
      </x:c>
      <x:c r="H363" t="n">
        <x:f>('Assumptions'!$M$18+'Assumptions'!$N$18)*(1+$B363)^3</x:f>
        <x:v>5694.624000000001</x:v>
      </x:c>
      <x:c r="I363" t="n">
        <x:f>('Assumptions'!$M$18+'Assumptions'!$N$18)*(1+$B363)^4</x:f>
        <x:v>8883.613440000001</x:v>
      </x:c>
      <x:c r="J363" t="n">
        <x:f>I363*(1+($BG363+('Assumptions'!$D$18-$BG363)*(6-5)/5))</x:f>
        <x:v>12916.773941760002</x:v>
      </x:c>
      <x:c r="K363" t="n">
        <x:f>J363*(1+($BG363+('Assumptions'!$D$18-$BG363)*(7-5)/5))</x:f>
        <x:v>17411.811273492483</x:v>
      </x:c>
      <x:c r="L363" t="n">
        <x:f>K363*(1+($BG363+('Assumptions'!$D$18-$BG363)*(8-5)/5))</x:f>
        <x:v>21625.469601677665</x:v>
      </x:c>
      <x:c r="M363" t="n">
        <x:f>L363*(1+($BG363+('Assumptions'!$D$18-$BG363)*(9-5)/5))</x:f>
        <x:v>24566.53346750583</x:v>
      </x:c>
      <x:c r="N363" t="n">
        <x:f>M363*(1+($BG363+('Assumptions'!$D$18-$BG363)*(10-5)/5))</x:f>
        <x:v>25303.529471531005</x:v>
      </x:c>
      <x:c r="O363" t="n">
        <x:f>0</x:f>
        <x:v>0</x:v>
      </x:c>
      <x:c r="P363" t="n">
        <x:f>0</x:f>
        <x:v>0</x:v>
      </x:c>
      <x:c r="Q363" t="n">
        <x:f>0</x:f>
        <x:v>0</x:v>
      </x:c>
      <x:c r="R363" t="n">
        <x:f>0</x:f>
        <x:v>0</x:v>
      </x:c>
      <x:c r="S363" t="n">
        <x:f>0</x:f>
        <x:v>0</x:v>
      </x:c>
      <x:c r="T363" t="n">
        <x:f>S363*(1+($BG363+('Assumptions'!$D$18-$BG363)*(6-5)/5))</x:f>
        <x:v>0</x:v>
      </x:c>
      <x:c r="U363" t="n">
        <x:f>T363*(1+($BG363+('Assumptions'!$D$18-$BG363)*(7-5)/5))</x:f>
        <x:v>0</x:v>
      </x:c>
      <x:c r="V363" t="n">
        <x:f>U363*(1+($BG363+('Assumptions'!$D$18-$BG363)*(8-5)/5))</x:f>
        <x:v>0</x:v>
      </x:c>
      <x:c r="W363" t="n">
        <x:f>V363*(1+($BG363+('Assumptions'!$D$18-$BG363)*(9-5)/5))</x:f>
        <x:v>0</x:v>
      </x:c>
      <x:c r="X363" t="n">
        <x:f>W363*(1+($BG363+('Assumptions'!$D$18-$BG363)*(10-5)/5))</x:f>
        <x:v>0</x:v>
      </x:c>
      <x:c r="Y363" t="n">
        <x:f>E363*'POWL Model'!$B$62+O363*'POWL Model'!$B$63+'POWL Model'!$B$73+'POWL Model'!$B$74</x:f>
        <x:v>315</x:v>
      </x:c>
      <x:c r="Z363" t="n">
        <x:f>F363*'POWL Model'!$C$62+P363*'POWL Model'!$C$63+'POWL Model'!$C$73+'POWL Model'!$C$74</x:f>
        <x:v>514.8</x:v>
      </x:c>
      <x:c r="AA363" t="n">
        <x:f>G363*'POWL Model'!$D$62+Q363*'POWL Model'!$D$63+'POWL Model'!$D$73+'POWL Model'!$D$74</x:f>
        <x:v>803.0880000000001</x:v>
      </x:c>
      <x:c r="AB363" t="n">
        <x:f>H363*'POWL Model'!$E$62+R363*'POWL Model'!$E$63+'POWL Model'!$E$73+'POWL Model'!$E$74</x:f>
        <x:v>1224.34416</x:v>
      </x:c>
      <x:c r="AC363" t="n">
        <x:f>I363*'POWL Model'!$F$62+S363*'POWL Model'!$F$63+'POWL Model'!$F$73+'POWL Model'!$F$74</x:f>
        <x:v>1865.5588224</x:v>
      </x:c>
      <x:c r="AD363" t="n">
        <x:f>AX363*$AC363/$AW363</x:f>
        <x:v>2712.5225277696</x:v>
      </x:c>
      <x:c r="AE363" t="n">
        <x:f>AY363*$AC363/$AW363</x:f>
        <x:v>3656.480367433421</x:v>
      </x:c>
      <x:c r="AF363" t="n">
        <x:f>AZ363*$AC363/$AW363</x:f>
        <x:v>4541.348616352309</x:v>
      </x:c>
      <x:c r="AG363" t="n">
        <x:f>BA363*$AC363/$AW363</x:f>
        <x:v>5158.972028176224</x:v>
      </x:c>
      <x:c r="AH363" t="n">
        <x:f>BB363*$AC363/$AW363</x:f>
        <x:v>5313.74118902151</x:v>
      </x:c>
      <x:c r="AI363" t="n">
        <x:f>Y363*(1-'Assumptions'!$F$18)+AS363*'Assumptions'!$G$18-AS363*'POWL Model'!$B$65-(AS363-'Inputs'!$G$14)*'Assumptions'!$H$18-'Assumptions'!$I$18</x:f>
        <x:v>183.9</x:v>
      </x:c>
      <x:c r="AJ363" t="n">
        <x:f>Z363*(1-'Assumptions'!$F$18)+AT363*'Assumptions'!$G$18-AT363*'POWL Model'!$C$65-(AT363-AS363)*'Assumptions'!$H$18-0</x:f>
        <x:v>267.46799999999996</x:v>
      </x:c>
      <x:c r="AK363" t="n">
        <x:f>AA363*(1-'Assumptions'!$F$18)+AU363*'Assumptions'!$G$18-AU363*'POWL Model'!$D$65-(AU363-AT363)*'Assumptions'!$H$18-0</x:f>
        <x:v>428.20128000000005</x:v>
      </x:c>
      <x:c r="AL363" t="n">
        <x:f>AB363*(1-'Assumptions'!$F$18)+AV363*'Assumptions'!$G$18-AV363*'POWL Model'!$E$65-(AV363-AU363)*'Assumptions'!$H$18-0</x:f>
        <x:v>657.7436736000001</x:v>
      </x:c>
      <x:c r="AM363" t="n">
        <x:f>AC363*(1-'Assumptions'!$F$18)+AW363*'Assumptions'!$G$18-AW363*'POWL Model'!$F$65-(AW363-AV363)*'Assumptions'!$H$18-0</x:f>
        <x:v>992.322399744</x:v>
      </x:c>
      <x:c r="AN363" t="n">
        <x:f>AD363*(1-'Assumptions'!$F$18)+AX363*'Assumptions'!$G$18-AX363*'POWL Model'!$G$65-(AX363-AW363)*'Assumptions'!$H$18-0</x:f>
        <x:v>1503.199783627776</x:v>
      </x:c>
      <x:c r="AO363" t="n">
        <x:f>AE363*(1-'Assumptions'!$F$18)+AY363*'Assumptions'!$G$18-AY363*'POWL Model'!$H$65-(AY363-AX363)*'Assumptions'!$H$18-0</x:f>
        <x:v>2120.479610794242</x:v>
      </x:c>
      <x:c r="AP363" t="n">
        <x:f>AF363*(1-'Assumptions'!$F$18)+AZ363*'Assumptions'!$G$18-AZ363*'POWL Model'!$I$65-(AZ363-AY363)*'Assumptions'!$H$18-0</x:f>
        <x:v>2770.5534803891046</x:v>
      </x:c>
      <x:c r="AQ363" t="n">
        <x:f>AG363*(1-'Assumptions'!$F$18)+BA363*'Assumptions'!$G$18-BA363*'POWL Model'!$J$65-(BA363-AZ363)*'Assumptions'!$H$18-0</x:f>
        <x:v>3331.9139532210434</x:v>
      </x:c>
      <x:c r="AR363" t="n">
        <x:f>AH363*(1-'Assumptions'!$F$18)+BB363*'Assumptions'!$G$18-BB363*'POWL Model'!$K$65-(BB363-BA363)*'Assumptions'!$H$18-0</x:f>
        <x:v>3661.1013495954576</x:v>
      </x:c>
      <x:c r="AS363" t="n">
        <x:f>E363+O363</x:f>
        <x:v>1500</x:v>
      </x:c>
      <x:c r="AT363" t="n">
        <x:f>F363+P363</x:f>
        <x:v>2340</x:v>
      </x:c>
      <x:c r="AU363" t="n">
        <x:f>G363+Q363</x:f>
        <x:v>3650.4</x:v>
      </x:c>
      <x:c r="AV363" t="n">
        <x:f>H363+R363</x:f>
        <x:v>5694.624000000001</x:v>
      </x:c>
      <x:c r="AW363" t="n">
        <x:f>I363+S363</x:f>
        <x:v>8883.613440000001</x:v>
      </x:c>
      <x:c r="AX363" t="n">
        <x:f>J363+T363</x:f>
        <x:v>12916.773941760002</x:v>
      </x:c>
      <x:c r="AY363" t="n">
        <x:f>K363+U363</x:f>
        <x:v>17411.811273492483</x:v>
      </x:c>
      <x:c r="AZ363" t="n">
        <x:f>L363+V363</x:f>
        <x:v>21625.469601677665</x:v>
      </x:c>
      <x:c r="BA363" t="n">
        <x:f>M363+W363</x:f>
        <x:v>24566.53346750583</x:v>
      </x:c>
      <x:c r="BB363" t="n">
        <x:f>N363+X363</x:f>
        <x:v>25303.529471531005</x:v>
      </x:c>
      <x:c r="BC363" t="n">
        <x:f>AS363/'Inputs'!$G$14-1</x:f>
        <x:v>0.25</x:v>
      </x:c>
      <x:c r="BD363" t="n">
        <x:f>AT363/AS363-1</x:f>
        <x:v>0.56</x:v>
      </x:c>
      <x:c r="BE363" t="n">
        <x:f>AU363/AT363-1</x:f>
        <x:v>0.56</x:v>
      </x:c>
      <x:c r="BF363" t="n">
        <x:f>AV363/AU363-1</x:f>
        <x:v>0.56</x:v>
      </x:c>
      <x:c r="BG363" t="n">
        <x:f>AW363/AV363-1</x:f>
        <x:v>0.56</x:v>
      </x:c>
      <x:c r="BH363" t="n">
        <x:f>AX363/AW363-1</x:f>
        <x:v>0.4540000000000002</x:v>
      </x:c>
      <x:c r="BI363" t="n">
        <x:f>AY363/AX363-1</x:f>
        <x:v>0.3480000000000001</x:v>
      </x:c>
      <x:c r="BJ363" t="n">
        <x:f>AZ363/AY363-1</x:f>
        <x:v>0.242</x:v>
      </x:c>
      <x:c r="BK363" t="n">
        <x:f>BA363/AZ363-1</x:f>
        <x:v>0.13600000000000012</x:v>
      </x:c>
      <x:c r="BL363" t="n">
        <x:f>BB363/BA363-1</x:f>
        <x:v>0.030000000000000027</x:v>
      </x:c>
      <x:c r="BM363" t="n">
        <x:f>AH363*(1-'Assumptions'!$F$18)*(1+'Assumptions'!$D$18)*(1-'Assumptions'!$D$18/'Assumptions'!$E$18)</x:f>
        <x:v>3660.4450104341136</x:v>
      </x:c>
      <x:c r="BN363" t="n">
        <x:f>SUMPRODUCT(AI363:AR363,'POWL Model'!$B$83:$K$83)+BM363/('Assumptions'!$C$18-'Assumptions'!$D$18)*'POWL Model'!$K$83</x:f>
        <x:v>25560.626809266087</x:v>
      </x:c>
      <x:c r="BO363" t="n">
        <x:f>'POWL Model'!$B$94</x:f>
        <x:v>230.812</x:v>
      </x:c>
      <x:c r="BP363" t="n">
        <x:f>'Inputs'!$G$8</x:f>
        <x:v>36.604</x:v>
      </x:c>
    </x:row>
    <x:row r="364">
      <x:c r="A364" t="str">
        <x:v>POWL</x:v>
      </x:c>
      <x:c r="B364" s="22" t="n">
        <x:v>0.57</x:v>
      </x:c>
      <x:c r="C364" s="42" t="n">
        <x:f>(BN364+BO364)/BP364</x:f>
        <x:v>731.4205092666972</x:v>
      </x:c>
      <x:c r="D364" s="22" t="n">
        <x:f>C364/'Inputs'!$G$5-1</x:f>
        <x:v>3.037205438354569</x:v>
      </x:c>
      <x:c r="E364" t="n">
        <x:f>('Assumptions'!$M$18+'Assumptions'!$N$18)*(1+$B364)^0</x:f>
        <x:v>1500</x:v>
      </x:c>
      <x:c r="F364" t="n">
        <x:f>('Assumptions'!$M$18+'Assumptions'!$N$18)*(1+$B364)^1</x:f>
        <x:v>2354.9999999999995</x:v>
      </x:c>
      <x:c r="G364" t="n">
        <x:f>('Assumptions'!$M$18+'Assumptions'!$N$18)*(1+$B364)^2</x:f>
        <x:v>3697.3499999999995</x:v>
      </x:c>
      <x:c r="H364" t="n">
        <x:f>('Assumptions'!$M$18+'Assumptions'!$N$18)*(1+$B364)^3</x:f>
        <x:v>5804.839499999998</x:v>
      </x:c>
      <x:c r="I364" t="n">
        <x:f>('Assumptions'!$M$18+'Assumptions'!$N$18)*(1+$B364)^4</x:f>
        <x:v>9113.598014999998</x:v>
      </x:c>
      <x:c r="J364" t="n">
        <x:f>I364*(1+($BG364+('Assumptions'!$D$18-$BG364)*(6-5)/5))</x:f>
        <x:v>13324.080297929999</x:v>
      </x:c>
      <x:c r="K364" t="n">
        <x:f>J364*(1+($BG364+('Assumptions'!$D$18-$BG364)*(7-5)/5))</x:f>
        <x:v>18040.80472339722</x:v>
      </x:c>
      <x:c r="L364" t="n">
        <x:f>K364*(1+($BG364+('Assumptions'!$D$18-$BG364)*(8-5)/5))</x:f>
        <x:v>22478.842685352938</x:v>
      </x:c>
      <x:c r="M364" t="n">
        <x:f>L364*(1+($BG364+('Assumptions'!$D$18-$BG364)*(9-5)/5))</x:f>
        <x:v>25580.92297593164</x:v>
      </x:c>
      <x:c r="N364" t="n">
        <x:f>M364*(1+($BG364+('Assumptions'!$D$18-$BG364)*(10-5)/5))</x:f>
        <x:v>26348.35066520959</x:v>
      </x:c>
      <x:c r="O364" t="n">
        <x:f>0</x:f>
        <x:v>0</x:v>
      </x:c>
      <x:c r="P364" t="n">
        <x:f>0</x:f>
        <x:v>0</x:v>
      </x:c>
      <x:c r="Q364" t="n">
        <x:f>0</x:f>
        <x:v>0</x:v>
      </x:c>
      <x:c r="R364" t="n">
        <x:f>0</x:f>
        <x:v>0</x:v>
      </x:c>
      <x:c r="S364" t="n">
        <x:f>0</x:f>
        <x:v>0</x:v>
      </x:c>
      <x:c r="T364" t="n">
        <x:f>S364*(1+($BG364+('Assumptions'!$D$18-$BG364)*(6-5)/5))</x:f>
        <x:v>0</x:v>
      </x:c>
      <x:c r="U364" t="n">
        <x:f>T364*(1+($BG364+('Assumptions'!$D$18-$BG364)*(7-5)/5))</x:f>
        <x:v>0</x:v>
      </x:c>
      <x:c r="V364" t="n">
        <x:f>U364*(1+($BG364+('Assumptions'!$D$18-$BG364)*(8-5)/5))</x:f>
        <x:v>0</x:v>
      </x:c>
      <x:c r="W364" t="n">
        <x:f>V364*(1+($BG364+('Assumptions'!$D$18-$BG364)*(9-5)/5))</x:f>
        <x:v>0</x:v>
      </x:c>
      <x:c r="X364" t="n">
        <x:f>W364*(1+($BG364+('Assumptions'!$D$18-$BG364)*(10-5)/5))</x:f>
        <x:v>0</x:v>
      </x:c>
      <x:c r="Y364" t="n">
        <x:f>E364*'POWL Model'!$B$62+O364*'POWL Model'!$B$63+'POWL Model'!$B$73+'POWL Model'!$B$74</x:f>
        <x:v>315</x:v>
      </x:c>
      <x:c r="Z364" t="n">
        <x:f>F364*'POWL Model'!$C$62+P364*'POWL Model'!$C$63+'POWL Model'!$C$73+'POWL Model'!$C$74</x:f>
        <x:v>518.0999999999999</x:v>
      </x:c>
      <x:c r="AA364" t="n">
        <x:f>G364*'POWL Model'!$D$62+Q364*'POWL Model'!$D$63+'POWL Model'!$D$73+'POWL Model'!$D$74</x:f>
        <x:v>813.4169999999999</x:v>
      </x:c>
      <x:c r="AB364" t="n">
        <x:f>H364*'POWL Model'!$E$62+R364*'POWL Model'!$E$63+'POWL Model'!$E$73+'POWL Model'!$E$74</x:f>
        <x:v>1248.0404924999996</x:v>
      </x:c>
      <x:c r="AC364" t="n">
        <x:f>I364*'POWL Model'!$F$62+S364*'POWL Model'!$F$63+'POWL Model'!$F$73+'POWL Model'!$F$74</x:f>
        <x:v>1913.8555831499993</x:v>
      </x:c>
      <x:c r="AD364" t="n">
        <x:f>AX364*$AC364/$AW364</x:f>
        <x:v>2798.0568625652995</x:v>
      </x:c>
      <x:c r="AE364" t="n">
        <x:f>AY364*$AC364/$AW364</x:f>
        <x:v>3788.568991913416</x:v>
      </x:c>
      <x:c r="AF364" t="n">
        <x:f>AZ364*$AC364/$AW364</x:f>
        <x:v>4720.556963924117</x:v>
      </x:c>
      <x:c r="AG364" t="n">
        <x:f>BA364*$AC364/$AW364</x:f>
        <x:v>5371.993824945644</x:v>
      </x:c>
      <x:c r="AH364" t="n">
        <x:f>BB364*$AC364/$AW364</x:f>
        <x:v>5533.153639694014</x:v>
      </x:c>
      <x:c r="AI364" t="n">
        <x:f>Y364*(1-'Assumptions'!$F$18)+AS364*'Assumptions'!$G$18-AS364*'POWL Model'!$B$65-(AS364-'Inputs'!$G$14)*'Assumptions'!$H$18-'Assumptions'!$I$18</x:f>
        <x:v>183.9</x:v>
      </x:c>
      <x:c r="AJ364" t="n">
        <x:f>Z364*(1-'Assumptions'!$F$18)+AT364*'Assumptions'!$G$18-AT364*'POWL Model'!$C$65-(AT364-AS364)*'Assumptions'!$H$18-0</x:f>
        <x:v>268.22099999999995</x:v>
      </x:c>
      <x:c r="AK364" t="n">
        <x:f>AA364*(1-'Assumptions'!$F$18)+AU364*'Assumptions'!$G$18-AU364*'POWL Model'!$D$65-(AU364-AT364)*'Assumptions'!$H$18-0</x:f>
        <x:v>432.19902</x:v>
      </x:c>
      <x:c r="AL364" t="n">
        <x:f>AB364*(1-'Assumptions'!$F$18)+AV364*'Assumptions'!$G$18-AV364*'POWL Model'!$E$65-(AV364-AU364)*'Assumptions'!$H$18-0</x:f>
        <x:v>668.1037502999998</x:v>
      </x:c>
      <x:c r="AM364" t="n">
        <x:f>AC364*(1-'Assumptions'!$F$18)+AW364*'Assumptions'!$G$18-AW364*'POWL Model'!$F$65-(AW364-AV364)*'Assumptions'!$H$18-0</x:f>
        <x:v>1014.2912155139995</x:v>
      </x:c>
      <x:c r="AN364" t="n">
        <x:f>AD364*(1-'Assumptions'!$F$18)+AX364*'Assumptions'!$G$18-AX364*'POWL Model'!$G$65-(AX364-AW364)*'Assumptions'!$H$18-0</x:f>
        <x:v>1545.5860236814674</x:v>
      </x:c>
      <x:c r="AO364" t="n">
        <x:f>AE364*(1-'Assumptions'!$F$18)+AY364*'Assumptions'!$G$18-AY364*'POWL Model'!$H$65-(AY364-AX364)*'Assumptions'!$H$18-0</x:f>
        <x:v>2191.1503346267073</x:v>
      </x:c>
      <x:c r="AP364" t="n">
        <x:f>AF364*(1-'Assumptions'!$F$18)+AZ364*'Assumptions'!$G$18-AZ364*'POWL Model'!$I$65-(AZ364-AY364)*'Assumptions'!$H$18-0</x:f>
        <x:v>2874.0733841625215</x:v>
      </x:c>
      <x:c r="AQ364" t="n">
        <x:f>AG364*(1-'Assumptions'!$F$18)+BA364*'Assumptions'!$G$18-BA364*'POWL Model'!$J$65-(BA364-AZ364)*'Assumptions'!$H$18-0</x:f>
        <x:v>3465.53620218964</x:v>
      </x:c>
      <x:c r="AR364" t="n">
        <x:f>AH364*(1-'Assumptions'!$F$18)+BB364*'Assumptions'!$G$18-BB364*'POWL Model'!$K$65-(BB364-BA364)*'Assumptions'!$H$18-0</x:f>
        <x:v>3812.2737892571413</x:v>
      </x:c>
      <x:c r="AS364" t="n">
        <x:f>E364+O364</x:f>
        <x:v>1500</x:v>
      </x:c>
      <x:c r="AT364" t="n">
        <x:f>F364+P364</x:f>
        <x:v>2354.9999999999995</x:v>
      </x:c>
      <x:c r="AU364" t="n">
        <x:f>G364+Q364</x:f>
        <x:v>3697.3499999999995</x:v>
      </x:c>
      <x:c r="AV364" t="n">
        <x:f>H364+R364</x:f>
        <x:v>5804.839499999998</x:v>
      </x:c>
      <x:c r="AW364" t="n">
        <x:f>I364+S364</x:f>
        <x:v>9113.598014999998</x:v>
      </x:c>
      <x:c r="AX364" t="n">
        <x:f>J364+T364</x:f>
        <x:v>13324.080297929999</x:v>
      </x:c>
      <x:c r="AY364" t="n">
        <x:f>K364+U364</x:f>
        <x:v>18040.80472339722</x:v>
      </x:c>
      <x:c r="AZ364" t="n">
        <x:f>L364+V364</x:f>
        <x:v>22478.842685352938</x:v>
      </x:c>
      <x:c r="BA364" t="n">
        <x:f>M364+W364</x:f>
        <x:v>25580.92297593164</x:v>
      </x:c>
      <x:c r="BB364" t="n">
        <x:f>N364+X364</x:f>
        <x:v>26348.35066520959</x:v>
      </x:c>
      <x:c r="BC364" t="n">
        <x:f>AS364/'Inputs'!$G$14-1</x:f>
        <x:v>0.25</x:v>
      </x:c>
      <x:c r="BD364" t="n">
        <x:f>AT364/AS364-1</x:f>
        <x:v>0.5699999999999996</x:v>
      </x:c>
      <x:c r="BE364" t="n">
        <x:f>AU364/AT364-1</x:f>
        <x:v>0.5700000000000001</x:v>
      </x:c>
      <x:c r="BF364" t="n">
        <x:f>AV364/AU364-1</x:f>
        <x:v>0.5699999999999998</x:v>
      </x:c>
      <x:c r="BG364" t="n">
        <x:f>AW364/AV364-1</x:f>
        <x:v>0.5700000000000001</x:v>
      </x:c>
      <x:c r="BH364" t="n">
        <x:f>AX364/AW364-1</x:f>
        <x:v>0.4620000000000002</x:v>
      </x:c>
      <x:c r="BI364" t="n">
        <x:f>AY364/AX364-1</x:f>
        <x:v>0.3540000000000003</x:v>
      </x:c>
      <x:c r="BJ364" t="n">
        <x:f>AZ364/AY364-1</x:f>
        <x:v>0.246</x:v>
      </x:c>
      <x:c r="BK364" t="n">
        <x:f>BA364/AZ364-1</x:f>
        <x:v>0.1379999999999999</x:v>
      </x:c>
      <x:c r="BL364" t="n">
        <x:f>BB364/BA364-1</x:f>
        <x:v>0.030000000000000027</x:v>
      </x:c>
      <x:c r="BM364" t="n">
        <x:f>AH364*(1-'Assumptions'!$F$18)*(1+'Assumptions'!$D$18)*(1-'Assumptions'!$D$18/'Assumptions'!$E$18)</x:f>
        <x:v>3811.590348854177</x:v>
      </x:c>
      <x:c r="BN364" t="n">
        <x:f>SUMPRODUCT(AI364:AR364,'POWL Model'!$B$83:$K$83)+BM364/('Assumptions'!$C$18-'Assumptions'!$D$18)*'POWL Model'!$K$83</x:f>
        <x:v>26542.10432119818</x:v>
      </x:c>
      <x:c r="BO364" t="n">
        <x:f>'POWL Model'!$B$94</x:f>
        <x:v>230.812</x:v>
      </x:c>
      <x:c r="BP364" t="n">
        <x:f>'Inputs'!$G$8</x:f>
        <x:v>36.604</x:v>
      </x:c>
    </x:row>
    <x:row r="365">
      <x:c r="A365" t="str">
        <x:v>POWL</x:v>
      </x:c>
      <x:c r="B365" s="22" t="n">
        <x:v>0.58</x:v>
      </x:c>
      <x:c r="C365" s="42" t="n">
        <x:f>(BN365+BO365)/BP365</x:f>
        <x:v>759.1437600069012</x:v>
      </x:c>
      <x:c r="D365" s="22" t="n">
        <x:f>C365/'Inputs'!$G$5-1</x:f>
        <x:v>3.190228845873496</x:v>
      </x:c>
      <x:c r="E365" t="n">
        <x:f>('Assumptions'!$M$18+'Assumptions'!$N$18)*(1+$B365)^0</x:f>
        <x:v>1500</x:v>
      </x:c>
      <x:c r="F365" t="n">
        <x:f>('Assumptions'!$M$18+'Assumptions'!$N$18)*(1+$B365)^1</x:f>
        <x:v>2370</x:v>
      </x:c>
      <x:c r="G365" t="n">
        <x:f>('Assumptions'!$M$18+'Assumptions'!$N$18)*(1+$B365)^2</x:f>
        <x:v>3744.600000000001</x:v>
      </x:c>
      <x:c r="H365" t="n">
        <x:f>('Assumptions'!$M$18+'Assumptions'!$N$18)*(1+$B365)^3</x:f>
        <x:v>5916.468000000002</x:v>
      </x:c>
      <x:c r="I365" t="n">
        <x:f>('Assumptions'!$M$18+'Assumptions'!$N$18)*(1+$B365)^4</x:f>
        <x:v>9348.019440000004</x:v>
      </x:c>
      <x:c r="J365" t="n">
        <x:f>I365*(1+($BG365+('Assumptions'!$D$18-$BG365)*(6-5)/5))</x:f>
        <x:v>13741.588576800008</x:v>
      </x:c>
      <x:c r="K365" t="n">
        <x:f>J365*(1+($BG365+('Assumptions'!$D$18-$BG365)*(7-5)/5))</x:f>
        <x:v>18688.56046444801</x:v>
      </x:c>
      <x:c r="L365" t="n">
        <x:f>K365*(1+($BG365+('Assumptions'!$D$18-$BG365)*(8-5)/5))</x:f>
        <x:v>23360.700580560013</x:v>
      </x:c>
      <x:c r="M365" t="n">
        <x:f>L365*(1+($BG365+('Assumptions'!$D$18-$BG365)*(9-5)/5))</x:f>
        <x:v>26631.198661838418</x:v>
      </x:c>
      <x:c r="N365" t="n">
        <x:f>M365*(1+($BG365+('Assumptions'!$D$18-$BG365)*(10-5)/5))</x:f>
        <x:v>27430.13462169357</x:v>
      </x:c>
      <x:c r="O365" t="n">
        <x:f>0</x:f>
        <x:v>0</x:v>
      </x:c>
      <x:c r="P365" t="n">
        <x:f>0</x:f>
        <x:v>0</x:v>
      </x:c>
      <x:c r="Q365" t="n">
        <x:f>0</x:f>
        <x:v>0</x:v>
      </x:c>
      <x:c r="R365" t="n">
        <x:f>0</x:f>
        <x:v>0</x:v>
      </x:c>
      <x:c r="S365" t="n">
        <x:f>0</x:f>
        <x:v>0</x:v>
      </x:c>
      <x:c r="T365" t="n">
        <x:f>S365*(1+($BG365+('Assumptions'!$D$18-$BG365)*(6-5)/5))</x:f>
        <x:v>0</x:v>
      </x:c>
      <x:c r="U365" t="n">
        <x:f>T365*(1+($BG365+('Assumptions'!$D$18-$BG365)*(7-5)/5))</x:f>
        <x:v>0</x:v>
      </x:c>
      <x:c r="V365" t="n">
        <x:f>U365*(1+($BG365+('Assumptions'!$D$18-$BG365)*(8-5)/5))</x:f>
        <x:v>0</x:v>
      </x:c>
      <x:c r="W365" t="n">
        <x:f>V365*(1+($BG365+('Assumptions'!$D$18-$BG365)*(9-5)/5))</x:f>
        <x:v>0</x:v>
      </x:c>
      <x:c r="X365" t="n">
        <x:f>W365*(1+($BG365+('Assumptions'!$D$18-$BG365)*(10-5)/5))</x:f>
        <x:v>0</x:v>
      </x:c>
      <x:c r="Y365" t="n">
        <x:f>E365*'POWL Model'!$B$62+O365*'POWL Model'!$B$63+'POWL Model'!$B$73+'POWL Model'!$B$74</x:f>
        <x:v>315</x:v>
      </x:c>
      <x:c r="Z365" t="n">
        <x:f>F365*'POWL Model'!$C$62+P365*'POWL Model'!$C$63+'POWL Model'!$C$73+'POWL Model'!$C$74</x:f>
        <x:v>521.4</x:v>
      </x:c>
      <x:c r="AA365" t="n">
        <x:f>G365*'POWL Model'!$D$62+Q365*'POWL Model'!$D$63+'POWL Model'!$D$73+'POWL Model'!$D$74</x:f>
        <x:v>823.8120000000002</x:v>
      </x:c>
      <x:c r="AB365" t="n">
        <x:f>H365*'POWL Model'!$E$62+R365*'POWL Model'!$E$63+'POWL Model'!$E$73+'POWL Model'!$E$74</x:f>
        <x:v>1272.0406200000004</x:v>
      </x:c>
      <x:c r="AC365" t="n">
        <x:f>I365*'POWL Model'!$F$62+S365*'POWL Model'!$F$63+'POWL Model'!$F$73+'POWL Model'!$F$74</x:f>
        <x:v>1963.0840824000006</x:v>
      </x:c>
      <x:c r="AD365" t="n">
        <x:f>AX365*$AC365/$AW365</x:f>
        <x:v>2885.7336011280017</x:v>
      </x:c>
      <x:c r="AE365" t="n">
        <x:f>AY365*$AC365/$AW365</x:f>
        <x:v>3924.5976975340823</x:v>
      </x:c>
      <x:c r="AF365" t="n">
        <x:f>AZ365*$AC365/$AW365</x:f>
        <x:v>4905.747121917602</x:v>
      </x:c>
      <x:c r="AG365" t="n">
        <x:f>BA365*$AC365/$AW365</x:f>
        <x:v>5592.5517189860675</x:v>
      </x:c>
      <x:c r="AH365" t="n">
        <x:f>BB365*$AC365/$AW365</x:f>
        <x:v>5760.328270555649</x:v>
      </x:c>
      <x:c r="AI365" t="n">
        <x:f>Y365*(1-'Assumptions'!$F$18)+AS365*'Assumptions'!$G$18-AS365*'POWL Model'!$B$65-(AS365-'Inputs'!$G$14)*'Assumptions'!$H$18-'Assumptions'!$I$18</x:f>
        <x:v>183.9</x:v>
      </x:c>
      <x:c r="AJ365" t="n">
        <x:f>Z365*(1-'Assumptions'!$F$18)+AT365*'Assumptions'!$G$18-AT365*'POWL Model'!$C$65-(AT365-AS365)*'Assumptions'!$H$18-0</x:f>
        <x:v>268.974</x:v>
      </x:c>
      <x:c r="AK365" t="n">
        <x:f>AA365*(1-'Assumptions'!$F$18)+AU365*'Assumptions'!$G$18-AU365*'POWL Model'!$D$65-(AU365-AT365)*'Assumptions'!$H$18-0</x:f>
        <x:v>436.21272000000016</x:v>
      </x:c>
      <x:c r="AL365" t="n">
        <x:f>AB365*(1-'Assumptions'!$F$18)+AV365*'Assumptions'!$G$18-AV365*'POWL Model'!$E$65-(AV365-AU365)*'Assumptions'!$H$18-0</x:f>
        <x:v>678.5664552000003</x:v>
      </x:c>
      <x:c r="AM365" t="n">
        <x:f>AC365*(1-'Assumptions'!$F$18)+AW365*'Assumptions'!$G$18-AW365*'POWL Model'!$F$65-(AW365-AV365)*'Assumptions'!$H$18-0</x:f>
        <x:v>1036.612525344</x:v>
      </x:c>
      <x:c r="AN365" t="n">
        <x:f>AD365*(1-'Assumptions'!$F$18)+AX365*'Assumptions'!$G$18-AX365*'POWL Model'!$G$65-(AX365-AW365)*'Assumptions'!$H$18-0</x:f>
        <x:v>1588.9015602556806</x:v>
      </x:c>
      <x:c r="AO365" t="n">
        <x:f>AE365*(1-'Assumptions'!$F$18)+AY365*'Assumptions'!$G$18-AY365*'POWL Model'!$H$65-(AY365-AX365)*'Assumptions'!$H$18-0</x:f>
        <x:v>2263.734335787726</x:v>
      </x:c>
      <x:c r="AP365" t="n">
        <x:f>AF365*(1-'Assumptions'!$F$18)+AZ365*'Assumptions'!$G$18-AZ365*'POWL Model'!$I$65-(AZ365-AY365)*'Assumptions'!$H$18-0</x:f>
        <x:v>2980.825394079458</x:v>
      </x:c>
      <x:c r="AQ365" t="n">
        <x:f>AG365*(1-'Assumptions'!$F$18)+BA365*'Assumptions'!$G$18-BA365*'POWL Model'!$J$65-(BA365-AZ365)*'Assumptions'!$H$18-0</x:f>
        <x:v>3603.7151143595097</x:v>
      </x:c>
      <x:c r="AR365" t="n">
        <x:f>AH365*(1-'Assumptions'!$F$18)+BB365*'Assumptions'!$G$18-BB365*'POWL Model'!$K$65-(BB365-BA365)*'Assumptions'!$H$18-0</x:f>
        <x:v>3968.7942741764555</x:v>
      </x:c>
      <x:c r="AS365" t="n">
        <x:f>E365+O365</x:f>
        <x:v>1500</x:v>
      </x:c>
      <x:c r="AT365" t="n">
        <x:f>F365+P365</x:f>
        <x:v>2370</x:v>
      </x:c>
      <x:c r="AU365" t="n">
        <x:f>G365+Q365</x:f>
        <x:v>3744.600000000001</x:v>
      </x:c>
      <x:c r="AV365" t="n">
        <x:f>H365+R365</x:f>
        <x:v>5916.468000000002</x:v>
      </x:c>
      <x:c r="AW365" t="n">
        <x:f>I365+S365</x:f>
        <x:v>9348.019440000004</x:v>
      </x:c>
      <x:c r="AX365" t="n">
        <x:f>J365+T365</x:f>
        <x:v>13741.588576800008</x:v>
      </x:c>
      <x:c r="AY365" t="n">
        <x:f>K365+U365</x:f>
        <x:v>18688.56046444801</x:v>
      </x:c>
      <x:c r="AZ365" t="n">
        <x:f>L365+V365</x:f>
        <x:v>23360.700580560013</x:v>
      </x:c>
      <x:c r="BA365" t="n">
        <x:f>M365+W365</x:f>
        <x:v>26631.198661838418</x:v>
      </x:c>
      <x:c r="BB365" t="n">
        <x:f>N365+X365</x:f>
        <x:v>27430.13462169357</x:v>
      </x:c>
      <x:c r="BC365" t="n">
        <x:f>AS365/'Inputs'!$G$14-1</x:f>
        <x:v>0.25</x:v>
      </x:c>
      <x:c r="BD365" t="n">
        <x:f>AT365/AS365-1</x:f>
        <x:v>0.5800000000000001</x:v>
      </x:c>
      <x:c r="BE365" t="n">
        <x:f>AU365/AT365-1</x:f>
        <x:v>0.5800000000000003</x:v>
      </x:c>
      <x:c r="BF365" t="n">
        <x:f>AV365/AU365-1</x:f>
        <x:v>0.5800000000000001</x:v>
      </x:c>
      <x:c r="BG365" t="n">
        <x:f>AW365/AV365-1</x:f>
        <x:v>0.5800000000000001</x:v>
      </x:c>
      <x:c r="BH365" t="n">
        <x:f>AX365/AW365-1</x:f>
        <x:v>0.4700000000000002</x:v>
      </x:c>
      <x:c r="BI365" t="n">
        <x:f>AY365/AX365-1</x:f>
        <x:v>0.3600000000000001</x:v>
      </x:c>
      <x:c r="BJ365" t="n">
        <x:f>AZ365/AY365-1</x:f>
        <x:v>0.25</x:v>
      </x:c>
      <x:c r="BK365" t="n">
        <x:f>BA365/AZ365-1</x:f>
        <x:v>0.14000000000000012</x:v>
      </x:c>
      <x:c r="BL365" t="n">
        <x:f>BB365/BA365-1</x:f>
        <x:v>0.030000000000000027</x:v>
      </x:c>
      <x:c r="BM365" t="n">
        <x:f>AH365*(1-'Assumptions'!$F$18)*(1+'Assumptions'!$D$18)*(1-'Assumptions'!$D$18/'Assumptions'!$E$18)</x:f>
        <x:v>3968.082773768047</x:v>
      </x:c>
      <x:c r="BN365" t="n">
        <x:f>SUMPRODUCT(AI365:AR365,'POWL Model'!$B$83:$K$83)+BM365/('Assumptions'!$C$18-'Assumptions'!$D$18)*'POWL Model'!$K$83</x:f>
        <x:v>27556.886191292608</x:v>
      </x:c>
      <x:c r="BO365" t="n">
        <x:f>'POWL Model'!$B$94</x:f>
        <x:v>230.812</x:v>
      </x:c>
      <x:c r="BP365" t="n">
        <x:f>'Inputs'!$G$8</x:f>
        <x:v>36.604</x:v>
      </x:c>
    </x:row>
    <x:row r="366">
      <x:c r="A366" t="str">
        <x:v>POWL</x:v>
      </x:c>
      <x:c r="B366" s="22" t="n">
        <x:v>0.59</x:v>
      </x:c>
      <x:c r="C366" s="42" t="n">
        <x:f>(BN366+BO366)/BP366</x:f>
        <x:v>787.8029924275426</x:v>
      </x:c>
      <x:c r="D366" s="22" t="n">
        <x:f>C366/'Inputs'!$G$5-1</x:f>
        <x:v>3.3484185705555145</x:v>
      </x:c>
      <x:c r="E366" t="n">
        <x:f>('Assumptions'!$M$18+'Assumptions'!$N$18)*(1+$B366)^0</x:f>
        <x:v>1500</x:v>
      </x:c>
      <x:c r="F366" t="n">
        <x:f>('Assumptions'!$M$18+'Assumptions'!$N$18)*(1+$B366)^1</x:f>
        <x:v>2385</x:v>
      </x:c>
      <x:c r="G366" t="n">
        <x:f>('Assumptions'!$M$18+'Assumptions'!$N$18)*(1+$B366)^2</x:f>
        <x:v>3792.149999999999</x:v>
      </x:c>
      <x:c r="H366" t="n">
        <x:f>('Assumptions'!$M$18+'Assumptions'!$N$18)*(1+$B366)^3</x:f>
        <x:v>6029.518499999997</x:v>
      </x:c>
      <x:c r="I366" t="n">
        <x:f>('Assumptions'!$M$18+'Assumptions'!$N$18)*(1+$B366)^4</x:f>
        <x:v>9586.934414999994</x:v>
      </x:c>
      <x:c r="J366" t="n">
        <x:f>I366*(1+($BG366+('Assumptions'!$D$18-$BG366)*(6-5)/5))</x:f>
        <x:v>14169.48906536999</x:v>
      </x:c>
      <x:c r="K366" t="n">
        <x:f>J366*(1+($BG366+('Assumptions'!$D$18-$BG366)*(7-5)/5))</x:f>
        <x:v>19355.5220632954</x:v>
      </x:c>
      <x:c r="L366" t="n">
        <x:f>K366*(1+($BG366+('Assumptions'!$D$18-$BG366)*(8-5)/5))</x:f>
        <x:v>24271.82466737243</x:v>
      </x:c>
      <x:c r="M366" t="n">
        <x:f>L366*(1+($BG366+('Assumptions'!$D$18-$BG366)*(9-5)/5))</x:f>
        <x:v>27718.423770139314</x:v>
      </x:c>
      <x:c r="N366" t="n">
        <x:f>M366*(1+($BG366+('Assumptions'!$D$18-$BG366)*(10-5)/5))</x:f>
        <x:v>28549.976483243496</x:v>
      </x:c>
      <x:c r="O366" t="n">
        <x:f>0</x:f>
        <x:v>0</x:v>
      </x:c>
      <x:c r="P366" t="n">
        <x:f>0</x:f>
        <x:v>0</x:v>
      </x:c>
      <x:c r="Q366" t="n">
        <x:f>0</x:f>
        <x:v>0</x:v>
      </x:c>
      <x:c r="R366" t="n">
        <x:f>0</x:f>
        <x:v>0</x:v>
      </x:c>
      <x:c r="S366" t="n">
        <x:f>0</x:f>
        <x:v>0</x:v>
      </x:c>
      <x:c r="T366" t="n">
        <x:f>S366*(1+($BG366+('Assumptions'!$D$18-$BG366)*(6-5)/5))</x:f>
        <x:v>0</x:v>
      </x:c>
      <x:c r="U366" t="n">
        <x:f>T366*(1+($BG366+('Assumptions'!$D$18-$BG366)*(7-5)/5))</x:f>
        <x:v>0</x:v>
      </x:c>
      <x:c r="V366" t="n">
        <x:f>U366*(1+($BG366+('Assumptions'!$D$18-$BG366)*(8-5)/5))</x:f>
        <x:v>0</x:v>
      </x:c>
      <x:c r="W366" t="n">
        <x:f>V366*(1+($BG366+('Assumptions'!$D$18-$BG366)*(9-5)/5))</x:f>
        <x:v>0</x:v>
      </x:c>
      <x:c r="X366" t="n">
        <x:f>W366*(1+($BG366+('Assumptions'!$D$18-$BG366)*(10-5)/5))</x:f>
        <x:v>0</x:v>
      </x:c>
      <x:c r="Y366" t="n">
        <x:f>E366*'POWL Model'!$B$62+O366*'POWL Model'!$B$63+'POWL Model'!$B$73+'POWL Model'!$B$74</x:f>
        <x:v>315</x:v>
      </x:c>
      <x:c r="Z366" t="n">
        <x:f>F366*'POWL Model'!$C$62+P366*'POWL Model'!$C$63+'POWL Model'!$C$73+'POWL Model'!$C$74</x:f>
        <x:v>524.7</x:v>
      </x:c>
      <x:c r="AA366" t="n">
        <x:f>G366*'POWL Model'!$D$62+Q366*'POWL Model'!$D$63+'POWL Model'!$D$73+'POWL Model'!$D$74</x:f>
        <x:v>834.2729999999998</x:v>
      </x:c>
      <x:c r="AB366" t="n">
        <x:f>H366*'POWL Model'!$E$62+R366*'POWL Model'!$E$63+'POWL Model'!$E$73+'POWL Model'!$E$74</x:f>
        <x:v>1296.3464774999993</x:v>
      </x:c>
      <x:c r="AC366" t="n">
        <x:f>I366*'POWL Model'!$F$62+S366*'POWL Model'!$F$63+'POWL Model'!$F$73+'POWL Model'!$F$74</x:f>
        <x:v>2013.2562271499987</x:v>
      </x:c>
      <x:c r="AD366" t="n">
        <x:f>AX366*$AC366/$AW366</x:f>
        <x:v>2975.5927037276974</x:v>
      </x:c>
      <x:c r="AE366" t="n">
        <x:f>AY366*$AC366/$AW366</x:f>
        <x:v>4064.659633292034</x:v>
      </x:c>
      <x:c r="AF366" t="n">
        <x:f>AZ366*$AC366/$AW366</x:f>
        <x:v>5097.083180148211</x:v>
      </x:c>
      <x:c r="AG366" t="n">
        <x:f>BA366*$AC366/$AW366</x:f>
        <x:v>5820.868991729256</x:v>
      </x:c>
      <x:c r="AH366" t="n">
        <x:f>BB366*$AC366/$AW366</x:f>
        <x:v>5995.495061481134</x:v>
      </x:c>
      <x:c r="AI366" t="n">
        <x:f>Y366*(1-'Assumptions'!$F$18)+AS366*'Assumptions'!$G$18-AS366*'POWL Model'!$B$65-(AS366-'Inputs'!$G$14)*'Assumptions'!$H$18-'Assumptions'!$I$18</x:f>
        <x:v>183.9</x:v>
      </x:c>
      <x:c r="AJ366" t="n">
        <x:f>Z366*(1-'Assumptions'!$F$18)+AT366*'Assumptions'!$G$18-AT366*'POWL Model'!$C$65-(AT366-AS366)*'Assumptions'!$H$18-0</x:f>
        <x:v>269.72700000000003</x:v>
      </x:c>
      <x:c r="AK366" t="n">
        <x:f>AA366*(1-'Assumptions'!$F$18)+AU366*'Assumptions'!$G$18-AU366*'POWL Model'!$D$65-(AU366-AT366)*'Assumptions'!$H$18-0</x:f>
        <x:v>440.24238</x:v>
      </x:c>
      <x:c r="AL366" t="n">
        <x:f>AB366*(1-'Assumptions'!$F$18)+AV366*'Assumptions'!$G$18-AV366*'POWL Model'!$E$65-(AV366-AU366)*'Assumptions'!$H$18-0</x:f>
        <x:v>689.1322508999999</x:v>
      </x:c>
      <x:c r="AM366" t="n">
        <x:f>AC366*(1-'Assumptions'!$F$18)+AW366*'Assumptions'!$G$18-AW366*'POWL Model'!$F$65-(AW366-AV366)*'Assumptions'!$H$18-0</x:f>
        <x:v>1059.2899281539994</x:v>
      </x:c>
      <x:c r="AN366" t="n">
        <x:f>AD366*(1-'Assumptions'!$F$18)+AX366*'Assumptions'!$G$18-AX366*'POWL Model'!$G$65-(AX366-AW366)*'Assumptions'!$H$18-0</x:f>
        <x:v>1633.1611210116105</x:v>
      </x:c>
      <x:c r="AO366" t="n">
        <x:f>AE366*(1-'Assumptions'!$F$18)+AY366*'Assumptions'!$G$18-AY366*'POWL Model'!$H$65-(AY366-AX366)*'Assumptions'!$H$18-0</x:f>
        <x:v>2338.27175674986</x:v>
      </x:c>
      <x:c r="AP366" t="n">
        <x:f>AF366*(1-'Assumptions'!$F$18)+AZ366*'Assumptions'!$G$18-AZ366*'POWL Model'!$I$65-(AZ366-AY366)*'Assumptions'!$H$18-0</x:f>
        <x:v>3090.891060496468</x:v>
      </x:c>
      <x:c r="AQ366" t="n">
        <x:f>AG366*(1-'Assumptions'!$F$18)+BA366*'Assumptions'!$G$18-BA366*'POWL Model'!$J$65-(BA366-AZ366)*'Assumptions'!$H$18-0</x:f>
        <x:v>3746.5794381958744</x:v>
      </x:c>
      <x:c r="AR366" t="n">
        <x:f>AH366*(1-'Assumptions'!$F$18)+BB366*'Assumptions'!$G$18-BB366*'POWL Model'!$K$65-(BB366-BA366)*'Assumptions'!$H$18-0</x:f>
        <x:v>4130.821257616321</x:v>
      </x:c>
      <x:c r="AS366" t="n">
        <x:f>E366+O366</x:f>
        <x:v>1500</x:v>
      </x:c>
      <x:c r="AT366" t="n">
        <x:f>F366+P366</x:f>
        <x:v>2385</x:v>
      </x:c>
      <x:c r="AU366" t="n">
        <x:f>G366+Q366</x:f>
        <x:v>3792.149999999999</x:v>
      </x:c>
      <x:c r="AV366" t="n">
        <x:f>H366+R366</x:f>
        <x:v>6029.518499999997</x:v>
      </x:c>
      <x:c r="AW366" t="n">
        <x:f>I366+S366</x:f>
        <x:v>9586.934414999994</x:v>
      </x:c>
      <x:c r="AX366" t="n">
        <x:f>J366+T366</x:f>
        <x:v>14169.48906536999</x:v>
      </x:c>
      <x:c r="AY366" t="n">
        <x:f>K366+U366</x:f>
        <x:v>19355.5220632954</x:v>
      </x:c>
      <x:c r="AZ366" t="n">
        <x:f>L366+V366</x:f>
        <x:v>24271.82466737243</x:v>
      </x:c>
      <x:c r="BA366" t="n">
        <x:f>M366+W366</x:f>
        <x:v>27718.423770139314</x:v>
      </x:c>
      <x:c r="BB366" t="n">
        <x:f>N366+X366</x:f>
        <x:v>28549.976483243496</x:v>
      </x:c>
      <x:c r="BC366" t="n">
        <x:f>AS366/'Inputs'!$G$14-1</x:f>
        <x:v>0.25</x:v>
      </x:c>
      <x:c r="BD366" t="n">
        <x:f>AT366/AS366-1</x:f>
        <x:v>0.5900000000000001</x:v>
      </x:c>
      <x:c r="BE366" t="n">
        <x:f>AU366/AT366-1</x:f>
        <x:v>0.5899999999999996</x:v>
      </x:c>
      <x:c r="BF366" t="n">
        <x:f>AV366/AU366-1</x:f>
        <x:v>0.5899999999999996</x:v>
      </x:c>
      <x:c r="BG366" t="n">
        <x:f>AW366/AV366-1</x:f>
        <x:v>0.5899999999999996</x:v>
      </x:c>
      <x:c r="BH366" t="n">
        <x:f>AX366/AW366-1</x:f>
        <x:v>0.47799999999999976</x:v>
      </x:c>
      <x:c r="BI366" t="n">
        <x:f>AY366/AX366-1</x:f>
        <x:v>0.36599999999999966</x:v>
      </x:c>
      <x:c r="BJ366" t="n">
        <x:f>AZ366/AY366-1</x:f>
        <x:v>0.254</x:v>
      </x:c>
      <x:c r="BK366" t="n">
        <x:f>BA366/AZ366-1</x:f>
        <x:v>0.1419999999999999</x:v>
      </x:c>
      <x:c r="BL366" t="n">
        <x:f>BB366/BA366-1</x:f>
        <x:v>0.030000000000000027</x:v>
      </x:c>
      <x:c r="BM366" t="n">
        <x:f>AH366*(1-'Assumptions'!$F$18)*(1+'Assumptions'!$D$18)*(1-'Assumptions'!$D$18/'Assumptions'!$E$18)</x:f>
        <x:v>4130.08071003214</x:v>
      </x:c>
      <x:c r="BN366" t="n">
        <x:f>SUMPRODUCT(AI366:AR366,'POWL Model'!$B$83:$K$83)+BM366/('Assumptions'!$C$18-'Assumptions'!$D$18)*'POWL Model'!$K$83</x:f>
        <x:v>28605.928734817764</x:v>
      </x:c>
      <x:c r="BO366" t="n">
        <x:f>'POWL Model'!$B$94</x:f>
        <x:v>230.812</x:v>
      </x:c>
      <x:c r="BP366" t="n">
        <x:f>'Inputs'!$G$8</x:f>
        <x:v>36.604</x:v>
      </x:c>
    </x:row>
    <x:row r="367">
      <x:c r="A367" t="str">
        <x:v>POWL</x:v>
      </x:c>
      <x:c r="B367" s="22" t="n">
        <x:v>0.6</x:v>
      </x:c>
      <x:c r="C367" s="42" t="n">
        <x:f>(BN367+BO367)/BP367</x:f>
        <x:v>817.4249449733011</x:v>
      </x:c>
      <x:c r="D367" s="22" t="n">
        <x:f>C367/'Inputs'!$G$5-1</x:f>
        <x:v>3.5119221999961425</x:v>
      </x:c>
      <x:c r="E367" t="n">
        <x:f>('Assumptions'!$M$18+'Assumptions'!$N$18)*(1+$B367)^0</x:f>
        <x:v>1500</x:v>
      </x:c>
      <x:c r="F367" t="n">
        <x:f>('Assumptions'!$M$18+'Assumptions'!$N$18)*(1+$B367)^1</x:f>
        <x:v>2400</x:v>
      </x:c>
      <x:c r="G367" t="n">
        <x:f>('Assumptions'!$M$18+'Assumptions'!$N$18)*(1+$B367)^2</x:f>
        <x:v>3840.000000000001</x:v>
      </x:c>
      <x:c r="H367" t="n">
        <x:f>('Assumptions'!$M$18+'Assumptions'!$N$18)*(1+$B367)^3</x:f>
        <x:v>6144.000000000002</x:v>
      </x:c>
      <x:c r="I367" t="n">
        <x:f>('Assumptions'!$M$18+'Assumptions'!$N$18)*(1+$B367)^4</x:f>
        <x:v>9830.400000000005</x:v>
      </x:c>
      <x:c r="J367" t="n">
        <x:f>I367*(1+($BG367+('Assumptions'!$D$18-$BG367)*(6-5)/5))</x:f>
        <x:v>14607.97440000001</x:v>
      </x:c>
      <x:c r="K367" t="n">
        <x:f>J367*(1+($BG367+('Assumptions'!$D$18-$BG367)*(7-5)/5))</x:f>
        <x:v>20042.14087680002</x:v>
      </x:c>
      <x:c r="L367" t="n">
        <x:f>K367*(1+($BG367+('Assumptions'!$D$18-$BG367)*(8-5)/5))</x:f>
        <x:v>25213.013223014423</x:v>
      </x:c>
      <x:c r="M367" t="n">
        <x:f>L367*(1+($BG367+('Assumptions'!$D$18-$BG367)*(9-5)/5))</x:f>
        <x:v>28843.6871271285</x:v>
      </x:c>
      <x:c r="N367" t="n">
        <x:f>M367*(1+($BG367+('Assumptions'!$D$18-$BG367)*(10-5)/5))</x:f>
        <x:v>29708.99774094236</x:v>
      </x:c>
      <x:c r="O367" t="n">
        <x:f>0</x:f>
        <x:v>0</x:v>
      </x:c>
      <x:c r="P367" t="n">
        <x:f>0</x:f>
        <x:v>0</x:v>
      </x:c>
      <x:c r="Q367" t="n">
        <x:f>0</x:f>
        <x:v>0</x:v>
      </x:c>
      <x:c r="R367" t="n">
        <x:f>0</x:f>
        <x:v>0</x:v>
      </x:c>
      <x:c r="S367" t="n">
        <x:f>0</x:f>
        <x:v>0</x:v>
      </x:c>
      <x:c r="T367" t="n">
        <x:f>S367*(1+($BG367+('Assumptions'!$D$18-$BG367)*(6-5)/5))</x:f>
        <x:v>0</x:v>
      </x:c>
      <x:c r="U367" t="n">
        <x:f>T367*(1+($BG367+('Assumptions'!$D$18-$BG367)*(7-5)/5))</x:f>
        <x:v>0</x:v>
      </x:c>
      <x:c r="V367" t="n">
        <x:f>U367*(1+($BG367+('Assumptions'!$D$18-$BG367)*(8-5)/5))</x:f>
        <x:v>0</x:v>
      </x:c>
      <x:c r="W367" t="n">
        <x:f>V367*(1+($BG367+('Assumptions'!$D$18-$BG367)*(9-5)/5))</x:f>
        <x:v>0</x:v>
      </x:c>
      <x:c r="X367" t="n">
        <x:f>W367*(1+($BG367+('Assumptions'!$D$18-$BG367)*(10-5)/5))</x:f>
        <x:v>0</x:v>
      </x:c>
      <x:c r="Y367" t="n">
        <x:f>E367*'POWL Model'!$B$62+O367*'POWL Model'!$B$63+'POWL Model'!$B$73+'POWL Model'!$B$74</x:f>
        <x:v>315</x:v>
      </x:c>
      <x:c r="Z367" t="n">
        <x:f>F367*'POWL Model'!$C$62+P367*'POWL Model'!$C$63+'POWL Model'!$C$73+'POWL Model'!$C$74</x:f>
        <x:v>528</x:v>
      </x:c>
      <x:c r="AA367" t="n">
        <x:f>G367*'POWL Model'!$D$62+Q367*'POWL Model'!$D$63+'POWL Model'!$D$73+'POWL Model'!$D$74</x:f>
        <x:v>844.8000000000002</x:v>
      </x:c>
      <x:c r="AB367" t="n">
        <x:f>H367*'POWL Model'!$E$62+R367*'POWL Model'!$E$63+'POWL Model'!$E$73+'POWL Model'!$E$74</x:f>
        <x:v>1320.9600000000003</x:v>
      </x:c>
      <x:c r="AC367" t="n">
        <x:f>I367*'POWL Model'!$F$62+S367*'POWL Model'!$F$63+'POWL Model'!$F$73+'POWL Model'!$F$74</x:f>
        <x:v>2064.384000000001</x:v>
      </x:c>
      <x:c r="AD367" t="n">
        <x:f>AX367*$AC367/$AW367</x:f>
        <x:v>3067.674624000002</x:v>
      </x:c>
      <x:c r="AE367" t="n">
        <x:f>AY367*$AC367/$AW367</x:f>
        <x:v>4208.849584128004</x:v>
      </x:c>
      <x:c r="AF367" t="n">
        <x:f>AZ367*$AC367/$AW367</x:f>
        <x:v>5294.732776833029</x:v>
      </x:c>
      <x:c r="AG367" t="n">
        <x:f>BA367*$AC367/$AW367</x:f>
        <x:v>6057.174296696985</x:v>
      </x:c>
      <x:c r="AH367" t="n">
        <x:f>BB367*$AC367/$AW367</x:f>
        <x:v>6238.889525597895</x:v>
      </x:c>
      <x:c r="AI367" t="n">
        <x:f>Y367*(1-'Assumptions'!$F$18)+AS367*'Assumptions'!$G$18-AS367*'POWL Model'!$B$65-(AS367-'Inputs'!$G$14)*'Assumptions'!$H$18-'Assumptions'!$I$18</x:f>
        <x:v>183.9</x:v>
      </x:c>
      <x:c r="AJ367" t="n">
        <x:f>Z367*(1-'Assumptions'!$F$18)+AT367*'Assumptions'!$G$18-AT367*'POWL Model'!$C$65-(AT367-AS367)*'Assumptions'!$H$18-0</x:f>
        <x:v>270.48</x:v>
      </x:c>
      <x:c r="AK367" t="n">
        <x:f>AA367*(1-'Assumptions'!$F$18)+AU367*'Assumptions'!$G$18-AU367*'POWL Model'!$D$65-(AU367-AT367)*'Assumptions'!$H$18-0</x:f>
        <x:v>444.288</x:v>
      </x:c>
      <x:c r="AL367" t="n">
        <x:f>AB367*(1-'Assumptions'!$F$18)+AV367*'Assumptions'!$G$18-AV367*'POWL Model'!$E$65-(AV367-AU367)*'Assumptions'!$H$18-0</x:f>
        <x:v>699.8016000000001</x:v>
      </x:c>
      <x:c r="AM367" t="n">
        <x:f>AC367*(1-'Assumptions'!$F$18)+AW367*'Assumptions'!$G$18-AW367*'POWL Model'!$F$65-(AW367-AV367)*'Assumptions'!$H$18-0</x:f>
        <x:v>1082.3270400000001</x:v>
      </x:c>
      <x:c r="AN367" t="n">
        <x:f>AD367*(1-'Assumptions'!$F$18)+AX367*'Assumptions'!$G$18-AX367*'POWL Model'!$G$65-(AX367-AW367)*'Assumptions'!$H$18-0</x:f>
        <x:v>1678.3795814400007</x:v>
      </x:c>
      <x:c r="AO367" t="n">
        <x:f>AE367*(1-'Assumptions'!$F$18)+AY367*'Assumptions'!$G$18-AY367*'POWL Model'!$H$65-(AY367-AX367)*'Assumptions'!$H$18-0</x:f>
        <x:v>2414.803345735682</x:v>
      </x:c>
      <x:c r="AP367" t="n">
        <x:f>AF367*(1-'Assumptions'!$F$18)+AZ367*'Assumptions'!$G$18-AZ367*'POWL Model'!$I$65-(AZ367-AY367)*'Assumptions'!$H$18-0</x:f>
        <x:v>3204.3535170954888</x:v>
      </x:c>
      <x:c r="AQ367" t="n">
        <x:f>AG367*(1-'Assumptions'!$F$18)+BA367*'Assumptions'!$G$18-BA367*'POWL Model'!$J$65-(BA367-AZ367)*'Assumptions'!$H$18-0</x:f>
        <x:v>3894.2608295527593</x:v>
      </x:c>
      <x:c r="AR367" t="n">
        <x:f>AH367*(1-'Assumptions'!$F$18)+BB367*'Assumptions'!$G$18-BB367*'POWL Model'!$K$65-(BB367-BA367)*'Assumptions'!$H$18-0</x:f>
        <x:v>4298.517005181706</x:v>
      </x:c>
      <x:c r="AS367" t="n">
        <x:f>E367+O367</x:f>
        <x:v>1500</x:v>
      </x:c>
      <x:c r="AT367" t="n">
        <x:f>F367+P367</x:f>
        <x:v>2400</x:v>
      </x:c>
      <x:c r="AU367" t="n">
        <x:f>G367+Q367</x:f>
        <x:v>3840.000000000001</x:v>
      </x:c>
      <x:c r="AV367" t="n">
        <x:f>H367+R367</x:f>
        <x:v>6144.000000000002</x:v>
      </x:c>
      <x:c r="AW367" t="n">
        <x:f>I367+S367</x:f>
        <x:v>9830.400000000005</x:v>
      </x:c>
      <x:c r="AX367" t="n">
        <x:f>J367+T367</x:f>
        <x:v>14607.97440000001</x:v>
      </x:c>
      <x:c r="AY367" t="n">
        <x:f>K367+U367</x:f>
        <x:v>20042.14087680002</x:v>
      </x:c>
      <x:c r="AZ367" t="n">
        <x:f>L367+V367</x:f>
        <x:v>25213.013223014423</x:v>
      </x:c>
      <x:c r="BA367" t="n">
        <x:f>M367+W367</x:f>
        <x:v>28843.6871271285</x:v>
      </x:c>
      <x:c r="BB367" t="n">
        <x:f>N367+X367</x:f>
        <x:v>29708.99774094236</x:v>
      </x:c>
      <x:c r="BC367" t="n">
        <x:f>AS367/'Inputs'!$G$14-1</x:f>
        <x:v>0.25</x:v>
      </x:c>
      <x:c r="BD367" t="n">
        <x:f>AT367/AS367-1</x:f>
        <x:v>0.6000000000000001</x:v>
      </x:c>
      <x:c r="BE367" t="n">
        <x:f>AU367/AT367-1</x:f>
        <x:v>0.6000000000000003</x:v>
      </x:c>
      <x:c r="BF367" t="n">
        <x:f>AV367/AU367-1</x:f>
        <x:v>0.6000000000000001</x:v>
      </x:c>
      <x:c r="BG367" t="n">
        <x:f>AW367/AV367-1</x:f>
        <x:v>0.6000000000000003</x:v>
      </x:c>
      <x:c r="BH367" t="n">
        <x:f>AX367/AW367-1</x:f>
        <x:v>0.4860000000000002</x:v>
      </x:c>
      <x:c r="BI367" t="n">
        <x:f>AY367/AX367-1</x:f>
        <x:v>0.37200000000000033</x:v>
      </x:c>
      <x:c r="BJ367" t="n">
        <x:f>AZ367/AY367-1</x:f>
        <x:v>0.258</x:v>
      </x:c>
      <x:c r="BK367" t="n">
        <x:f>BA367/AZ367-1</x:f>
        <x:v>0.14400000000000013</x:v>
      </x:c>
      <x:c r="BL367" t="n">
        <x:f>BB367/BA367-1</x:f>
        <x:v>0.030000000000000027</x:v>
      </x:c>
      <x:c r="BM367" t="n">
        <x:f>AH367*(1-'Assumptions'!$F$18)*(1+'Assumptions'!$D$18)*(1-'Assumptions'!$D$18/'Assumptions'!$E$18)</x:f>
        <x:v>4297.746394161468</x:v>
      </x:c>
      <x:c r="BN367" t="n">
        <x:f>SUMPRODUCT(AI367:AR367,'POWL Model'!$B$83:$K$83)+BM367/('Assumptions'!$C$18-'Assumptions'!$D$18)*'POWL Model'!$K$83</x:f>
        <x:v>29690.21068580271</x:v>
      </x:c>
      <x:c r="BO367" t="n">
        <x:f>'POWL Model'!$B$94</x:f>
        <x:v>230.812</x:v>
      </x:c>
      <x:c r="BP367" t="n">
        <x:f>'Inputs'!$G$8</x:f>
        <x:v>36.604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7" hidden="0" customWidth="1"/>
    <x:col min="3" max="3" width="18" hidden="0" customWidth="1"/>
    <x:col min="4" max="4" width="36" hidden="0" customWidth="1"/>
    <x:col min="5" max="5" width="3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9" customHeight="1">
      <x:c r="A1" s="7" t="str">
        <x:v>PRICE-IMPLIED GROWTH | one conditional way to justify today's price</x:v>
      </x:c>
      <x:c r="B1" s="7"/>
      <x:c r="C1" s="7"/>
      <x:c r="D1" s="7"/>
      <x:c r="E1" s="7"/>
      <x:c r="F1" s="7"/>
      <x:c r="G1" s="7"/>
      <x:c r="H1" s="7"/>
      <x:c r="I1" s="7"/>
    </x:row>
    <x:row r="3">
      <x:c r="A3" s="24" t="str">
        <x:v>Ticker</x:v>
      </x:c>
      <x:c r="B3" s="24" t="str">
        <x:v>Driver changed</x:v>
      </x:c>
      <x:c r="C3" s="24" t="str">
        <x:v>Growth required</x:v>
      </x:c>
      <x:c r="D3" s="24" t="str">
        <x:v>Period / other inputs fixed</x:v>
      </x:c>
      <x:c r="E3" s="24" t="str">
        <x:v>Base growth path</x:v>
      </x:c>
      <x:c r="F3" s="24" t="str">
        <x:v>Quote</x:v>
      </x:c>
      <x:c r="G3" s="24" t="str">
        <x:v>Lower-grid value</x:v>
      </x:c>
      <x:c r="H3" s="24" t="str">
        <x:v>Upper-grid value</x:v>
      </x:c>
      <x:c r="I3" s="24" t="str">
        <x:v>Index</x:v>
      </x:c>
    </x:row>
    <x:row r="4" ht="62" customHeight="1">
      <x:c r="A4" s="24" t="str">
        <x:v>LMAT</x:v>
      </x:c>
      <x:c r="B4" s="24" t="str">
        <x:v>Total revenue</x:v>
      </x:c>
      <x:c r="C4" s="54" t="n">
        <x:f>INDEX('Reverse Engine'!$B$2:$B$62,I4)+(F4-G4)/(H4-G4)*(INDEX('Reverse Engine'!$B$2:$B$62,I4+1)-INDEX('Reverse Engine'!$B$2:$B$62,I4))</x:f>
        <x:v>0.15845412391804453</x:v>
      </x:c>
      <x:c r="D4" s="24" t="str">
        <x:v>Years 1–5; then fades to terminal growth</x:v>
      </x:c>
      <x:c r="E4" s="24" t="str">
        <x:v>10.0% / 10.0% / 9.0% / 8.0% / 7.0%</x:v>
      </x:c>
      <x:c r="F4" s="58" t="n">
        <x:f>'Inputs'!$B$5</x:f>
        <x:v>80.67</x:v>
      </x:c>
      <x:c r="G4" s="58" t="n">
        <x:f>INDEX('Reverse Engine'!$C$2:$C$62,I4)</x:f>
        <x:v>77.52666345022959</x:v>
      </x:c>
      <x:c r="H4" s="58" t="n">
        <x:f>INDEX('Reverse Engine'!$C$2:$C$62,I4+1)</x:f>
        <x:v>81.24477378341415</x:v>
      </x:c>
      <x:c r="I4" s="24" t="n">
        <x:f>MATCH(F4,'Reverse Engine'!$C$2:$C$62,1)</x:f>
        <x:v>16</x:v>
      </x:c>
    </x:row>
    <x:row r="5" ht="62" customHeight="1">
      <x:c r="A5" s="24" t="str">
        <x:v>WINA</x:v>
      </x:c>
      <x:c r="B5" s="24" t="str">
        <x:v>Core royalty/franchise revenue</x:v>
      </x:c>
      <x:c r="C5" s="54" t="n">
        <x:f>INDEX('Reverse Engine'!$B$63:$B$123,I5)+(F5-G5)/(H5-G5)*(INDEX('Reverse Engine'!$B$63:$B$123,I5+1)-INDEX('Reverse Engine'!$B$63:$B$123,I5))</x:f>
        <x:v>0.17352103076636052</x:v>
      </x:c>
      <x:c r="D5" s="24" t="str">
        <x:v>Years 1–5; then fades to terminal growth</x:v>
      </x:c>
      <x:c r="E5" s="24" t="str">
        <x:v>6.5% / 6.5% / 6.0% / 6.0% / 5.5%</x:v>
      </x:c>
      <x:c r="F5" s="58" t="n">
        <x:f>'Inputs'!$C$5</x:f>
        <x:v>318.17</x:v>
      </x:c>
      <x:c r="G5" s="58" t="n">
        <x:f>INDEX('Reverse Engine'!$C$63:$C$123,I5)</x:f>
        <x:v>311.98776518820046</x:v>
      </x:c>
      <x:c r="H5" s="58" t="n">
        <x:f>INDEX('Reverse Engine'!$C$63:$C$123,I5+1)</x:f>
        <x:v>329.54579072681224</x:v>
      </x:c>
      <x:c r="I5" s="24" t="n">
        <x:f>MATCH(F5,'Reverse Engine'!$C$63:$C$123,1)</x:f>
        <x:v>18</x:v>
      </x:c>
    </x:row>
    <x:row r="6" ht="62" customHeight="1">
      <x:c r="A6" s="24" t="str">
        <x:v>NSSC</x:v>
      </x:c>
      <x:c r="B6" s="24" t="str">
        <x:v>Recurring-service revenue</x:v>
      </x:c>
      <x:c r="C6" s="54" t="n">
        <x:f>INDEX('Reverse Engine'!$B$124:$B$184,I6)+(F6-G6)/(H6-G6)*(INDEX('Reverse Engine'!$B$124:$B$184,I6+1)-INDEX('Reverse Engine'!$B$124:$B$184,I6))</x:f>
        <x:v>0.132285349573647</x:v>
      </x:c>
      <x:c r="D6" s="24" t="str">
        <x:v>Years 1–5; then fades to terminal growth</x:v>
      </x:c>
      <x:c r="E6" s="24" t="str">
        <x:v>13.0% / 12.0% / 11.0% / 10.0% / 9.0%</x:v>
      </x:c>
      <x:c r="F6" s="58" t="n">
        <x:f>'Inputs'!$D$5</x:f>
        <x:v>37.01</x:v>
      </x:c>
      <x:c r="G6" s="58" t="n">
        <x:f>INDEX('Reverse Engine'!$C$124:$C$184,I6)</x:f>
        <x:v>36.51509190037617</x:v>
      </x:c>
      <x:c r="H6" s="58" t="n">
        <x:f>INDEX('Reverse Engine'!$C$124:$C$184,I6+1)</x:f>
        <x:v>38.68066037764876</x:v>
      </x:c>
      <x:c r="I6" s="24" t="n">
        <x:f>MATCH(F6,'Reverse Engine'!$C$124:$C$184,1)</x:f>
        <x:v>14</x:v>
      </x:c>
    </x:row>
    <x:row r="7" ht="62" customHeight="1">
      <x:c r="A7" s="24" t="str">
        <x:v>APPF</x:v>
      </x:c>
      <x:c r="B7" s="24" t="str">
        <x:v>Total revenue</x:v>
      </x:c>
      <x:c r="C7" s="54" t="n">
        <x:f>INDEX('Reverse Engine'!$B$185:$B$245,I7)+(F7-G7)/(H7-G7)*(INDEX('Reverse Engine'!$B$185:$B$245,I7+1)-INDEX('Reverse Engine'!$B$185:$B$245,I7))</x:f>
        <x:v>0.21305254267389012</x:v>
      </x:c>
      <x:c r="D7" s="24" t="str">
        <x:v>Years 1–5; then fades to terminal growth</x:v>
      </x:c>
      <x:c r="E7" s="24" t="str">
        <x:v>16.0% / 15.0% / 14.0% / 12.0% / 10.0%</x:v>
      </x:c>
      <x:c r="F7" s="58" t="n">
        <x:f>'Inputs'!$E$5</x:f>
        <x:v>214.28</x:v>
      </x:c>
      <x:c r="G7" s="58" t="n">
        <x:f>INDEX('Reverse Engine'!$C$185:$C$245,I7)</x:f>
        <x:v>210.90301882152872</x:v>
      </x:c>
      <x:c r="H7" s="58" t="n">
        <x:f>INDEX('Reverse Engine'!$C$185:$C$245,I7+1)</x:f>
        <x:v>221.96586556682155</x:v>
      </x:c>
      <x:c r="I7" s="24" t="n">
        <x:f>MATCH(F7,'Reverse Engine'!$C$185:$C$245,1)</x:f>
        <x:v>22</x:v>
      </x:c>
    </x:row>
    <x:row r="8" ht="62" customHeight="1">
      <x:c r="A8" s="24" t="str">
        <x:v>MOD</x:v>
      </x:c>
      <x:c r="B8" s="24" t="str">
        <x:v>Data-center revenue</x:v>
      </x:c>
      <x:c r="C8" s="54" t="n">
        <x:f>INDEX('Reverse Engine'!$B$246:$B$306,I8)+(F8-G8)/(H8-G8)*(INDEX('Reverse Engine'!$B$246:$B$306,I8+1)-INDEX('Reverse Engine'!$B$246:$B$306,I8))</x:f>
        <x:v>0.28964501886822697</x:v>
      </x:c>
      <x:c r="D8" s="24" t="str">
        <x:v>Years 1–5; then fades to terminal growth</x:v>
      </x:c>
      <x:c r="E8" s="24" t="str">
        <x:v>43.0% / 28.0% / 23.0% / 18.0% / 15.0%</x:v>
      </x:c>
      <x:c r="F8" s="58" t="n">
        <x:f>'Inputs'!$F$5</x:f>
        <x:v>194.66</x:v>
      </x:c>
      <x:c r="G8" s="58" t="n">
        <x:f>INDEX('Reverse Engine'!$C$246:$C$306,I8)</x:f>
        <x:v>186.65864400971185</x:v>
      </x:c>
      <x:c r="H8" s="58" t="n">
        <x:f>INDEX('Reverse Engine'!$C$246:$C$306,I8+1)</x:f>
        <x:v>194.95448676502934</x:v>
      </x:c>
      <x:c r="I8" s="24" t="n">
        <x:f>MATCH(F8,'Reverse Engine'!$C$246:$C$306,1)</x:f>
        <x:v>29</x:v>
      </x:c>
    </x:row>
    <x:row r="9" ht="62" customHeight="1">
      <x:c r="A9" s="24" t="str">
        <x:v>POWL</x:v>
      </x:c>
      <x:c r="B9" s="24" t="str">
        <x:v>Total revenue after Year 1</x:v>
      </x:c>
      <x:c r="C9" s="54" t="n">
        <x:f>INDEX('Reverse Engine'!$B$307:$B$367,I9)+(F9-G9)/(H9-G9)*(INDEX('Reverse Engine'!$B$307:$B$367,I9+1)-INDEX('Reverse Engine'!$B$307:$B$367,I9))</x:f>
        <x:v>0.21743505897847162</x:v>
      </x:c>
      <x:c r="D9" s="24" t="str">
        <x:v>Years 2–5; Year 1 fixed $1.5bn</x:v>
      </x:c>
      <x:c r="E9" s="24" t="str">
        <x:v>15.0% / 12.0% / 10.0% / 8.0%</x:v>
      </x:c>
      <x:c r="F9" s="58" t="n">
        <x:f>'Inputs'!$G$5</x:f>
        <x:v>181.17</x:v>
      </x:c>
      <x:c r="G9" s="58" t="n">
        <x:f>INDEX('Reverse Engine'!$C$307:$C$367,I9)</x:f>
        <x:v>175.65754894719768</x:v>
      </x:c>
      <x:c r="H9" s="58" t="n">
        <x:f>INDEX('Reverse Engine'!$C$307:$C$367,I9+1)</x:f>
        <x:v>183.07168119384662</x:v>
      </x:c>
      <x:c r="I9" s="24" t="n">
        <x:f>MATCH(F9,'Reverse Engine'!$C$307:$C$367,1)</x:f>
        <x:v>22</x:v>
      </x:c>
    </x:row>
    <x:row r="12">
      <x:c r="A12" s="24" t="str">
        <x:v>These are NOT measured market beliefs. Growth, margins, durability, reinvestment and discount rates can trade off. This table changes only the named revenue driver, holds the other base-case parameters fixed, and solves for the growth path that equates modeled value to the verified quote. A 1-percentage-point grid is interpolated.</x:v>
      </x:c>
      <x:c r="B12" s="24"/>
      <x:c r="C12" s="24"/>
      <x:c r="D12" s="24"/>
      <x:c r="E12" s="24"/>
      <x:c r="F12" s="24"/>
      <x:c r="G12" s="24"/>
      <x:c r="H12" s="24"/>
      <x:c r="I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</x:row>
  </x:sheetData>
  <x:mergeCells>
    <x:mergeCell ref="A1:I1"/>
    <x:mergeCell ref="A12:I15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43" hidden="0" customWidth="1"/>
  </x:cols>
  <x:sheetData>
    <x:row r="1" ht="29" customHeight="1">
      <x:c r="A1" s="7" t="str">
        <x:v>TWO-YEAR SHAREHOLDER PAYOFF | operating forecast AND exit pricing must work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</x:row>
    <x:row r="3" ht="50" customHeight="1">
      <x:c r="A3" s="52" t="str">
        <x:v>Ticker</x:v>
      </x:c>
      <x:c r="B3" s="52" t="str">
        <x:v>Debt interest assumption</x:v>
      </x:c>
      <x:c r="C3" s="52" t="str">
        <x:v>Debt retained</x:v>
      </x:c>
      <x:c r="D3" s="52" t="str">
        <x:v>Annual after-tax interest</x:v>
      </x:c>
      <x:c r="E3" s="52" t="str">
        <x:v>Y1 owner cash/share</x:v>
      </x:c>
      <x:c r="F3" s="52" t="str">
        <x:v>Y2 owner cash/share</x:v>
      </x:c>
      <x:c r="G3" s="52" t="str">
        <x:v>Year 3 EBIT</x:v>
      </x:c>
      <x:c r="H3" s="52" t="str">
        <x:v>Exit EV/EBIT</x:v>
      </x:c>
      <x:c r="I3" s="52" t="str">
        <x:v>Exit price/share</x:v>
      </x:c>
      <x:c r="J3" s="52" t="str">
        <x:v>Annualized return</x:v>
      </x:c>
      <x:c r="K3" s="52" t="str">
        <x:v>Hurdle</x:v>
      </x:c>
      <x:c r="L3" s="52" t="str">
        <x:v>Multiple for hurdle</x:v>
      </x:c>
      <x:c r="M3" s="52" t="str">
        <x:v>Caveat</x:v>
      </x:c>
    </x:row>
    <x:row r="4" ht="72" customHeight="1">
      <x:c r="A4" s="24" t="str">
        <x:v>LMAT</x:v>
      </x:c>
      <x:c r="B4" s="54" t="n">
        <x:v>0.025</x:v>
      </x:c>
      <x:c r="C4" s="24" t="n">
        <x:f>'Inputs'!$B$7</x:f>
        <x:v>172.5</x:v>
      </x:c>
      <x:c r="D4" s="24" t="n">
        <x:f>B4*C4*(1-'Assumptions'!$F$3)</x:f>
        <x:v>3.2775</x:v>
      </x:c>
      <x:c r="E4" s="24" t="n">
        <x:f>('LMAT Model'!B82-D4)/'Inputs'!$B$8</x:f>
        <x:v>2.1883339397089396</x:v>
      </x:c>
      <x:c r="F4" s="24" t="n">
        <x:f>('LMAT Model'!C82-D4)/'Inputs'!$B$8</x:f>
        <x:v>2.6743452962577963</x:v>
      </x:c>
      <x:c r="G4" s="24" t="n">
        <x:f>'LMAT Model'!D75</x:f>
        <x:v>109.32362100000005</x:v>
      </x:c>
      <x:c r="H4" s="24" t="n">
        <x:f>'Controls'!B4</x:f>
        <x:v>18</x:v>
      </x:c>
      <x:c r="I4" s="24" t="n">
        <x:f>MIN((G4*H4+'LMAT Model'!B94)/'Inputs'!$B$8,(G4*H4+'LMAT Model'!B94+'Inputs'!$B$7)/('Inputs'!$B$8+'Inputs'!$B$19))</x:f>
        <x:v>92.941145963271</x:v>
      </x:c>
      <x:c r="J4" s="54" t="n">
        <x:f>(E4+SQRT(E4^2+4*'Inputs'!$B$5*(F4+I4)))/(2*'Inputs'!$B$5)-1</x:f>
        <x:v>0.10234767612800799</x:v>
      </x:c>
      <x:c r="K4" s="54" t="n">
        <x:f>'Controls'!B5</x:f>
        <x:v>0.12</x:v>
      </x:c>
      <x:c r="L4" s="56" t="n">
        <x:f>(('Inputs'!$B$5*(1+K4)^2-E4*(1+K4)-F4)*'Inputs'!$B$8-'LMAT Model'!B94)/G4</x:f>
        <x:v>18.660183152403995</x:v>
      </x:c>
      <x:c r="M4" s="24" t="str">
        <x:v>Full cash payout assumed; fixed claims, no personal taxes/costs. MOD closing and THRM value conditional.</x:v>
      </x:c>
    </x:row>
    <x:row r="5" ht="72" customHeight="1">
      <x:c r="A5" s="24" t="str">
        <x:v>WINA</x:v>
      </x:c>
      <x:c r="B5" s="54" t="n">
        <x:v>0.05</x:v>
      </x:c>
      <x:c r="C5" s="24" t="n">
        <x:f>'Inputs'!$C$7</x:f>
        <x:v>60</x:v>
      </x:c>
      <x:c r="D5" s="24" t="n">
        <x:f>B5*C5*(1-'Assumptions'!$F$6)</x:f>
        <x:v>2.2800000000000002</x:v>
      </x:c>
      <x:c r="E5" s="24" t="n">
        <x:f>('WINA Model'!B82-D5)/'Inputs'!$C$8</x:f>
        <x:v>10.47019423933329</x:v>
      </x:c>
      <x:c r="F5" s="24" t="n">
        <x:f>('WINA Model'!C82-D5)/'Inputs'!$C$8</x:f>
        <x:v>11.429435771046242</x:v>
      </x:c>
      <x:c r="G5" s="24" t="n">
        <x:f>'WINA Model'!D75</x:f>
        <x:v>65.969021295</x:v>
      </x:c>
      <x:c r="H5" s="24" t="n">
        <x:f>'Controls'!B4</x:f>
        <x:v>18</x:v>
      </x:c>
      <x:c r="I5" s="24" t="n">
        <x:f>(G5*H5+'WINA Model'!B94)/'Inputs'!$C$8</x:f>
        <x:v>309.22921400582896</x:v>
      </x:c>
      <x:c r="J5" s="54" t="n">
        <x:f>(E5+SQRT(E5^2+4*'Inputs'!$C$5*(F5+I5)))/(2*'Inputs'!$C$5)-1</x:f>
        <x:v>0.02049186438373085</x:v>
      </x:c>
      <x:c r="K5" s="54" t="n">
        <x:f>'Controls'!B5</x:f>
        <x:v>0.12</x:v>
      </x:c>
      <x:c r="L5" s="56" t="n">
        <x:f>(('Inputs'!$C$5*(1+K5)^2-E5*(1+K5)-F5)*'Inputs'!$C$8-'WINA Model'!B94)/G5</x:f>
        <x:v>21.744056256332367</x:v>
      </x:c>
      <x:c r="M5" s="24" t="str">
        <x:v>Full cash payout assumed; fixed claims, no personal taxes/costs. MOD closing and THRM value conditional.</x:v>
      </x:c>
    </x:row>
    <x:row r="6" ht="72" customHeight="1">
      <x:c r="A6" s="24" t="str">
        <x:v>NSSC</x:v>
      </x:c>
      <x:c r="B6" s="54" t="n">
        <x:v>0</x:v>
      </x:c>
      <x:c r="C6" s="24" t="n">
        <x:f>'Inputs'!$D$7</x:f>
        <x:v>0</x:v>
      </x:c>
      <x:c r="D6" s="24" t="n">
        <x:f>B6*C6*(1-'Assumptions'!$F$9)</x:f>
        <x:v>0</x:v>
      </x:c>
      <x:c r="E6" s="24" t="n">
        <x:f>('NSSC Model'!B82-D6)/'Inputs'!$D$8</x:f>
        <x:v>1.519653792003566</x:v>
      </x:c>
      <x:c r="F6" s="24" t="n">
        <x:f>('NSSC Model'!C82-D6)/'Inputs'!$D$8</x:f>
        <x:v>1.7378883778202898</x:v>
      </x:c>
      <x:c r="G6" s="24" t="n">
        <x:f>'NSSC Model'!D75</x:f>
        <x:v>89.45126766256901</x:v>
      </x:c>
      <x:c r="H6" s="24" t="n">
        <x:f>'Controls'!B4</x:f>
        <x:v>18</x:v>
      </x:c>
      <x:c r="I6" s="24" t="n">
        <x:f>(G6*H6+'NSSC Model'!B94)/'Inputs'!$D$8</x:f>
        <x:v>47.681112756018</x:v>
      </x:c>
      <x:c r="J6" s="54" t="n">
        <x:f>(E6+SQRT(E6^2+4*'Inputs'!$D$5*(F6+I6)))/(2*'Inputs'!$D$5)-1</x:f>
        <x:v>0.17625921079885076</x:v>
      </x:c>
      <x:c r="K6" s="54" t="n">
        <x:f>'Controls'!B5</x:f>
        <x:v>0.12</x:v>
      </x:c>
      <x:c r="L6" s="56" t="n">
        <x:f>(('Inputs'!$D$5*(1+K6)^2-E6*(1+K6)-F6)*'Inputs'!$D$8-'NSSC Model'!B94)/G6</x:f>
        <x:v>16.115932013563082</x:v>
      </x:c>
      <x:c r="M6" s="24" t="str">
        <x:v>Full cash payout assumed; fixed claims, no personal taxes/costs. MOD closing and THRM value conditional.</x:v>
      </x:c>
    </x:row>
    <x:row r="7" ht="72" customHeight="1">
      <x:c r="A7" s="24" t="str">
        <x:v>APPF</x:v>
      </x:c>
      <x:c r="B7" s="54" t="n">
        <x:v>0</x:v>
      </x:c>
      <x:c r="C7" s="24" t="n">
        <x:f>'Inputs'!$E$7</x:f>
        <x:v>0</x:v>
      </x:c>
      <x:c r="D7" s="24" t="n">
        <x:f>B7*C7*(1-'Assumptions'!$F$12)</x:f>
        <x:v>0</x:v>
      </x:c>
      <x:c r="E7" s="24" t="n">
        <x:f>('APPF Model'!B82-D7)/'Inputs'!$E$8</x:f>
        <x:v>5.250648333333334</x:v>
      </x:c>
      <x:c r="F7" s="24" t="n">
        <x:f>('APPF Model'!C82-D7)/'Inputs'!$E$8</x:f>
        <x:v>6.518445999999998</x:v>
      </x:c>
      <x:c r="G7" s="24" t="n">
        <x:f>'APPF Model'!D75</x:f>
        <x:v>392.4473256</x:v>
      </x:c>
      <x:c r="H7" s="24" t="n">
        <x:f>'Controls'!B4</x:f>
        <x:v>18</x:v>
      </x:c>
      <x:c r="I7" s="24" t="n">
        <x:f>(G7*H7+'APPF Model'!B94)/'Inputs'!$E$8</x:f>
        <x:v>200.9926905777778</x:v>
      </x:c>
      <x:c r="J7" s="54" t="n">
        <x:f>(E7+SQRT(E7^2+4*'Inputs'!$E$5*(F7+I7)))/(2*'Inputs'!$E$5)-1</x:f>
        <x:v>-0.003593073186744733</x:v>
      </x:c>
      <x:c r="K7" s="54" t="n">
        <x:f>'Controls'!B5</x:f>
        <x:v>0.12</x:v>
      </x:c>
      <x:c r="L7" s="56" t="n">
        <x:f>(('Inputs'!$E$5*(1+K7)^2-E7*(1+K7)-F7)*'Inputs'!$E$8-'APPF Model'!B94)/G7</x:f>
        <x:v>23.082044810346908</x:v>
      </x:c>
      <x:c r="M7" s="24" t="str">
        <x:v>Full cash payout assumed; fixed claims, no personal taxes/costs. MOD closing and THRM value conditional.</x:v>
      </x:c>
    </x:row>
    <x:row r="8" ht="72" customHeight="1">
      <x:c r="A8" s="24" t="str">
        <x:v>MOD</x:v>
      </x:c>
      <x:c r="B8" s="54" t="n">
        <x:v>0.06</x:v>
      </x:c>
      <x:c r="C8" s="24" t="n">
        <x:f>'Inputs'!$F$7-'Inputs'!$F$27</x:f>
        <x:v>318.20000000000005</x:v>
      </x:c>
      <x:c r="D8" s="24" t="n">
        <x:f>B8*C8*(1-'Assumptions'!$F$15)</x:f>
        <x:v>14.319000000000003</x:v>
      </x:c>
      <x:c r="E8" s="24" t="n">
        <x:f>('MOD Model'!B82-D8)/'Inputs'!$F$8</x:f>
        <x:v>1.6216333333333326</x:v>
      </x:c>
      <x:c r="F8" s="24" t="n">
        <x:f>('MOD Model'!C82-D8)/'Inputs'!$F$8</x:f>
        <x:v>4.034476133333332</x:v>
      </x:c>
      <x:c r="G8" s="24" t="n">
        <x:f>'MOD Model'!D75</x:f>
        <x:v>760.6229440320001</x:v>
      </x:c>
      <x:c r="H8" s="24" t="n">
        <x:f>'Controls'!B4</x:f>
        <x:v>18</x:v>
      </x:c>
      <x:c r="I8" s="24" t="n">
        <x:f>(G8*H8+'MOD Model'!B94)/'Inputs'!$F$8</x:f>
        <x:v>263.79098134400004</x:v>
      </x:c>
      <x:c r="J8" s="54" t="n">
        <x:f>(E8+SQRT(E8^2+4*'Inputs'!$F$5*(F8+I8)))/(2*'Inputs'!$F$5)-1</x:f>
        <x:v>0.17714448434113028</x:v>
      </x:c>
      <x:c r="K8" s="54" t="n">
        <x:f>'Controls'!B5</x:f>
        <x:v>0.12</x:v>
      </x:c>
      <x:c r="L8" s="56" t="n">
        <x:f>(('Inputs'!$F$5*(1+K8)^2-E8*(1+K8)-F8)*'Inputs'!$F$8-'MOD Model'!B94)/G8</x:f>
        <x:v>16.192468577810665</x:v>
      </x:c>
      <x:c r="M8" s="24" t="str">
        <x:v>Full cash payout assumed; fixed claims, no personal taxes/costs. MOD closing and THRM value conditional.</x:v>
      </x:c>
    </x:row>
    <x:row r="9" ht="72" customHeight="1">
      <x:c r="A9" s="24" t="str">
        <x:v>POWL</x:v>
      </x:c>
      <x:c r="B9" s="54" t="n">
        <x:v>0</x:v>
      </x:c>
      <x:c r="C9" s="24" t="n">
        <x:f>'Inputs'!$G$7</x:f>
        <x:v>0</x:v>
      </x:c>
      <x:c r="D9" s="24" t="n">
        <x:f>B9*C9*(1-'Assumptions'!$F$18)</x:f>
        <x:v>0</x:v>
      </x:c>
      <x:c r="E9" s="24" t="n">
        <x:f>('POWL Model'!B82-D9)/'Inputs'!$G$8</x:f>
        <x:v>5.024041088405639</x:v>
      </x:c>
      <x:c r="F9" s="24" t="n">
        <x:f>('POWL Model'!C82-D9)/'Inputs'!$G$8</x:f>
        <x:v>6.463637853786471</x:v>
      </x:c>
      <x:c r="G9" s="24" t="n">
        <x:f>'POWL Model'!D75</x:f>
        <x:v>425.04</x:v>
      </x:c>
      <x:c r="H9" s="24" t="n">
        <x:f>'Controls'!B4</x:f>
        <x:v>18</x:v>
      </x:c>
      <x:c r="I9" s="24" t="n">
        <x:f>(G9*H9+'POWL Model'!B94)/'Inputs'!$G$8</x:f>
        <x:v>215.31887225439843</x:v>
      </x:c>
      <x:c r="J9" s="54" t="n">
        <x:f>(E9+SQRT(E9^2+4*'Inputs'!$G$5*(F9+I9)))/(2*'Inputs'!$G$5)-1</x:f>
        <x:v>0.12037366278097839</x:v>
      </x:c>
      <x:c r="K9" s="54" t="n">
        <x:f>'Controls'!B5</x:f>
        <x:v>0.12</x:v>
      </x:c>
      <x:c r="L9" s="56" t="n">
        <x:f>(('Inputs'!$G$5*(1+K9)^2-E9*(1+K9)-F9)*'Inputs'!$G$8-'POWL Model'!B94)/G9</x:f>
        <x:v>17.987100403237342</x:v>
      </x:c>
      <x:c r="M9" s="24" t="str">
        <x:v>Full cash payout assumed; fixed claims, no personal taxes/costs. MOD closing and THRM value conditional.</x:v>
      </x:c>
    </x:row>
    <x:row r="12" ht="29" customHeight="1">
      <x:c r="A12" s="27" t="str">
        <x:v>RETURN SENSITIVITY | same base assumptions are not equally safe across companies</x:v>
      </x:c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</x:row>
    <x:row r="14">
      <x:c r="A14" t="str">
        <x:v>Ticker</x:v>
      </x:c>
      <x:c r="B14" t="str">
        <x:v>Bear at 18×</x:v>
      </x:c>
      <x:c r="C14" t="str">
        <x:v>Base at 14×</x:v>
      </x:c>
      <x:c r="D14" t="str">
        <x:v>Base at 16×</x:v>
      </x:c>
      <x:c r="E14" t="str">
        <x:v>Base at 18×</x:v>
      </x:c>
      <x:c r="F14" t="str">
        <x:v>Base at 20×</x:v>
      </x:c>
      <x:c r="G14" t="str">
        <x:v>Bull at 18×</x:v>
      </x:c>
    </x:row>
    <x:row r="15">
      <x:c r="A15" t="str">
        <x:v>LMAT</x:v>
      </x:c>
      <x:c r="B15" s="22" t="n">
        <x:f>((('LMAT Model'!B31-($B$4*$C$4*(1-'Assumptions'!F2)))/'Inputs'!$B$8)+SQRT((('LMAT Model'!B31-($B$4*$C$4*(1-'Assumptions'!F2)))/'Inputs'!$B$8)^2+4*'Inputs'!$B$5*((('LMAT Model'!C31-($B$4*$C$4*(1-'Assumptions'!F2)))/'Inputs'!$B$8)+MIN(((18*'LMAT Model'!D24+'LMAT Model'!B43)/'Inputs'!$B$8),(18*'LMAT Model'!D24+'LMAT Model'!B43+'Inputs'!$B$7)/('Inputs'!$B$8+'Inputs'!$B$19)))))/(2*'Inputs'!$B$5)-1</x:f>
        <x:v>-0.08184188764620315</x:v>
      </x:c>
      <x:c r="C15" s="22" t="n">
        <x:f>((('LMAT Model'!B82-($B$4*$C$4*(1-'Assumptions'!F3)))/'Inputs'!$B$8)+SQRT((('LMAT Model'!B82-($B$4*$C$4*(1-'Assumptions'!F3)))/'Inputs'!$B$8)^2+4*'Inputs'!$B$5*((('LMAT Model'!C82-($B$4*$C$4*(1-'Assumptions'!F3)))/'Inputs'!$B$8)+MIN(((14*'LMAT Model'!D75+'LMAT Model'!B94)/'Inputs'!$B$8),(14*'LMAT Model'!D75+'LMAT Model'!B94+'Inputs'!$B$7)/('Inputs'!$B$8+'Inputs'!$B$19)))))/(2*'Inputs'!$B$5)-1</x:f>
        <x:v>-0.011416947060742366</x:v>
      </x:c>
      <x:c r="D15" s="22" t="n">
        <x:f>((('LMAT Model'!B82-($B$4*$C$4*(1-'Assumptions'!F3)))/'Inputs'!$B$8)+SQRT((('LMAT Model'!B82-($B$4*$C$4*(1-'Assumptions'!F3)))/'Inputs'!$B$8)^2+4*'Inputs'!$B$5*((('LMAT Model'!C82-($B$4*$C$4*(1-'Assumptions'!F3)))/'Inputs'!$B$8)+MIN(((16*'LMAT Model'!D75+'LMAT Model'!B94)/'Inputs'!$B$8),(16*'LMAT Model'!D75+'LMAT Model'!B94+'Inputs'!$B$7)/('Inputs'!$B$8+'Inputs'!$B$19)))))/(2*'Inputs'!$B$5)-1</x:f>
        <x:v>0.04703195882105615</x:v>
      </x:c>
      <x:c r="E15" s="22" t="n">
        <x:f>((('LMAT Model'!B82-($B$4*$C$4*(1-'Assumptions'!F3)))/'Inputs'!$B$8)+SQRT((('LMAT Model'!B82-($B$4*$C$4*(1-'Assumptions'!F3)))/'Inputs'!$B$8)^2+4*'Inputs'!$B$5*((('LMAT Model'!C82-($B$4*$C$4*(1-'Assumptions'!F3)))/'Inputs'!$B$8)+MIN(((18*'LMAT Model'!D75+'LMAT Model'!B94)/'Inputs'!$B$8),(18*'LMAT Model'!D75+'LMAT Model'!B94+'Inputs'!$B$7)/('Inputs'!$B$8+'Inputs'!$B$19)))))/(2*'Inputs'!$B$5)-1</x:f>
        <x:v>0.10234767612800799</x:v>
      </x:c>
      <x:c r="F15" s="22" t="n">
        <x:f>((('LMAT Model'!B82-($B$4*$C$4*(1-'Assumptions'!F3)))/'Inputs'!$B$8)+SQRT((('LMAT Model'!B82-($B$4*$C$4*(1-'Assumptions'!F3)))/'Inputs'!$B$8)^2+4*'Inputs'!$B$5*((('LMAT Model'!C82-($B$4*$C$4*(1-'Assumptions'!F3)))/'Inputs'!$B$8)+MIN(((20*'LMAT Model'!D75+'LMAT Model'!B94)/'Inputs'!$B$8),(20*'LMAT Model'!D75+'LMAT Model'!B94+'Inputs'!$B$7)/('Inputs'!$B$8+'Inputs'!$B$19)))))/(2*'Inputs'!$B$5)-1</x:f>
        <x:v>0.1549858184403312</x:v>
      </x:c>
      <x:c r="G15" s="22" t="n">
        <x:f>((('LMAT Model'!B133-($B$4*$C$4*(1-'Assumptions'!F4)))/'Inputs'!$B$8)+SQRT((('LMAT Model'!B133-($B$4*$C$4*(1-'Assumptions'!F4)))/'Inputs'!$B$8)^2+4*'Inputs'!$B$5*((('LMAT Model'!C133-($B$4*$C$4*(1-'Assumptions'!F4)))/'Inputs'!$B$8)+MIN(((18*'LMAT Model'!D126+'LMAT Model'!B145)/'Inputs'!$B$8),(18*'LMAT Model'!D126+'LMAT Model'!B145+'Inputs'!$B$7)/('Inputs'!$B$8+'Inputs'!$B$19)))))/(2*'Inputs'!$B$5)-1</x:f>
        <x:v>0.18843190710600233</x:v>
      </x:c>
    </x:row>
    <x:row r="16">
      <x:c r="A16" t="str">
        <x:v>WINA</x:v>
      </x:c>
      <x:c r="B16" s="22" t="n">
        <x:f>((('WINA Model'!B31-($B$5*$C$5*(1-'Assumptions'!F5)))/'Inputs'!$C$8)+SQRT((('WINA Model'!B31-($B$5*$C$5*(1-'Assumptions'!F5)))/'Inputs'!$C$8)^2+4*'Inputs'!$C$5*((('WINA Model'!C31-($B$5*$C$5*(1-'Assumptions'!F5)))/'Inputs'!$C$8)+((18*'WINA Model'!D24+'WINA Model'!B43)/'Inputs'!$C$8))))/(2*'Inputs'!$C$5)-1</x:f>
        <x:v>-0.06806729556937152</x:v>
      </x:c>
      <x:c r="C16" s="22" t="n">
        <x:f>((('WINA Model'!B82-($B$5*$C$5*(1-'Assumptions'!F6)))/'Inputs'!$C$8)+SQRT((('WINA Model'!B82-($B$5*$C$5*(1-'Assumptions'!F6)))/'Inputs'!$C$8)^2+4*'Inputs'!$C$5*((('WINA Model'!C82-($B$5*$C$5*(1-'Assumptions'!F6)))/'Inputs'!$C$8)+((14*'WINA Model'!D75+'WINA Model'!B94)/'Inputs'!$C$8))))/(2*'Inputs'!$C$5)-1</x:f>
        <x:v>-0.09808921606759413</x:v>
      </x:c>
      <x:c r="D16" s="22" t="n">
        <x:f>((('WINA Model'!B82-($B$5*$C$5*(1-'Assumptions'!F6)))/'Inputs'!$C$8)+SQRT((('WINA Model'!B82-($B$5*$C$5*(1-'Assumptions'!F6)))/'Inputs'!$C$8)^2+4*'Inputs'!$C$5*((('WINA Model'!C82-($B$5*$C$5*(1-'Assumptions'!F6)))/'Inputs'!$C$8)+((16*'WINA Model'!D75+'WINA Model'!B94)/'Inputs'!$C$8))))/(2*'Inputs'!$C$5)-1</x:f>
        <x:v>-0.03694002398771412</x:v>
      </x:c>
      <x:c r="E16" s="22" t="n">
        <x:f>((('WINA Model'!B82-($B$5*$C$5*(1-'Assumptions'!F6)))/'Inputs'!$C$8)+SQRT((('WINA Model'!B82-($B$5*$C$5*(1-'Assumptions'!F6)))/'Inputs'!$C$8)^2+4*'Inputs'!$C$5*((('WINA Model'!C82-($B$5*$C$5*(1-'Assumptions'!F6)))/'Inputs'!$C$8)+((18*'WINA Model'!D75+'WINA Model'!B94)/'Inputs'!$C$8))))/(2*'Inputs'!$C$5)-1</x:f>
        <x:v>0.02049186438373085</x:v>
      </x:c>
      <x:c r="F16" s="22" t="n">
        <x:f>((('WINA Model'!B82-($B$5*$C$5*(1-'Assumptions'!F6)))/'Inputs'!$C$8)+SQRT((('WINA Model'!B82-($B$5*$C$5*(1-'Assumptions'!F6)))/'Inputs'!$C$8)^2+4*'Inputs'!$C$5*((('WINA Model'!C82-($B$5*$C$5*(1-'Assumptions'!F6)))/'Inputs'!$C$8)+((20*'WINA Model'!D75+'WINA Model'!B94)/'Inputs'!$C$8))))/(2*'Inputs'!$C$5)-1</x:f>
        <x:v>0.07481178157480173</x:v>
      </x:c>
      <x:c r="G16" s="22" t="n">
        <x:f>((('WINA Model'!B133-($B$5*$C$5*(1-'Assumptions'!F7)))/'Inputs'!$C$8)+SQRT((('WINA Model'!B133-($B$5*$C$5*(1-'Assumptions'!F7)))/'Inputs'!$C$8)^2+4*'Inputs'!$C$5*((('WINA Model'!C133-($B$5*$C$5*(1-'Assumptions'!F7)))/'Inputs'!$C$8)+((18*'WINA Model'!D126+'WINA Model'!B145)/'Inputs'!$C$8))))/(2*'Inputs'!$C$5)-1</x:f>
        <x:v>0.08370943357332106</x:v>
      </x:c>
    </x:row>
    <x:row r="17">
      <x:c r="A17" t="str">
        <x:v>NSSC</x:v>
      </x:c>
      <x:c r="B17" s="22" t="n">
        <x:f>((('NSSC Model'!B31-($B$6*$C$6*(1-'Assumptions'!F8)))/'Inputs'!$D$8)+SQRT((('NSSC Model'!B31-($B$6*$C$6*(1-'Assumptions'!F8)))/'Inputs'!$D$8)^2+4*'Inputs'!$D$5*((('NSSC Model'!C31-($B$6*$C$6*(1-'Assumptions'!F8)))/'Inputs'!$D$8)+((18*'NSSC Model'!D24+'NSSC Model'!B43)/'Inputs'!$D$8))))/(2*'Inputs'!$D$5)-1</x:f>
        <x:v>-0.02055854521329803</x:v>
      </x:c>
      <x:c r="C17" s="22" t="n">
        <x:f>((('NSSC Model'!B82-($B$6*$C$6*(1-'Assumptions'!F9)))/'Inputs'!$D$8)+SQRT((('NSSC Model'!B82-($B$6*$C$6*(1-'Assumptions'!F9)))/'Inputs'!$D$8)^2+4*'Inputs'!$D$5*((('NSSC Model'!C82-($B$6*$C$6*(1-'Assumptions'!F9)))/'Inputs'!$D$8)+((14*'NSSC Model'!D75+'NSSC Model'!B94)/'Inputs'!$D$8))))/(2*'Inputs'!$D$5)-1</x:f>
        <x:v>0.05316958308049102</x:v>
      </x:c>
      <x:c r="D17" s="22" t="n">
        <x:f>((('NSSC Model'!B82-($B$6*$C$6*(1-'Assumptions'!F9)))/'Inputs'!$D$8)+SQRT((('NSSC Model'!B82-($B$6*$C$6*(1-'Assumptions'!F9)))/'Inputs'!$D$8)^2+4*'Inputs'!$D$5*((('NSSC Model'!C82-($B$6*$C$6*(1-'Assumptions'!F9)))/'Inputs'!$D$8)+((16*'NSSC Model'!D75+'NSSC Model'!B94)/'Inputs'!$D$8))))/(2*'Inputs'!$D$5)-1</x:f>
        <x:v>0.11644389246736275</x:v>
      </x:c>
      <x:c r="E17" s="22" t="n">
        <x:f>((('NSSC Model'!B82-($B$6*$C$6*(1-'Assumptions'!F9)))/'Inputs'!$D$8)+SQRT((('NSSC Model'!B82-($B$6*$C$6*(1-'Assumptions'!F9)))/'Inputs'!$D$8)^2+4*'Inputs'!$D$5*((('NSSC Model'!C82-($B$6*$C$6*(1-'Assumptions'!F9)))/'Inputs'!$D$8)+((18*'NSSC Model'!D75+'NSSC Model'!B94)/'Inputs'!$D$8))))/(2*'Inputs'!$D$5)-1</x:f>
        <x:v>0.17625921079885076</x:v>
      </x:c>
      <x:c r="F17" s="22" t="n">
        <x:f>((('NSSC Model'!B82-($B$6*$C$6*(1-'Assumptions'!F9)))/'Inputs'!$D$8)+SQRT((('NSSC Model'!B82-($B$6*$C$6*(1-'Assumptions'!F9)))/'Inputs'!$D$8)^2+4*'Inputs'!$D$5*((('NSSC Model'!C82-($B$6*$C$6*(1-'Assumptions'!F9)))/'Inputs'!$D$8)+((20*'NSSC Model'!D75+'NSSC Model'!B94)/'Inputs'!$D$8))))/(2*'Inputs'!$D$5)-1</x:f>
        <x:v>0.23312752425847671</x:v>
      </x:c>
      <x:c r="G17" s="22" t="n">
        <x:f>((('NSSC Model'!B133-($B$6*$C$6*(1-'Assumptions'!F10)))/'Inputs'!$D$8)+SQRT((('NSSC Model'!B133-($B$6*$C$6*(1-'Assumptions'!F10)))/'Inputs'!$D$8)^2+4*'Inputs'!$D$5*((('NSSC Model'!C133-($B$6*$C$6*(1-'Assumptions'!F10)))/'Inputs'!$D$8)+((18*'NSSC Model'!D126+'NSSC Model'!B145)/'Inputs'!$D$8))))/(2*'Inputs'!$D$5)-1</x:f>
        <x:v>0.2986181366580889</x:v>
      </x:c>
    </x:row>
    <x:row r="18">
      <x:c r="A18" t="str">
        <x:v>APPF</x:v>
      </x:c>
      <x:c r="B18" s="22" t="n">
        <x:f>((('APPF Model'!B31-($B$7*$C$7*(1-'Assumptions'!F11)))/'Inputs'!$E$8)+SQRT((('APPF Model'!B31-($B$7*$C$7*(1-'Assumptions'!F11)))/'Inputs'!$E$8)^2+4*'Inputs'!$E$5*((('APPF Model'!C31-($B$7*$C$7*(1-'Assumptions'!F11)))/'Inputs'!$E$8)+((18*'APPF Model'!D24+'APPF Model'!B43)/'Inputs'!$E$8))))/(2*'Inputs'!$E$5)-1</x:f>
        <x:v>-0.1703182502849021</x:v>
      </x:c>
      <x:c r="C18" s="22" t="n">
        <x:f>((('APPF Model'!B82-($B$7*$C$7*(1-'Assumptions'!F12)))/'Inputs'!$E$8)+SQRT((('APPF Model'!B82-($B$7*$C$7*(1-'Assumptions'!F12)))/'Inputs'!$E$8)^2+4*'Inputs'!$E$5*((('APPF Model'!C82-($B$7*$C$7*(1-'Assumptions'!F12)))/'Inputs'!$E$8)+((14*'APPF Model'!D75+'APPF Model'!B94)/'Inputs'!$E$8))))/(2*'Inputs'!$E$5)-1</x:f>
        <x:v>-0.11306844572295505</x:v>
      </x:c>
      <x:c r="D18" s="22" t="n">
        <x:f>((('APPF Model'!B82-($B$7*$C$7*(1-'Assumptions'!F12)))/'Inputs'!$E$8)+SQRT((('APPF Model'!B82-($B$7*$C$7*(1-'Assumptions'!F12)))/'Inputs'!$E$8)^2+4*'Inputs'!$E$5*((('APPF Model'!C82-($B$7*$C$7*(1-'Assumptions'!F12)))/'Inputs'!$E$8)+((16*'APPF Model'!D75+'APPF Model'!B94)/'Inputs'!$E$8))))/(2*'Inputs'!$E$5)-1</x:f>
        <x:v>-0.056720277102576766</x:v>
      </x:c>
      <x:c r="E18" s="22" t="n">
        <x:f>((('APPF Model'!B82-($B$7*$C$7*(1-'Assumptions'!F12)))/'Inputs'!$E$8)+SQRT((('APPF Model'!B82-($B$7*$C$7*(1-'Assumptions'!F12)))/'Inputs'!$E$8)^2+4*'Inputs'!$E$5*((('APPF Model'!C82-($B$7*$C$7*(1-'Assumptions'!F12)))/'Inputs'!$E$8)+((18*'APPF Model'!D75+'APPF Model'!B94)/'Inputs'!$E$8))))/(2*'Inputs'!$E$5)-1</x:f>
        <x:v>-0.003593073186744733</x:v>
      </x:c>
      <x:c r="F18" s="22" t="n">
        <x:f>((('APPF Model'!B82-($B$7*$C$7*(1-'Assumptions'!F12)))/'Inputs'!$E$8)+SQRT((('APPF Model'!B82-($B$7*$C$7*(1-'Assumptions'!F12)))/'Inputs'!$E$8)^2+4*'Inputs'!$E$5*((('APPF Model'!C82-($B$7*$C$7*(1-'Assumptions'!F12)))/'Inputs'!$E$8)+((20*'APPF Model'!D75+'APPF Model'!B94)/'Inputs'!$E$8))))/(2*'Inputs'!$E$5)-1</x:f>
        <x:v>0.04680949961647274</x:v>
      </x:c>
      <x:c r="G18" s="22" t="n">
        <x:f>((('APPF Model'!B133-($B$7*$C$7*(1-'Assumptions'!F13)))/'Inputs'!$E$8)+SQRT((('APPF Model'!B133-($B$7*$C$7*(1-'Assumptions'!F13)))/'Inputs'!$E$8)^2+4*'Inputs'!$E$5*((('APPF Model'!C133-($B$7*$C$7*(1-'Assumptions'!F13)))/'Inputs'!$E$8)+((18*'APPF Model'!D126+'APPF Model'!B145)/'Inputs'!$E$8))))/(2*'Inputs'!$E$5)-1</x:f>
        <x:v>0.11179655397377375</x:v>
      </x:c>
    </x:row>
    <x:row r="19">
      <x:c r="A19" t="str">
        <x:v>MOD</x:v>
      </x:c>
      <x:c r="B19" s="22" t="n">
        <x:f>((('MOD Model'!B31-($B$8*$C$8*(1-'Assumptions'!F14)))/'Inputs'!$F$8)+SQRT((('MOD Model'!B31-($B$8*$C$8*(1-'Assumptions'!F14)))/'Inputs'!$F$8)^2+4*'Inputs'!$F$5*((('MOD Model'!C31-($B$8*$C$8*(1-'Assumptions'!F14)))/'Inputs'!$F$8)+((18*'MOD Model'!D24+'MOD Model'!B43)/'Inputs'!$F$8))))/(2*'Inputs'!$F$5)-1</x:f>
        <x:v>-0.21227414514800613</x:v>
      </x:c>
      <x:c r="C19" s="22" t="n">
        <x:f>((('MOD Model'!B82-($B$8*$C$8*(1-'Assumptions'!F15)))/'Inputs'!$F$8)+SQRT((('MOD Model'!B82-($B$8*$C$8*(1-'Assumptions'!F15)))/'Inputs'!$F$8)^2+4*'Inputs'!$F$5*((('MOD Model'!C82-($B$8*$C$8*(1-'Assumptions'!F15)))/'Inputs'!$F$8)+((14*'MOD Model'!D75+'MOD Model'!B94)/'Inputs'!$F$8))))/(2*'Inputs'!$F$5)-1</x:f>
        <x:v>0.04648958322836916</x:v>
      </x:c>
      <x:c r="D19" s="22" t="n">
        <x:f>((('MOD Model'!B82-($B$8*$C$8*(1-'Assumptions'!F15)))/'Inputs'!$F$8)+SQRT((('MOD Model'!B82-($B$8*$C$8*(1-'Assumptions'!F15)))/'Inputs'!$F$8)^2+4*'Inputs'!$F$5*((('MOD Model'!C82-($B$8*$C$8*(1-'Assumptions'!F15)))/'Inputs'!$F$8)+((16*'MOD Model'!D75+'MOD Model'!B94)/'Inputs'!$F$8))))/(2*'Inputs'!$F$5)-1</x:f>
        <x:v>0.11374181342305967</x:v>
      </x:c>
      <x:c r="E19" s="22" t="n">
        <x:f>((('MOD Model'!B82-($B$8*$C$8*(1-'Assumptions'!F15)))/'Inputs'!$F$8)+SQRT((('MOD Model'!B82-($B$8*$C$8*(1-'Assumptions'!F15)))/'Inputs'!$F$8)^2+4*'Inputs'!$F$5*((('MOD Model'!C82-($B$8*$C$8*(1-'Assumptions'!F15)))/'Inputs'!$F$8)+((18*'MOD Model'!D75+'MOD Model'!B94)/'Inputs'!$F$8))))/(2*'Inputs'!$F$5)-1</x:f>
        <x:v>0.17714448434113028</x:v>
      </x:c>
      <x:c r="F19" s="22" t="n">
        <x:f>((('MOD Model'!B82-($B$8*$C$8*(1-'Assumptions'!F15)))/'Inputs'!$F$8)+SQRT((('MOD Model'!B82-($B$8*$C$8*(1-'Assumptions'!F15)))/'Inputs'!$F$8)^2+4*'Inputs'!$F$5*((('MOD Model'!C82-($B$8*$C$8*(1-'Assumptions'!F15)))/'Inputs'!$F$8)+((20*'MOD Model'!D75+'MOD Model'!B94)/'Inputs'!$F$8))))/(2*'Inputs'!$F$5)-1</x:f>
        <x:v>0.23729152820058919</x:v>
      </x:c>
      <x:c r="G19" s="22" t="n">
        <x:f>((('MOD Model'!B133-($B$8*$C$8*(1-'Assumptions'!F16)))/'Inputs'!$F$8)+SQRT((('MOD Model'!B133-($B$8*$C$8*(1-'Assumptions'!F16)))/'Inputs'!$F$8)^2+4*'Inputs'!$F$5*((('MOD Model'!C133-($B$8*$C$8*(1-'Assumptions'!F16)))/'Inputs'!$F$8)+((18*'MOD Model'!D126+'MOD Model'!B145)/'Inputs'!$F$8))))/(2*'Inputs'!$F$5)-1</x:f>
        <x:v>0.3931401570703199</x:v>
      </x:c>
    </x:row>
    <x:row r="20">
      <x:c r="A20" t="str">
        <x:v>POWL</x:v>
      </x:c>
      <x:c r="B20" s="22" t="n">
        <x:f>((('POWL Model'!B31-($B$9*$C$9*(1-'Assumptions'!F17)))/'Inputs'!$G$8)+SQRT((('POWL Model'!B31-($B$9*$C$9*(1-'Assumptions'!F17)))/'Inputs'!$G$8)^2+4*'Inputs'!$G$5*((('POWL Model'!C31-($B$9*$C$9*(1-'Assumptions'!F17)))/'Inputs'!$G$8)+((18*'POWL Model'!D24+'POWL Model'!B43)/'Inputs'!$G$8))))/(2*'Inputs'!$G$5)-1</x:f>
        <x:v>-0.13347538520934665</x:v>
      </x:c>
      <x:c r="C20" s="22" t="n">
        <x:f>((('POWL Model'!B82-($B$9*$C$9*(1-'Assumptions'!F18)))/'Inputs'!$G$8)+SQRT((('POWL Model'!B82-($B$9*$C$9*(1-'Assumptions'!F18)))/'Inputs'!$G$8)^2+4*'Inputs'!$G$5*((('POWL Model'!C82-($B$9*$C$9*(1-'Assumptions'!F18)))/'Inputs'!$G$8)+((14*'POWL Model'!D75+'POWL Model'!B94)/'Inputs'!$G$8))))/(2*'Inputs'!$G$5)-1</x:f>
        <x:v>-0.0022718455539353366</x:v>
      </x:c>
      <x:c r="D20" s="22" t="n">
        <x:f>((('POWL Model'!B82-($B$9*$C$9*(1-'Assumptions'!F18)))/'Inputs'!$G$8)+SQRT((('POWL Model'!B82-($B$9*$C$9*(1-'Assumptions'!F18)))/'Inputs'!$G$8)^2+4*'Inputs'!$G$5*((('POWL Model'!C82-($B$9*$C$9*(1-'Assumptions'!F18)))/'Inputs'!$G$8)+((16*'POWL Model'!D75+'POWL Model'!B94)/'Inputs'!$G$8))))/(2*'Inputs'!$G$5)-1</x:f>
        <x:v>0.06084831681899261</x:v>
      </x:c>
      <x:c r="E20" s="22" t="n">
        <x:f>((('POWL Model'!B82-($B$9*$C$9*(1-'Assumptions'!F18)))/'Inputs'!$G$8)+SQRT((('POWL Model'!B82-($B$9*$C$9*(1-'Assumptions'!F18)))/'Inputs'!$G$8)^2+4*'Inputs'!$G$5*((('POWL Model'!C82-($B$9*$C$9*(1-'Assumptions'!F18)))/'Inputs'!$G$8)+((18*'POWL Model'!D75+'POWL Model'!B94)/'Inputs'!$G$8))))/(2*'Inputs'!$G$5)-1</x:f>
        <x:v>0.12037366278097839</x:v>
      </x:c>
      <x:c r="F20" s="22" t="n">
        <x:f>((('POWL Model'!B82-($B$9*$C$9*(1-'Assumptions'!F18)))/'Inputs'!$G$8)+SQRT((('POWL Model'!B82-($B$9*$C$9*(1-'Assumptions'!F18)))/'Inputs'!$G$8)^2+4*'Inputs'!$G$5*((('POWL Model'!C82-($B$9*$C$9*(1-'Assumptions'!F18)))/'Inputs'!$G$8)+((20*'POWL Model'!D75+'POWL Model'!B94)/'Inputs'!$G$8))))/(2*'Inputs'!$G$5)-1</x:f>
        <x:v>0.17685630375640682</x:v>
      </x:c>
      <x:c r="G20" s="22" t="n">
        <x:f>((('POWL Model'!B133-($B$9*$C$9*(1-'Assumptions'!F19)))/'Inputs'!$G$8)+SQRT((('POWL Model'!B133-($B$9*$C$9*(1-'Assumptions'!F19)))/'Inputs'!$G$8)^2+4*'Inputs'!$G$5*((('POWL Model'!C133-($B$9*$C$9*(1-'Assumptions'!F19)))/'Inputs'!$G$8)+((18*'POWL Model'!D126+'POWL Model'!B145)/'Inputs'!$G$8))))/(2*'Inputs'!$G$5)-1</x:f>
        <x:v>0.330354860972355</x:v>
      </x:c>
    </x:row>
    <x:row r="23">
      <x:c r="A23" s="24" t="str">
        <x:v>Exit multiples are explicit research assumptions, not observed targets or predicted sale prices. A negative cash flow implies a stylized capital contribution. The calculation holds the equity bridge fixed and ignores changes in debt/shares, personal taxes and trading costs. MOD distribution timing and value need a dated transaction model before action. These are conditional payoffs, not calibrated expected returns.</x:v>
      </x:c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</x:row>
  </x:sheetData>
  <x:mergeCells>
    <x:mergeCell ref="A1:M1"/>
    <x:mergeCell ref="A12:M12"/>
    <x:mergeCell ref="A23:M26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7" hidden="0" customWidth="1"/>
    <x:col min="3" max="3" width="20" hidden="0" customWidth="1"/>
    <x:col min="4" max="4" width="20" hidden="0" customWidth="1"/>
    <x:col min="5" max="5" width="76" hidden="0" customWidth="1"/>
    <x:col min="6" max="6" width="20" hidden="0" customWidth="1"/>
    <x:col min="7" max="7" width="20" hidden="0" customWidth="1"/>
  </x:cols>
  <x:sheetData>
    <x:row r="1" ht="29" customHeight="1">
      <x:c r="A1" s="7" t="str">
        <x:v>NORMALIZATION BRIDGES | separate accounting profit, owner cash and claims</x:v>
      </x:c>
      <x:c r="B1" s="7"/>
      <x:c r="C1" s="7"/>
      <x:c r="D1" s="7"/>
      <x:c r="E1" s="7"/>
      <x:c r="F1" s="7"/>
      <x:c r="G1" s="7"/>
    </x:row>
    <x:row r="3">
      <x:c r="A3" t="str">
        <x:v>Company</x:v>
      </x:c>
      <x:c r="B3" t="str">
        <x:v>Measure</x:v>
      </x:c>
      <x:c r="C3" t="str">
        <x:v>USD m</x:v>
      </x:c>
      <x:c r="D3" t="str">
        <x:v>Convention / caveat</x:v>
      </x:c>
      <x:c r="E3" t="str">
        <x:v>Source</x:v>
      </x:c>
    </x:row>
    <x:row r="4" ht="48" customHeight="1">
      <x:c r="A4" s="24" t="str">
        <x:v>LMAT</x:v>
      </x:c>
      <x:c r="B4" s="24" t="str">
        <x:v>H1 2026 reported operating cash flow</x:v>
      </x:c>
      <x:c r="C4" s="60" t="n">
        <x:f>'Inputs'!$B$15</x:f>
        <x:v>31.058</x:v>
      </x:c>
      <x:c r="D4" s="24" t="str">
        <x:v>Not a recurring annual run rate</x:v>
      </x:c>
      <x:c r="E4" s="24" t="str">
        <x:v>https://www.sec.gov/Archives/edgar/data/1158895/000119312526333762/ck0001158895-20260630.htm</x:v>
      </x:c>
    </x:row>
    <x:row r="5" ht="48" customHeight="1">
      <x:c r="A5" s="24" t="str">
        <x:v>LMAT</x:v>
      </x:c>
      <x:c r="B5" s="24" t="str">
        <x:v>Less: physical and software investment</x:v>
      </x:c>
      <x:c r="C5" s="60" t="n">
        <x:f>-('Inputs'!$B$16+'Inputs'!$B$17)</x:f>
        <x:v>-5.096</x:v>
      </x:c>
      <x:c r="D5" s="24" t="str">
        <x:v>Investment includes capitalized software</x:v>
      </x:c>
      <x:c r="E5" s="24" t="str">
        <x:v>https://www.sec.gov/Archives/edgar/data/1158895/000119312526333762/ck0001158895-20260630.htm</x:v>
      </x:c>
    </x:row>
    <x:row r="6" ht="48" customHeight="1">
      <x:c r="A6" s="24" t="str">
        <x:v>LMAT</x:v>
      </x:c>
      <x:c r="B6" s="24" t="str">
        <x:v>Less: stock compensation</x:v>
      </x:c>
      <x:c r="C6" s="60" t="n">
        <x:f>-'Inputs'!$B$18</x:f>
        <x:v>-4.027</x:v>
      </x:c>
      <x:c r="D6" s="24" t="str">
        <x:v>Economic replacement-compensation convention</x:v>
      </x:c>
      <x:c r="E6" s="24" t="str">
        <x:v>https://www.sec.gov/Archives/edgar/data/1158895/000119312526333762/ck0001158895-20260630.htm</x:v>
      </x:c>
    </x:row>
    <x:row r="7" ht="48" customHeight="1">
      <x:c r="A7" s="24" t="str">
        <x:v>LMAT</x:v>
      </x:c>
      <x:c r="B7" s="24" t="str">
        <x:v>Historical owner-cash diagnostic</x:v>
      </x:c>
      <x:c r="C7" s="60" t="n">
        <x:f>SUM(C4:C6)</x:f>
        <x:v>21.935</x:v>
      </x:c>
      <x:c r="D7" s="24" t="str">
        <x:v>Not FCFF; still affected by interest, tax and working capital</x:v>
      </x:c>
      <x:c r="E7" s="24" t="str">
        <x:v>https://www.sec.gov/Archives/edgar/data/1158895/000119312526333762/ck0001158895-20260630.htm</x:v>
      </x:c>
    </x:row>
    <x:row r="8" ht="48" customHeight="1">
      <x:c r="A8" s="24" t="str">
        <x:v>WINA</x:v>
      </x:c>
      <x:c r="B8" s="24" t="str">
        <x:v>H1 2026 reported operating cash flow</x:v>
      </x:c>
      <x:c r="C8" s="60" t="n">
        <x:f>'Inputs'!$C$15</x:f>
        <x:v>22.6071</x:v>
      </x:c>
      <x:c r="D8" s="24" t="str">
        <x:v>Not a recurring annual run rate</x:v>
      </x:c>
      <x:c r="E8" s="24" t="str">
        <x:v>https://www.sec.gov/Archives/edgar/data/908315/000090831526000028/wina-20260627x10q.htm</x:v>
      </x:c>
    </x:row>
    <x:row r="9" ht="48" customHeight="1">
      <x:c r="A9" s="24" t="str">
        <x:v>WINA</x:v>
      </x:c>
      <x:c r="B9" s="24" t="str">
        <x:v>Less: physical and software investment</x:v>
      </x:c>
      <x:c r="C9" s="60" t="n">
        <x:f>-('Inputs'!$C$16+'Inputs'!$C$17)</x:f>
        <x:v>-2.2652</x:v>
      </x:c>
      <x:c r="D9" s="24" t="str">
        <x:v>Investment includes capitalized software</x:v>
      </x:c>
      <x:c r="E9" s="24" t="str">
        <x:v>https://www.sec.gov/Archives/edgar/data/908315/000090831526000028/wina-20260627x10q.htm</x:v>
      </x:c>
    </x:row>
    <x:row r="10" ht="48" customHeight="1">
      <x:c r="A10" s="24" t="str">
        <x:v>WINA</x:v>
      </x:c>
      <x:c r="B10" s="24" t="str">
        <x:v>Less: stock compensation</x:v>
      </x:c>
      <x:c r="C10" s="60" t="n">
        <x:f>-'Inputs'!$C$18</x:f>
        <x:v>-1.2283</x:v>
      </x:c>
      <x:c r="D10" s="24" t="str">
        <x:v>Economic replacement-compensation convention</x:v>
      </x:c>
      <x:c r="E10" s="24" t="str">
        <x:v>https://www.sec.gov/Archives/edgar/data/908315/000090831526000028/wina-20260627x10q.htm</x:v>
      </x:c>
    </x:row>
    <x:row r="11" ht="48" customHeight="1">
      <x:c r="A11" s="24" t="str">
        <x:v>WINA</x:v>
      </x:c>
      <x:c r="B11" s="24" t="str">
        <x:v>Historical owner-cash diagnostic</x:v>
      </x:c>
      <x:c r="C11" s="60" t="n">
        <x:f>SUM(C8:C10)</x:f>
        <x:v>19.113599999999998</x:v>
      </x:c>
      <x:c r="D11" s="24" t="str">
        <x:v>Not FCFF; still affected by interest, tax and working capital</x:v>
      </x:c>
      <x:c r="E11" s="24" t="str">
        <x:v>https://www.sec.gov/Archives/edgar/data/908315/000090831526000028/wina-20260627x10q.htm</x:v>
      </x:c>
    </x:row>
    <x:row r="12" ht="48" customHeight="1">
      <x:c r="A12" s="24" t="str">
        <x:v>NSSC</x:v>
      </x:c>
      <x:c r="B12" s="24" t="str">
        <x:v>FY2026 reported operating cash flow</x:v>
      </x:c>
      <x:c r="C12" s="60" t="n">
        <x:f>'Inputs'!$D$15</x:f>
        <x:v>61.145</x:v>
      </x:c>
      <x:c r="D12" s="24" t="str">
        <x:v>Not a recurring annual run rate</x:v>
      </x:c>
      <x:c r="E12" s="24" t="str">
        <x:v>https://www.sec.gov/Archives/edgar/data/69633/000110465926100081/nssc-20260630x10k.htm</x:v>
      </x:c>
    </x:row>
    <x:row r="13" ht="48" customHeight="1">
      <x:c r="A13" s="24" t="str">
        <x:v>NSSC</x:v>
      </x:c>
      <x:c r="B13" s="24" t="str">
        <x:v>Less: physical and software investment</x:v>
      </x:c>
      <x:c r="C13" s="60" t="n">
        <x:f>-('Inputs'!$D$16+'Inputs'!$D$17)</x:f>
        <x:v>-1.917</x:v>
      </x:c>
      <x:c r="D13" s="24" t="str">
        <x:v>Investment includes capitalized software</x:v>
      </x:c>
      <x:c r="E13" s="24" t="str">
        <x:v>https://www.sec.gov/Archives/edgar/data/69633/000110465926100081/nssc-20260630x10k.htm</x:v>
      </x:c>
    </x:row>
    <x:row r="14" ht="48" customHeight="1">
      <x:c r="A14" s="24" t="str">
        <x:v>NSSC</x:v>
      </x:c>
      <x:c r="B14" s="24" t="str">
        <x:v>Less: stock compensation</x:v>
      </x:c>
      <x:c r="C14" s="60" t="n">
        <x:f>-'Inputs'!$D$18</x:f>
        <x:v>-0.989</x:v>
      </x:c>
      <x:c r="D14" s="24" t="str">
        <x:v>Economic replacement-compensation convention</x:v>
      </x:c>
      <x:c r="E14" s="24" t="str">
        <x:v>https://www.sec.gov/Archives/edgar/data/69633/000110465926100081/nssc-20260630x10k.htm</x:v>
      </x:c>
    </x:row>
    <x:row r="15" ht="48" customHeight="1">
      <x:c r="A15" s="24" t="str">
        <x:v>NSSC</x:v>
      </x:c>
      <x:c r="B15" s="24" t="str">
        <x:v>Historical owner-cash diagnostic</x:v>
      </x:c>
      <x:c r="C15" s="60" t="n">
        <x:f>SUM(C12:C14)</x:f>
        <x:v>58.239000000000004</x:v>
      </x:c>
      <x:c r="D15" s="24" t="str">
        <x:v>Not FCFF; still affected by interest, tax and working capital</x:v>
      </x:c>
      <x:c r="E15" s="24" t="str">
        <x:v>https://www.sec.gov/Archives/edgar/data/69633/000110465926100081/nssc-20260630x10k.htm</x:v>
      </x:c>
    </x:row>
    <x:row r="16" ht="48" customHeight="1">
      <x:c r="A16" s="24" t="str">
        <x:v>APPF</x:v>
      </x:c>
      <x:c r="B16" s="24" t="str">
        <x:v>H1 2026 reported operating cash flow</x:v>
      </x:c>
      <x:c r="C16" s="60" t="n">
        <x:f>'Inputs'!$E$15</x:f>
        <x:v>121.902</x:v>
      </x:c>
      <x:c r="D16" s="24" t="str">
        <x:v>Not a recurring annual run rate</x:v>
      </x:c>
      <x:c r="E16" s="24" t="str">
        <x:v>https://www.sec.gov/Archives/edgar/data/1433195/000143319526000058/appf-20260630.htm</x:v>
      </x:c>
    </x:row>
    <x:row r="17" ht="48" customHeight="1">
      <x:c r="A17" s="24" t="str">
        <x:v>APPF</x:v>
      </x:c>
      <x:c r="B17" s="24" t="str">
        <x:v>Less: physical and software investment</x:v>
      </x:c>
      <x:c r="C17" s="60" t="n">
        <x:f>-('Inputs'!$E$16+'Inputs'!$E$17)</x:f>
        <x:v>-2.782</x:v>
      </x:c>
      <x:c r="D17" s="24" t="str">
        <x:v>Investment includes capitalized software</x:v>
      </x:c>
      <x:c r="E17" s="24" t="str">
        <x:v>https://www.sec.gov/Archives/edgar/data/1433195/000143319526000058/appf-20260630.htm</x:v>
      </x:c>
    </x:row>
    <x:row r="18" ht="48" customHeight="1">
      <x:c r="A18" s="24" t="str">
        <x:v>APPF</x:v>
      </x:c>
      <x:c r="B18" s="24" t="str">
        <x:v>Less: stock compensation</x:v>
      </x:c>
      <x:c r="C18" s="60" t="n">
        <x:f>-'Inputs'!$E$18</x:f>
        <x:v>-38.46</x:v>
      </x:c>
      <x:c r="D18" s="24" t="str">
        <x:v>Economic replacement-compensation convention</x:v>
      </x:c>
      <x:c r="E18" s="24" t="str">
        <x:v>https://www.sec.gov/Archives/edgar/data/1433195/000143319526000058/appf-20260630.htm</x:v>
      </x:c>
    </x:row>
    <x:row r="19" ht="48" customHeight="1">
      <x:c r="A19" s="24" t="str">
        <x:v>APPF</x:v>
      </x:c>
      <x:c r="B19" s="24" t="str">
        <x:v>Historical owner-cash diagnostic</x:v>
      </x:c>
      <x:c r="C19" s="60" t="n">
        <x:f>SUM(C16:C18)</x:f>
        <x:v>80.66</x:v>
      </x:c>
      <x:c r="D19" s="24" t="str">
        <x:v>Not FCFF; still affected by interest, tax and working capital</x:v>
      </x:c>
      <x:c r="E19" s="24" t="str">
        <x:v>https://www.sec.gov/Archives/edgar/data/1433195/000143319526000058/appf-20260630.htm</x:v>
      </x:c>
    </x:row>
    <x:row r="20" ht="48" customHeight="1">
      <x:c r="A20" s="24" t="str">
        <x:v>MOD</x:v>
      </x:c>
      <x:c r="B20" s="24" t="str">
        <x:v>Q1 FY2027 reported operating cash flow</x:v>
      </x:c>
      <x:c r="C20" s="60" t="n">
        <x:f>'Inputs'!$F$15</x:f>
        <x:v>41.4</x:v>
      </x:c>
      <x:c r="D20" s="24" t="str">
        <x:v>Not a recurring annual run rate</x:v>
      </x:c>
      <x:c r="E20" s="24" t="str">
        <x:v>https://www.sec.gov/Archives/edgar/data/67347/000110465926088569/mod-20260630x10q.htm</x:v>
      </x:c>
    </x:row>
    <x:row r="21" ht="48" customHeight="1">
      <x:c r="A21" s="24" t="str">
        <x:v>MOD</x:v>
      </x:c>
      <x:c r="B21" s="24" t="str">
        <x:v>Less: physical and software investment</x:v>
      </x:c>
      <x:c r="C21" s="60" t="n">
        <x:f>-('Inputs'!$F$16+'Inputs'!$F$17)</x:f>
        <x:v>-46.4</x:v>
      </x:c>
      <x:c r="D21" s="24" t="str">
        <x:v>Investment includes capitalized software</x:v>
      </x:c>
      <x:c r="E21" s="24" t="str">
        <x:v>https://www.sec.gov/Archives/edgar/data/67347/000110465926088569/mod-20260630x10q.htm</x:v>
      </x:c>
    </x:row>
    <x:row r="22" ht="48" customHeight="1">
      <x:c r="A22" s="24" t="str">
        <x:v>MOD</x:v>
      </x:c>
      <x:c r="B22" s="24" t="str">
        <x:v>Less: stock compensation</x:v>
      </x:c>
      <x:c r="C22" s="60" t="n">
        <x:f>-'Inputs'!$F$18</x:f>
        <x:v>-8</x:v>
      </x:c>
      <x:c r="D22" s="24" t="str">
        <x:v>Economic replacement-compensation convention</x:v>
      </x:c>
      <x:c r="E22" s="24" t="str">
        <x:v>https://www.sec.gov/Archives/edgar/data/67347/000110465926088569/mod-20260630x10q.htm</x:v>
      </x:c>
    </x:row>
    <x:row r="23" ht="48" customHeight="1">
      <x:c r="A23" s="24" t="str">
        <x:v>MOD</x:v>
      </x:c>
      <x:c r="B23" s="24" t="str">
        <x:v>Historical owner-cash diagnostic</x:v>
      </x:c>
      <x:c r="C23" s="60" t="n">
        <x:f>SUM(C20:C22)</x:f>
        <x:v>-13</x:v>
      </x:c>
      <x:c r="D23" s="24" t="str">
        <x:v>Not FCFF; still affected by interest, tax and working capital</x:v>
      </x:c>
      <x:c r="E23" s="24" t="str">
        <x:v>https://www.sec.gov/Archives/edgar/data/67347/000110465926088569/mod-20260630x10q.htm</x:v>
      </x:c>
    </x:row>
    <x:row r="24" ht="48" customHeight="1">
      <x:c r="A24" s="24" t="str">
        <x:v>POWL</x:v>
      </x:c>
      <x:c r="B24" s="24" t="str">
        <x:v>9M FY2026 reported operating cash flow</x:v>
      </x:c>
      <x:c r="C24" s="60" t="n">
        <x:f>'Inputs'!$G$15</x:f>
        <x:v>195.038</x:v>
      </x:c>
      <x:c r="D24" s="24" t="str">
        <x:v>Not a recurring annual run rate</x:v>
      </x:c>
      <x:c r="E24" s="24" t="str">
        <x:v>https://www.sec.gov/Archives/edgar/data/80420/000008042026000107/powl-20260630.htm</x:v>
      </x:c>
    </x:row>
    <x:row r="25" ht="48" customHeight="1">
      <x:c r="A25" s="24" t="str">
        <x:v>POWL</x:v>
      </x:c>
      <x:c r="B25" s="24" t="str">
        <x:v>Less: physical and software investment</x:v>
      </x:c>
      <x:c r="C25" s="60" t="n">
        <x:f>-('Inputs'!$G$16+'Inputs'!$G$17)</x:f>
        <x:v>-10.386</x:v>
      </x:c>
      <x:c r="D25" s="24" t="str">
        <x:v>Investment includes capitalized software</x:v>
      </x:c>
      <x:c r="E25" s="24" t="str">
        <x:v>https://www.sec.gov/Archives/edgar/data/80420/000008042026000107/powl-20260630.htm</x:v>
      </x:c>
    </x:row>
    <x:row r="26" ht="48" customHeight="1">
      <x:c r="A26" s="24" t="str">
        <x:v>POWL</x:v>
      </x:c>
      <x:c r="B26" s="24" t="str">
        <x:v>Less: stock compensation</x:v>
      </x:c>
      <x:c r="C26" s="60" t="n">
        <x:f>-'Inputs'!$G$18</x:f>
        <x:v>-4.28</x:v>
      </x:c>
      <x:c r="D26" s="24" t="str">
        <x:v>Economic replacement-compensation convention</x:v>
      </x:c>
      <x:c r="E26" s="24" t="str">
        <x:v>https://www.sec.gov/Archives/edgar/data/80420/000008042026000107/powl-20260630.htm</x:v>
      </x:c>
    </x:row>
    <x:row r="27" ht="48" customHeight="1">
      <x:c r="A27" s="24" t="str">
        <x:v>POWL</x:v>
      </x:c>
      <x:c r="B27" s="24" t="str">
        <x:v>Historical owner-cash diagnostic</x:v>
      </x:c>
      <x:c r="C27" s="60" t="n">
        <x:f>SUM(C24:C26)</x:f>
        <x:v>180.372</x:v>
      </x:c>
      <x:c r="D27" s="24" t="str">
        <x:v>Not FCFF; still affected by interest, tax and working capital</x:v>
      </x:c>
      <x:c r="E27" s="24" t="str">
        <x:v>https://www.sec.gov/Archives/edgar/data/80420/000008042026000107/powl-20260630.htm</x:v>
      </x:c>
    </x:row>
    <x:row r="30" ht="29" customHeight="1">
      <x:c r="A30" s="27" t="str">
        <x:v>NAPCO NORMALIZED OPERATING PROFIT | add back expense, retain unpaid cash claim</x:v>
      </x:c>
      <x:c r="B30" s="27"/>
      <x:c r="C30" s="27"/>
      <x:c r="D30" s="27"/>
      <x:c r="E30" s="27"/>
      <x:c r="F30" s="27"/>
      <x:c r="G30" s="27"/>
    </x:row>
    <x:row r="32">
      <x:c r="A32" t="str">
        <x:v>NSSC</x:v>
      </x:c>
      <x:c r="B32" t="str">
        <x:v>Reported FY2026 operating income</x:v>
      </x:c>
      <x:c r="C32" s="34" t="n">
        <x:f>'Inputs'!$D$35</x:f>
        <x:v>45.638</x:v>
      </x:c>
      <x:c r="D32" s="24" t="str">
        <x:v>The annual benefit is approximately 50 basis points of annual revenue; the quarter's approximately 600-bp benefit is not applied to the whole year. The $16m settlement is also reserved as a cash claim in the equity bridge. It was unpaid: do not add it again to reported operating cash flow.</x:v>
      </x:c>
      <x:c r="E32" s="24"/>
      <x:c r="F32" s="24"/>
      <x:c r="G32" s="24"/>
    </x:row>
    <x:row r="33">
      <x:c r="A33" t="str">
        <x:v>NSSC</x:v>
      </x:c>
      <x:c r="B33" t="str">
        <x:v>Add litigation charge</x:v>
      </x:c>
      <x:c r="C33" s="34" t="n">
        <x:f>'Inputs'!$D$36</x:f>
        <x:v>16</x:v>
      </x:c>
      <x:c r="D33" s="24"/>
      <x:c r="E33" s="24"/>
      <x:c r="F33" s="24"/>
      <x:c r="G33" s="24"/>
    </x:row>
    <x:row r="34">
      <x:c r="A34" t="str">
        <x:v>NSSC</x:v>
      </x:c>
      <x:c r="B34" t="str">
        <x:v>Less annual net tariff refund approximation</x:v>
      </x:c>
      <x:c r="C34" s="34" t="n">
        <x:f>-'Inputs'!$D$14*'Inputs'!$D$37</x:f>
        <x:v>-1.01158</x:v>
      </x:c>
      <x:c r="D34" s="24"/>
      <x:c r="E34" s="24"/>
      <x:c r="F34" s="24"/>
      <x:c r="G34" s="24"/>
    </x:row>
    <x:row r="35">
      <x:c r="A35" t="str">
        <x:v>NSSC</x:v>
      </x:c>
      <x:c r="B35" t="str">
        <x:v>Normalized operating income</x:v>
      </x:c>
      <x:c r="C35" s="34" t="n">
        <x:f>SUM(C32:C34)</x:f>
        <x:v>60.626419999999996</x:v>
      </x:c>
      <x:c r="D35" s="24"/>
      <x:c r="E35" s="24"/>
      <x:c r="F35" s="24"/>
      <x:c r="G35" s="24"/>
    </x:row>
    <x:row r="36">
      <x:c r="D36" s="24"/>
      <x:c r="E36" s="24"/>
      <x:c r="F36" s="24"/>
      <x:c r="G36" s="24"/>
    </x:row>
  </x:sheetData>
  <x:mergeCells>
    <x:mergeCell ref="A1:G1"/>
    <x:mergeCell ref="A30:G30"/>
    <x:mergeCell ref="D32:G36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23" hidden="0" customWidth="1"/>
    <x:col min="3" max="3" width="67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9" customHeight="1">
      <x:c r="A1" s="7" t="str">
        <x:v>WINMARK | net unit economics are bounded, not claimed to be observed</x:v>
      </x:c>
      <x:c r="B1" s="7"/>
      <x:c r="C1" s="7"/>
      <x:c r="D1" s="7"/>
      <x:c r="E1" s="7"/>
      <x:c r="F1" s="7"/>
    </x:row>
    <x:row r="4" ht="39" customHeight="1">
      <x:c r="A4" s="24" t="str">
        <x:v>Observed 2025 average Plato's Closet sales</x:v>
      </x:c>
      <x:c r="B4" s="60" t="n">
        <x:v>1307875</x:v>
      </x:c>
      <x:c r="C4" s="24" t="str">
        <x:v>Official sample average; not the median or a guarantee.</x:v>
      </x:c>
    </x:row>
    <x:row r="5" ht="39" customHeight="1">
      <x:c r="A5" s="24" t="str">
        <x:v>Observed merchandise gross profit</x:v>
      </x:c>
      <x:c r="B5" s="60" t="n">
        <x:v>833084</x:v>
      </x:c>
      <x:c r="C5" s="24" t="str">
        <x:v>Before labor, rent, royalties, marketing and owner wage.</x:v>
      </x:c>
    </x:row>
    <x:row r="6" ht="39" customHeight="1">
      <x:c r="A6" s="24" t="str">
        <x:v>Royalty rate assumption</x:v>
      </x:c>
      <x:c r="B6" s="54" t="n">
        <x:v>0.05</x:v>
      </x:c>
      <x:c r="C6" s="24" t="str">
        <x:v>Within the usual reported 4–5% range.</x:v>
      </x:c>
    </x:row>
    <x:row r="7" ht="39" customHeight="1">
      <x:c r="A7" s="24" t="str">
        <x:v>Required marketing after July 1</x:v>
      </x:c>
      <x:c r="B7" s="54" t="n">
        <x:v>0.06</x:v>
      </x:c>
      <x:c r="C7" s="24" t="str">
        <x:v>6% of sales, including national fund.</x:v>
      </x:c>
    </x:row>
    <x:row r="8" ht="39" customHeight="1">
      <x:c r="A8" s="24" t="str">
        <x:v>Owner replacement wage assumption</x:v>
      </x:c>
      <x:c r="B8" s="60" t="n">
        <x:v>90000</x:v>
      </x:c>
      <x:c r="C8" s="24" t="str">
        <x:v>Treat owner labor as an operating cost.</x:v>
      </x:c>
    </x:row>
    <x:row r="9" ht="39" customHeight="1">
      <x:c r="A9" s="24" t="str">
        <x:v>Invested capital assumption</x:v>
      </x:c>
      <x:c r="B9" s="60" t="n">
        <x:v>450000</x:v>
      </x:c>
      <x:c r="C9" s="24" t="str">
        <x:v>Not a disclosed average investment.</x:v>
      </x:c>
    </x:row>
    <x:row r="10" ht="39" customHeight="1">
      <x:c r="A10" s="24" t="str">
        <x:v>Pretax return hurdle assumption</x:v>
      </x:c>
      <x:c r="B10" s="54" t="n">
        <x:v>0.15</x:v>
      </x:c>
      <x:c r="C10" s="24" t="str">
        <x:v>Investment return after owner compensation.</x:v>
      </x:c>
    </x:row>
    <x:row r="11" ht="39" customHeight="1">
      <x:c r="A11" s="24" t="str">
        <x:v>Monthly software fee</x:v>
      </x:c>
      <x:c r="B11" s="60" t="n">
        <x:v>295</x:v>
      </x:c>
      <x:c r="C11" s="24" t="str">
        <x:v>Starts September 1, 2026.</x:v>
      </x:c>
    </x:row>
    <x:row r="12" ht="39" customHeight="1">
      <x:c r="A12" s="24" t="str">
        <x:v>Months per year</x:v>
      </x:c>
      <x:c r="B12" s="60" t="n">
        <x:v>12</x:v>
      </x:c>
      <x:c r="C12" s="24" t="str">
        <x:v>Unit conversion.</x:v>
      </x:c>
    </x:row>
    <x:row r="13" ht="39" customHeight="1">
      <x:c r="A13" s="24" t="str">
        <x:v>Annual software fee</x:v>
      </x:c>
      <x:c r="B13" s="60" t="n">
        <x:f>B11*B12</x:f>
        <x:v>3540</x:v>
      </x:c>
      <x:c r="C13" s="24" t="str">
        <x:v>Monthly fee x 12.</x:v>
      </x:c>
    </x:row>
    <x:row r="14" ht="39" customHeight="1">
      <x:c r="A14" s="24" t="str">
        <x:v>Required annual investment return</x:v>
      </x:c>
      <x:c r="B14" s="60" t="n">
        <x:f>B9*B10</x:f>
        <x:v>67500</x:v>
      </x:c>
      <x:c r="C14" s="24" t="str">
        <x:v>Assumed capital x 15%.</x:v>
      </x:c>
    </x:row>
    <x:row r="15" ht="39" customHeight="1">
      <x:c r="A15" s="62" t="str">
        <x:v>Maximum other operating costs</x:v>
      </x:c>
      <x:c r="B15" s="63" t="n">
        <x:f>B5-B4*B6-B4*B7-B8-B13-B14</x:f>
        <x:v>528177.75</x:v>
      </x:c>
      <x:c r="C15" s="62" t="str">
        <x:v>Non-owner payroll, rent, utilities, insurance, shrink and other costs.</x:v>
      </x:c>
    </x:row>
    <x:row r="16" ht="39" customHeight="1">
      <x:c r="A16" s="24" t="str">
        <x:v>Previous marketing requirement</x:v>
      </x:c>
      <x:c r="B16" s="54" t="n">
        <x:v>0.05</x:v>
      </x:c>
      <x:c r="C16" s="24" t="str">
        <x:v>Before July 2026.</x:v>
      </x:c>
    </x:row>
    <x:row r="17" ht="39" customHeight="1">
      <x:c r="A17" s="24" t="str">
        <x:v>Incremental annual burden before benefits</x:v>
      </x:c>
      <x:c r="B17" s="60" t="n">
        <x:f>B4*(B7-B16)+B13</x:f>
        <x:v>16618.749999999993</x:v>
      </x:c>
      <x:c r="C17" s="24" t="str">
        <x:v>One extra percentage point of marketing plus software fee.</x:v>
      </x:c>
    </x:row>
    <x:row r="20">
      <x:c r="A20" s="24" t="str">
        <x:v>At the cited average sales/gross profit and these stated assumptions, remaining operating costs must stay below about $528k to earn the target return after a $90k owner wage. Actual costs are not disclosed here, so observed franchisee ROIC remains unresolved. New annual burden is about $16.6k before any benefits. Parent fee receipts come with expenses; no automatic earnings uplift is modeled.</x:v>
      </x:c>
      <x:c r="B20" s="24"/>
      <x:c r="C20" s="24"/>
      <x:c r="D20" s="24"/>
      <x:c r="E20" s="24"/>
      <x:c r="F20" s="24"/>
    </x:row>
    <x:row r="21">
      <x:c r="A21" s="24"/>
      <x:c r="B21" s="24"/>
      <x:c r="C21" s="24"/>
      <x:c r="D21" s="24"/>
      <x:c r="E21" s="24"/>
      <x:c r="F21" s="24"/>
    </x:row>
    <x:row r="22">
      <x:c r="A22" s="24"/>
      <x:c r="B22" s="24"/>
      <x:c r="C22" s="24"/>
      <x:c r="D22" s="24"/>
      <x:c r="E22" s="24"/>
      <x:c r="F22" s="24"/>
    </x:row>
    <x:row r="23">
      <x:c r="A23" s="24"/>
      <x:c r="B23" s="24"/>
      <x:c r="C23" s="24"/>
      <x:c r="D23" s="24"/>
      <x:c r="E23" s="24"/>
      <x:c r="F23" s="24"/>
    </x:row>
  </x:sheetData>
  <x:mergeCells>
    <x:mergeCell ref="A1:F1"/>
    <x:mergeCell ref="A20:F23"/>
  </x:mergeCells>
  <x:pageMargins left="0.7" right="0.7" top="0.75" bottom="0.75" header="0.3" footer="0.3"/>
  <x:legacyDrawing xmlns:r="http://schemas.openxmlformats.org/officeDocument/2006/relationships" r:id="R546acae124f64aa2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" hidden="0" customWidth="1"/>
    <x:col min="2" max="2" width="22" hidden="0" customWidth="1"/>
    <x:col min="3" max="3" width="70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9" customHeight="1">
      <x:c r="A1" s="7" t="str">
        <x:v>MODINE | retained operations plus transferred value, without double counting</x:v>
      </x:c>
      <x:c r="B1" s="7"/>
      <x:c r="C1" s="7"/>
      <x:c r="D1" s="7"/>
      <x:c r="E1" s="7"/>
      <x:c r="F1" s="7"/>
      <x:c r="G1" s="7"/>
    </x:row>
    <x:row r="4" ht="42" customHeight="1">
      <x:c r="A4" s="24" t="str">
        <x:v>Retained operating value (base)</x:v>
      </x:c>
      <x:c r="B4" s="60" t="n">
        <x:f>'MOD Model'!B93</x:f>
        <x:v>7672.304237495167</x:v>
      </x:c>
      <x:c r="C4" s="24" t="str">
        <x:v>DC and HVAC only; PT cash flows excluded.</x:v>
      </x:c>
    </x:row>
    <x:row r="5" ht="42" customHeight="1">
      <x:c r="A5" s="24" t="str">
        <x:v>Reported cash</x:v>
      </x:c>
      <x:c r="B5" s="60" t="n">
        <x:f>'Inputs'!$F$6</x:f>
        <x:v>95.3</x:v>
      </x:c>
      <x:c r="C5" s="24" t="str">
        <x:v>Quarterly snapshot.</x:v>
      </x:c>
    </x:row>
    <x:row r="6" ht="42" customHeight="1">
      <x:c r="A6" s="24" t="str">
        <x:v>Original debt</x:v>
      </x:c>
      <x:c r="B6" s="60" t="n">
        <x:f>'Inputs'!$F$7</x:f>
        <x:v>528.2</x:v>
      </x:c>
      <x:c r="C6" s="24" t="str">
        <x:v>Pre-separation funded debt.</x:v>
      </x:c>
    </x:row>
    <x:row r="7" ht="42" customHeight="1">
      <x:c r="A7" s="24" t="str">
        <x:v>Corporate cash proceeds</x:v>
      </x:c>
      <x:c r="B7" s="60" t="n">
        <x:f>'Inputs'!$F$27</x:f>
        <x:v>210</x:v>
      </x:c>
      <x:c r="C7" s="24" t="str">
        <x:v>Proposed $210m, not a special common dividend.</x:v>
      </x:c>
    </x:row>
    <x:row r="8" ht="42" customHeight="1">
      <x:c r="A8" s="24" t="str">
        <x:v>THRM shares distributed (m)</x:v>
      </x:c>
      <x:c r="B8" s="60" t="n">
        <x:f>'Inputs'!$F$28</x:f>
        <x:v>21</x:v>
      </x:c>
      <x:c r="C8" s="24" t="str">
        <x:v>Approximately 21m; closing adjustments possible.</x:v>
      </x:c>
    </x:row>
    <x:row r="9" ht="42" customHeight="1">
      <x:c r="A9" s="24" t="str">
        <x:v>THRM quote per share</x:v>
      </x:c>
      <x:c r="B9" s="60" t="n">
        <x:f>'Inputs'!$F$29</x:f>
        <x:v>40.7</x:v>
      </x:c>
      <x:c r="C9" s="24" t="str">
        <x:v>Verified Sept4 snapshot, not guaranteed future price.</x:v>
      </x:c>
    </x:row>
    <x:row r="10" ht="42" customHeight="1">
      <x:c r="A10" s="24" t="str">
        <x:v>Indicative stock-distribution value</x:v>
      </x:c>
      <x:c r="B10" s="60" t="n">
        <x:f>B8*B9</x:f>
        <x:v>854.7</x:v>
      </x:c>
      <x:c r="C10" s="24" t="str">
        <x:v>Value transfer, not new value in addition to PT earnings.</x:v>
      </x:c>
    </x:row>
    <x:row r="11" ht="42" customHeight="1">
      <x:c r="A11" s="24" t="str">
        <x:v>Operating cash reserve</x:v>
      </x:c>
      <x:c r="B11" s="60" t="n">
        <x:f>'Inputs'!$F$9</x:f>
        <x:v>50</x:v>
      </x:c>
      <x:c r="C11" s="24" t="str">
        <x:v>Research assumption.</x:v>
      </x:c>
    </x:row>
    <x:row r="12" ht="42" customHeight="1">
      <x:c r="A12" s="24" t="str">
        <x:v>NCI/other claim</x:v>
      </x:c>
      <x:c r="B12" s="60" t="n">
        <x:f>'Inputs'!$F$10</x:f>
        <x:v>8.3</x:v>
      </x:c>
      <x:c r="C12" s="24" t="str">
        <x:v>Book proxy; final allocation unresolved.</x:v>
      </x:c>
    </x:row>
    <x:row r="13" ht="42" customHeight="1">
      <x:c r="A13" s="24" t="str">
        <x:v>Closing/stub cash reserve</x:v>
      </x:c>
      <x:c r="B13" s="60" t="n">
        <x:f>'Inputs'!$F$30</x:f>
        <x:v>20</x:v>
      </x:c>
      <x:c r="C13" s="24" t="str">
        <x:v>Research assumption.</x:v>
      </x:c>
    </x:row>
    <x:row r="14" ht="42" customHeight="1">
      <x:c r="A14" s="62" t="str">
        <x:v>Common equity value</x:v>
      </x:c>
      <x:c r="B14" s="63" t="n">
        <x:f>B4+B5-B6+B7+B10-B11-B12-B13</x:f>
        <x:v>8225.80423749517</x:v>
      </x:c>
      <x:c r="C14" s="62" t="str">
        <x:v>Retained value + coherent capital bridge.</x:v>
      </x:c>
    </x:row>
    <x:row r="15" ht="42" customHeight="1">
      <x:c r="A15" s="62" t="str">
        <x:v>Value per diluted MOD claim</x:v>
      </x:c>
      <x:c r="B15" s="63" t="n">
        <x:f>B14/'Inputs'!$F$8</x:f>
        <x:v>152.3297081017624</x:v>
      </x:c>
      <x:c r="C15" s="62" t="str">
        <x:v>Conditional on deal closing.</x:v>
      </x:c>
    </x:row>
    <x:row r="16" ht="42" customHeight="1">
      <x:c r="A16" s="24" t="str">
        <x:v>PT quarterly adjusted EBITDA</x:v>
      </x:c>
      <x:c r="B16" s="60" t="n">
        <x:v>36.2</x:v>
      </x:c>
      <x:c r="C16" s="24" t="str">
        <x:v>Quarterly reported figure; annualization is not guidance.</x:v>
      </x:c>
    </x:row>
    <x:row r="17" ht="42" customHeight="1">
      <x:c r="A17" s="24" t="str">
        <x:v>Annualization factor</x:v>
      </x:c>
      <x:c r="B17" s="60" t="n">
        <x:v>4</x:v>
      </x:c>
      <x:c r="C17" s="24" t="str">
        <x:v>Four quarters.</x:v>
      </x:c>
    </x:row>
    <x:row r="18" ht="42" customHeight="1">
      <x:c r="A18" s="24" t="str">
        <x:v>PT annual run-rate proxy</x:v>
      </x:c>
      <x:c r="B18" s="60" t="n">
        <x:f>B16*B17</x:f>
        <x:v>144.8</x:v>
      </x:c>
      <x:c r="C18" s="24" t="str">
        <x:v>No growth assumed in this alternative.</x:v>
      </x:c>
    </x:row>
    <x:row r="19" ht="42" customHeight="1">
      <x:c r="A19" s="24" t="str">
        <x:v>Standalone PT EV/EBITDA assumption</x:v>
      </x:c>
      <x:c r="B19" s="60" t="n">
        <x:v>8</x:v>
      </x:c>
      <x:c r="C19" s="24" t="str">
        <x:v>Sensitivity assumption, not a market quotation.</x:v>
      </x:c>
    </x:row>
    <x:row r="20" ht="42" customHeight="1">
      <x:c r="A20" s="24" t="str">
        <x:v>No-close SOTP per-share sensitivity</x:v>
      </x:c>
      <x:c r="B20" s="60" t="n">
        <x:f>(B4+B5-B6-B11-B12-B13+B18*B19)/'Inputs'!$F$8</x:f>
        <x:v>154.06489328694755</x:v>
      </x:c>
      <x:c r="C20" s="24" t="str">
        <x:v>Retained DCF + PT at assumed multiple; no THRM / $210m proceeds. Not a full failure scenario.</x:v>
      </x:c>
    </x:row>
    <x:row r="23">
      <x:c r="A23" s="24" t="str">
        <x:v>Do not add the customer $165m advance again to the balance sheet. All three operating scenarios assume closing; the no-close SOTP is only a rough alternative and uses unchanged retained overhead assumptions. Before a trade, refresh final terms, share allocation, debt repayment, one-off costs and the value of THRM.</x:v>
      </x:c>
      <x:c r="B23" s="24"/>
      <x:c r="C23" s="24"/>
      <x:c r="D23" s="24"/>
      <x:c r="E23" s="24"/>
      <x:c r="F23" s="24"/>
      <x:c r="G23" s="24"/>
    </x:row>
    <x:row r="24">
      <x:c r="A24" s="24"/>
      <x:c r="B24" s="24"/>
      <x:c r="C24" s="24"/>
      <x:c r="D24" s="24"/>
      <x:c r="E24" s="24"/>
      <x:c r="F24" s="24"/>
      <x:c r="G24" s="24"/>
    </x:row>
    <x:row r="25">
      <x:c r="A25" s="24"/>
      <x:c r="B25" s="24"/>
      <x:c r="C25" s="24"/>
      <x:c r="D25" s="24"/>
      <x:c r="E25" s="24"/>
      <x:c r="F25" s="24"/>
      <x:c r="G25" s="24"/>
    </x:row>
  </x:sheetData>
  <x:mergeCells>
    <x:mergeCell ref="A1:G1"/>
    <x:mergeCell ref="A23:G25"/>
  </x:mergeCells>
  <x:pageMargins left="0.7" right="0.7" top="0.75" bottom="0.75" header="0.3" footer="0.3"/>
  <x:legacyDrawing xmlns:r="http://schemas.openxmlformats.org/officeDocument/2006/relationships" r:id="Rf9d99f543f064267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9" customHeight="1">
      <x:c r="A1" s="7" t="str">
        <x:v>LMAT | base cash flows fixed; discount and terminal growth varied</x:v>
      </x:c>
      <x:c r="B1" s="7"/>
      <x:c r="C1" s="7"/>
      <x:c r="D1" s="7"/>
      <x:c r="E1" s="7"/>
      <x:c r="F1" s="7"/>
    </x:row>
    <x:row r="3">
      <x:c r="A3" t="str">
        <x:v>Discount / terminal g</x:v>
      </x:c>
      <x:c r="B3" s="22" t="n">
        <x:v>0.02</x:v>
      </x:c>
      <x:c r="C3" s="22" t="n">
        <x:v>0.025</x:v>
      </x:c>
      <x:c r="D3" s="22" t="n">
        <x:v>0.03</x:v>
      </x:c>
      <x:c r="E3" s="22" t="n">
        <x:v>0.035</x:v>
      </x:c>
      <x:c r="F3" s="22" t="n">
        <x:v>0.04</x:v>
      </x:c>
    </x:row>
    <x:row r="4">
      <x:c r="A4" s="22" t="n">
        <x:v>0.08</x:v>
      </x:c>
      <x:c r="B4" s="42" t="n">
        <x:f>MIN(('LMAT Model'!B82/(1+$A4)^1+'LMAT Model'!C82/(1+$A4)^2+'LMAT Model'!D82/(1+$A4)^3+'LMAT Model'!E82/(1+$A4)^4+'LMAT Model'!F82/(1+$A4)^5+'LMAT Model'!G82/(1+$A4)^6+'LMAT Model'!H82/(1+$A4)^7+'LMAT Model'!I82/(1+$A4)^8+'LMAT Model'!J82/(1+$A4)^9+'LMAT Model'!K82/(1+$A4)^10+'LMAT Model'!$K$77*(1+B$3)*(1-B$3/'Assumptions'!$E$3)/($A4-B$3)/(1+$A4)^10+'LMAT Model'!B94)/'Inputs'!$B$8,(('LMAT Model'!B82/(1+$A4)^1+'LMAT Model'!C82/(1+$A4)^2+'LMAT Model'!D82/(1+$A4)^3+'LMAT Model'!E82/(1+$A4)^4+'LMAT Model'!F82/(1+$A4)^5+'LMAT Model'!G82/(1+$A4)^6+'LMAT Model'!H82/(1+$A4)^7+'LMAT Model'!I82/(1+$A4)^8+'LMAT Model'!J82/(1+$A4)^9+'LMAT Model'!K82/(1+$A4)^10+'LMAT Model'!$K$77*(1+B$3)*(1-B$3/'Assumptions'!$E$3)/($A4-B$3)/(1+$A4)^10+'LMAT Model'!B94)+'Inputs'!$B$7)/('Inputs'!$B$8+'Inputs'!$B$19))</x:f>
        <x:v>71.74426125747915</x:v>
      </x:c>
      <x:c r="C4" s="42" t="n">
        <x:f>MIN(('LMAT Model'!B82/(1+$A4)^1+'LMAT Model'!C82/(1+$A4)^2+'LMAT Model'!D82/(1+$A4)^3+'LMAT Model'!E82/(1+$A4)^4+'LMAT Model'!F82/(1+$A4)^5+'LMAT Model'!G82/(1+$A4)^6+'LMAT Model'!H82/(1+$A4)^7+'LMAT Model'!I82/(1+$A4)^8+'LMAT Model'!J82/(1+$A4)^9+'LMAT Model'!K82/(1+$A4)^10+'LMAT Model'!$K$77*(1+C$3)*(1-C$3/'Assumptions'!$E$3)/($A4-C$3)/(1+$A4)^10+'LMAT Model'!B94)/'Inputs'!$B$8,(('LMAT Model'!B82/(1+$A4)^1+'LMAT Model'!C82/(1+$A4)^2+'LMAT Model'!D82/(1+$A4)^3+'LMAT Model'!E82/(1+$A4)^4+'LMAT Model'!F82/(1+$A4)^5+'LMAT Model'!G82/(1+$A4)^6+'LMAT Model'!H82/(1+$A4)^7+'LMAT Model'!I82/(1+$A4)^8+'LMAT Model'!J82/(1+$A4)^9+'LMAT Model'!K82/(1+$A4)^10+'LMAT Model'!$K$77*(1+C$3)*(1-C$3/'Assumptions'!$E$3)/($A4-C$3)/(1+$A4)^10+'LMAT Model'!B94)+'Inputs'!$B$7)/('Inputs'!$B$8+'Inputs'!$B$19))</x:f>
        <x:v>74.56659554173382</x:v>
      </x:c>
      <x:c r="D4" s="42" t="n">
        <x:f>MIN(('LMAT Model'!B82/(1+$A4)^1+'LMAT Model'!C82/(1+$A4)^2+'LMAT Model'!D82/(1+$A4)^3+'LMAT Model'!E82/(1+$A4)^4+'LMAT Model'!F82/(1+$A4)^5+'LMAT Model'!G82/(1+$A4)^6+'LMAT Model'!H82/(1+$A4)^7+'LMAT Model'!I82/(1+$A4)^8+'LMAT Model'!J82/(1+$A4)^9+'LMAT Model'!K82/(1+$A4)^10+'LMAT Model'!$K$77*(1+D$3)*(1-D$3/'Assumptions'!$E$3)/($A4-D$3)/(1+$A4)^10+'LMAT Model'!B94)/'Inputs'!$B$8,(('LMAT Model'!B82/(1+$A4)^1+'LMAT Model'!C82/(1+$A4)^2+'LMAT Model'!D82/(1+$A4)^3+'LMAT Model'!E82/(1+$A4)^4+'LMAT Model'!F82/(1+$A4)^5+'LMAT Model'!G82/(1+$A4)^6+'LMAT Model'!H82/(1+$A4)^7+'LMAT Model'!I82/(1+$A4)^8+'LMAT Model'!J82/(1+$A4)^9+'LMAT Model'!K82/(1+$A4)^10+'LMAT Model'!$K$77*(1+D$3)*(1-D$3/'Assumptions'!$E$3)/($A4-D$3)/(1+$A4)^10+'LMAT Model'!B94)+'Inputs'!$B$7)/('Inputs'!$B$8+'Inputs'!$B$19))</x:f>
        <x:v>77.9434301733284</x:v>
      </x:c>
      <x:c r="E4" s="42" t="n">
        <x:f>MIN(('LMAT Model'!B82/(1+$A4)^1+'LMAT Model'!C82/(1+$A4)^2+'LMAT Model'!D82/(1+$A4)^3+'LMAT Model'!E82/(1+$A4)^4+'LMAT Model'!F82/(1+$A4)^5+'LMAT Model'!G82/(1+$A4)^6+'LMAT Model'!H82/(1+$A4)^7+'LMAT Model'!I82/(1+$A4)^8+'LMAT Model'!J82/(1+$A4)^9+'LMAT Model'!K82/(1+$A4)^10+'LMAT Model'!$K$77*(1+E$3)*(1-E$3/'Assumptions'!$E$3)/($A4-E$3)/(1+$A4)^10+'LMAT Model'!B94)/'Inputs'!$B$8,(('LMAT Model'!B82/(1+$A4)^1+'LMAT Model'!C82/(1+$A4)^2+'LMAT Model'!D82/(1+$A4)^3+'LMAT Model'!E82/(1+$A4)^4+'LMAT Model'!F82/(1+$A4)^5+'LMAT Model'!G82/(1+$A4)^6+'LMAT Model'!H82/(1+$A4)^7+'LMAT Model'!I82/(1+$A4)^8+'LMAT Model'!J82/(1+$A4)^9+'LMAT Model'!K82/(1+$A4)^10+'LMAT Model'!$K$77*(1+E$3)*(1-E$3/'Assumptions'!$E$3)/($A4-E$3)/(1+$A4)^10+'LMAT Model'!B94)+'Inputs'!$B$7)/('Inputs'!$B$8+'Inputs'!$B$19))</x:f>
        <x:v>82.05959860137621</x:v>
      </x:c>
      <x:c r="F4" s="42" t="n">
        <x:f>MIN(('LMAT Model'!B82/(1+$A4)^1+'LMAT Model'!C82/(1+$A4)^2+'LMAT Model'!D82/(1+$A4)^3+'LMAT Model'!E82/(1+$A4)^4+'LMAT Model'!F82/(1+$A4)^5+'LMAT Model'!G82/(1+$A4)^6+'LMAT Model'!H82/(1+$A4)^7+'LMAT Model'!I82/(1+$A4)^8+'LMAT Model'!J82/(1+$A4)^9+'LMAT Model'!K82/(1+$A4)^10+'LMAT Model'!$K$77*(1+F$3)*(1-F$3/'Assumptions'!$E$3)/($A4-F$3)/(1+$A4)^10+'LMAT Model'!B94)/'Inputs'!$B$8,(('LMAT Model'!B82/(1+$A4)^1+'LMAT Model'!C82/(1+$A4)^2+'LMAT Model'!D82/(1+$A4)^3+'LMAT Model'!E82/(1+$A4)^4+'LMAT Model'!F82/(1+$A4)^5+'LMAT Model'!G82/(1+$A4)^6+'LMAT Model'!H82/(1+$A4)^7+'LMAT Model'!I82/(1+$A4)^8+'LMAT Model'!J82/(1+$A4)^9+'LMAT Model'!K82/(1+$A4)^10+'LMAT Model'!$K$77*(1+F$3)*(1-F$3/'Assumptions'!$E$3)/($A4-F$3)/(1+$A4)^10+'LMAT Model'!B94)+'Inputs'!$B$7)/('Inputs'!$B$8+'Inputs'!$B$19))</x:f>
        <x:v>87.19235099954722</x:v>
      </x:c>
    </x:row>
    <x:row r="5">
      <x:c r="A5" s="22" t="n">
        <x:v>0.09</x:v>
      </x:c>
      <x:c r="B5" s="42" t="n">
        <x:f>MIN(('LMAT Model'!B82/(1+$A5)^1+'LMAT Model'!C82/(1+$A5)^2+'LMAT Model'!D82/(1+$A5)^3+'LMAT Model'!E82/(1+$A5)^4+'LMAT Model'!F82/(1+$A5)^5+'LMAT Model'!G82/(1+$A5)^6+'LMAT Model'!H82/(1+$A5)^7+'LMAT Model'!I82/(1+$A5)^8+'LMAT Model'!J82/(1+$A5)^9+'LMAT Model'!K82/(1+$A5)^10+'LMAT Model'!$K$77*(1+B$3)*(1-B$3/'Assumptions'!$E$3)/($A5-B$3)/(1+$A5)^10+'LMAT Model'!B94)/'Inputs'!$B$8,(('LMAT Model'!B82/(1+$A5)^1+'LMAT Model'!C82/(1+$A5)^2+'LMAT Model'!D82/(1+$A5)^3+'LMAT Model'!E82/(1+$A5)^4+'LMAT Model'!F82/(1+$A5)^5+'LMAT Model'!G82/(1+$A5)^6+'LMAT Model'!H82/(1+$A5)^7+'LMAT Model'!I82/(1+$A5)^8+'LMAT Model'!J82/(1+$A5)^9+'LMAT Model'!K82/(1+$A5)^10+'LMAT Model'!$K$77*(1+B$3)*(1-B$3/'Assumptions'!$E$3)/($A5-B$3)/(1+$A5)^10+'LMAT Model'!B94)+'Inputs'!$B$7)/('Inputs'!$B$8+'Inputs'!$B$19))</x:f>
        <x:v>61.996154344226944</x:v>
      </x:c>
      <x:c r="C5" s="42" t="n">
        <x:f>MIN(('LMAT Model'!B82/(1+$A5)^1+'LMAT Model'!C82/(1+$A5)^2+'LMAT Model'!D82/(1+$A5)^3+'LMAT Model'!E82/(1+$A5)^4+'LMAT Model'!F82/(1+$A5)^5+'LMAT Model'!G82/(1+$A5)^6+'LMAT Model'!H82/(1+$A5)^7+'LMAT Model'!I82/(1+$A5)^8+'LMAT Model'!J82/(1+$A5)^9+'LMAT Model'!K82/(1+$A5)^10+'LMAT Model'!$K$77*(1+C$3)*(1-C$3/'Assumptions'!$E$3)/($A5-C$3)/(1+$A5)^10+'LMAT Model'!B94)/'Inputs'!$B$8,(('LMAT Model'!B82/(1+$A5)^1+'LMAT Model'!C82/(1+$A5)^2+'LMAT Model'!D82/(1+$A5)^3+'LMAT Model'!E82/(1+$A5)^4+'LMAT Model'!F82/(1+$A5)^5+'LMAT Model'!G82/(1+$A5)^6+'LMAT Model'!H82/(1+$A5)^7+'LMAT Model'!I82/(1+$A5)^8+'LMAT Model'!J82/(1+$A5)^9+'LMAT Model'!K82/(1+$A5)^10+'LMAT Model'!$K$77*(1+C$3)*(1-C$3/'Assumptions'!$E$3)/($A5-C$3)/(1+$A5)^10+'LMAT Model'!B94)+'Inputs'!$B$7)/('Inputs'!$B$8+'Inputs'!$B$19))</x:f>
        <x:v>63.78348939158611</x:v>
      </x:c>
      <x:c r="D5" s="42" t="n">
        <x:f>MIN(('LMAT Model'!B82/(1+$A5)^1+'LMAT Model'!C82/(1+$A5)^2+'LMAT Model'!D82/(1+$A5)^3+'LMAT Model'!E82/(1+$A5)^4+'LMAT Model'!F82/(1+$A5)^5+'LMAT Model'!G82/(1+$A5)^6+'LMAT Model'!H82/(1+$A5)^7+'LMAT Model'!I82/(1+$A5)^8+'LMAT Model'!J82/(1+$A5)^9+'LMAT Model'!K82/(1+$A5)^10+'LMAT Model'!$K$77*(1+D$3)*(1-D$3/'Assumptions'!$E$3)/($A5-D$3)/(1+$A5)^10+'LMAT Model'!B94)/'Inputs'!$B$8,(('LMAT Model'!B82/(1+$A5)^1+'LMAT Model'!C82/(1+$A5)^2+'LMAT Model'!D82/(1+$A5)^3+'LMAT Model'!E82/(1+$A5)^4+'LMAT Model'!F82/(1+$A5)^5+'LMAT Model'!G82/(1+$A5)^6+'LMAT Model'!H82/(1+$A5)^7+'LMAT Model'!I82/(1+$A5)^8+'LMAT Model'!J82/(1+$A5)^9+'LMAT Model'!K82/(1+$A5)^10+'LMAT Model'!$K$77*(1+D$3)*(1-D$3/'Assumptions'!$E$3)/($A5-D$3)/(1+$A5)^10+'LMAT Model'!B94)+'Inputs'!$B$7)/('Inputs'!$B$8+'Inputs'!$B$19))</x:f>
        <x:v>65.86113945455435</x:v>
      </x:c>
      <x:c r="E5" s="42" t="n">
        <x:f>MIN(('LMAT Model'!B82/(1+$A5)^1+'LMAT Model'!C82/(1+$A5)^2+'LMAT Model'!D82/(1+$A5)^3+'LMAT Model'!E82/(1+$A5)^4+'LMAT Model'!F82/(1+$A5)^5+'LMAT Model'!G82/(1+$A5)^6+'LMAT Model'!H82/(1+$A5)^7+'LMAT Model'!I82/(1+$A5)^8+'LMAT Model'!J82/(1+$A5)^9+'LMAT Model'!K82/(1+$A5)^10+'LMAT Model'!$K$77*(1+E$3)*(1-E$3/'Assumptions'!$E$3)/($A5-E$3)/(1+$A5)^10+'LMAT Model'!B94)/'Inputs'!$B$8,(('LMAT Model'!B82/(1+$A5)^1+'LMAT Model'!C82/(1+$A5)^2+'LMAT Model'!D82/(1+$A5)^3+'LMAT Model'!E82/(1+$A5)^4+'LMAT Model'!F82/(1+$A5)^5+'LMAT Model'!G82/(1+$A5)^6+'LMAT Model'!H82/(1+$A5)^7+'LMAT Model'!I82/(1+$A5)^8+'LMAT Model'!J82/(1+$A5)^9+'LMAT Model'!K82/(1+$A5)^10+'LMAT Model'!$K$77*(1+E$3)*(1-E$3/'Assumptions'!$E$3)/($A5-E$3)/(1+$A5)^10+'LMAT Model'!B94)+'Inputs'!$B$7)/('Inputs'!$B$8+'Inputs'!$B$19))</x:f>
        <x:v>68.30828135557046</x:v>
      </x:c>
      <x:c r="F5" s="42" t="n">
        <x:f>MIN(('LMAT Model'!B82/(1+$A5)^1+'LMAT Model'!C82/(1+$A5)^2+'LMAT Model'!D82/(1+$A5)^3+'LMAT Model'!E82/(1+$A5)^4+'LMAT Model'!F82/(1+$A5)^5+'LMAT Model'!G82/(1+$A5)^6+'LMAT Model'!H82/(1+$A5)^7+'LMAT Model'!I82/(1+$A5)^8+'LMAT Model'!J82/(1+$A5)^9+'LMAT Model'!K82/(1+$A5)^10+'LMAT Model'!$K$77*(1+F$3)*(1-F$3/'Assumptions'!$E$3)/($A5-F$3)/(1+$A5)^10+'LMAT Model'!B94)/'Inputs'!$B$8,(('LMAT Model'!B82/(1+$A5)^1+'LMAT Model'!C82/(1+$A5)^2+'LMAT Model'!D82/(1+$A5)^3+'LMAT Model'!E82/(1+$A5)^4+'LMAT Model'!F82/(1+$A5)^5+'LMAT Model'!G82/(1+$A5)^6+'LMAT Model'!H82/(1+$A5)^7+'LMAT Model'!I82/(1+$A5)^8+'LMAT Model'!J82/(1+$A5)^9+'LMAT Model'!K82/(1+$A5)^10+'LMAT Model'!$K$77*(1+F$3)*(1-F$3/'Assumptions'!$E$3)/($A5-F$3)/(1+$A5)^10+'LMAT Model'!B94)+'Inputs'!$B$7)/('Inputs'!$B$8+'Inputs'!$B$19))</x:f>
        <x:v>71.23576264604884</x:v>
      </x:c>
    </x:row>
    <x:row r="6">
      <x:c r="A6" s="22" t="n">
        <x:v>0.095</x:v>
      </x:c>
      <x:c r="B6" s="42" t="n">
        <x:f>MIN(('LMAT Model'!B82/(1+$A6)^1+'LMAT Model'!C82/(1+$A6)^2+'LMAT Model'!D82/(1+$A6)^3+'LMAT Model'!E82/(1+$A6)^4+'LMAT Model'!F82/(1+$A6)^5+'LMAT Model'!G82/(1+$A6)^6+'LMAT Model'!H82/(1+$A6)^7+'LMAT Model'!I82/(1+$A6)^8+'LMAT Model'!J82/(1+$A6)^9+'LMAT Model'!K82/(1+$A6)^10+'LMAT Model'!$K$77*(1+B$3)*(1-B$3/'Assumptions'!$E$3)/($A6-B$3)/(1+$A6)^10+'LMAT Model'!B94)/'Inputs'!$B$8,(('LMAT Model'!B82/(1+$A6)^1+'LMAT Model'!C82/(1+$A6)^2+'LMAT Model'!D82/(1+$A6)^3+'LMAT Model'!E82/(1+$A6)^4+'LMAT Model'!F82/(1+$A6)^5+'LMAT Model'!G82/(1+$A6)^6+'LMAT Model'!H82/(1+$A6)^7+'LMAT Model'!I82/(1+$A6)^8+'LMAT Model'!J82/(1+$A6)^9+'LMAT Model'!K82/(1+$A6)^10+'LMAT Model'!$K$77*(1+B$3)*(1-B$3/'Assumptions'!$E$3)/($A6-B$3)/(1+$A6)^10+'LMAT Model'!B94)+'Inputs'!$B$7)/('Inputs'!$B$8+'Inputs'!$B$19))</x:f>
        <x:v>58.10649397288025</x:v>
      </x:c>
      <x:c r="C6" s="42" t="n">
        <x:f>MIN(('LMAT Model'!B82/(1+$A6)^1+'LMAT Model'!C82/(1+$A6)^2+'LMAT Model'!D82/(1+$A6)^3+'LMAT Model'!E82/(1+$A6)^4+'LMAT Model'!F82/(1+$A6)^5+'LMAT Model'!G82/(1+$A6)^6+'LMAT Model'!H82/(1+$A6)^7+'LMAT Model'!I82/(1+$A6)^8+'LMAT Model'!J82/(1+$A6)^9+'LMAT Model'!K82/(1+$A6)^10+'LMAT Model'!$K$77*(1+C$3)*(1-C$3/'Assumptions'!$E$3)/($A6-C$3)/(1+$A6)^10+'LMAT Model'!B94)/'Inputs'!$B$8,(('LMAT Model'!B82/(1+$A6)^1+'LMAT Model'!C82/(1+$A6)^2+'LMAT Model'!D82/(1+$A6)^3+'LMAT Model'!E82/(1+$A6)^4+'LMAT Model'!F82/(1+$A6)^5+'LMAT Model'!G82/(1+$A6)^6+'LMAT Model'!H82/(1+$A6)^7+'LMAT Model'!I82/(1+$A6)^8+'LMAT Model'!J82/(1+$A6)^9+'LMAT Model'!K82/(1+$A6)^10+'LMAT Model'!$K$77*(1+C$3)*(1-C$3/'Assumptions'!$E$3)/($A6-C$3)/(1+$A6)^10+'LMAT Model'!B94)+'Inputs'!$B$7)/('Inputs'!$B$8+'Inputs'!$B$19))</x:f>
        <x:v>59.55335277851354</x:v>
      </x:c>
      <x:c r="D6" s="42" t="n">
        <x:f>MIN(('LMAT Model'!B82/(1+$A6)^1+'LMAT Model'!C82/(1+$A6)^2+'LMAT Model'!D82/(1+$A6)^3+'LMAT Model'!E82/(1+$A6)^4+'LMAT Model'!F82/(1+$A6)^5+'LMAT Model'!G82/(1+$A6)^6+'LMAT Model'!H82/(1+$A6)^7+'LMAT Model'!I82/(1+$A6)^8+'LMAT Model'!J82/(1+$A6)^9+'LMAT Model'!K82/(1+$A6)^10+'LMAT Model'!$K$77*(1+D$3)*(1-D$3/'Assumptions'!$E$3)/($A6-D$3)/(1+$A6)^10+'LMAT Model'!B94)/'Inputs'!$B$8,(('LMAT Model'!B82/(1+$A6)^1+'LMAT Model'!C82/(1+$A6)^2+'LMAT Model'!D82/(1+$A6)^3+'LMAT Model'!E82/(1+$A6)^4+'LMAT Model'!F82/(1+$A6)^5+'LMAT Model'!G82/(1+$A6)^6+'LMAT Model'!H82/(1+$A6)^7+'LMAT Model'!I82/(1+$A6)^8+'LMAT Model'!J82/(1+$A6)^9+'LMAT Model'!K82/(1+$A6)^10+'LMAT Model'!$K$77*(1+D$3)*(1-D$3/'Assumptions'!$E$3)/($A6-D$3)/(1+$A6)^10+'LMAT Model'!B94)+'Inputs'!$B$7)/('Inputs'!$B$8+'Inputs'!$B$19))</x:f>
        <x:v>61.216126482570665</x:v>
      </x:c>
      <x:c r="E6" s="42" t="n">
        <x:f>MIN(('LMAT Model'!B82/(1+$A6)^1+'LMAT Model'!C82/(1+$A6)^2+'LMAT Model'!D82/(1+$A6)^3+'LMAT Model'!E82/(1+$A6)^4+'LMAT Model'!F82/(1+$A6)^5+'LMAT Model'!G82/(1+$A6)^6+'LMAT Model'!H82/(1+$A6)^7+'LMAT Model'!I82/(1+$A6)^8+'LMAT Model'!J82/(1+$A6)^9+'LMAT Model'!K82/(1+$A6)^10+'LMAT Model'!$K$77*(1+E$3)*(1-E$3/'Assumptions'!$E$3)/($A6-E$3)/(1+$A6)^10+'LMAT Model'!B94)/'Inputs'!$B$8,(('LMAT Model'!B82/(1+$A6)^1+'LMAT Model'!C82/(1+$A6)^2+'LMAT Model'!D82/(1+$A6)^3+'LMAT Model'!E82/(1+$A6)^4+'LMAT Model'!F82/(1+$A6)^5+'LMAT Model'!G82/(1+$A6)^6+'LMAT Model'!H82/(1+$A6)^7+'LMAT Model'!I82/(1+$A6)^8+'LMAT Model'!J82/(1+$A6)^9+'LMAT Model'!K82/(1+$A6)^10+'LMAT Model'!$K$77*(1+E$3)*(1-E$3/'Assumptions'!$E$3)/($A6-E$3)/(1+$A6)^10+'LMAT Model'!B94)+'Inputs'!$B$7)/('Inputs'!$B$8+'Inputs'!$B$19))</x:f>
        <x:v>63.148793809657576</x:v>
      </x:c>
      <x:c r="F6" s="42" t="n">
        <x:f>MIN(('LMAT Model'!B82/(1+$A6)^1+'LMAT Model'!C82/(1+$A6)^2+'LMAT Model'!D82/(1+$A6)^3+'LMAT Model'!E82/(1+$A6)^4+'LMAT Model'!F82/(1+$A6)^5+'LMAT Model'!G82/(1+$A6)^6+'LMAT Model'!H82/(1+$A6)^7+'LMAT Model'!I82/(1+$A6)^8+'LMAT Model'!J82/(1+$A6)^9+'LMAT Model'!K82/(1+$A6)^10+'LMAT Model'!$K$77*(1+F$3)*(1-F$3/'Assumptions'!$E$3)/($A6-F$3)/(1+$A6)^10+'LMAT Model'!B94)/'Inputs'!$B$8,(('LMAT Model'!B82/(1+$A6)^1+'LMAT Model'!C82/(1+$A6)^2+'LMAT Model'!D82/(1+$A6)^3+'LMAT Model'!E82/(1+$A6)^4+'LMAT Model'!F82/(1+$A6)^5+'LMAT Model'!G82/(1+$A6)^6+'LMAT Model'!H82/(1+$A6)^7+'LMAT Model'!I82/(1+$A6)^8+'LMAT Model'!J82/(1+$A6)^9+'LMAT Model'!K82/(1+$A6)^10+'LMAT Model'!$K$77*(1+F$3)*(1-F$3/'Assumptions'!$E$3)/($A6-F$3)/(1+$A6)^10+'LMAT Model'!B94)+'Inputs'!$B$7)/('Inputs'!$B$8+'Inputs'!$B$19))</x:f>
        <x:v>65.42496211150967</x:v>
      </x:c>
    </x:row>
    <x:row r="7">
      <x:c r="A7" s="22" t="n">
        <x:v>0.1</x:v>
      </x:c>
      <x:c r="B7" s="42" t="n">
        <x:f>MIN(('LMAT Model'!B82/(1+$A7)^1+'LMAT Model'!C82/(1+$A7)^2+'LMAT Model'!D82/(1+$A7)^3+'LMAT Model'!E82/(1+$A7)^4+'LMAT Model'!F82/(1+$A7)^5+'LMAT Model'!G82/(1+$A7)^6+'LMAT Model'!H82/(1+$A7)^7+'LMAT Model'!I82/(1+$A7)^8+'LMAT Model'!J82/(1+$A7)^9+'LMAT Model'!K82/(1+$A7)^10+'LMAT Model'!$K$77*(1+B$3)*(1-B$3/'Assumptions'!$E$3)/($A7-B$3)/(1+$A7)^10+'LMAT Model'!B94)/'Inputs'!$B$8,(('LMAT Model'!B82/(1+$A7)^1+'LMAT Model'!C82/(1+$A7)^2+'LMAT Model'!D82/(1+$A7)^3+'LMAT Model'!E82/(1+$A7)^4+'LMAT Model'!F82/(1+$A7)^5+'LMAT Model'!G82/(1+$A7)^6+'LMAT Model'!H82/(1+$A7)^7+'LMAT Model'!I82/(1+$A7)^8+'LMAT Model'!J82/(1+$A7)^9+'LMAT Model'!K82/(1+$A7)^10+'LMAT Model'!$K$77*(1+B$3)*(1-B$3/'Assumptions'!$E$3)/($A7-B$3)/(1+$A7)^10+'LMAT Model'!B94)+'Inputs'!$B$7)/('Inputs'!$B$8+'Inputs'!$B$19))</x:f>
        <x:v>54.70880208702054</x:v>
      </x:c>
      <x:c r="C7" s="42" t="n">
        <x:f>MIN(('LMAT Model'!B82/(1+$A7)^1+'LMAT Model'!C82/(1+$A7)^2+'LMAT Model'!D82/(1+$A7)^3+'LMAT Model'!E82/(1+$A7)^4+'LMAT Model'!F82/(1+$A7)^5+'LMAT Model'!G82/(1+$A7)^6+'LMAT Model'!H82/(1+$A7)^7+'LMAT Model'!I82/(1+$A7)^8+'LMAT Model'!J82/(1+$A7)^9+'LMAT Model'!K82/(1+$A7)^10+'LMAT Model'!$K$77*(1+C$3)*(1-C$3/'Assumptions'!$E$3)/($A7-C$3)/(1+$A7)^10+'LMAT Model'!B94)/'Inputs'!$B$8,(('LMAT Model'!B82/(1+$A7)^1+'LMAT Model'!C82/(1+$A7)^2+'LMAT Model'!D82/(1+$A7)^3+'LMAT Model'!E82/(1+$A7)^4+'LMAT Model'!F82/(1+$A7)^5+'LMAT Model'!G82/(1+$A7)^6+'LMAT Model'!H82/(1+$A7)^7+'LMAT Model'!I82/(1+$A7)^8+'LMAT Model'!J82/(1+$A7)^9+'LMAT Model'!K82/(1+$A7)^10+'LMAT Model'!$K$77*(1+C$3)*(1-C$3/'Assumptions'!$E$3)/($A7-C$3)/(1+$A7)^10+'LMAT Model'!B94)+'Inputs'!$B$7)/('Inputs'!$B$8+'Inputs'!$B$19))</x:f>
        <x:v>55.890941380380525</x:v>
      </x:c>
      <x:c r="D7" s="42" t="n">
        <x:f>MIN(('LMAT Model'!B82/(1+$A7)^1+'LMAT Model'!C82/(1+$A7)^2+'LMAT Model'!D82/(1+$A7)^3+'LMAT Model'!E82/(1+$A7)^4+'LMAT Model'!F82/(1+$A7)^5+'LMAT Model'!G82/(1+$A7)^6+'LMAT Model'!H82/(1+$A7)^7+'LMAT Model'!I82/(1+$A7)^8+'LMAT Model'!J82/(1+$A7)^9+'LMAT Model'!K82/(1+$A7)^10+'LMAT Model'!$K$77*(1+D$3)*(1-D$3/'Assumptions'!$E$3)/($A7-D$3)/(1+$A7)^10+'LMAT Model'!B94)/'Inputs'!$B$8,(('LMAT Model'!B82/(1+$A7)^1+'LMAT Model'!C82/(1+$A7)^2+'LMAT Model'!D82/(1+$A7)^3+'LMAT Model'!E82/(1+$A7)^4+'LMAT Model'!F82/(1+$A7)^5+'LMAT Model'!G82/(1+$A7)^6+'LMAT Model'!H82/(1+$A7)^7+'LMAT Model'!I82/(1+$A7)^8+'LMAT Model'!J82/(1+$A7)^9+'LMAT Model'!K82/(1+$A7)^10+'LMAT Model'!$K$77*(1+D$3)*(1-D$3/'Assumptions'!$E$3)/($A7-D$3)/(1+$A7)^10+'LMAT Model'!B94)+'Inputs'!$B$7)/('Inputs'!$B$8+'Inputs'!$B$19))</x:f>
        <x:v>57.23603220540669</x:v>
      </x:c>
      <x:c r="E7" s="42" t="n">
        <x:f>MIN(('LMAT Model'!B82/(1+$A7)^1+'LMAT Model'!C82/(1+$A7)^2+'LMAT Model'!D82/(1+$A7)^3+'LMAT Model'!E82/(1+$A7)^4+'LMAT Model'!F82/(1+$A7)^5+'LMAT Model'!G82/(1+$A7)^6+'LMAT Model'!H82/(1+$A7)^7+'LMAT Model'!I82/(1+$A7)^8+'LMAT Model'!J82/(1+$A7)^9+'LMAT Model'!K82/(1+$A7)^10+'LMAT Model'!$K$77*(1+E$3)*(1-E$3/'Assumptions'!$E$3)/($A7-E$3)/(1+$A7)^10+'LMAT Model'!B94)/'Inputs'!$B$8,(('LMAT Model'!B82/(1+$A7)^1+'LMAT Model'!C82/(1+$A7)^2+'LMAT Model'!D82/(1+$A7)^3+'LMAT Model'!E82/(1+$A7)^4+'LMAT Model'!F82/(1+$A7)^5+'LMAT Model'!G82/(1+$A7)^6+'LMAT Model'!H82/(1+$A7)^7+'LMAT Model'!I82/(1+$A7)^8+'LMAT Model'!J82/(1+$A7)^9+'LMAT Model'!K82/(1+$A7)^10+'LMAT Model'!$K$77*(1+E$3)*(1-E$3/'Assumptions'!$E$3)/($A7-E$3)/(1+$A7)^10+'LMAT Model'!B94)+'Inputs'!$B$7)/('Inputs'!$B$8+'Inputs'!$B$19))</x:f>
        <x:v>58.781678761714254</x:v>
      </x:c>
      <x:c r="F7" s="42" t="n">
        <x:f>MIN(('LMAT Model'!B82/(1+$A7)^1+'LMAT Model'!C82/(1+$A7)^2+'LMAT Model'!D82/(1+$A7)^3+'LMAT Model'!E82/(1+$A7)^4+'LMAT Model'!F82/(1+$A7)^5+'LMAT Model'!G82/(1+$A7)^6+'LMAT Model'!H82/(1+$A7)^7+'LMAT Model'!I82/(1+$A7)^8+'LMAT Model'!J82/(1+$A7)^9+'LMAT Model'!K82/(1+$A7)^10+'LMAT Model'!$K$77*(1+F$3)*(1-F$3/'Assumptions'!$E$3)/($A7-F$3)/(1+$A7)^10+'LMAT Model'!B94)/'Inputs'!$B$8,(('LMAT Model'!B82/(1+$A7)^1+'LMAT Model'!C82/(1+$A7)^2+'LMAT Model'!D82/(1+$A7)^3+'LMAT Model'!E82/(1+$A7)^4+'LMAT Model'!F82/(1+$A7)^5+'LMAT Model'!G82/(1+$A7)^6+'LMAT Model'!H82/(1+$A7)^7+'LMAT Model'!I82/(1+$A7)^8+'LMAT Model'!J82/(1+$A7)^9+'LMAT Model'!K82/(1+$A7)^10+'LMAT Model'!$K$77*(1+F$3)*(1-F$3/'Assumptions'!$E$3)/($A7-F$3)/(1+$A7)^10+'LMAT Model'!B94)+'Inputs'!$B$7)/('Inputs'!$B$8+'Inputs'!$B$19))</x:f>
        <x:v>60.578019982123635</x:v>
      </x:c>
    </x:row>
    <x:row r="8">
      <x:c r="A8" s="22" t="n">
        <x:v>0.105</x:v>
      </x:c>
      <x:c r="B8" s="42" t="n">
        <x:f>MIN(('LMAT Model'!B82/(1+$A8)^1+'LMAT Model'!C82/(1+$A8)^2+'LMAT Model'!D82/(1+$A8)^3+'LMAT Model'!E82/(1+$A8)^4+'LMAT Model'!F82/(1+$A8)^5+'LMAT Model'!G82/(1+$A8)^6+'LMAT Model'!H82/(1+$A8)^7+'LMAT Model'!I82/(1+$A8)^8+'LMAT Model'!J82/(1+$A8)^9+'LMAT Model'!K82/(1+$A8)^10+'LMAT Model'!$K$77*(1+B$3)*(1-B$3/'Assumptions'!$E$3)/($A8-B$3)/(1+$A8)^10+'LMAT Model'!B94)/'Inputs'!$B$8,(('LMAT Model'!B82/(1+$A8)^1+'LMAT Model'!C82/(1+$A8)^2+'LMAT Model'!D82/(1+$A8)^3+'LMAT Model'!E82/(1+$A8)^4+'LMAT Model'!F82/(1+$A8)^5+'LMAT Model'!G82/(1+$A8)^6+'LMAT Model'!H82/(1+$A8)^7+'LMAT Model'!I82/(1+$A8)^8+'LMAT Model'!J82/(1+$A8)^9+'LMAT Model'!K82/(1+$A8)^10+'LMAT Model'!$K$77*(1+B$3)*(1-B$3/'Assumptions'!$E$3)/($A8-B$3)/(1+$A8)^10+'LMAT Model'!B94)+'Inputs'!$B$7)/('Inputs'!$B$8+'Inputs'!$B$19))</x:f>
        <x:v>51.71610614699252</x:v>
      </x:c>
      <x:c r="C8" s="42" t="n">
        <x:f>MIN(('LMAT Model'!B82/(1+$A8)^1+'LMAT Model'!C82/(1+$A8)^2+'LMAT Model'!D82/(1+$A8)^3+'LMAT Model'!E82/(1+$A8)^4+'LMAT Model'!F82/(1+$A8)^5+'LMAT Model'!G82/(1+$A8)^6+'LMAT Model'!H82/(1+$A8)^7+'LMAT Model'!I82/(1+$A8)^8+'LMAT Model'!J82/(1+$A8)^9+'LMAT Model'!K82/(1+$A8)^10+'LMAT Model'!$K$77*(1+C$3)*(1-C$3/'Assumptions'!$E$3)/($A8-C$3)/(1+$A8)^10+'LMAT Model'!B94)/'Inputs'!$B$8,(('LMAT Model'!B82/(1+$A8)^1+'LMAT Model'!C82/(1+$A8)^2+'LMAT Model'!D82/(1+$A8)^3+'LMAT Model'!E82/(1+$A8)^4+'LMAT Model'!F82/(1+$A8)^5+'LMAT Model'!G82/(1+$A8)^6+'LMAT Model'!H82/(1+$A8)^7+'LMAT Model'!I82/(1+$A8)^8+'LMAT Model'!J82/(1+$A8)^9+'LMAT Model'!K82/(1+$A8)^10+'LMAT Model'!$K$77*(1+C$3)*(1-C$3/'Assumptions'!$E$3)/($A8-C$3)/(1+$A8)^10+'LMAT Model'!B94)+'Inputs'!$B$7)/('Inputs'!$B$8+'Inputs'!$B$19))</x:f>
        <x:v>52.68975068586185</x:v>
      </x:c>
      <x:c r="D8" s="42" t="n">
        <x:f>MIN(('LMAT Model'!B82/(1+$A8)^1+'LMAT Model'!C82/(1+$A8)^2+'LMAT Model'!D82/(1+$A8)^3+'LMAT Model'!E82/(1+$A8)^4+'LMAT Model'!F82/(1+$A8)^5+'LMAT Model'!G82/(1+$A8)^6+'LMAT Model'!H82/(1+$A8)^7+'LMAT Model'!I82/(1+$A8)^8+'LMAT Model'!J82/(1+$A8)^9+'LMAT Model'!K82/(1+$A8)^10+'LMAT Model'!$K$77*(1+D$3)*(1-D$3/'Assumptions'!$E$3)/($A8-D$3)/(1+$A8)^10+'LMAT Model'!B94)/'Inputs'!$B$8,(('LMAT Model'!B82/(1+$A8)^1+'LMAT Model'!C82/(1+$A8)^2+'LMAT Model'!D82/(1+$A8)^3+'LMAT Model'!E82/(1+$A8)^4+'LMAT Model'!F82/(1+$A8)^5+'LMAT Model'!G82/(1+$A8)^6+'LMAT Model'!H82/(1+$A8)^7+'LMAT Model'!I82/(1+$A8)^8+'LMAT Model'!J82/(1+$A8)^9+'LMAT Model'!K82/(1+$A8)^10+'LMAT Model'!$K$77*(1+D$3)*(1-D$3/'Assumptions'!$E$3)/($A8-D$3)/(1+$A8)^10+'LMAT Model'!B94)+'Inputs'!$B$7)/('Inputs'!$B$8+'Inputs'!$B$19))</x:f>
        <x:v>53.78792923360438</x:v>
      </x:c>
      <x:c r="E8" s="42" t="n">
        <x:f>MIN(('LMAT Model'!B82/(1+$A8)^1+'LMAT Model'!C82/(1+$A8)^2+'LMAT Model'!D82/(1+$A8)^3+'LMAT Model'!E82/(1+$A8)^4+'LMAT Model'!F82/(1+$A8)^5+'LMAT Model'!G82/(1+$A8)^6+'LMAT Model'!H82/(1+$A8)^7+'LMAT Model'!I82/(1+$A8)^8+'LMAT Model'!J82/(1+$A8)^9+'LMAT Model'!K82/(1+$A8)^10+'LMAT Model'!$K$77*(1+E$3)*(1-E$3/'Assumptions'!$E$3)/($A8-E$3)/(1+$A8)^10+'LMAT Model'!B94)/'Inputs'!$B$8,(('LMAT Model'!B82/(1+$A8)^1+'LMAT Model'!C82/(1+$A8)^2+'LMAT Model'!D82/(1+$A8)^3+'LMAT Model'!E82/(1+$A8)^4+'LMAT Model'!F82/(1+$A8)^5+'LMAT Model'!G82/(1+$A8)^6+'LMAT Model'!H82/(1+$A8)^7+'LMAT Model'!I82/(1+$A8)^8+'LMAT Model'!J82/(1+$A8)^9+'LMAT Model'!K82/(1+$A8)^10+'LMAT Model'!$K$77*(1+E$3)*(1-E$3/'Assumptions'!$E$3)/($A8-E$3)/(1+$A8)^10+'LMAT Model'!B94)+'Inputs'!$B$7)/('Inputs'!$B$8+'Inputs'!$B$19))</x:f>
        <x:v>55.03732764926436</x:v>
      </x:c>
      <x:c r="F8" s="42" t="n">
        <x:f>MIN(('LMAT Model'!B82/(1+$A8)^1+'LMAT Model'!C82/(1+$A8)^2+'LMAT Model'!D82/(1+$A8)^3+'LMAT Model'!E82/(1+$A8)^4+'LMAT Model'!F82/(1+$A8)^5+'LMAT Model'!G82/(1+$A8)^6+'LMAT Model'!H82/(1+$A8)^7+'LMAT Model'!I82/(1+$A8)^8+'LMAT Model'!J82/(1+$A8)^9+'LMAT Model'!K82/(1+$A8)^10+'LMAT Model'!$K$77*(1+F$3)*(1-F$3/'Assumptions'!$E$3)/($A8-F$3)/(1+$A8)^10+'LMAT Model'!B94)/'Inputs'!$B$8,(('LMAT Model'!B82/(1+$A8)^1+'LMAT Model'!C82/(1+$A8)^2+'LMAT Model'!D82/(1+$A8)^3+'LMAT Model'!E82/(1+$A8)^4+'LMAT Model'!F82/(1+$A8)^5+'LMAT Model'!G82/(1+$A8)^6+'LMAT Model'!H82/(1+$A8)^7+'LMAT Model'!I82/(1+$A8)^8+'LMAT Model'!J82/(1+$A8)^9+'LMAT Model'!K82/(1+$A8)^10+'LMAT Model'!$K$77*(1+F$3)*(1-F$3/'Assumptions'!$E$3)/($A8-F$3)/(1+$A8)^10+'LMAT Model'!B94)+'Inputs'!$B$7)/('Inputs'!$B$8+'Inputs'!$B$19))</x:f>
        <x:v>56.472842825438114</x:v>
      </x:c>
    </x:row>
    <x:row r="9">
      <x:c r="A9" s="22" t="n">
        <x:v>0.11</x:v>
      </x:c>
      <x:c r="B9" s="42" t="n">
        <x:f>MIN(('LMAT Model'!B82/(1+$A9)^1+'LMAT Model'!C82/(1+$A9)^2+'LMAT Model'!D82/(1+$A9)^3+'LMAT Model'!E82/(1+$A9)^4+'LMAT Model'!F82/(1+$A9)^5+'LMAT Model'!G82/(1+$A9)^6+'LMAT Model'!H82/(1+$A9)^7+'LMAT Model'!I82/(1+$A9)^8+'LMAT Model'!J82/(1+$A9)^9+'LMAT Model'!K82/(1+$A9)^10+'LMAT Model'!$K$77*(1+B$3)*(1-B$3/'Assumptions'!$E$3)/($A9-B$3)/(1+$A9)^10+'LMAT Model'!B94)/'Inputs'!$B$8,(('LMAT Model'!B82/(1+$A9)^1+'LMAT Model'!C82/(1+$A9)^2+'LMAT Model'!D82/(1+$A9)^3+'LMAT Model'!E82/(1+$A9)^4+'LMAT Model'!F82/(1+$A9)^5+'LMAT Model'!G82/(1+$A9)^6+'LMAT Model'!H82/(1+$A9)^7+'LMAT Model'!I82/(1+$A9)^8+'LMAT Model'!J82/(1+$A9)^9+'LMAT Model'!K82/(1+$A9)^10+'LMAT Model'!$K$77*(1+B$3)*(1-B$3/'Assumptions'!$E$3)/($A9-B$3)/(1+$A9)^10+'LMAT Model'!B94)+'Inputs'!$B$7)/('Inputs'!$B$8+'Inputs'!$B$19))</x:f>
        <x:v>49.0607655004984</x:v>
      </x:c>
      <x:c r="C9" s="42" t="n">
        <x:f>MIN(('LMAT Model'!B82/(1+$A9)^1+'LMAT Model'!C82/(1+$A9)^2+'LMAT Model'!D82/(1+$A9)^3+'LMAT Model'!E82/(1+$A9)^4+'LMAT Model'!F82/(1+$A9)^5+'LMAT Model'!G82/(1+$A9)^6+'LMAT Model'!H82/(1+$A9)^7+'LMAT Model'!I82/(1+$A9)^8+'LMAT Model'!J82/(1+$A9)^9+'LMAT Model'!K82/(1+$A9)^10+'LMAT Model'!$K$77*(1+C$3)*(1-C$3/'Assumptions'!$E$3)/($A9-C$3)/(1+$A9)^10+'LMAT Model'!B94)/'Inputs'!$B$8,(('LMAT Model'!B82/(1+$A9)^1+'LMAT Model'!C82/(1+$A9)^2+'LMAT Model'!D82/(1+$A9)^3+'LMAT Model'!E82/(1+$A9)^4+'LMAT Model'!F82/(1+$A9)^5+'LMAT Model'!G82/(1+$A9)^6+'LMAT Model'!H82/(1+$A9)^7+'LMAT Model'!I82/(1+$A9)^8+'LMAT Model'!J82/(1+$A9)^9+'LMAT Model'!K82/(1+$A9)^10+'LMAT Model'!$K$77*(1+C$3)*(1-C$3/'Assumptions'!$E$3)/($A9-C$3)/(1+$A9)^10+'LMAT Model'!B94)+'Inputs'!$B$7)/('Inputs'!$B$8+'Inputs'!$B$19))</x:f>
        <x:v>49.868335589155</x:v>
      </x:c>
      <x:c r="D9" s="42" t="n">
        <x:f>MIN(('LMAT Model'!B82/(1+$A9)^1+'LMAT Model'!C82/(1+$A9)^2+'LMAT Model'!D82/(1+$A9)^3+'LMAT Model'!E82/(1+$A9)^4+'LMAT Model'!F82/(1+$A9)^5+'LMAT Model'!G82/(1+$A9)^6+'LMAT Model'!H82/(1+$A9)^7+'LMAT Model'!I82/(1+$A9)^8+'LMAT Model'!J82/(1+$A9)^9+'LMAT Model'!K82/(1+$A9)^10+'LMAT Model'!$K$77*(1+D$3)*(1-D$3/'Assumptions'!$E$3)/($A9-D$3)/(1+$A9)^10+'LMAT Model'!B94)/'Inputs'!$B$8,(('LMAT Model'!B82/(1+$A9)^1+'LMAT Model'!C82/(1+$A9)^2+'LMAT Model'!D82/(1+$A9)^3+'LMAT Model'!E82/(1+$A9)^4+'LMAT Model'!F82/(1+$A9)^5+'LMAT Model'!G82/(1+$A9)^6+'LMAT Model'!H82/(1+$A9)^7+'LMAT Model'!I82/(1+$A9)^8+'LMAT Model'!J82/(1+$A9)^9+'LMAT Model'!K82/(1+$A9)^10+'LMAT Model'!$K$77*(1+D$3)*(1-D$3/'Assumptions'!$E$3)/($A9-D$3)/(1+$A9)^10+'LMAT Model'!B94)+'Inputs'!$B$7)/('Inputs'!$B$8+'Inputs'!$B$19))</x:f>
        <x:v>50.77211572977209</x:v>
      </x:c>
      <x:c r="E9" s="42" t="n">
        <x:f>MIN(('LMAT Model'!B82/(1+$A9)^1+'LMAT Model'!C82/(1+$A9)^2+'LMAT Model'!D82/(1+$A9)^3+'LMAT Model'!E82/(1+$A9)^4+'LMAT Model'!F82/(1+$A9)^5+'LMAT Model'!G82/(1+$A9)^6+'LMAT Model'!H82/(1+$A9)^7+'LMAT Model'!I82/(1+$A9)^8+'LMAT Model'!J82/(1+$A9)^9+'LMAT Model'!K82/(1+$A9)^10+'LMAT Model'!$K$77*(1+E$3)*(1-E$3/'Assumptions'!$E$3)/($A9-E$3)/(1+$A9)^10+'LMAT Model'!B94)/'Inputs'!$B$8,(('LMAT Model'!B82/(1+$A9)^1+'LMAT Model'!C82/(1+$A9)^2+'LMAT Model'!D82/(1+$A9)^3+'LMAT Model'!E82/(1+$A9)^4+'LMAT Model'!F82/(1+$A9)^5+'LMAT Model'!G82/(1+$A9)^6+'LMAT Model'!H82/(1+$A9)^7+'LMAT Model'!I82/(1+$A9)^8+'LMAT Model'!J82/(1+$A9)^9+'LMAT Model'!K82/(1+$A9)^10+'LMAT Model'!$K$77*(1+E$3)*(1-E$3/'Assumptions'!$E$3)/($A9-E$3)/(1+$A9)^10+'LMAT Model'!B94)+'Inputs'!$B$7)/('Inputs'!$B$8+'Inputs'!$B$19))</x:f>
        <x:v>51.79134793274173</x:v>
      </x:c>
      <x:c r="F9" s="42" t="n">
        <x:f>MIN(('LMAT Model'!B82/(1+$A9)^1+'LMAT Model'!C82/(1+$A9)^2+'LMAT Model'!D82/(1+$A9)^3+'LMAT Model'!E82/(1+$A9)^4+'LMAT Model'!F82/(1+$A9)^5+'LMAT Model'!G82/(1+$A9)^6+'LMAT Model'!H82/(1+$A9)^7+'LMAT Model'!I82/(1+$A9)^8+'LMAT Model'!J82/(1+$A9)^9+'LMAT Model'!K82/(1+$A9)^10+'LMAT Model'!$K$77*(1+F$3)*(1-F$3/'Assumptions'!$E$3)/($A9-F$3)/(1+$A9)^10+'LMAT Model'!B94)/'Inputs'!$B$8,(('LMAT Model'!B82/(1+$A9)^1+'LMAT Model'!C82/(1+$A9)^2+'LMAT Model'!D82/(1+$A9)^3+'LMAT Model'!E82/(1+$A9)^4+'LMAT Model'!F82/(1+$A9)^5+'LMAT Model'!G82/(1+$A9)^6+'LMAT Model'!H82/(1+$A9)^7+'LMAT Model'!I82/(1+$A9)^8+'LMAT Model'!J82/(1+$A9)^9+'LMAT Model'!K82/(1+$A9)^10+'LMAT Model'!$K$77*(1+F$3)*(1-F$3/'Assumptions'!$E$3)/($A9-F$3)/(1+$A9)^10+'LMAT Model'!B94)+'Inputs'!$B$7)/('Inputs'!$B$8+'Inputs'!$B$19))</x:f>
        <x:v>52.95077192571091</x:v>
      </x:c>
    </x:row>
    <x:row r="10">
      <x:c r="A10" s="22" t="n">
        <x:v>0.12</x:v>
      </x:c>
      <x:c r="B10" s="42" t="n">
        <x:f>MIN(('LMAT Model'!B82/(1+$A10)^1+'LMAT Model'!C82/(1+$A10)^2+'LMAT Model'!D82/(1+$A10)^3+'LMAT Model'!E82/(1+$A10)^4+'LMAT Model'!F82/(1+$A10)^5+'LMAT Model'!G82/(1+$A10)^6+'LMAT Model'!H82/(1+$A10)^7+'LMAT Model'!I82/(1+$A10)^8+'LMAT Model'!J82/(1+$A10)^9+'LMAT Model'!K82/(1+$A10)^10+'LMAT Model'!$K$77*(1+B$3)*(1-B$3/'Assumptions'!$E$3)/($A10-B$3)/(1+$A10)^10+'LMAT Model'!B94)/'Inputs'!$B$8,(('LMAT Model'!B82/(1+$A10)^1+'LMAT Model'!C82/(1+$A10)^2+'LMAT Model'!D82/(1+$A10)^3+'LMAT Model'!E82/(1+$A10)^4+'LMAT Model'!F82/(1+$A10)^5+'LMAT Model'!G82/(1+$A10)^6+'LMAT Model'!H82/(1+$A10)^7+'LMAT Model'!I82/(1+$A10)^8+'LMAT Model'!J82/(1+$A10)^9+'LMAT Model'!K82/(1+$A10)^10+'LMAT Model'!$K$77*(1+B$3)*(1-B$3/'Assumptions'!$E$3)/($A10-B$3)/(1+$A10)^10+'LMAT Model'!B94)+'Inputs'!$B$7)/('Inputs'!$B$8+'Inputs'!$B$19))</x:f>
        <x:v>44.55924827387048</x:v>
      </x:c>
      <x:c r="C10" s="42" t="n">
        <x:f>MIN(('LMAT Model'!B82/(1+$A10)^1+'LMAT Model'!C82/(1+$A10)^2+'LMAT Model'!D82/(1+$A10)^3+'LMAT Model'!E82/(1+$A10)^4+'LMAT Model'!F82/(1+$A10)^5+'LMAT Model'!G82/(1+$A10)^6+'LMAT Model'!H82/(1+$A10)^7+'LMAT Model'!I82/(1+$A10)^8+'LMAT Model'!J82/(1+$A10)^9+'LMAT Model'!K82/(1+$A10)^10+'LMAT Model'!$K$77*(1+C$3)*(1-C$3/'Assumptions'!$E$3)/($A10-C$3)/(1+$A10)^10+'LMAT Model'!B94)/'Inputs'!$B$8,(('LMAT Model'!B82/(1+$A10)^1+'LMAT Model'!C82/(1+$A10)^2+'LMAT Model'!D82/(1+$A10)^3+'LMAT Model'!E82/(1+$A10)^4+'LMAT Model'!F82/(1+$A10)^5+'LMAT Model'!G82/(1+$A10)^6+'LMAT Model'!H82/(1+$A10)^7+'LMAT Model'!I82/(1+$A10)^8+'LMAT Model'!J82/(1+$A10)^9+'LMAT Model'!K82/(1+$A10)^10+'LMAT Model'!$K$77*(1+C$3)*(1-C$3/'Assumptions'!$E$3)/($A10-C$3)/(1+$A10)^10+'LMAT Model'!B94)+'Inputs'!$B$7)/('Inputs'!$B$8+'Inputs'!$B$19))</x:f>
        <x:v>45.12478213149537</x:v>
      </x:c>
      <x:c r="D10" s="42" t="n">
        <x:f>MIN(('LMAT Model'!B82/(1+$A10)^1+'LMAT Model'!C82/(1+$A10)^2+'LMAT Model'!D82/(1+$A10)^3+'LMAT Model'!E82/(1+$A10)^4+'LMAT Model'!F82/(1+$A10)^5+'LMAT Model'!G82/(1+$A10)^6+'LMAT Model'!H82/(1+$A10)^7+'LMAT Model'!I82/(1+$A10)^8+'LMAT Model'!J82/(1+$A10)^9+'LMAT Model'!K82/(1+$A10)^10+'LMAT Model'!$K$77*(1+D$3)*(1-D$3/'Assumptions'!$E$3)/($A10-D$3)/(1+$A10)^10+'LMAT Model'!B94)/'Inputs'!$B$8,(('LMAT Model'!B82/(1+$A10)^1+'LMAT Model'!C82/(1+$A10)^2+'LMAT Model'!D82/(1+$A10)^3+'LMAT Model'!E82/(1+$A10)^4+'LMAT Model'!F82/(1+$A10)^5+'LMAT Model'!G82/(1+$A10)^6+'LMAT Model'!H82/(1+$A10)^7+'LMAT Model'!I82/(1+$A10)^8+'LMAT Model'!J82/(1+$A10)^9+'LMAT Model'!K82/(1+$A10)^10+'LMAT Model'!$K$77*(1+D$3)*(1-D$3/'Assumptions'!$E$3)/($A10-D$3)/(1+$A10)^10+'LMAT Model'!B94)+'Inputs'!$B$7)/('Inputs'!$B$8+'Inputs'!$B$19))</x:f>
        <x:v>45.7493042616829</x:v>
      </x:c>
      <x:c r="E10" s="42" t="n">
        <x:f>MIN(('LMAT Model'!B82/(1+$A10)^1+'LMAT Model'!C82/(1+$A10)^2+'LMAT Model'!D82/(1+$A10)^3+'LMAT Model'!E82/(1+$A10)^4+'LMAT Model'!F82/(1+$A10)^5+'LMAT Model'!G82/(1+$A10)^6+'LMAT Model'!H82/(1+$A10)^7+'LMAT Model'!I82/(1+$A10)^8+'LMAT Model'!J82/(1+$A10)^9+'LMAT Model'!K82/(1+$A10)^10+'LMAT Model'!$K$77*(1+E$3)*(1-E$3/'Assumptions'!$E$3)/($A10-E$3)/(1+$A10)^10+'LMAT Model'!B94)/'Inputs'!$B$8,(('LMAT Model'!B82/(1+$A10)^1+'LMAT Model'!C82/(1+$A10)^2+'LMAT Model'!D82/(1+$A10)^3+'LMAT Model'!E82/(1+$A10)^4+'LMAT Model'!F82/(1+$A10)^5+'LMAT Model'!G82/(1+$A10)^6+'LMAT Model'!H82/(1+$A10)^7+'LMAT Model'!I82/(1+$A10)^8+'LMAT Model'!J82/(1+$A10)^9+'LMAT Model'!K82/(1+$A10)^10+'LMAT Model'!$K$77*(1+E$3)*(1-E$3/'Assumptions'!$E$3)/($A10-E$3)/(1+$A10)^10+'LMAT Model'!B94)+'Inputs'!$B$7)/('Inputs'!$B$8+'Inputs'!$B$19))</x:f>
        <x:v>46.44322435959118</x:v>
      </x:c>
      <x:c r="F10" s="42" t="n">
        <x:f>MIN(('LMAT Model'!B82/(1+$A10)^1+'LMAT Model'!C82/(1+$A10)^2+'LMAT Model'!D82/(1+$A10)^3+'LMAT Model'!E82/(1+$A10)^4+'LMAT Model'!F82/(1+$A10)^5+'LMAT Model'!G82/(1+$A10)^6+'LMAT Model'!H82/(1+$A10)^7+'LMAT Model'!I82/(1+$A10)^8+'LMAT Model'!J82/(1+$A10)^9+'LMAT Model'!K82/(1+$A10)^10+'LMAT Model'!$K$77*(1+F$3)*(1-F$3/'Assumptions'!$E$3)/($A10-F$3)/(1+$A10)^10+'LMAT Model'!B94)/'Inputs'!$B$8,(('LMAT Model'!B82/(1+$A10)^1+'LMAT Model'!C82/(1+$A10)^2+'LMAT Model'!D82/(1+$A10)^3+'LMAT Model'!E82/(1+$A10)^4+'LMAT Model'!F82/(1+$A10)^5+'LMAT Model'!G82/(1+$A10)^6+'LMAT Model'!H82/(1+$A10)^7+'LMAT Model'!I82/(1+$A10)^8+'LMAT Model'!J82/(1+$A10)^9+'LMAT Model'!K82/(1+$A10)^10+'LMAT Model'!$K$77*(1+F$3)*(1-F$3/'Assumptions'!$E$3)/($A10-F$3)/(1+$A10)^10+'LMAT Model'!B94)+'Inputs'!$B$7)/('Inputs'!$B$8+'Inputs'!$B$19))</x:f>
        <x:v>47.21955454416785</x:v>
      </x:c>
    </x:row>
    <x:row r="13" ht="29" customHeight="1">
      <x:c r="A13" s="27" t="str">
        <x:v>WINA | base cash flows fixed; discount and terminal growth varied</x:v>
      </x:c>
      <x:c r="B13" s="27"/>
      <x:c r="C13" s="27"/>
      <x:c r="D13" s="27"/>
      <x:c r="E13" s="27"/>
      <x:c r="F13" s="27"/>
    </x:row>
    <x:row r="15">
      <x:c r="A15" t="str">
        <x:v>Discount / terminal g</x:v>
      </x:c>
      <x:c r="B15" s="22" t="n">
        <x:v>0.02</x:v>
      </x:c>
      <x:c r="C15" s="22" t="n">
        <x:v>0.025</x:v>
      </x:c>
      <x:c r="D15" s="22" t="n">
        <x:v>0.03</x:v>
      </x:c>
      <x:c r="E15" s="22" t="n">
        <x:v>0.035</x:v>
      </x:c>
      <x:c r="F15" s="22" t="n">
        <x:v>0.04</x:v>
      </x:c>
    </x:row>
    <x:row r="16">
      <x:c r="A16" s="22" t="n">
        <x:v>0.08</x:v>
      </x:c>
      <x:c r="B16" s="42" t="n">
        <x:f>('WINA Model'!B82/(1+$A16)^1+'WINA Model'!C82/(1+$A16)^2+'WINA Model'!D82/(1+$A16)^3+'WINA Model'!E82/(1+$A16)^4+'WINA Model'!F82/(1+$A16)^5+'WINA Model'!G82/(1+$A16)^6+'WINA Model'!H82/(1+$A16)^7+'WINA Model'!I82/(1+$A16)^8+'WINA Model'!J82/(1+$A16)^9+'WINA Model'!K82/(1+$A16)^10+'WINA Model'!$K$77*(1+B$15)*(1-B$15/'Assumptions'!$E$6)/($A16-B$15)/(1+$A16)^10+'WINA Model'!B94)/'Inputs'!$C$8</x:f>
        <x:v>222.6037197759584</x:v>
      </x:c>
      <x:c r="C16" s="42" t="n">
        <x:f>('WINA Model'!B82/(1+$A16)^1+'WINA Model'!C82/(1+$A16)^2+'WINA Model'!D82/(1+$A16)^3+'WINA Model'!E82/(1+$A16)^4+'WINA Model'!F82/(1+$A16)^5+'WINA Model'!G82/(1+$A16)^6+'WINA Model'!H82/(1+$A16)^7+'WINA Model'!I82/(1+$A16)^8+'WINA Model'!J82/(1+$A16)^9+'WINA Model'!K82/(1+$A16)^10+'WINA Model'!$K$77*(1+C$15)*(1-C$15/'Assumptions'!$E$6)/($A16-C$15)/(1+$A16)^10+'WINA Model'!B94)/'Inputs'!$C$8</x:f>
        <x:v>233.5163014871932</x:v>
      </x:c>
      <x:c r="D16" s="42" t="n">
        <x:f>('WINA Model'!B82/(1+$A16)^1+'WINA Model'!C82/(1+$A16)^2+'WINA Model'!D82/(1+$A16)^3+'WINA Model'!E82/(1+$A16)^4+'WINA Model'!F82/(1+$A16)^5+'WINA Model'!G82/(1+$A16)^6+'WINA Model'!H82/(1+$A16)^7+'WINA Model'!I82/(1+$A16)^8+'WINA Model'!J82/(1+$A16)^9+'WINA Model'!K82/(1+$A16)^10+'WINA Model'!$K$77*(1+D$15)*(1-D$15/'Assumptions'!$E$6)/($A16-D$15)/(1+$A16)^10+'WINA Model'!B94)/'Inputs'!$C$8</x:f>
        <x:v>246.5869766721452</x:v>
      </x:c>
      <x:c r="E16" s="42" t="n">
        <x:f>('WINA Model'!B82/(1+$A16)^1+'WINA Model'!C82/(1+$A16)^2+'WINA Model'!D82/(1+$A16)^3+'WINA Model'!E82/(1+$A16)^4+'WINA Model'!F82/(1+$A16)^5+'WINA Model'!G82/(1+$A16)^6+'WINA Model'!H82/(1+$A16)^7+'WINA Model'!I82/(1+$A16)^8+'WINA Model'!J82/(1+$A16)^9+'WINA Model'!K82/(1+$A16)^10+'WINA Model'!$K$77*(1+E$15)*(1-E$15/'Assumptions'!$E$6)/($A16-E$15)/(1+$A16)^10+'WINA Model'!B94)/'Inputs'!$C$8</x:f>
        <x:v>262.53510982205347</x:v>
      </x:c>
      <x:c r="F16" s="42" t="n">
        <x:f>('WINA Model'!B82/(1+$A16)^1+'WINA Model'!C82/(1+$A16)^2+'WINA Model'!D82/(1+$A16)^3+'WINA Model'!E82/(1+$A16)^4+'WINA Model'!F82/(1+$A16)^5+'WINA Model'!G82/(1+$A16)^6+'WINA Model'!H82/(1+$A16)^7+'WINA Model'!I82/(1+$A16)^8+'WINA Model'!J82/(1+$A16)^9+'WINA Model'!K82/(1+$A16)^10+'WINA Model'!$K$77*(1+F$15)*(1-F$15/'Assumptions'!$E$6)/($A16-F$15)/(1+$A16)^10+'WINA Model'!B94)/'Inputs'!$C$8</x:f>
        <x:v>282.4397476737767</x:v>
      </x:c>
    </x:row>
    <x:row r="17">
      <x:c r="A17" s="22" t="n">
        <x:v>0.09</x:v>
      </x:c>
      <x:c r="B17" s="42" t="n">
        <x:f>('WINA Model'!B82/(1+$A17)^1+'WINA Model'!C82/(1+$A17)^2+'WINA Model'!D82/(1+$A17)^3+'WINA Model'!E82/(1+$A17)^4+'WINA Model'!F82/(1+$A17)^5+'WINA Model'!G82/(1+$A17)^6+'WINA Model'!H82/(1+$A17)^7+'WINA Model'!I82/(1+$A17)^8+'WINA Model'!J82/(1+$A17)^9+'WINA Model'!K82/(1+$A17)^10+'WINA Model'!$K$77*(1+B$15)*(1-B$15/'Assumptions'!$E$6)/($A17-B$15)/(1+$A17)^10+'WINA Model'!B94)/'Inputs'!$C$8</x:f>
        <x:v>188.07998426968086</x:v>
      </x:c>
      <x:c r="C17" s="42" t="n">
        <x:f>('WINA Model'!B82/(1+$A17)^1+'WINA Model'!C82/(1+$A17)^2+'WINA Model'!D82/(1+$A17)^3+'WINA Model'!E82/(1+$A17)^4+'WINA Model'!F82/(1+$A17)^5+'WINA Model'!G82/(1+$A17)^6+'WINA Model'!H82/(1+$A17)^7+'WINA Model'!I82/(1+$A17)^8+'WINA Model'!J82/(1+$A17)^9+'WINA Model'!K82/(1+$A17)^10+'WINA Model'!$K$77*(1+C$15)*(1-C$15/'Assumptions'!$E$6)/($A17-C$15)/(1+$A17)^10+'WINA Model'!B94)/'Inputs'!$C$8</x:f>
        <x:v>195.127644162214</x:v>
      </x:c>
      <x:c r="D17" s="42" t="n">
        <x:f>('WINA Model'!B82/(1+$A17)^1+'WINA Model'!C82/(1+$A17)^2+'WINA Model'!D82/(1+$A17)^3+'WINA Model'!E82/(1+$A17)^4+'WINA Model'!F82/(1+$A17)^5+'WINA Model'!G82/(1+$A17)^6+'WINA Model'!H82/(1+$A17)^7+'WINA Model'!I82/(1+$A17)^8+'WINA Model'!J82/(1+$A17)^9+'WINA Model'!K82/(1+$A17)^10+'WINA Model'!$K$77*(1+D$15)*(1-D$15/'Assumptions'!$E$6)/($A17-D$15)/(1+$A17)^10+'WINA Model'!B94)/'Inputs'!$C$8</x:f>
        <x:v>203.33135360822524</x:v>
      </x:c>
      <x:c r="E17" s="42" t="n">
        <x:f>('WINA Model'!B82/(1+$A17)^1+'WINA Model'!C82/(1+$A17)^2+'WINA Model'!D82/(1+$A17)^3+'WINA Model'!E82/(1+$A17)^4+'WINA Model'!F82/(1+$A17)^5+'WINA Model'!G82/(1+$A17)^6+'WINA Model'!H82/(1+$A17)^7+'WINA Model'!I82/(1+$A17)^8+'WINA Model'!J82/(1+$A17)^9+'WINA Model'!K82/(1+$A17)^10+'WINA Model'!$K$77*(1+E$15)*(1-E$15/'Assumptions'!$E$6)/($A17-E$15)/(1+$A17)^10+'WINA Model'!B94)/'Inputs'!$C$8</x:f>
        <x:v>213.00639884957195</x:v>
      </x:c>
      <x:c r="F17" s="42" t="n">
        <x:f>('WINA Model'!B82/(1+$A17)^1+'WINA Model'!C82/(1+$A17)^2+'WINA Model'!D82/(1+$A17)^3+'WINA Model'!E82/(1+$A17)^4+'WINA Model'!F82/(1+$A17)^5+'WINA Model'!G82/(1+$A17)^6+'WINA Model'!H82/(1+$A17)^7+'WINA Model'!I82/(1+$A17)^8+'WINA Model'!J82/(1+$A17)^9+'WINA Model'!K82/(1+$A17)^10+'WINA Model'!$K$77*(1+F$15)*(1-F$15/'Assumptions'!$E$6)/($A17-F$15)/(1+$A17)^10+'WINA Model'!B94)/'Inputs'!$C$8</x:f>
        <x:v>224.59418062485503</x:v>
      </x:c>
    </x:row>
    <x:row r="18">
      <x:c r="A18" s="22" t="n">
        <x:v>0.095</x:v>
      </x:c>
      <x:c r="B18" s="42" t="n">
        <x:f>('WINA Model'!B82/(1+$A18)^1+'WINA Model'!C82/(1+$A18)^2+'WINA Model'!D82/(1+$A18)^3+'WINA Model'!E82/(1+$A18)^4+'WINA Model'!F82/(1+$A18)^5+'WINA Model'!G82/(1+$A18)^6+'WINA Model'!H82/(1+$A18)^7+'WINA Model'!I82/(1+$A18)^8+'WINA Model'!J82/(1+$A18)^9+'WINA Model'!K82/(1+$A18)^10+'WINA Model'!$K$77*(1+B$15)*(1-B$15/'Assumptions'!$E$6)/($A18-B$15)/(1+$A18)^10+'WINA Model'!B94)/'Inputs'!$C$8</x:f>
        <x:v>174.28375164946945</x:v>
      </x:c>
      <x:c r="C18" s="42" t="n">
        <x:f>('WINA Model'!B82/(1+$A18)^1+'WINA Model'!C82/(1+$A18)^2+'WINA Model'!D82/(1+$A18)^3+'WINA Model'!E82/(1+$A18)^4+'WINA Model'!F82/(1+$A18)^5+'WINA Model'!G82/(1+$A18)^6+'WINA Model'!H82/(1+$A18)^7+'WINA Model'!I82/(1+$A18)^8+'WINA Model'!J82/(1+$A18)^9+'WINA Model'!K82/(1+$A18)^10+'WINA Model'!$K$77*(1+C$15)*(1-C$15/'Assumptions'!$E$6)/($A18-C$15)/(1+$A18)^10+'WINA Model'!B94)/'Inputs'!$C$8</x:f>
        <x:v>180.04806845813118</x:v>
      </x:c>
      <x:c r="D18" s="42" t="n">
        <x:f>('WINA Model'!B82/(1+$A18)^1+'WINA Model'!C82/(1+$A18)^2+'WINA Model'!D82/(1+$A18)^3+'WINA Model'!E82/(1+$A18)^4+'WINA Model'!F82/(1+$A18)^5+'WINA Model'!G82/(1+$A18)^6+'WINA Model'!H82/(1+$A18)^7+'WINA Model'!I82/(1+$A18)^8+'WINA Model'!J82/(1+$A18)^9+'WINA Model'!K82/(1+$A18)^10+'WINA Model'!$K$77*(1+D$15)*(1-D$15/'Assumptions'!$E$6)/($A18-D$15)/(1+$A18)^10+'WINA Model'!B94)/'Inputs'!$C$8</x:f>
        <x:v>186.6828369684558</x:v>
      </x:c>
      <x:c r="E18" s="42" t="n">
        <x:f>('WINA Model'!B82/(1+$A18)^1+'WINA Model'!C82/(1+$A18)^2+'WINA Model'!D82/(1+$A18)^3+'WINA Model'!E82/(1+$A18)^4+'WINA Model'!F82/(1+$A18)^5+'WINA Model'!G82/(1+$A18)^6+'WINA Model'!H82/(1+$A18)^7+'WINA Model'!I82/(1+$A18)^8+'WINA Model'!J82/(1+$A18)^9+'WINA Model'!K82/(1+$A18)^10+'WINA Model'!$K$77*(1+E$15)*(1-E$15/'Assumptions'!$E$6)/($A18-E$15)/(1+$A18)^10+'WINA Model'!B94)/'Inputs'!$C$8</x:f>
        <x:v>194.40567010585903</x:v>
      </x:c>
      <x:c r="F18" s="42" t="n">
        <x:f>('WINA Model'!B82/(1+$A18)^1+'WINA Model'!C82/(1+$A18)^2+'WINA Model'!D82/(1+$A18)^3+'WINA Model'!E82/(1+$A18)^4+'WINA Model'!F82/(1+$A18)^5+'WINA Model'!G82/(1+$A18)^6+'WINA Model'!H82/(1+$A18)^7+'WINA Model'!I82/(1+$A18)^8+'WINA Model'!J82/(1+$A18)^9+'WINA Model'!K82/(1+$A18)^10+'WINA Model'!$K$77*(1+F$15)*(1-F$15/'Assumptions'!$E$6)/($A18-F$15)/(1+$A18)^10+'WINA Model'!B94)/'Inputs'!$C$8</x:f>
        <x:v>203.51331276863507</x:v>
      </x:c>
    </x:row>
    <x:row r="19">
      <x:c r="A19" s="22" t="n">
        <x:v>0.1</x:v>
      </x:c>
      <x:c r="B19" s="42" t="n">
        <x:f>('WINA Model'!B82/(1+$A19)^1+'WINA Model'!C82/(1+$A19)^2+'WINA Model'!D82/(1+$A19)^3+'WINA Model'!E82/(1+$A19)^4+'WINA Model'!F82/(1+$A19)^5+'WINA Model'!G82/(1+$A19)^6+'WINA Model'!H82/(1+$A19)^7+'WINA Model'!I82/(1+$A19)^8+'WINA Model'!J82/(1+$A19)^9+'WINA Model'!K82/(1+$A19)^10+'WINA Model'!$K$77*(1+B$15)*(1-B$15/'Assumptions'!$E$6)/($A19-B$15)/(1+$A19)^10+'WINA Model'!B94)/'Inputs'!$C$8</x:f>
        <x:v>162.22016498503646</x:v>
      </x:c>
      <x:c r="C19" s="42" t="n">
        <x:f>('WINA Model'!B82/(1+$A19)^1+'WINA Model'!C82/(1+$A19)^2+'WINA Model'!D82/(1+$A19)^3+'WINA Model'!E82/(1+$A19)^4+'WINA Model'!F82/(1+$A19)^5+'WINA Model'!G82/(1+$A19)^6+'WINA Model'!H82/(1+$A19)^7+'WINA Model'!I82/(1+$A19)^8+'WINA Model'!J82/(1+$A19)^9+'WINA Model'!K82/(1+$A19)^10+'WINA Model'!$K$77*(1+C$15)*(1-C$15/'Assumptions'!$E$6)/($A19-C$15)/(1+$A19)^10+'WINA Model'!B94)/'Inputs'!$C$8</x:f>
        <x:v>166.98044443773034</x:v>
      </x:c>
      <x:c r="D19" s="42" t="n">
        <x:f>('WINA Model'!B82/(1+$A19)^1+'WINA Model'!C82/(1+$A19)^2+'WINA Model'!D82/(1+$A19)^3+'WINA Model'!E82/(1+$A19)^4+'WINA Model'!F82/(1+$A19)^5+'WINA Model'!G82/(1+$A19)^6+'WINA Model'!H82/(1+$A19)^7+'WINA Model'!I82/(1+$A19)^8+'WINA Model'!J82/(1+$A19)^9+'WINA Model'!K82/(1+$A19)^10+'WINA Model'!$K$77*(1+D$15)*(1-D$15/'Assumptions'!$E$6)/($A19-D$15)/(1+$A19)^10+'WINA Model'!B94)/'Inputs'!$C$8</x:f>
        <x:v>172.4062433868608</x:v>
      </x:c>
      <x:c r="E19" s="42" t="n">
        <x:f>('WINA Model'!B82/(1+$A19)^1+'WINA Model'!C82/(1+$A19)^2+'WINA Model'!D82/(1+$A19)^3+'WINA Model'!E82/(1+$A19)^4+'WINA Model'!F82/(1+$A19)^5+'WINA Model'!G82/(1+$A19)^6+'WINA Model'!H82/(1+$A19)^7+'WINA Model'!I82/(1+$A19)^8+'WINA Model'!J82/(1+$A19)^9+'WINA Model'!K82/(1+$A19)^10+'WINA Model'!$K$77*(1+E$15)*(1-E$15/'Assumptions'!$E$6)/($A19-E$15)/(1+$A19)^10+'WINA Model'!B94)/'Inputs'!$C$8</x:f>
        <x:v>178.6511432546825</x:v>
      </x:c>
      <x:c r="F19" s="42" t="n">
        <x:f>('WINA Model'!B82/(1+$A19)^1+'WINA Model'!C82/(1+$A19)^2+'WINA Model'!D82/(1+$A19)^3+'WINA Model'!E82/(1+$A19)^4+'WINA Model'!F82/(1+$A19)^5+'WINA Model'!G82/(1+$A19)^6+'WINA Model'!H82/(1+$A19)^7+'WINA Model'!I82/(1+$A19)^8+'WINA Model'!J82/(1+$A19)^9+'WINA Model'!K82/(1+$A19)^10+'WINA Model'!$K$77*(1+F$15)*(1-F$15/'Assumptions'!$E$6)/($A19-F$15)/(1+$A19)^10+'WINA Model'!B94)/'Inputs'!$C$8</x:f>
        <x:v>185.91991927086818</x:v>
      </x:c>
    </x:row>
    <x:row r="20">
      <x:c r="A20" s="22" t="n">
        <x:v>0.105</x:v>
      </x:c>
      <x:c r="B20" s="42" t="n">
        <x:f>('WINA Model'!B82/(1+$A20)^1+'WINA Model'!C82/(1+$A20)^2+'WINA Model'!D82/(1+$A20)^3+'WINA Model'!E82/(1+$A20)^4+'WINA Model'!F82/(1+$A20)^5+'WINA Model'!G82/(1+$A20)^6+'WINA Model'!H82/(1+$A20)^7+'WINA Model'!I82/(1+$A20)^8+'WINA Model'!J82/(1+$A20)^9+'WINA Model'!K82/(1+$A20)^10+'WINA Model'!$K$77*(1+B$15)*(1-B$15/'Assumptions'!$E$6)/($A20-B$15)/(1+$A20)^10+'WINA Model'!B94)/'Inputs'!$C$8</x:f>
        <x:v>151.58334015976956</x:v>
      </x:c>
      <x:c r="C20" s="42" t="n">
        <x:f>('WINA Model'!B82/(1+$A20)^1+'WINA Model'!C82/(1+$A20)^2+'WINA Model'!D82/(1+$A20)^3+'WINA Model'!E82/(1+$A20)^4+'WINA Model'!F82/(1+$A20)^5+'WINA Model'!G82/(1+$A20)^6+'WINA Model'!H82/(1+$A20)^7+'WINA Model'!I82/(1+$A20)^8+'WINA Model'!J82/(1+$A20)^9+'WINA Model'!K82/(1+$A20)^10+'WINA Model'!$K$77*(1+C$15)*(1-C$15/'Assumptions'!$E$6)/($A20-C$15)/(1+$A20)^10+'WINA Model'!B94)/'Inputs'!$C$8</x:f>
        <x:v>155.54771443405195</x:v>
      </x:c>
      <x:c r="D20" s="42" t="n">
        <x:f>('WINA Model'!B82/(1+$A20)^1+'WINA Model'!C82/(1+$A20)^2+'WINA Model'!D82/(1+$A20)^3+'WINA Model'!E82/(1+$A20)^4+'WINA Model'!F82/(1+$A20)^5+'WINA Model'!G82/(1+$A20)^6+'WINA Model'!H82/(1+$A20)^7+'WINA Model'!I82/(1+$A20)^8+'WINA Model'!J82/(1+$A20)^9+'WINA Model'!K82/(1+$A20)^10+'WINA Model'!$K$77*(1+D$15)*(1-D$15/'Assumptions'!$E$6)/($A20-D$15)/(1+$A20)^10+'WINA Model'!B94)/'Inputs'!$C$8</x:f>
        <x:v>160.0277204414059</x:v>
      </x:c>
      <x:c r="E20" s="42" t="n">
        <x:f>('WINA Model'!B82/(1+$A20)^1+'WINA Model'!C82/(1+$A20)^2+'WINA Model'!D82/(1+$A20)^3+'WINA Model'!E82/(1+$A20)^4+'WINA Model'!F82/(1+$A20)^5+'WINA Model'!G82/(1+$A20)^6+'WINA Model'!H82/(1+$A20)^7+'WINA Model'!I82/(1+$A20)^8+'WINA Model'!J82/(1+$A20)^9+'WINA Model'!K82/(1+$A20)^10+'WINA Model'!$K$77*(1+E$15)*(1-E$15/'Assumptions'!$E$6)/($A20-E$15)/(1+$A20)^10+'WINA Model'!B94)/'Inputs'!$C$8</x:f>
        <x:v>165.133850696061</x:v>
      </x:c>
      <x:c r="F20" s="42" t="n">
        <x:f>('WINA Model'!B82/(1+$A20)^1+'WINA Model'!C82/(1+$A20)^2+'WINA Model'!D82/(1+$A20)^3+'WINA Model'!E82/(1+$A20)^4+'WINA Model'!F82/(1+$A20)^5+'WINA Model'!G82/(1+$A20)^6+'WINA Model'!H82/(1+$A20)^7+'WINA Model'!I82/(1+$A20)^8+'WINA Model'!J82/(1+$A20)^9+'WINA Model'!K82/(1+$A20)^10+'WINA Model'!$K$77*(1+F$15)*(1-F$15/'Assumptions'!$E$6)/($A20-F$15)/(1+$A20)^10+'WINA Model'!B94)/'Inputs'!$C$8</x:f>
        <x:v>171.01059540893286</x:v>
      </x:c>
    </x:row>
    <x:row r="21">
      <x:c r="A21" s="22" t="n">
        <x:v>0.11</x:v>
      </x:c>
      <x:c r="B21" s="42" t="n">
        <x:f>('WINA Model'!B82/(1+$A21)^1+'WINA Model'!C82/(1+$A21)^2+'WINA Model'!D82/(1+$A21)^3+'WINA Model'!E82/(1+$A21)^4+'WINA Model'!F82/(1+$A21)^5+'WINA Model'!G82/(1+$A21)^6+'WINA Model'!H82/(1+$A21)^7+'WINA Model'!I82/(1+$A21)^8+'WINA Model'!J82/(1+$A21)^9+'WINA Model'!K82/(1+$A21)^10+'WINA Model'!$K$77*(1+B$15)*(1-B$15/'Assumptions'!$E$6)/($A21-B$15)/(1+$A21)^10+'WINA Model'!B94)/'Inputs'!$C$8</x:f>
        <x:v>142.13536629927188</x:v>
      </x:c>
      <x:c r="C21" s="42" t="n">
        <x:f>('WINA Model'!B82/(1+$A21)^1+'WINA Model'!C82/(1+$A21)^2+'WINA Model'!D82/(1+$A21)^3+'WINA Model'!E82/(1+$A21)^4+'WINA Model'!F82/(1+$A21)^5+'WINA Model'!G82/(1+$A21)^6+'WINA Model'!H82/(1+$A21)^7+'WINA Model'!I82/(1+$A21)^8+'WINA Model'!J82/(1+$A21)^9+'WINA Model'!K82/(1+$A21)^10+'WINA Model'!$K$77*(1+C$15)*(1-C$15/'Assumptions'!$E$6)/($A21-C$15)/(1+$A21)^10+'WINA Model'!B94)/'Inputs'!$C$8</x:f>
        <x:v>145.4615238311672</x:v>
      </x:c>
      <x:c r="D21" s="42" t="n">
        <x:f>('WINA Model'!B82/(1+$A21)^1+'WINA Model'!C82/(1+$A21)^2+'WINA Model'!D82/(1+$A21)^3+'WINA Model'!E82/(1+$A21)^4+'WINA Model'!F82/(1+$A21)^5+'WINA Model'!G82/(1+$A21)^6+'WINA Model'!H82/(1+$A21)^7+'WINA Model'!I82/(1+$A21)^8+'WINA Model'!J82/(1+$A21)^9+'WINA Model'!K82/(1+$A21)^10+'WINA Model'!$K$77*(1+D$15)*(1-D$15/'Assumptions'!$E$6)/($A21-D$15)/(1+$A21)^10+'WINA Model'!B94)/'Inputs'!$C$8</x:f>
        <x:v>149.1918450040481</x:v>
      </x:c>
      <x:c r="E21" s="42" t="n">
        <x:f>('WINA Model'!B82/(1+$A21)^1+'WINA Model'!C82/(1+$A21)^2+'WINA Model'!D82/(1+$A21)^3+'WINA Model'!E82/(1+$A21)^4+'WINA Model'!F82/(1+$A21)^5+'WINA Model'!G82/(1+$A21)^6+'WINA Model'!H82/(1+$A21)^7+'WINA Model'!I82/(1+$A21)^8+'WINA Model'!J82/(1+$A21)^9+'WINA Model'!K82/(1+$A21)^10+'WINA Model'!$K$77*(1+E$15)*(1-E$15/'Assumptions'!$E$6)/($A21-E$15)/(1+$A21)^10+'WINA Model'!B94)/'Inputs'!$C$8</x:f>
        <x:v>153.40716254611183</x:v>
      </x:c>
      <x:c r="F21" s="42" t="n">
        <x:f>('WINA Model'!B82/(1+$A21)^1+'WINA Model'!C82/(1+$A21)^2+'WINA Model'!D82/(1+$A21)^3+'WINA Model'!E82/(1+$A21)^4+'WINA Model'!F82/(1+$A21)^5+'WINA Model'!G82/(1+$A21)^6+'WINA Model'!H82/(1+$A21)^7+'WINA Model'!I82/(1+$A21)^8+'WINA Model'!J82/(1+$A21)^9+'WINA Model'!K82/(1+$A21)^10+'WINA Model'!$K$77*(1+F$15)*(1-F$15/'Assumptions'!$E$6)/($A21-F$15)/(1+$A21)^10+'WINA Model'!B94)/'Inputs'!$C$8</x:f>
        <x:v>158.2114042507546</x:v>
      </x:c>
    </x:row>
    <x:row r="22">
      <x:c r="A22" s="22" t="n">
        <x:v>0.12</x:v>
      </x:c>
      <x:c r="B22" s="42" t="n">
        <x:f>('WINA Model'!B82/(1+$A22)^1+'WINA Model'!C82/(1+$A22)^2+'WINA Model'!D82/(1+$A22)^3+'WINA Model'!E82/(1+$A22)^4+'WINA Model'!F82/(1+$A22)^5+'WINA Model'!G82/(1+$A22)^6+'WINA Model'!H82/(1+$A22)^7+'WINA Model'!I82/(1+$A22)^8+'WINA Model'!J82/(1+$A22)^9+'WINA Model'!K82/(1+$A22)^10+'WINA Model'!$K$77*(1+B$15)*(1-B$15/'Assumptions'!$E$6)/($A22-B$15)/(1+$A22)^10+'WINA Model'!B94)/'Inputs'!$C$8</x:f>
        <x:v>126.09223609243061</x:v>
      </x:c>
      <x:c r="C22" s="42" t="n">
        <x:f>('WINA Model'!B82/(1+$A22)^1+'WINA Model'!C82/(1+$A22)^2+'WINA Model'!D82/(1+$A22)^3+'WINA Model'!E82/(1+$A22)^4+'WINA Model'!F82/(1+$A22)^5+'WINA Model'!G82/(1+$A22)^6+'WINA Model'!H82/(1+$A22)^7+'WINA Model'!I82/(1+$A22)^8+'WINA Model'!J82/(1+$A22)^9+'WINA Model'!K82/(1+$A22)^10+'WINA Model'!$K$77*(1+C$15)*(1-C$15/'Assumptions'!$E$6)/($A22-C$15)/(1+$A22)^10+'WINA Model'!B94)/'Inputs'!$C$8</x:f>
        <x:v>128.47880669564876</x:v>
      </x:c>
      <x:c r="D22" s="42" t="n">
        <x:f>('WINA Model'!B82/(1+$A22)^1+'WINA Model'!C82/(1+$A22)^2+'WINA Model'!D82/(1+$A22)^3+'WINA Model'!E82/(1+$A22)^4+'WINA Model'!F82/(1+$A22)^5+'WINA Model'!G82/(1+$A22)^6+'WINA Model'!H82/(1+$A22)^7+'WINA Model'!I82/(1+$A22)^8+'WINA Model'!J82/(1+$A22)^9+'WINA Model'!K82/(1+$A22)^10+'WINA Model'!$K$77*(1+D$15)*(1-D$15/'Assumptions'!$E$6)/($A22-D$15)/(1+$A22)^10+'WINA Model'!B94)/'Inputs'!$C$8</x:f>
        <x:v>131.12112029457765</x:v>
      </x:c>
      <x:c r="E22" s="42" t="n">
        <x:f>('WINA Model'!B82/(1+$A22)^1+'WINA Model'!C82/(1+$A22)^2+'WINA Model'!D82/(1+$A22)^3+'WINA Model'!E82/(1+$A22)^4+'WINA Model'!F82/(1+$A22)^5+'WINA Model'!G82/(1+$A22)^6+'WINA Model'!H82/(1+$A22)^7+'WINA Model'!I82/(1+$A22)^8+'WINA Model'!J82/(1+$A22)^9+'WINA Model'!K82/(1+$A22)^10+'WINA Model'!$K$77*(1+E$15)*(1-E$15/'Assumptions'!$E$6)/($A22-E$15)/(1+$A22)^10+'WINA Model'!B94)/'Inputs'!$C$8</x:f>
        <x:v>134.06430800610732</x:v>
      </x:c>
      <x:c r="F22" s="42" t="n">
        <x:f>('WINA Model'!B82/(1+$A22)^1+'WINA Model'!C82/(1+$A22)^2+'WINA Model'!D82/(1+$A22)^3+'WINA Model'!E82/(1+$A22)^4+'WINA Model'!F82/(1+$A22)^5+'WINA Model'!G82/(1+$A22)^6+'WINA Model'!H82/(1+$A22)^7+'WINA Model'!I82/(1+$A22)^8+'WINA Model'!J82/(1+$A22)^9+'WINA Model'!K82/(1+$A22)^10+'WINA Model'!$K$77*(1+F$15)*(1-F$15/'Assumptions'!$E$6)/($A22-F$15)/(1+$A22)^10+'WINA Model'!B94)/'Inputs'!$C$8</x:f>
        <x:v>137.36478372635054</x:v>
      </x:c>
    </x:row>
    <x:row r="25" ht="29" customHeight="1">
      <x:c r="A25" s="27" t="str">
        <x:v>NSSC | base cash flows fixed; discount and terminal growth varied</x:v>
      </x:c>
      <x:c r="B25" s="27"/>
      <x:c r="C25" s="27"/>
      <x:c r="D25" s="27"/>
      <x:c r="E25" s="27"/>
      <x:c r="F25" s="27"/>
    </x:row>
    <x:row r="27">
      <x:c r="A27" t="str">
        <x:v>Discount / terminal g</x:v>
      </x:c>
      <x:c r="B27" s="22" t="n">
        <x:v>0.02</x:v>
      </x:c>
      <x:c r="C27" s="22" t="n">
        <x:v>0.025</x:v>
      </x:c>
      <x:c r="D27" s="22" t="n">
        <x:v>0.03</x:v>
      </x:c>
      <x:c r="E27" s="22" t="n">
        <x:v>0.035</x:v>
      </x:c>
      <x:c r="F27" s="22" t="n">
        <x:v>0.04</x:v>
      </x:c>
    </x:row>
    <x:row r="28">
      <x:c r="A28" s="22" t="n">
        <x:v>0.08</x:v>
      </x:c>
      <x:c r="B28" s="42" t="n">
        <x:f>('NSSC Model'!B82/(1+$A28)^1+'NSSC Model'!C82/(1+$A28)^2+'NSSC Model'!D82/(1+$A28)^3+'NSSC Model'!E82/(1+$A28)^4+'NSSC Model'!F82/(1+$A28)^5+'NSSC Model'!G82/(1+$A28)^6+'NSSC Model'!H82/(1+$A28)^7+'NSSC Model'!I82/(1+$A28)^8+'NSSC Model'!J82/(1+$A28)^9+'NSSC Model'!K82/(1+$A28)^10+'NSSC Model'!$K$77*(1+B$27)*(1-B$27/'Assumptions'!$E$9)/($A28-B$27)/(1+$A28)^10+'NSSC Model'!B94)/'Inputs'!$D$8</x:f>
        <x:v>40.55187380104007</x:v>
      </x:c>
      <x:c r="C28" s="42" t="n">
        <x:f>('NSSC Model'!B82/(1+$A28)^1+'NSSC Model'!C82/(1+$A28)^2+'NSSC Model'!D82/(1+$A28)^3+'NSSC Model'!E82/(1+$A28)^4+'NSSC Model'!F82/(1+$A28)^5+'NSSC Model'!G82/(1+$A28)^6+'NSSC Model'!H82/(1+$A28)^7+'NSSC Model'!I82/(1+$A28)^8+'NSSC Model'!J82/(1+$A28)^9+'NSSC Model'!K82/(1+$A28)^10+'NSSC Model'!$K$77*(1+C$27)*(1-C$27/'Assumptions'!$E$9)/($A28-C$27)/(1+$A28)^10+'NSSC Model'!B94)/'Inputs'!$D$8</x:f>
        <x:v>42.27893469156353</x:v>
      </x:c>
      <x:c r="D28" s="42" t="n">
        <x:f>('NSSC Model'!B82/(1+$A28)^1+'NSSC Model'!C82/(1+$A28)^2+'NSSC Model'!D82/(1+$A28)^3+'NSSC Model'!E82/(1+$A28)^4+'NSSC Model'!F82/(1+$A28)^5+'NSSC Model'!G82/(1+$A28)^6+'NSSC Model'!H82/(1+$A28)^7+'NSSC Model'!I82/(1+$A28)^8+'NSSC Model'!J82/(1+$A28)^9+'NSSC Model'!K82/(1+$A28)^10+'NSSC Model'!$K$77*(1+D$27)*(1-D$27/'Assumptions'!$E$9)/($A28-D$27)/(1+$A28)^10+'NSSC Model'!B94)/'Inputs'!$D$8</x:f>
        <x:v>44.346676086519025</x:v>
      </x:c>
      <x:c r="E28" s="42" t="n">
        <x:f>('NSSC Model'!B82/(1+$A28)^1+'NSSC Model'!C82/(1+$A28)^2+'NSSC Model'!D82/(1+$A28)^3+'NSSC Model'!E82/(1+$A28)^4+'NSSC Model'!F82/(1+$A28)^5+'NSSC Model'!G82/(1+$A28)^6+'NSSC Model'!H82/(1+$A28)^7+'NSSC Model'!I82/(1+$A28)^8+'NSSC Model'!J82/(1+$A28)^9+'NSSC Model'!K82/(1+$A28)^10+'NSSC Model'!$K$77*(1+E$27)*(1-E$27/'Assumptions'!$E$9)/($A28-E$27)/(1+$A28)^10+'NSSC Model'!B94)/'Inputs'!$D$8</x:f>
        <x:v>46.86865815405054</x:v>
      </x:c>
      <x:c r="F28" s="42" t="n">
        <x:f>('NSSC Model'!B82/(1+$A28)^1+'NSSC Model'!C82/(1+$A28)^2+'NSSC Model'!D82/(1+$A28)^3+'NSSC Model'!E82/(1+$A28)^4+'NSSC Model'!F82/(1+$A28)^5+'NSSC Model'!G82/(1+$A28)^6+'NSSC Model'!H82/(1+$A28)^7+'NSSC Model'!I82/(1+$A28)^8+'NSSC Model'!J82/(1+$A28)^9+'NSSC Model'!K82/(1+$A28)^10+'NSSC Model'!$K$77*(1+F$27)*(1-F$27/'Assumptions'!$E$9)/($A28-F$27)/(1+$A28)^10+'NSSC Model'!B94)/'Inputs'!$D$8</x:f>
        <x:v>50.01522114637414</x:v>
      </x:c>
    </x:row>
    <x:row r="29">
      <x:c r="A29" s="22" t="n">
        <x:v>0.09</x:v>
      </x:c>
      <x:c r="B29" s="42" t="n">
        <x:f>('NSSC Model'!B82/(1+$A29)^1+'NSSC Model'!C82/(1+$A29)^2+'NSSC Model'!D82/(1+$A29)^3+'NSSC Model'!E82/(1+$A29)^4+'NSSC Model'!F82/(1+$A29)^5+'NSSC Model'!G82/(1+$A29)^6+'NSSC Model'!H82/(1+$A29)^7+'NSSC Model'!I82/(1+$A29)^8+'NSSC Model'!J82/(1+$A29)^9+'NSSC Model'!K82/(1+$A29)^10+'NSSC Model'!$K$77*(1+B$27)*(1-B$27/'Assumptions'!$E$9)/($A29-B$27)/(1+$A29)^10+'NSSC Model'!B94)/'Inputs'!$D$8</x:f>
        <x:v>34.89145389773907</x:v>
      </x:c>
      <x:c r="C29" s="42" t="n">
        <x:f>('NSSC Model'!B82/(1+$A29)^1+'NSSC Model'!C82/(1+$A29)^2+'NSSC Model'!D82/(1+$A29)^3+'NSSC Model'!E82/(1+$A29)^4+'NSSC Model'!F82/(1+$A29)^5+'NSSC Model'!G82/(1+$A29)^6+'NSSC Model'!H82/(1+$A29)^7+'NSSC Model'!I82/(1+$A29)^8+'NSSC Model'!J82/(1+$A29)^9+'NSSC Model'!K82/(1+$A29)^10+'NSSC Model'!$K$77*(1+C$27)*(1-C$27/'Assumptions'!$E$9)/($A29-C$27)/(1+$A29)^10+'NSSC Model'!B94)/'Inputs'!$D$8</x:f>
        <x:v>35.99843408156292</x:v>
      </x:c>
      <x:c r="D29" s="42" t="n">
        <x:f>('NSSC Model'!B82/(1+$A29)^1+'NSSC Model'!C82/(1+$A29)^2+'NSSC Model'!D82/(1+$A29)^3+'NSSC Model'!E82/(1+$A29)^4+'NSSC Model'!F82/(1+$A29)^5+'NSSC Model'!G82/(1+$A29)^6+'NSSC Model'!H82/(1+$A29)^7+'NSSC Model'!I82/(1+$A29)^8+'NSSC Model'!J82/(1+$A29)^9+'NSSC Model'!K82/(1+$A29)^10+'NSSC Model'!$K$77*(1+D$27)*(1-D$27/'Assumptions'!$E$9)/($A29-D$27)/(1+$A29)^10+'NSSC Model'!B94)/'Inputs'!$D$8</x:f>
        <x:v>37.28631507503715</x:v>
      </x:c>
      <x:c r="E29" s="42" t="n">
        <x:f>('NSSC Model'!B82/(1+$A29)^1+'NSSC Model'!C82/(1+$A29)^2+'NSSC Model'!D82/(1+$A29)^3+'NSSC Model'!E82/(1+$A29)^4+'NSSC Model'!F82/(1+$A29)^5+'NSSC Model'!G82/(1+$A29)^6+'NSSC Model'!H82/(1+$A29)^7+'NSSC Model'!I82/(1+$A29)^8+'NSSC Model'!J82/(1+$A29)^9+'NSSC Model'!K82/(1+$A29)^10+'NSSC Model'!$K$77*(1+E$27)*(1-E$27/'Assumptions'!$E$9)/($A29-E$27)/(1+$A29)^10+'NSSC Model'!B94)/'Inputs'!$D$8</x:f>
        <x:v>38.80443346261186</x:v>
      </x:c>
      <x:c r="F29" s="42" t="n">
        <x:f>('NSSC Model'!B82/(1+$A29)^1+'NSSC Model'!C82/(1+$A29)^2+'NSSC Model'!D82/(1+$A29)^3+'NSSC Model'!E82/(1+$A29)^4+'NSSC Model'!F82/(1+$A29)^5+'NSSC Model'!G82/(1+$A29)^6+'NSSC Model'!H82/(1+$A29)^7+'NSSC Model'!I82/(1+$A29)^8+'NSSC Model'!J82/(1+$A29)^9+'NSSC Model'!K82/(1+$A29)^10+'NSSC Model'!$K$77*(1+F$27)*(1-F$27/'Assumptions'!$E$9)/($A29-F$27)/(1+$A29)^10+'NSSC Model'!B94)/'Inputs'!$D$8</x:f>
        <x:v>40.6218604625172</x:v>
      </x:c>
    </x:row>
    <x:row r="30">
      <x:c r="A30" s="22" t="n">
        <x:v>0.095</x:v>
      </x:c>
      <x:c r="B30" s="42" t="n">
        <x:f>('NSSC Model'!B82/(1+$A30)^1+'NSSC Model'!C82/(1+$A30)^2+'NSSC Model'!D82/(1+$A30)^3+'NSSC Model'!E82/(1+$A30)^4+'NSSC Model'!F82/(1+$A30)^5+'NSSC Model'!G82/(1+$A30)^6+'NSSC Model'!H82/(1+$A30)^7+'NSSC Model'!I82/(1+$A30)^8+'NSSC Model'!J82/(1+$A30)^9+'NSSC Model'!K82/(1+$A30)^10+'NSSC Model'!$K$77*(1+B$27)*(1-B$27/'Assumptions'!$E$9)/($A30-B$27)/(1+$A30)^10+'NSSC Model'!B94)/'Inputs'!$D$8</x:f>
        <x:v>32.63078046431522</x:v>
      </x:c>
      <x:c r="C30" s="42" t="n">
        <x:f>('NSSC Model'!B82/(1+$A30)^1+'NSSC Model'!C82/(1+$A30)^2+'NSSC Model'!D82/(1+$A30)^3+'NSSC Model'!E82/(1+$A30)^4+'NSSC Model'!F82/(1+$A30)^5+'NSSC Model'!G82/(1+$A30)^6+'NSSC Model'!H82/(1+$A30)^7+'NSSC Model'!I82/(1+$A30)^8+'NSSC Model'!J82/(1+$A30)^9+'NSSC Model'!K82/(1+$A30)^10+'NSSC Model'!$K$77*(1+C$27)*(1-C$27/'Assumptions'!$E$9)/($A30-C$27)/(1+$A30)^10+'NSSC Model'!B94)/'Inputs'!$D$8</x:f>
        <x:v>33.53262174229185</x:v>
      </x:c>
      <x:c r="D30" s="42" t="n">
        <x:f>('NSSC Model'!B82/(1+$A30)^1+'NSSC Model'!C82/(1+$A30)^2+'NSSC Model'!D82/(1+$A30)^3+'NSSC Model'!E82/(1+$A30)^4+'NSSC Model'!F82/(1+$A30)^5+'NSSC Model'!G82/(1+$A30)^6+'NSSC Model'!H82/(1+$A30)^7+'NSSC Model'!I82/(1+$A30)^8+'NSSC Model'!J82/(1+$A30)^9+'NSSC Model'!K82/(1+$A30)^10+'NSSC Model'!$K$77*(1+D$27)*(1-D$27/'Assumptions'!$E$9)/($A30-D$27)/(1+$A30)^10+'NSSC Model'!B94)/'Inputs'!$D$8</x:f>
        <x:v>34.57003703995677</x:v>
      </x:c>
      <x:c r="E30" s="42" t="n">
        <x:f>('NSSC Model'!B82/(1+$A30)^1+'NSSC Model'!C82/(1+$A30)^2+'NSSC Model'!D82/(1+$A30)^3+'NSSC Model'!E82/(1+$A30)^4+'NSSC Model'!F82/(1+$A30)^5+'NSSC Model'!G82/(1+$A30)^6+'NSSC Model'!H82/(1+$A30)^7+'NSSC Model'!I82/(1+$A30)^8+'NSSC Model'!J82/(1+$A30)^9+'NSSC Model'!K82/(1+$A30)^10+'NSSC Model'!$K$77*(1+E$27)*(1-E$27/'Assumptions'!$E$9)/($A30-E$27)/(1+$A30)^10+'NSSC Model'!B94)/'Inputs'!$D$8</x:f>
        <x:v>35.77691986223206</x:v>
      </x:c>
      <x:c r="F30" s="42" t="n">
        <x:f>('NSSC Model'!B82/(1+$A30)^1+'NSSC Model'!C82/(1+$A30)^2+'NSSC Model'!D82/(1+$A30)^3+'NSSC Model'!E82/(1+$A30)^4+'NSSC Model'!F82/(1+$A30)^5+'NSSC Model'!G82/(1+$A30)^6+'NSSC Model'!H82/(1+$A30)^7+'NSSC Model'!I82/(1+$A30)^8+'NSSC Model'!J82/(1+$A30)^9+'NSSC Model'!K82/(1+$A30)^10+'NSSC Model'!$K$77*(1+F$27)*(1-F$27/'Assumptions'!$E$9)/($A30-F$27)/(1+$A30)^10+'NSSC Model'!B94)/'Inputs'!$D$8</x:f>
        <x:v>37.19948862492055</x:v>
      </x:c>
    </x:row>
    <x:row r="31">
      <x:c r="A31" s="22" t="n">
        <x:v>0.1</x:v>
      </x:c>
      <x:c r="B31" s="42" t="n">
        <x:f>('NSSC Model'!B82/(1+$A31)^1+'NSSC Model'!C82/(1+$A31)^2+'NSSC Model'!D82/(1+$A31)^3+'NSSC Model'!E82/(1+$A31)^4+'NSSC Model'!F82/(1+$A31)^5+'NSSC Model'!G82/(1+$A31)^6+'NSSC Model'!H82/(1+$A31)^7+'NSSC Model'!I82/(1+$A31)^8+'NSSC Model'!J82/(1+$A31)^9+'NSSC Model'!K82/(1+$A31)^10+'NSSC Model'!$K$77*(1+B$27)*(1-B$27/'Assumptions'!$E$9)/($A31-B$27)/(1+$A31)^10+'NSSC Model'!B94)/'Inputs'!$D$8</x:f>
        <x:v>30.65482189345899</x:v>
      </x:c>
      <x:c r="C31" s="42" t="n">
        <x:f>('NSSC Model'!B82/(1+$A31)^1+'NSSC Model'!C82/(1+$A31)^2+'NSSC Model'!D82/(1+$A31)^3+'NSSC Model'!E82/(1+$A31)^4+'NSSC Model'!F82/(1+$A31)^5+'NSSC Model'!G82/(1+$A31)^6+'NSSC Model'!H82/(1+$A31)^7+'NSSC Model'!I82/(1+$A31)^8+'NSSC Model'!J82/(1+$A31)^9+'NSSC Model'!K82/(1+$A31)^10+'NSSC Model'!$K$77*(1+C$27)*(1-C$27/'Assumptions'!$E$9)/($A31-C$27)/(1+$A31)^10+'NSSC Model'!B94)/'Inputs'!$D$8</x:f>
        <x:v>31.39656356999029</x:v>
      </x:c>
      <x:c r="D31" s="42" t="n">
        <x:f>('NSSC Model'!B82/(1+$A31)^1+'NSSC Model'!C82/(1+$A31)^2+'NSSC Model'!D82/(1+$A31)^3+'NSSC Model'!E82/(1+$A31)^4+'NSSC Model'!F82/(1+$A31)^5+'NSSC Model'!G82/(1+$A31)^6+'NSSC Model'!H82/(1+$A31)^7+'NSSC Model'!I82/(1+$A31)^8+'NSSC Model'!J82/(1+$A31)^9+'NSSC Model'!K82/(1+$A31)^10+'NSSC Model'!$K$77*(1+D$27)*(1-D$27/'Assumptions'!$E$9)/($A31-D$27)/(1+$A31)^10+'NSSC Model'!B94)/'Inputs'!$D$8</x:f>
        <x:v>32.24145516361191</x:v>
      </x:c>
      <x:c r="E31" s="42" t="n">
        <x:f>('NSSC Model'!B82/(1+$A31)^1+'NSSC Model'!C82/(1+$A31)^2+'NSSC Model'!D82/(1+$A31)^3+'NSSC Model'!E82/(1+$A31)^4+'NSSC Model'!F82/(1+$A31)^5+'NSSC Model'!G82/(1+$A31)^6+'NSSC Model'!H82/(1+$A31)^7+'NSSC Model'!I82/(1+$A31)^8+'NSSC Model'!J82/(1+$A31)^9+'NSSC Model'!K82/(1+$A31)^10+'NSSC Model'!$K$77*(1+E$27)*(1-E$27/'Assumptions'!$E$9)/($A31-E$27)/(1+$A31)^10+'NSSC Model'!B94)/'Inputs'!$D$8</x:f>
        <x:v>33.21330050134469</x:v>
      </x:c>
      <x:c r="F31" s="42" t="n">
        <x:f>('NSSC Model'!B82/(1+$A31)^1+'NSSC Model'!C82/(1+$A31)^2+'NSSC Model'!D82/(1+$A31)^3+'NSSC Model'!E82/(1+$A31)^4+'NSSC Model'!F82/(1+$A31)^5+'NSSC Model'!G82/(1+$A31)^6+'NSSC Model'!H82/(1+$A31)^7+'NSSC Model'!I82/(1+$A31)^8+'NSSC Model'!J82/(1+$A31)^9+'NSSC Model'!K82/(1+$A31)^10+'NSSC Model'!$K$77*(1+F$27)*(1-F$27/'Assumptions'!$E$9)/($A31-F$27)/(1+$A31)^10+'NSSC Model'!B94)/'Inputs'!$D$8</x:f>
        <x:v>34.343838019216435</x:v>
      </x:c>
    </x:row>
    <x:row r="32">
      <x:c r="A32" s="22" t="n">
        <x:v>0.105</x:v>
      </x:c>
      <x:c r="B32" s="42" t="n">
        <x:f>('NSSC Model'!B82/(1+$A32)^1+'NSSC Model'!C82/(1+$A32)^2+'NSSC Model'!D82/(1+$A32)^3+'NSSC Model'!E82/(1+$A32)^4+'NSSC Model'!F82/(1+$A32)^5+'NSSC Model'!G82/(1+$A32)^6+'NSSC Model'!H82/(1+$A32)^7+'NSSC Model'!I82/(1+$A32)^8+'NSSC Model'!J82/(1+$A32)^9+'NSSC Model'!K82/(1+$A32)^10+'NSSC Model'!$K$77*(1+B$27)*(1-B$27/'Assumptions'!$E$9)/($A32-B$27)/(1+$A32)^10+'NSSC Model'!B94)/'Inputs'!$D$8</x:f>
        <x:v>28.913296810292152</x:v>
      </x:c>
      <x:c r="C32" s="42" t="n">
        <x:f>('NSSC Model'!B82/(1+$A32)^1+'NSSC Model'!C82/(1+$A32)^2+'NSSC Model'!D82/(1+$A32)^3+'NSSC Model'!E82/(1+$A32)^4+'NSSC Model'!F82/(1+$A32)^5+'NSSC Model'!G82/(1+$A32)^6+'NSSC Model'!H82/(1+$A32)^7+'NSSC Model'!I82/(1+$A32)^8+'NSSC Model'!J82/(1+$A32)^9+'NSSC Model'!K82/(1+$A32)^10+'NSSC Model'!$K$77*(1+C$27)*(1-C$27/'Assumptions'!$E$9)/($A32-C$27)/(1+$A32)^10+'NSSC Model'!B94)/'Inputs'!$D$8</x:f>
        <x:v>29.528447153136995</x:v>
      </x:c>
      <x:c r="D32" s="42" t="n">
        <x:f>('NSSC Model'!B82/(1+$A32)^1+'NSSC Model'!C82/(1+$A32)^2+'NSSC Model'!D82/(1+$A32)^3+'NSSC Model'!E82/(1+$A32)^4+'NSSC Model'!F82/(1+$A32)^5+'NSSC Model'!G82/(1+$A32)^6+'NSSC Model'!H82/(1+$A32)^7+'NSSC Model'!I82/(1+$A32)^8+'NSSC Model'!J82/(1+$A32)^9+'NSSC Model'!K82/(1+$A32)^10+'NSSC Model'!$K$77*(1+D$27)*(1-D$27/'Assumptions'!$E$9)/($A32-D$27)/(1+$A32)^10+'NSSC Model'!B94)/'Inputs'!$D$8</x:f>
        <x:v>30.223108324234826</x:v>
      </x:c>
      <x:c r="E32" s="42" t="n">
        <x:f>('NSSC Model'!B82/(1+$A32)^1+'NSSC Model'!C82/(1+$A32)^2+'NSSC Model'!D82/(1+$A32)^3+'NSSC Model'!E82/(1+$A32)^4+'NSSC Model'!F82/(1+$A32)^5+'NSSC Model'!G82/(1+$A32)^6+'NSSC Model'!H82/(1+$A32)^7+'NSSC Model'!I82/(1+$A32)^8+'NSSC Model'!J82/(1+$A32)^9+'NSSC Model'!K82/(1+$A32)^10+'NSSC Model'!$K$77*(1+E$27)*(1-E$27/'Assumptions'!$E$9)/($A32-E$27)/(1+$A32)^10+'NSSC Model'!B94)/'Inputs'!$D$8</x:f>
        <x:v>31.014318358211273</x:v>
      </x:c>
      <x:c r="F32" s="42" t="n">
        <x:f>('NSSC Model'!B82/(1+$A32)^1+'NSSC Model'!C82/(1+$A32)^2+'NSSC Model'!D82/(1+$A32)^3+'NSSC Model'!E82/(1+$A32)^4+'NSSC Model'!F82/(1+$A32)^5+'NSSC Model'!G82/(1+$A32)^6+'NSSC Model'!H82/(1+$A32)^7+'NSSC Model'!I82/(1+$A32)^8+'NSSC Model'!J82/(1+$A32)^9+'NSSC Model'!K82/(1+$A32)^10+'NSSC Model'!$K$77*(1+F$27)*(1-F$27/'Assumptions'!$E$9)/($A32-F$27)/(1+$A32)^10+'NSSC Model'!B94)/'Inputs'!$D$8</x:f>
        <x:v>31.924357761884497</x:v>
      </x:c>
    </x:row>
    <x:row r="33">
      <x:c r="A33" s="22" t="n">
        <x:v>0.11</x:v>
      </x:c>
      <x:c r="B33" s="42" t="n">
        <x:f>('NSSC Model'!B82/(1+$A33)^1+'NSSC Model'!C82/(1+$A33)^2+'NSSC Model'!D82/(1+$A33)^3+'NSSC Model'!E82/(1+$A33)^4+'NSSC Model'!F82/(1+$A33)^5+'NSSC Model'!G82/(1+$A33)^6+'NSSC Model'!H82/(1+$A33)^7+'NSSC Model'!I82/(1+$A33)^8+'NSSC Model'!J82/(1+$A33)^9+'NSSC Model'!K82/(1+$A33)^10+'NSSC Model'!$K$77*(1+B$27)*(1-B$27/'Assumptions'!$E$9)/($A33-B$27)/(1+$A33)^10+'NSSC Model'!B94)/'Inputs'!$D$8</x:f>
        <x:v>27.367097644180323</x:v>
      </x:c>
      <x:c r="C33" s="42" t="n">
        <x:f>('NSSC Model'!B82/(1+$A33)^1+'NSSC Model'!C82/(1+$A33)^2+'NSSC Model'!D82/(1+$A33)^3+'NSSC Model'!E82/(1+$A33)^4+'NSSC Model'!F82/(1+$A33)^5+'NSSC Model'!G82/(1+$A33)^6+'NSSC Model'!H82/(1+$A33)^7+'NSSC Model'!I82/(1+$A33)^8+'NSSC Model'!J82/(1+$A33)^9+'NSSC Model'!K82/(1+$A33)^10+'NSSC Model'!$K$77*(1+C$27)*(1-C$27/'Assumptions'!$E$9)/($A33-C$27)/(1+$A33)^10+'NSSC Model'!B94)/'Inputs'!$D$8</x:f>
        <x:v>27.881001566251133</x:v>
      </x:c>
      <x:c r="D33" s="42" t="n">
        <x:f>('NSSC Model'!B82/(1+$A33)^1+'NSSC Model'!C82/(1+$A33)^2+'NSSC Model'!D82/(1+$A33)^3+'NSSC Model'!E82/(1+$A33)^4+'NSSC Model'!F82/(1+$A33)^5+'NSSC Model'!G82/(1+$A33)^6+'NSSC Model'!H82/(1+$A33)^7+'NSSC Model'!I82/(1+$A33)^8+'NSSC Model'!J82/(1+$A33)^9+'NSSC Model'!K82/(1+$A33)^10+'NSSC Model'!$K$77*(1+D$27)*(1-D$27/'Assumptions'!$E$9)/($A33-D$27)/(1+$A33)^10+'NSSC Model'!B94)/'Inputs'!$D$8</x:f>
        <x:v>28.456894928475652</x:v>
      </x:c>
      <x:c r="E33" s="42" t="n">
        <x:f>('NSSC Model'!B82/(1+$A33)^1+'NSSC Model'!C82/(1+$A33)^2+'NSSC Model'!D82/(1+$A33)^3+'NSSC Model'!E82/(1+$A33)^4+'NSSC Model'!F82/(1+$A33)^5+'NSSC Model'!G82/(1+$A33)^6+'NSSC Model'!H82/(1+$A33)^7+'NSSC Model'!I82/(1+$A33)^8+'NSSC Model'!J82/(1+$A33)^9+'NSSC Model'!K82/(1+$A33)^10+'NSSC Model'!$K$77*(1+E$27)*(1-E$27/'Assumptions'!$E$9)/($A33-E$27)/(1+$A33)^10+'NSSC Model'!B94)/'Inputs'!$D$8</x:f>
        <x:v>29.10717561888461</x:v>
      </x:c>
      <x:c r="F33" s="42" t="n">
        <x:f>('NSSC Model'!B82/(1+$A33)^1+'NSSC Model'!C82/(1+$A33)^2+'NSSC Model'!D82/(1+$A33)^3+'NSSC Model'!E82/(1+$A33)^4+'NSSC Model'!F82/(1+$A33)^5+'NSSC Model'!G82/(1+$A33)^6+'NSSC Model'!H82/(1+$A33)^7+'NSSC Model'!I82/(1+$A33)^8+'NSSC Model'!J82/(1+$A33)^9+'NSSC Model'!K82/(1+$A33)^10+'NSSC Model'!$K$77*(1+F$27)*(1-F$27/'Assumptions'!$E$9)/($A33-F$27)/(1+$A33)^10+'NSSC Model'!B94)/'Inputs'!$D$8</x:f>
        <x:v>29.84778377923183</x:v>
      </x:c>
    </x:row>
    <x:row r="34">
      <x:c r="A34" s="22" t="n">
        <x:v>0.12</x:v>
      </x:c>
      <x:c r="B34" s="42" t="n">
        <x:f>('NSSC Model'!B82/(1+$A34)^1+'NSSC Model'!C82/(1+$A34)^2+'NSSC Model'!D82/(1+$A34)^3+'NSSC Model'!E82/(1+$A34)^4+'NSSC Model'!F82/(1+$A34)^5+'NSSC Model'!G82/(1+$A34)^6+'NSSC Model'!H82/(1+$A34)^7+'NSSC Model'!I82/(1+$A34)^8+'NSSC Model'!J82/(1+$A34)^9+'NSSC Model'!K82/(1+$A34)^10+'NSSC Model'!$K$77*(1+B$27)*(1-B$27/'Assumptions'!$E$9)/($A34-B$27)/(1+$A34)^10+'NSSC Model'!B94)/'Inputs'!$D$8</x:f>
        <x:v>24.74335539370107</x:v>
      </x:c>
      <x:c r="C34" s="42" t="n">
        <x:f>('NSSC Model'!B82/(1+$A34)^1+'NSSC Model'!C82/(1+$A34)^2+'NSSC Model'!D82/(1+$A34)^3+'NSSC Model'!E82/(1+$A34)^4+'NSSC Model'!F82/(1+$A34)^5+'NSSC Model'!G82/(1+$A34)^6+'NSSC Model'!H82/(1+$A34)^7+'NSSC Model'!I82/(1+$A34)^8+'NSSC Model'!J82/(1+$A34)^9+'NSSC Model'!K82/(1+$A34)^10+'NSSC Model'!$K$77*(1+C$27)*(1-C$27/'Assumptions'!$E$9)/($A34-C$27)/(1+$A34)^10+'NSSC Model'!B94)/'Inputs'!$D$8</x:f>
        <x:v>25.10878753750653</x:v>
      </x:c>
      <x:c r="D34" s="42" t="n">
        <x:f>('NSSC Model'!B82/(1+$A34)^1+'NSSC Model'!C82/(1+$A34)^2+'NSSC Model'!D82/(1+$A34)^3+'NSSC Model'!E82/(1+$A34)^4+'NSSC Model'!F82/(1+$A34)^5+'NSSC Model'!G82/(1+$A34)^6+'NSSC Model'!H82/(1+$A34)^7+'NSSC Model'!I82/(1+$A34)^8+'NSSC Model'!J82/(1+$A34)^9+'NSSC Model'!K82/(1+$A34)^10+'NSSC Model'!$K$77*(1+D$27)*(1-D$27/'Assumptions'!$E$9)/($A34-D$27)/(1+$A34)^10+'NSSC Model'!B94)/'Inputs'!$D$8</x:f>
        <x:v>25.512995995955496</x:v>
      </x:c>
      <x:c r="E34" s="42" t="n">
        <x:f>('NSSC Model'!B82/(1+$A34)^1+'NSSC Model'!C82/(1+$A34)^2+'NSSC Model'!D82/(1+$A34)^3+'NSSC Model'!E82/(1+$A34)^4+'NSSC Model'!F82/(1+$A34)^5+'NSSC Model'!G82/(1+$A34)^6+'NSSC Model'!H82/(1+$A34)^7+'NSSC Model'!I82/(1+$A34)^8+'NSSC Model'!J82/(1+$A34)^9+'NSSC Model'!K82/(1+$A34)^10+'NSSC Model'!$K$77*(1+E$27)*(1-E$27/'Assumptions'!$E$9)/($A34-E$27)/(1+$A34)^10+'NSSC Model'!B94)/'Inputs'!$D$8</x:f>
        <x:v>25.962823648102685</x:v>
      </x:c>
      <x:c r="F34" s="42" t="n">
        <x:f>('NSSC Model'!B82/(1+$A34)^1+'NSSC Model'!C82/(1+$A34)^2+'NSSC Model'!D82/(1+$A34)^3+'NSSC Model'!E82/(1+$A34)^4+'NSSC Model'!F82/(1+$A34)^5+'NSSC Model'!G82/(1+$A34)^6+'NSSC Model'!H82/(1+$A34)^7+'NSSC Model'!I82/(1+$A34)^8+'NSSC Model'!J82/(1+$A34)^9+'NSSC Model'!K82/(1+$A34)^10+'NSSC Model'!$K$77*(1+F$27)*(1-F$27/'Assumptions'!$E$9)/($A34-F$27)/(1+$A34)^10+'NSSC Model'!B94)/'Inputs'!$D$8</x:f>
        <x:v>26.466824092766537</x:v>
      </x:c>
    </x:row>
    <x:row r="37" ht="29" customHeight="1">
      <x:c r="A37" s="27" t="str">
        <x:v>APPF | base cash flows fixed; discount and terminal growth varied</x:v>
      </x:c>
      <x:c r="B37" s="27"/>
      <x:c r="C37" s="27"/>
      <x:c r="D37" s="27"/>
      <x:c r="E37" s="27"/>
      <x:c r="F37" s="27"/>
    </x:row>
    <x:row r="39">
      <x:c r="A39" t="str">
        <x:v>Discount / terminal g</x:v>
      </x:c>
      <x:c r="B39" s="22" t="n">
        <x:v>0.02</x:v>
      </x:c>
      <x:c r="C39" s="22" t="n">
        <x:v>0.025</x:v>
      </x:c>
      <x:c r="D39" s="22" t="n">
        <x:v>0.03</x:v>
      </x:c>
      <x:c r="E39" s="22" t="n">
        <x:v>0.035</x:v>
      </x:c>
      <x:c r="F39" s="22" t="n">
        <x:v>0.04</x:v>
      </x:c>
    </x:row>
    <x:row r="40">
      <x:c r="A40" s="22" t="n">
        <x:v>0.08</x:v>
      </x:c>
      <x:c r="B40" s="42" t="n">
        <x:f>('APPF Model'!B82/(1+$A40)^1+'APPF Model'!C82/(1+$A40)^2+'APPF Model'!D82/(1+$A40)^3+'APPF Model'!E82/(1+$A40)^4+'APPF Model'!F82/(1+$A40)^5+'APPF Model'!G82/(1+$A40)^6+'APPF Model'!H82/(1+$A40)^7+'APPF Model'!I82/(1+$A40)^8+'APPF Model'!J82/(1+$A40)^9+'APPF Model'!K82/(1+$A40)^10+'APPF Model'!$K$77*(1+B$39)*(1-B$39/'Assumptions'!$E$12)/($A40-B$39)/(1+$A40)^10+'APPF Model'!B94)/'Inputs'!$E$8</x:f>
        <x:v>174.95759637842798</x:v>
      </x:c>
      <x:c r="C40" s="42" t="n">
        <x:f>('APPF Model'!B82/(1+$A40)^1+'APPF Model'!C82/(1+$A40)^2+'APPF Model'!D82/(1+$A40)^3+'APPF Model'!E82/(1+$A40)^4+'APPF Model'!F82/(1+$A40)^5+'APPF Model'!G82/(1+$A40)^6+'APPF Model'!H82/(1+$A40)^7+'APPF Model'!I82/(1+$A40)^8+'APPF Model'!J82/(1+$A40)^9+'APPF Model'!K82/(1+$A40)^10+'APPF Model'!$K$77*(1+C$39)*(1-C$39/'Assumptions'!$E$12)/($A40-C$39)/(1+$A40)^10+'APPF Model'!B94)/'Inputs'!$E$8</x:f>
        <x:v>183.36113754938148</x:v>
      </x:c>
      <x:c r="D40" s="42" t="n">
        <x:f>('APPF Model'!B82/(1+$A40)^1+'APPF Model'!C82/(1+$A40)^2+'APPF Model'!D82/(1+$A40)^3+'APPF Model'!E82/(1+$A40)^4+'APPF Model'!F82/(1+$A40)^5+'APPF Model'!G82/(1+$A40)^6+'APPF Model'!H82/(1+$A40)^7+'APPF Model'!I82/(1+$A40)^8+'APPF Model'!J82/(1+$A40)^9+'APPF Model'!K82/(1+$A40)^10+'APPF Model'!$K$77*(1+D$39)*(1-D$39/'Assumptions'!$E$12)/($A40-D$39)/(1+$A40)^10+'APPF Model'!B94)/'Inputs'!$E$8</x:f>
        <x:v>193.426579436137</x:v>
      </x:c>
      <x:c r="E40" s="42" t="n">
        <x:f>('APPF Model'!B82/(1+$A40)^1+'APPF Model'!C82/(1+$A40)^2+'APPF Model'!D82/(1+$A40)^3+'APPF Model'!E82/(1+$A40)^4+'APPF Model'!F82/(1+$A40)^5+'APPF Model'!G82/(1+$A40)^6+'APPF Model'!H82/(1+$A40)^7+'APPF Model'!I82/(1+$A40)^8+'APPF Model'!J82/(1+$A40)^9+'APPF Model'!K82/(1+$A40)^10+'APPF Model'!$K$77*(1+E$39)*(1-E$39/'Assumptions'!$E$12)/($A40-E$39)/(1+$A40)^10+'APPF Model'!B94)/'Inputs'!$E$8</x:f>
        <x:v>205.70788894396182</x:v>
      </x:c>
      <x:c r="F40" s="42" t="n">
        <x:f>('APPF Model'!B82/(1+$A40)^1+'APPF Model'!C82/(1+$A40)^2+'APPF Model'!D82/(1+$A40)^3+'APPF Model'!E82/(1+$A40)^4+'APPF Model'!F82/(1+$A40)^5+'APPF Model'!G82/(1+$A40)^6+'APPF Model'!H82/(1+$A40)^7+'APPF Model'!I82/(1+$A40)^8+'APPF Model'!J82/(1+$A40)^9+'APPF Model'!K82/(1+$A40)^10+'APPF Model'!$K$77*(1+F$39)*(1-F$39/'Assumptions'!$E$12)/($A40-F$39)/(1+$A40)^10+'APPF Model'!B94)/'Inputs'!$E$8</x:f>
        <x:v>221.03601643075694</x:v>
      </x:c>
    </x:row>
    <x:row r="41">
      <x:c r="A41" s="22" t="n">
        <x:v>0.09</x:v>
      </x:c>
      <x:c r="B41" s="42" t="n">
        <x:f>('APPF Model'!B82/(1+$A41)^1+'APPF Model'!C82/(1+$A41)^2+'APPF Model'!D82/(1+$A41)^3+'APPF Model'!E82/(1+$A41)^4+'APPF Model'!F82/(1+$A41)^5+'APPF Model'!G82/(1+$A41)^6+'APPF Model'!H82/(1+$A41)^7+'APPF Model'!I82/(1+$A41)^8+'APPF Model'!J82/(1+$A41)^9+'APPF Model'!K82/(1+$A41)^10+'APPF Model'!$K$77*(1+B$39)*(1-B$39/'Assumptions'!$E$12)/($A41-B$39)/(1+$A41)^10+'APPF Model'!B94)/'Inputs'!$E$8</x:f>
        <x:v>148.62738381195447</x:v>
      </x:c>
      <x:c r="C41" s="42" t="n">
        <x:f>('APPF Model'!B82/(1+$A41)^1+'APPF Model'!C82/(1+$A41)^2+'APPF Model'!D82/(1+$A41)^3+'APPF Model'!E82/(1+$A41)^4+'APPF Model'!F82/(1+$A41)^5+'APPF Model'!G82/(1+$A41)^6+'APPF Model'!H82/(1+$A41)^7+'APPF Model'!I82/(1+$A41)^8+'APPF Model'!J82/(1+$A41)^9+'APPF Model'!K82/(1+$A41)^10+'APPF Model'!$K$77*(1+C$39)*(1-C$39/'Assumptions'!$E$12)/($A41-C$39)/(1+$A41)^10+'APPF Model'!B94)/'Inputs'!$E$8</x:f>
        <x:v>154.05463298478827</x:v>
      </x:c>
      <x:c r="D41" s="42" t="n">
        <x:f>('APPF Model'!B82/(1+$A41)^1+'APPF Model'!C82/(1+$A41)^2+'APPF Model'!D82/(1+$A41)^3+'APPF Model'!E82/(1+$A41)^4+'APPF Model'!F82/(1+$A41)^5+'APPF Model'!G82/(1+$A41)^6+'APPF Model'!H82/(1+$A41)^7+'APPF Model'!I82/(1+$A41)^8+'APPF Model'!J82/(1+$A41)^9+'APPF Model'!K82/(1+$A41)^10+'APPF Model'!$K$77*(1+D$39)*(1-D$39/'Assumptions'!$E$12)/($A41-D$39)/(1+$A41)^10+'APPF Model'!B94)/'Inputs'!$E$8</x:f>
        <x:v>160.37213070515992</x:v>
      </x:c>
      <x:c r="E41" s="42" t="n">
        <x:f>('APPF Model'!B82/(1+$A41)^1+'APPF Model'!C82/(1+$A41)^2+'APPF Model'!D82/(1+$A41)^3+'APPF Model'!E82/(1+$A41)^4+'APPF Model'!F82/(1+$A41)^5+'APPF Model'!G82/(1+$A41)^6+'APPF Model'!H82/(1+$A41)^7+'APPF Model'!I82/(1+$A41)^8+'APPF Model'!J82/(1+$A41)^9+'APPF Model'!K82/(1+$A41)^10+'APPF Model'!$K$77*(1+E$39)*(1-E$39/'Assumptions'!$E$12)/($A41-E$39)/(1+$A41)^10+'APPF Model'!B94)/'Inputs'!$E$8</x:f>
        <x:v>167.8226720314888</x:v>
      </x:c>
      <x:c r="F41" s="42" t="n">
        <x:f>('APPF Model'!B82/(1+$A41)^1+'APPF Model'!C82/(1+$A41)^2+'APPF Model'!D82/(1+$A41)^3+'APPF Model'!E82/(1+$A41)^4+'APPF Model'!F82/(1+$A41)^5+'APPF Model'!G82/(1+$A41)^6+'APPF Model'!H82/(1+$A41)^7+'APPF Model'!I82/(1+$A41)^8+'APPF Model'!J82/(1+$A41)^9+'APPF Model'!K82/(1+$A41)^10+'APPF Model'!$K$77*(1+F$39)*(1-F$39/'Assumptions'!$E$12)/($A41-F$39)/(1+$A41)^10+'APPF Model'!B94)/'Inputs'!$E$8</x:f>
        <x:v>176.74617004556208</x:v>
      </x:c>
    </x:row>
    <x:row r="42">
      <x:c r="A42" s="22" t="n">
        <x:v>0.095</x:v>
      </x:c>
      <x:c r="B42" s="42" t="n">
        <x:f>('APPF Model'!B82/(1+$A42)^1+'APPF Model'!C82/(1+$A42)^2+'APPF Model'!D82/(1+$A42)^3+'APPF Model'!E82/(1+$A42)^4+'APPF Model'!F82/(1+$A42)^5+'APPF Model'!G82/(1+$A42)^6+'APPF Model'!H82/(1+$A42)^7+'APPF Model'!I82/(1+$A42)^8+'APPF Model'!J82/(1+$A42)^9+'APPF Model'!K82/(1+$A42)^10+'APPF Model'!$K$77*(1+B$39)*(1-B$39/'Assumptions'!$E$12)/($A42-B$39)/(1+$A42)^10+'APPF Model'!B94)/'Inputs'!$E$8</x:f>
        <x:v>138.12686365334105</x:v>
      </x:c>
      <x:c r="C42" s="42" t="n">
        <x:f>('APPF Model'!B82/(1+$A42)^1+'APPF Model'!C82/(1+$A42)^2+'APPF Model'!D82/(1+$A42)^3+'APPF Model'!E82/(1+$A42)^4+'APPF Model'!F82/(1+$A42)^5+'APPF Model'!G82/(1+$A42)^6+'APPF Model'!H82/(1+$A42)^7+'APPF Model'!I82/(1+$A42)^8+'APPF Model'!J82/(1+$A42)^9+'APPF Model'!K82/(1+$A42)^10+'APPF Model'!$K$77*(1+C$39)*(1-C$39/'Assumptions'!$E$12)/($A42-C$39)/(1+$A42)^10+'APPF Model'!B94)/'Inputs'!$E$8</x:f>
        <x:v>142.56583830716997</x:v>
      </x:c>
      <x:c r="D42" s="42" t="n">
        <x:f>('APPF Model'!B82/(1+$A42)^1+'APPF Model'!C82/(1+$A42)^2+'APPF Model'!D82/(1+$A42)^3+'APPF Model'!E82/(1+$A42)^4+'APPF Model'!F82/(1+$A42)^5+'APPF Model'!G82/(1+$A42)^6+'APPF Model'!H82/(1+$A42)^7+'APPF Model'!I82/(1+$A42)^8+'APPF Model'!J82/(1+$A42)^9+'APPF Model'!K82/(1+$A42)^10+'APPF Model'!$K$77*(1+D$39)*(1-D$39/'Assumptions'!$E$12)/($A42-D$39)/(1+$A42)^10+'APPF Model'!B94)/'Inputs'!$E$8</x:f>
        <x:v>147.67512883178134</x:v>
      </x:c>
      <x:c r="E42" s="42" t="n">
        <x:f>('APPF Model'!B82/(1+$A42)^1+'APPF Model'!C82/(1+$A42)^2+'APPF Model'!D82/(1+$A42)^3+'APPF Model'!E82/(1+$A42)^4+'APPF Model'!F82/(1+$A42)^5+'APPF Model'!G82/(1+$A42)^6+'APPF Model'!H82/(1+$A42)^7+'APPF Model'!I82/(1+$A42)^8+'APPF Model'!J82/(1+$A42)^9+'APPF Model'!K82/(1+$A42)^10+'APPF Model'!$K$77*(1+E$39)*(1-E$39/'Assumptions'!$E$12)/($A42-E$39)/(1+$A42)^10+'APPF Model'!B94)/'Inputs'!$E$8</x:f>
        <x:v>153.62231419487068</x:v>
      </x:c>
      <x:c r="F42" s="42" t="n">
        <x:f>('APPF Model'!B82/(1+$A42)^1+'APPF Model'!C82/(1+$A42)^2+'APPF Model'!D82/(1+$A42)^3+'APPF Model'!E82/(1+$A42)^4+'APPF Model'!F82/(1+$A42)^5+'APPF Model'!G82/(1+$A42)^6+'APPF Model'!H82/(1+$A42)^7+'APPF Model'!I82/(1+$A42)^8+'APPF Model'!J82/(1+$A42)^9+'APPF Model'!K82/(1+$A42)^10+'APPF Model'!$K$77*(1+F$39)*(1-F$39/'Assumptions'!$E$12)/($A42-F$39)/(1+$A42)^10+'APPF Model'!B94)/'Inputs'!$E$8</x:f>
        <x:v>160.63591117056842</x:v>
      </x:c>
    </x:row>
    <x:row r="43">
      <x:c r="A43" s="22" t="n">
        <x:v>0.1</x:v>
      </x:c>
      <x:c r="B43" s="42" t="n">
        <x:f>('APPF Model'!B82/(1+$A43)^1+'APPF Model'!C82/(1+$A43)^2+'APPF Model'!D82/(1+$A43)^3+'APPF Model'!E82/(1+$A43)^4+'APPF Model'!F82/(1+$A43)^5+'APPF Model'!G82/(1+$A43)^6+'APPF Model'!H82/(1+$A43)^7+'APPF Model'!I82/(1+$A43)^8+'APPF Model'!J82/(1+$A43)^9+'APPF Model'!K82/(1+$A43)^10+'APPF Model'!$K$77*(1+B$39)*(1-B$39/'Assumptions'!$E$12)/($A43-B$39)/(1+$A43)^10+'APPF Model'!B94)/'Inputs'!$E$8</x:f>
        <x:v>128.9579119193106</x:v>
      </x:c>
      <x:c r="C43" s="42" t="n">
        <x:f>('APPF Model'!B82/(1+$A43)^1+'APPF Model'!C82/(1+$A43)^2+'APPF Model'!D82/(1+$A43)^3+'APPF Model'!E82/(1+$A43)^4+'APPF Model'!F82/(1+$A43)^5+'APPF Model'!G82/(1+$A43)^6+'APPF Model'!H82/(1+$A43)^7+'APPF Model'!I82/(1+$A43)^8+'APPF Model'!J82/(1+$A43)^9+'APPF Model'!K82/(1+$A43)^10+'APPF Model'!$K$77*(1+C$39)*(1-C$39/'Assumptions'!$E$12)/($A43-C$39)/(1+$A43)^10+'APPF Model'!B94)/'Inputs'!$E$8</x:f>
        <x:v>132.62369930349786</x:v>
      </x:c>
      <x:c r="D43" s="42" t="n">
        <x:f>('APPF Model'!B82/(1+$A43)^1+'APPF Model'!C82/(1+$A43)^2+'APPF Model'!D82/(1+$A43)^3+'APPF Model'!E82/(1+$A43)^4+'APPF Model'!F82/(1+$A43)^5+'APPF Model'!G82/(1+$A43)^6+'APPF Model'!H82/(1+$A43)^7+'APPF Model'!I82/(1+$A43)^8+'APPF Model'!J82/(1+$A43)^9+'APPF Model'!K82/(1+$A43)^10+'APPF Model'!$K$77*(1+D$39)*(1-D$39/'Assumptions'!$E$12)/($A43-D$39)/(1+$A43)^10+'APPF Model'!B94)/'Inputs'!$E$8</x:f>
        <x:v>136.8019887368216</x:v>
      </x:c>
      <x:c r="E43" s="42" t="n">
        <x:f>('APPF Model'!B82/(1+$A43)^1+'APPF Model'!C82/(1+$A43)^2+'APPF Model'!D82/(1+$A43)^3+'APPF Model'!E82/(1+$A43)^4+'APPF Model'!F82/(1+$A43)^5+'APPF Model'!G82/(1+$A43)^6+'APPF Model'!H82/(1+$A43)^7+'APPF Model'!I82/(1+$A43)^8+'APPF Model'!J82/(1+$A43)^9+'APPF Model'!K82/(1+$A43)^10+'APPF Model'!$K$77*(1+E$39)*(1-E$39/'Assumptions'!$E$12)/($A43-E$39)/(1+$A43)^10+'APPF Model'!B94)/'Inputs'!$E$8</x:f>
        <x:v>141.61104992292877</x:v>
      </x:c>
      <x:c r="F43" s="42" t="n">
        <x:f>('APPF Model'!B82/(1+$A43)^1+'APPF Model'!C82/(1+$A43)^2+'APPF Model'!D82/(1+$A43)^3+'APPF Model'!E82/(1+$A43)^4+'APPF Model'!F82/(1+$A43)^5+'APPF Model'!G82/(1+$A43)^6+'APPF Model'!H82/(1+$A43)^7+'APPF Model'!I82/(1+$A43)^8+'APPF Model'!J82/(1+$A43)^9+'APPF Model'!K82/(1+$A43)^10+'APPF Model'!$K$77*(1+F$39)*(1-F$39/'Assumptions'!$E$12)/($A43-F$39)/(1+$A43)^10+'APPF Model'!B94)/'Inputs'!$E$8</x:f>
        <x:v>147.2085758000151</x:v>
      </x:c>
    </x:row>
    <x:row r="44">
      <x:c r="A44" s="22" t="n">
        <x:v>0.105</x:v>
      </x:c>
      <x:c r="B44" s="42" t="n">
        <x:f>('APPF Model'!B82/(1+$A44)^1+'APPF Model'!C82/(1+$A44)^2+'APPF Model'!D82/(1+$A44)^3+'APPF Model'!E82/(1+$A44)^4+'APPF Model'!F82/(1+$A44)^5+'APPF Model'!G82/(1+$A44)^6+'APPF Model'!H82/(1+$A44)^7+'APPF Model'!I82/(1+$A44)^8+'APPF Model'!J82/(1+$A44)^9+'APPF Model'!K82/(1+$A44)^10+'APPF Model'!$K$77*(1+B$39)*(1-B$39/'Assumptions'!$E$12)/($A44-B$39)/(1+$A44)^10+'APPF Model'!B94)/'Inputs'!$E$8</x:f>
        <x:v>120.88505375373246</x:v>
      </x:c>
      <x:c r="C44" s="42" t="n">
        <x:f>('APPF Model'!B82/(1+$A44)^1+'APPF Model'!C82/(1+$A44)^2+'APPF Model'!D82/(1+$A44)^3+'APPF Model'!E82/(1+$A44)^4+'APPF Model'!F82/(1+$A44)^5+'APPF Model'!G82/(1+$A44)^6+'APPF Model'!H82/(1+$A44)^7+'APPF Model'!I82/(1+$A44)^8+'APPF Model'!J82/(1+$A44)^9+'APPF Model'!K82/(1+$A44)^10+'APPF Model'!$K$77*(1+C$39)*(1-C$39/'Assumptions'!$E$12)/($A44-C$39)/(1+$A44)^10+'APPF Model'!B94)/'Inputs'!$E$8</x:f>
        <x:v>123.93793191882355</x:v>
      </x:c>
      <x:c r="D44" s="42" t="n">
        <x:f>('APPF Model'!B82/(1+$A44)^1+'APPF Model'!C82/(1+$A44)^2+'APPF Model'!D82/(1+$A44)^3+'APPF Model'!E82/(1+$A44)^4+'APPF Model'!F82/(1+$A44)^5+'APPF Model'!G82/(1+$A44)^6+'APPF Model'!H82/(1+$A44)^7+'APPF Model'!I82/(1+$A44)^8+'APPF Model'!J82/(1+$A44)^9+'APPF Model'!K82/(1+$A44)^10+'APPF Model'!$K$77*(1+D$39)*(1-D$39/'Assumptions'!$E$12)/($A44-D$39)/(1+$A44)^10+'APPF Model'!B94)/'Inputs'!$E$8</x:f>
        <x:v>127.38788683555588</x:v>
      </x:c>
      <x:c r="E44" s="42" t="n">
        <x:f>('APPF Model'!B82/(1+$A44)^1+'APPF Model'!C82/(1+$A44)^2+'APPF Model'!D82/(1+$A44)^3+'APPF Model'!E82/(1+$A44)^4+'APPF Model'!F82/(1+$A44)^5+'APPF Model'!G82/(1+$A44)^6+'APPF Model'!H82/(1+$A44)^7+'APPF Model'!I82/(1+$A44)^8+'APPF Model'!J82/(1+$A44)^9+'APPF Model'!K82/(1+$A44)^10+'APPF Model'!$K$77*(1+E$39)*(1-E$39/'Assumptions'!$E$12)/($A44-E$39)/(1+$A44)^10+'APPF Model'!B94)/'Inputs'!$E$8</x:f>
        <x:v>131.32000637928115</x:v>
      </x:c>
      <x:c r="F44" s="42" t="n">
        <x:f>('APPF Model'!B82/(1+$A44)^1+'APPF Model'!C82/(1+$A44)^2+'APPF Model'!D82/(1+$A44)^3+'APPF Model'!E82/(1+$A44)^4+'APPF Model'!F82/(1+$A44)^5+'APPF Model'!G82/(1+$A44)^6+'APPF Model'!H82/(1+$A44)^7+'APPF Model'!I82/(1+$A44)^8+'APPF Model'!J82/(1+$A44)^9+'APPF Model'!K82/(1+$A44)^10+'APPF Model'!$K$77*(1+F$39)*(1-F$39/'Assumptions'!$E$12)/($A44-F$39)/(1+$A44)^10+'APPF Model'!B94)/'Inputs'!$E$8</x:f>
        <x:v>135.8455593100747</x:v>
      </x:c>
    </x:row>
    <x:row r="45">
      <x:c r="A45" s="22" t="n">
        <x:v>0.11</x:v>
      </x:c>
      <x:c r="B45" s="42" t="n">
        <x:f>('APPF Model'!B82/(1+$A45)^1+'APPF Model'!C82/(1+$A45)^2+'APPF Model'!D82/(1+$A45)^3+'APPF Model'!E82/(1+$A45)^4+'APPF Model'!F82/(1+$A45)^5+'APPF Model'!G82/(1+$A45)^6+'APPF Model'!H82/(1+$A45)^7+'APPF Model'!I82/(1+$A45)^8+'APPF Model'!J82/(1+$A45)^9+'APPF Model'!K82/(1+$A45)^10+'APPF Model'!$K$77*(1+B$39)*(1-B$39/'Assumptions'!$E$12)/($A45-B$39)/(1+$A45)^10+'APPF Model'!B94)/'Inputs'!$E$8</x:f>
        <x:v>113.72515612993912</x:v>
      </x:c>
      <x:c r="C45" s="42" t="n">
        <x:f>('APPF Model'!B82/(1+$A45)^1+'APPF Model'!C82/(1+$A45)^2+'APPF Model'!D82/(1+$A45)^3+'APPF Model'!E82/(1+$A45)^4+'APPF Model'!F82/(1+$A45)^5+'APPF Model'!G82/(1+$A45)^6+'APPF Model'!H82/(1+$A45)^7+'APPF Model'!I82/(1+$A45)^8+'APPF Model'!J82/(1+$A45)^9+'APPF Model'!K82/(1+$A45)^10+'APPF Model'!$K$77*(1+C$39)*(1-C$39/'Assumptions'!$E$12)/($A45-C$39)/(1+$A45)^10+'APPF Model'!B94)/'Inputs'!$E$8</x:f>
        <x:v>116.28655750131055</x:v>
      </x:c>
      <x:c r="D45" s="42" t="n">
        <x:f>('APPF Model'!B82/(1+$A45)^1+'APPF Model'!C82/(1+$A45)^2+'APPF Model'!D82/(1+$A45)^3+'APPF Model'!E82/(1+$A45)^4+'APPF Model'!F82/(1+$A45)^5+'APPF Model'!G82/(1+$A45)^6+'APPF Model'!H82/(1+$A45)^7+'APPF Model'!I82/(1+$A45)^8+'APPF Model'!J82/(1+$A45)^9+'APPF Model'!K82/(1+$A45)^10+'APPF Model'!$K$77*(1+D$39)*(1-D$39/'Assumptions'!$E$12)/($A45-D$39)/(1+$A45)^10+'APPF Model'!B94)/'Inputs'!$E$8</x:f>
        <x:v>119.15919647774187</x:v>
      </x:c>
      <x:c r="E45" s="42" t="n">
        <x:f>('APPF Model'!B82/(1+$A45)^1+'APPF Model'!C82/(1+$A45)^2+'APPF Model'!D82/(1+$A45)^3+'APPF Model'!E82/(1+$A45)^4+'APPF Model'!F82/(1+$A45)^5+'APPF Model'!G82/(1+$A45)^6+'APPF Model'!H82/(1+$A45)^7+'APPF Model'!I82/(1+$A45)^8+'APPF Model'!J82/(1+$A45)^9+'APPF Model'!K82/(1+$A45)^10+'APPF Model'!$K$77*(1+E$39)*(1-E$39/'Assumptions'!$E$12)/($A45-E$39)/(1+$A45)^10+'APPF Model'!B94)/'Inputs'!$E$8</x:f>
        <x:v>122.40532058024509</x:v>
      </x:c>
      <x:c r="F45" s="42" t="n">
        <x:f>('APPF Model'!B82/(1+$A45)^1+'APPF Model'!C82/(1+$A45)^2+'APPF Model'!D82/(1+$A45)^3+'APPF Model'!E82/(1+$A45)^4+'APPF Model'!F82/(1+$A45)^5+'APPF Model'!G82/(1+$A45)^6+'APPF Model'!H82/(1+$A45)^7+'APPF Model'!I82/(1+$A45)^8+'APPF Model'!J82/(1+$A45)^9+'APPF Model'!K82/(1+$A45)^10+'APPF Model'!$K$77*(1+F$39)*(1-F$39/'Assumptions'!$E$12)/($A45-F$39)/(1+$A45)^10+'APPF Model'!B94)/'Inputs'!$E$8</x:f>
        <x:v>126.10496233583558</x:v>
      </x:c>
    </x:row>
    <x:row r="46">
      <x:c r="A46" s="22" t="n">
        <x:v>0.12</x:v>
      </x:c>
      <x:c r="B46" s="42" t="n">
        <x:f>('APPF Model'!B82/(1+$A46)^1+'APPF Model'!C82/(1+$A46)^2+'APPF Model'!D82/(1+$A46)^3+'APPF Model'!E82/(1+$A46)^4+'APPF Model'!F82/(1+$A46)^5+'APPF Model'!G82/(1+$A46)^6+'APPF Model'!H82/(1+$A46)^7+'APPF Model'!I82/(1+$A46)^8+'APPF Model'!J82/(1+$A46)^9+'APPF Model'!K82/(1+$A46)^10+'APPF Model'!$K$77*(1+B$39)*(1-B$39/'Assumptions'!$E$12)/($A46-B$39)/(1+$A46)^10+'APPF Model'!B94)/'Inputs'!$E$8</x:f>
        <x:v>101.59490456409225</x:v>
      </x:c>
      <x:c r="C46" s="42" t="n">
        <x:f>('APPF Model'!B82/(1+$A46)^1+'APPF Model'!C82/(1+$A46)^2+'APPF Model'!D82/(1+$A46)^3+'APPF Model'!E82/(1+$A46)^4+'APPF Model'!F82/(1+$A46)^5+'APPF Model'!G82/(1+$A46)^6+'APPF Model'!H82/(1+$A46)^7+'APPF Model'!I82/(1+$A46)^8+'APPF Model'!J82/(1+$A46)^9+'APPF Model'!K82/(1+$A46)^10+'APPF Model'!$K$77*(1+C$39)*(1-C$39/'Assumptions'!$E$12)/($A46-C$39)/(1+$A46)^10+'APPF Model'!B94)/'Inputs'!$E$8</x:f>
        <x:v>103.43275053420612</x:v>
      </x:c>
      <x:c r="D46" s="42" t="n">
        <x:f>('APPF Model'!B82/(1+$A46)^1+'APPF Model'!C82/(1+$A46)^2+'APPF Model'!D82/(1+$A46)^3+'APPF Model'!E82/(1+$A46)^4+'APPF Model'!F82/(1+$A46)^5+'APPF Model'!G82/(1+$A46)^6+'APPF Model'!H82/(1+$A46)^7+'APPF Model'!I82/(1+$A46)^8+'APPF Model'!J82/(1+$A46)^9+'APPF Model'!K82/(1+$A46)^10+'APPF Model'!$K$77*(1+D$39)*(1-D$39/'Assumptions'!$E$12)/($A46-D$39)/(1+$A46)^10+'APPF Model'!B94)/'Inputs'!$E$8</x:f>
        <x:v>105.46753860752783</x:v>
      </x:c>
      <x:c r="E46" s="42" t="n">
        <x:f>('APPF Model'!B82/(1+$A46)^1+'APPF Model'!C82/(1+$A46)^2+'APPF Model'!D82/(1+$A46)^3+'APPF Model'!E82/(1+$A46)^4+'APPF Model'!F82/(1+$A46)^5+'APPF Model'!G82/(1+$A46)^6+'APPF Model'!H82/(1+$A46)^7+'APPF Model'!I82/(1+$A46)^8+'APPF Model'!J82/(1+$A46)^9+'APPF Model'!K82/(1+$A46)^10+'APPF Model'!$K$77*(1+E$39)*(1-E$39/'Assumptions'!$E$12)/($A46-E$39)/(1+$A46)^10+'APPF Model'!B94)/'Inputs'!$E$8</x:f>
        <x:v>107.73402327285876</x:v>
      </x:c>
      <x:c r="F46" s="42" t="n">
        <x:f>('APPF Model'!B82/(1+$A46)^1+'APPF Model'!C82/(1+$A46)^2+'APPF Model'!D82/(1+$A46)^3+'APPF Model'!E82/(1+$A46)^4+'APPF Model'!F82/(1+$A46)^5+'APPF Model'!G82/(1+$A46)^6+'APPF Model'!H82/(1+$A46)^7+'APPF Model'!I82/(1+$A46)^8+'APPF Model'!J82/(1+$A46)^9+'APPF Model'!K82/(1+$A46)^10+'APPF Model'!$K$77*(1+F$39)*(1-F$39/'Assumptions'!$E$12)/($A46-F$39)/(1+$A46)^10+'APPF Model'!B94)/'Inputs'!$E$8</x:f>
        <x:v>110.27564764120064</x:v>
      </x:c>
    </x:row>
    <x:row r="49" ht="29" customHeight="1">
      <x:c r="A49" s="27" t="str">
        <x:v>MOD | base cash flows fixed; discount and terminal growth varied</x:v>
      </x:c>
      <x:c r="B49" s="27"/>
      <x:c r="C49" s="27"/>
      <x:c r="D49" s="27"/>
      <x:c r="E49" s="27"/>
      <x:c r="F49" s="27"/>
    </x:row>
    <x:row r="51">
      <x:c r="A51" t="str">
        <x:v>Discount / terminal g</x:v>
      </x:c>
      <x:c r="B51" s="22" t="n">
        <x:v>0.02</x:v>
      </x:c>
      <x:c r="C51" s="22" t="n">
        <x:v>0.025</x:v>
      </x:c>
      <x:c r="D51" s="22" t="n">
        <x:v>0.03</x:v>
      </x:c>
      <x:c r="E51" s="22" t="n">
        <x:v>0.035</x:v>
      </x:c>
      <x:c r="F51" s="22" t="n">
        <x:v>0.04</x:v>
      </x:c>
    </x:row>
    <x:row r="52">
      <x:c r="A52" s="22" t="n">
        <x:v>0.08</x:v>
      </x:c>
      <x:c r="B52" s="42" t="n">
        <x:f>('MOD Model'!B82/(1+$A52)^1+'MOD Model'!C82/(1+$A52)^2+'MOD Model'!D82/(1+$A52)^3+'MOD Model'!E82/(1+$A52)^4+'MOD Model'!F82/(1+$A52)^5+'MOD Model'!G82/(1+$A52)^6+'MOD Model'!H82/(1+$A52)^7+'MOD Model'!I82/(1+$A52)^8+'MOD Model'!J82/(1+$A52)^9+'MOD Model'!K82/(1+$A52)^10+'MOD Model'!$K$77*(1+B$51)*(1-B$51/'Assumptions'!$E$15)/($A52-B$51)/(1+$A52)^10+'MOD Model'!B94)/'Inputs'!$F$8</x:f>
        <x:v>215.79905525451778</x:v>
      </x:c>
      <x:c r="C52" s="42" t="n">
        <x:f>('MOD Model'!B82/(1+$A52)^1+'MOD Model'!C82/(1+$A52)^2+'MOD Model'!D82/(1+$A52)^3+'MOD Model'!E82/(1+$A52)^4+'MOD Model'!F82/(1+$A52)^5+'MOD Model'!G82/(1+$A52)^6+'MOD Model'!H82/(1+$A52)^7+'MOD Model'!I82/(1+$A52)^8+'MOD Model'!J82/(1+$A52)^9+'MOD Model'!K82/(1+$A52)^10+'MOD Model'!$K$77*(1+C$51)*(1-C$51/'Assumptions'!$E$15)/($A52-C$51)/(1+$A52)^10+'MOD Model'!B94)/'Inputs'!$F$8</x:f>
        <x:v>225.49979945787058</x:v>
      </x:c>
      <x:c r="D52" s="42" t="n">
        <x:f>('MOD Model'!B82/(1+$A52)^1+'MOD Model'!C82/(1+$A52)^2+'MOD Model'!D82/(1+$A52)^3+'MOD Model'!E82/(1+$A52)^4+'MOD Model'!F82/(1+$A52)^5+'MOD Model'!G82/(1+$A52)^6+'MOD Model'!H82/(1+$A52)^7+'MOD Model'!I82/(1+$A52)^8+'MOD Model'!J82/(1+$A52)^9+'MOD Model'!K82/(1+$A52)^10+'MOD Model'!$K$77*(1+D$51)*(1-D$51/'Assumptions'!$E$15)/($A52-D$51)/(1+$A52)^10+'MOD Model'!B94)/'Inputs'!$F$8</x:f>
        <x:v>237.09925242956893</x:v>
      </x:c>
      <x:c r="E52" s="42" t="n">
        <x:f>('MOD Model'!B82/(1+$A52)^1+'MOD Model'!C82/(1+$A52)^2+'MOD Model'!D82/(1+$A52)^3+'MOD Model'!E82/(1+$A52)^4+'MOD Model'!F82/(1+$A52)^5+'MOD Model'!G82/(1+$A52)^6+'MOD Model'!H82/(1+$A52)^7+'MOD Model'!I82/(1+$A52)^8+'MOD Model'!J82/(1+$A52)^9+'MOD Model'!K82/(1+$A52)^10+'MOD Model'!$K$77*(1+E$51)*(1-E$51/'Assumptions'!$E$15)/($A52-E$51)/(1+$A52)^10+'MOD Model'!B94)/'Inputs'!$F$8</x:f>
        <x:v>251.2303170923947</x:v>
      </x:c>
      <x:c r="F52" s="42" t="n">
        <x:f>('MOD Model'!B82/(1+$A52)^1+'MOD Model'!C82/(1+$A52)^2+'MOD Model'!D82/(1+$A52)^3+'MOD Model'!E82/(1+$A52)^4+'MOD Model'!F82/(1+$A52)^5+'MOD Model'!G82/(1+$A52)^6+'MOD Model'!H82/(1+$A52)^7+'MOD Model'!I82/(1+$A52)^8+'MOD Model'!J82/(1+$A52)^9+'MOD Model'!K82/(1+$A52)^10+'MOD Model'!$K$77*(1+F$51)*(1-F$51/'Assumptions'!$E$15)/($A52-F$51)/(1+$A52)^10+'MOD Model'!B94)/'Inputs'!$F$8</x:f>
        <x:v>268.84234783052074</x:v>
      </x:c>
    </x:row>
    <x:row r="53">
      <x:c r="A53" s="22" t="n">
        <x:v>0.09</x:v>
      </x:c>
      <x:c r="B53" s="42" t="n">
        <x:f>('MOD Model'!B82/(1+$A53)^1+'MOD Model'!C82/(1+$A53)^2+'MOD Model'!D82/(1+$A53)^3+'MOD Model'!E82/(1+$A53)^4+'MOD Model'!F82/(1+$A53)^5+'MOD Model'!G82/(1+$A53)^6+'MOD Model'!H82/(1+$A53)^7+'MOD Model'!I82/(1+$A53)^8+'MOD Model'!J82/(1+$A53)^9+'MOD Model'!K82/(1+$A53)^10+'MOD Model'!$K$77*(1+B$51)*(1-B$51/'Assumptions'!$E$15)/($A53-B$51)/(1+$A53)^10+'MOD Model'!B94)/'Inputs'!$F$8</x:f>
        <x:v>181.40698309132097</x:v>
      </x:c>
      <x:c r="C53" s="42" t="n">
        <x:f>('MOD Model'!B82/(1+$A53)^1+'MOD Model'!C82/(1+$A53)^2+'MOD Model'!D82/(1+$A53)^3+'MOD Model'!E82/(1+$A53)^4+'MOD Model'!F82/(1+$A53)^5+'MOD Model'!G82/(1+$A53)^6+'MOD Model'!H82/(1+$A53)^7+'MOD Model'!I82/(1+$A53)^8+'MOD Model'!J82/(1+$A53)^9+'MOD Model'!K82/(1+$A53)^10+'MOD Model'!$K$77*(1+C$51)*(1-C$51/'Assumptions'!$E$15)/($A53-C$51)/(1+$A53)^10+'MOD Model'!B94)/'Inputs'!$F$8</x:f>
        <x:v>187.48060233739076</x:v>
      </x:c>
      <x:c r="D53" s="42" t="n">
        <x:f>('MOD Model'!B82/(1+$A53)^1+'MOD Model'!C82/(1+$A53)^2+'MOD Model'!D82/(1+$A53)^3+'MOD Model'!E82/(1+$A53)^4+'MOD Model'!F82/(1+$A53)^5+'MOD Model'!G82/(1+$A53)^6+'MOD Model'!H82/(1+$A53)^7+'MOD Model'!I82/(1+$A53)^8+'MOD Model'!J82/(1+$A53)^9+'MOD Model'!K82/(1+$A53)^10+'MOD Model'!$K$77*(1+D$51)*(1-D$51/'Assumptions'!$E$15)/($A53-D$51)/(1+$A53)^10+'MOD Model'!B94)/'Inputs'!$F$8</x:f>
        <x:v>194.5349986172704</x:v>
      </x:c>
      <x:c r="E53" s="42" t="n">
        <x:f>('MOD Model'!B82/(1+$A53)^1+'MOD Model'!C82/(1+$A53)^2+'MOD Model'!D82/(1+$A53)^3+'MOD Model'!E82/(1+$A53)^4+'MOD Model'!F82/(1+$A53)^5+'MOD Model'!G82/(1+$A53)^6+'MOD Model'!H82/(1+$A53)^7+'MOD Model'!I82/(1+$A53)^8+'MOD Model'!J82/(1+$A53)^9+'MOD Model'!K82/(1+$A53)^10+'MOD Model'!$K$77*(1+E$51)*(1-E$51/'Assumptions'!$E$15)/($A53-E$51)/(1+$A53)^10+'MOD Model'!B94)/'Inputs'!$F$8</x:f>
        <x:v>202.83765657654422</x:v>
      </x:c>
      <x:c r="F53" s="42" t="n">
        <x:f>('MOD Model'!B82/(1+$A53)^1+'MOD Model'!C82/(1+$A53)^2+'MOD Model'!D82/(1+$A53)^3+'MOD Model'!E82/(1+$A53)^4+'MOD Model'!F82/(1+$A53)^5+'MOD Model'!G82/(1+$A53)^6+'MOD Model'!H82/(1+$A53)^7+'MOD Model'!I82/(1+$A53)^8+'MOD Model'!J82/(1+$A53)^9+'MOD Model'!K82/(1+$A53)^10+'MOD Model'!$K$77*(1+F$51)*(1-F$51/'Assumptions'!$E$15)/($A53-F$51)/(1+$A53)^10+'MOD Model'!B94)/'Inputs'!$F$8</x:f>
        <x:v>212.76305471903072</x:v>
      </x:c>
    </x:row>
    <x:row r="54">
      <x:c r="A54" s="22" t="n">
        <x:v>0.095</x:v>
      </x:c>
      <x:c r="B54" s="42" t="n">
        <x:f>('MOD Model'!B82/(1+$A54)^1+'MOD Model'!C82/(1+$A54)^2+'MOD Model'!D82/(1+$A54)^3+'MOD Model'!E82/(1+$A54)^4+'MOD Model'!F82/(1+$A54)^5+'MOD Model'!G82/(1+$A54)^6+'MOD Model'!H82/(1+$A54)^7+'MOD Model'!I82/(1+$A54)^8+'MOD Model'!J82/(1+$A54)^9+'MOD Model'!K82/(1+$A54)^10+'MOD Model'!$K$77*(1+B$51)*(1-B$51/'Assumptions'!$E$15)/($A54-B$51)/(1+$A54)^10+'MOD Model'!B94)/'Inputs'!$F$8</x:f>
        <x:v>167.7518847793473</x:v>
      </x:c>
      <x:c r="C54" s="42" t="n">
        <x:f>('MOD Model'!B82/(1+$A54)^1+'MOD Model'!C82/(1+$A54)^2+'MOD Model'!D82/(1+$A54)^3+'MOD Model'!E82/(1+$A54)^4+'MOD Model'!F82/(1+$A54)^5+'MOD Model'!G82/(1+$A54)^6+'MOD Model'!H82/(1+$A54)^7+'MOD Model'!I82/(1+$A54)^8+'MOD Model'!J82/(1+$A54)^9+'MOD Model'!K82/(1+$A54)^10+'MOD Model'!$K$77*(1+C$51)*(1-C$51/'Assumptions'!$E$15)/($A54-C$51)/(1+$A54)^10+'MOD Model'!B94)/'Inputs'!$F$8</x:f>
        <x:v>172.63838639210354</x:v>
      </x:c>
      <x:c r="D54" s="42" t="n">
        <x:f>('MOD Model'!B82/(1+$A54)^1+'MOD Model'!C82/(1+$A54)^2+'MOD Model'!D82/(1+$A54)^3+'MOD Model'!E82/(1+$A54)^4+'MOD Model'!F82/(1+$A54)^5+'MOD Model'!G82/(1+$A54)^6+'MOD Model'!H82/(1+$A54)^7+'MOD Model'!I82/(1+$A54)^8+'MOD Model'!J82/(1+$A54)^9+'MOD Model'!K82/(1+$A54)^10+'MOD Model'!$K$77*(1+D$51)*(1-D$51/'Assumptions'!$E$15)/($A54-D$51)/(1+$A54)^10+'MOD Model'!B94)/'Inputs'!$F$8</x:f>
        <x:v>178.24888763492115</x:v>
      </x:c>
      <x:c r="E54" s="42" t="n">
        <x:f>('MOD Model'!B82/(1+$A54)^1+'MOD Model'!C82/(1+$A54)^2+'MOD Model'!D82/(1+$A54)^3+'MOD Model'!E82/(1+$A54)^4+'MOD Model'!F82/(1+$A54)^5+'MOD Model'!G82/(1+$A54)^6+'MOD Model'!H82/(1+$A54)^7+'MOD Model'!I82/(1+$A54)^8+'MOD Model'!J82/(1+$A54)^9+'MOD Model'!K82/(1+$A54)^10+'MOD Model'!$K$77*(1+E$51)*(1-E$51/'Assumptions'!$E$15)/($A54-E$51)/(1+$A54)^10+'MOD Model'!B94)/'Inputs'!$F$8</x:f>
        <x:v>184.76438841531538</x:v>
      </x:c>
      <x:c r="F54" s="42" t="n">
        <x:f>('MOD Model'!B82/(1+$A54)^1+'MOD Model'!C82/(1+$A54)^2+'MOD Model'!D82/(1+$A54)^3+'MOD Model'!E82/(1+$A54)^4+'MOD Model'!F82/(1+$A54)^5+'MOD Model'!G82/(1+$A54)^6+'MOD Model'!H82/(1+$A54)^7+'MOD Model'!I82/(1+$A54)^8+'MOD Model'!J82/(1+$A54)^9+'MOD Model'!K82/(1+$A54)^10+'MOD Model'!$K$77*(1+F$51)*(1-F$51/'Assumptions'!$E$15)/($A54-F$51)/(1+$A54)^10+'MOD Model'!B94)/'Inputs'!$F$8</x:f>
        <x:v>192.43170678898895</x:v>
      </x:c>
    </x:row>
    <x:row r="55">
      <x:c r="A55" s="22" t="n">
        <x:v>0.1</x:v>
      </x:c>
      <x:c r="B55" s="42" t="n">
        <x:f>('MOD Model'!B82/(1+$A55)^1+'MOD Model'!C82/(1+$A55)^2+'MOD Model'!D82/(1+$A55)^3+'MOD Model'!E82/(1+$A55)^4+'MOD Model'!F82/(1+$A55)^5+'MOD Model'!G82/(1+$A55)^6+'MOD Model'!H82/(1+$A55)^7+'MOD Model'!I82/(1+$A55)^8+'MOD Model'!J82/(1+$A55)^9+'MOD Model'!K82/(1+$A55)^10+'MOD Model'!$K$77*(1+B$51)*(1-B$51/'Assumptions'!$E$15)/($A55-B$51)/(1+$A55)^10+'MOD Model'!B94)/'Inputs'!$F$8</x:f>
        <x:v>155.86400448440273</x:v>
      </x:c>
      <x:c r="C55" s="42" t="n">
        <x:f>('MOD Model'!B82/(1+$A55)^1+'MOD Model'!C82/(1+$A55)^2+'MOD Model'!D82/(1+$A55)^3+'MOD Model'!E82/(1+$A55)^4+'MOD Model'!F82/(1+$A55)^5+'MOD Model'!G82/(1+$A55)^6+'MOD Model'!H82/(1+$A55)^7+'MOD Model'!I82/(1+$A55)^8+'MOD Model'!J82/(1+$A55)^9+'MOD Model'!K82/(1+$A55)^10+'MOD Model'!$K$77*(1+C$51)*(1-C$51/'Assumptions'!$E$15)/($A55-C$51)/(1+$A55)^10+'MOD Model'!B94)/'Inputs'!$F$8</x:f>
        <x:v>159.8307016726794</x:v>
      </x:c>
      <x:c r="D55" s="42" t="n">
        <x:f>('MOD Model'!B82/(1+$A55)^1+'MOD Model'!C82/(1+$A55)^2+'MOD Model'!D82/(1+$A55)^3+'MOD Model'!E82/(1+$A55)^4+'MOD Model'!F82/(1+$A55)^5+'MOD Model'!G82/(1+$A55)^6+'MOD Model'!H82/(1+$A55)^7+'MOD Model'!I82/(1+$A55)^8+'MOD Model'!J82/(1+$A55)^9+'MOD Model'!K82/(1+$A55)^10+'MOD Model'!$K$77*(1+D$51)*(1-D$51/'Assumptions'!$E$15)/($A55-D$51)/(1+$A55)^10+'MOD Model'!B94)/'Inputs'!$F$8</x:f>
        <x:v>164.33943201711813</x:v>
      </x:c>
      <x:c r="E55" s="42" t="n">
        <x:f>('MOD Model'!B82/(1+$A55)^1+'MOD Model'!C82/(1+$A55)^2+'MOD Model'!D82/(1+$A55)^3+'MOD Model'!E82/(1+$A55)^4+'MOD Model'!F82/(1+$A55)^5+'MOD Model'!G82/(1+$A55)^6+'MOD Model'!H82/(1+$A55)^7+'MOD Model'!I82/(1+$A55)^8+'MOD Model'!J82/(1+$A55)^9+'MOD Model'!K82/(1+$A55)^10+'MOD Model'!$K$77*(1+E$51)*(1-E$51/'Assumptions'!$E$15)/($A55-E$51)/(1+$A55)^10+'MOD Model'!B94)/'Inputs'!$F$8</x:f>
        <x:v>169.5152800922178</x:v>
      </x:c>
      <x:c r="F55" s="42" t="n">
        <x:f>('MOD Model'!B82/(1+$A55)^1+'MOD Model'!C82/(1+$A55)^2+'MOD Model'!D82/(1+$A55)^3+'MOD Model'!E82/(1+$A55)^4+'MOD Model'!F82/(1+$A55)^5+'MOD Model'!G82/(1+$A55)^6+'MOD Model'!H82/(1+$A55)^7+'MOD Model'!I82/(1+$A55)^8+'MOD Model'!J82/(1+$A55)^9+'MOD Model'!K82/(1+$A55)^10+'MOD Model'!$K$77*(1+F$51)*(1-F$51/'Assumptions'!$E$15)/($A55-F$51)/(1+$A55)^10+'MOD Model'!B94)/'Inputs'!$F$8</x:f>
        <x:v>175.52502533064373</x:v>
      </x:c>
    </x:row>
    <x:row r="56">
      <x:c r="A56" s="22" t="n">
        <x:v>0.105</x:v>
      </x:c>
      <x:c r="B56" s="42" t="n">
        <x:f>('MOD Model'!B82/(1+$A56)^1+'MOD Model'!C82/(1+$A56)^2+'MOD Model'!D82/(1+$A56)^3+'MOD Model'!E82/(1+$A56)^4+'MOD Model'!F82/(1+$A56)^5+'MOD Model'!G82/(1+$A56)^6+'MOD Model'!H82/(1+$A56)^7+'MOD Model'!I82/(1+$A56)^8+'MOD Model'!J82/(1+$A56)^9+'MOD Model'!K82/(1+$A56)^10+'MOD Model'!$K$77*(1+B$51)*(1-B$51/'Assumptions'!$E$15)/($A56-B$51)/(1+$A56)^10+'MOD Model'!B94)/'Inputs'!$F$8</x:f>
        <x:v>145.4293176050641</x:v>
      </x:c>
      <x:c r="C56" s="42" t="n">
        <x:f>('MOD Model'!B82/(1+$A56)^1+'MOD Model'!C82/(1+$A56)^2+'MOD Model'!D82/(1+$A56)^3+'MOD Model'!E82/(1+$A56)^4+'MOD Model'!F82/(1+$A56)^5+'MOD Model'!G82/(1+$A56)^6+'MOD Model'!H82/(1+$A56)^7+'MOD Model'!I82/(1+$A56)^8+'MOD Model'!J82/(1+$A56)^9+'MOD Model'!K82/(1+$A56)^10+'MOD Model'!$K$77*(1+C$51)*(1-C$51/'Assumptions'!$E$15)/($A56-C$51)/(1+$A56)^10+'MOD Model'!B94)/'Inputs'!$F$8</x:f>
        <x:v>148.67417679066315</x:v>
      </x:c>
      <x:c r="D56" s="42" t="n">
        <x:f>('MOD Model'!B82/(1+$A56)^1+'MOD Model'!C82/(1+$A56)^2+'MOD Model'!D82/(1+$A56)^3+'MOD Model'!E82/(1+$A56)^4+'MOD Model'!F82/(1+$A56)^5+'MOD Model'!G82/(1+$A56)^6+'MOD Model'!H82/(1+$A56)^7+'MOD Model'!I82/(1+$A56)^8+'MOD Model'!J82/(1+$A56)^9+'MOD Model'!K82/(1+$A56)^10+'MOD Model'!$K$77*(1+D$51)*(1-D$51/'Assumptions'!$E$15)/($A56-D$51)/(1+$A56)^10+'MOD Model'!B94)/'Inputs'!$F$8</x:f>
        <x:v>152.3297081017624</x:v>
      </x:c>
      <x:c r="E56" s="42" t="n">
        <x:f>('MOD Model'!B82/(1+$A56)^1+'MOD Model'!C82/(1+$A56)^2+'MOD Model'!D82/(1+$A56)^3+'MOD Model'!E82/(1+$A56)^4+'MOD Model'!F82/(1+$A56)^5+'MOD Model'!G82/(1+$A56)^6+'MOD Model'!H82/(1+$A56)^7+'MOD Model'!I82/(1+$A56)^8+'MOD Model'!J82/(1+$A56)^9+'MOD Model'!K82/(1+$A56)^10+'MOD Model'!$K$77*(1+E$51)*(1-E$51/'Assumptions'!$E$15)/($A56-E$51)/(1+$A56)^10+'MOD Model'!B94)/'Inputs'!$F$8</x:f>
        <x:v>156.48391270811175</x:v>
      </x:c>
      <x:c r="F56" s="42" t="n">
        <x:f>('MOD Model'!B82/(1+$A56)^1+'MOD Model'!C82/(1+$A56)^2+'MOD Model'!D82/(1+$A56)^3+'MOD Model'!E82/(1+$A56)^4+'MOD Model'!F82/(1+$A56)^5+'MOD Model'!G82/(1+$A56)^6+'MOD Model'!H82/(1+$A56)^7+'MOD Model'!I82/(1+$A56)^8+'MOD Model'!J82/(1+$A56)^9+'MOD Model'!K82/(1+$A56)^10+'MOD Model'!$K$77*(1+F$51)*(1-F$51/'Assumptions'!$E$15)/($A56-F$51)/(1+$A56)^10+'MOD Model'!B94)/'Inputs'!$F$8</x:f>
        <x:v>161.2518690624614</x:v>
      </x:c>
    </x:row>
    <x:row r="57">
      <x:c r="A57" s="22" t="n">
        <x:v>0.11</x:v>
      </x:c>
      <x:c r="B57" s="42" t="n">
        <x:f>('MOD Model'!B82/(1+$A57)^1+'MOD Model'!C82/(1+$A57)^2+'MOD Model'!D82/(1+$A57)^3+'MOD Model'!E82/(1+$A57)^4+'MOD Model'!F82/(1+$A57)^5+'MOD Model'!G82/(1+$A57)^6+'MOD Model'!H82/(1+$A57)^7+'MOD Model'!I82/(1+$A57)^8+'MOD Model'!J82/(1+$A57)^9+'MOD Model'!K82/(1+$A57)^10+'MOD Model'!$K$77*(1+B$51)*(1-B$51/'Assumptions'!$E$15)/($A57-B$51)/(1+$A57)^10+'MOD Model'!B94)/'Inputs'!$F$8</x:f>
        <x:v>136.20367631016822</x:v>
      </x:c>
      <x:c r="C57" s="42" t="n">
        <x:f>('MOD Model'!B82/(1+$A57)^1+'MOD Model'!C82/(1+$A57)^2+'MOD Model'!D82/(1+$A57)^3+'MOD Model'!E82/(1+$A57)^4+'MOD Model'!F82/(1+$A57)^5+'MOD Model'!G82/(1+$A57)^6+'MOD Model'!H82/(1+$A57)^7+'MOD Model'!I82/(1+$A57)^8+'MOD Model'!J82/(1+$A57)^9+'MOD Model'!K82/(1+$A57)^10+'MOD Model'!$K$77*(1+C$51)*(1-C$51/'Assumptions'!$E$15)/($A57-C$51)/(1+$A57)^10+'MOD Model'!B94)/'Inputs'!$F$8</x:f>
        <x:v>138.87572401474029</x:v>
      </x:c>
      <x:c r="D57" s="42" t="n">
        <x:f>('MOD Model'!B82/(1+$A57)^1+'MOD Model'!C82/(1+$A57)^2+'MOD Model'!D82/(1+$A57)^3+'MOD Model'!E82/(1+$A57)^4+'MOD Model'!F82/(1+$A57)^5+'MOD Model'!G82/(1+$A57)^6+'MOD Model'!H82/(1+$A57)^7+'MOD Model'!I82/(1+$A57)^8+'MOD Model'!J82/(1+$A57)^9+'MOD Model'!K82/(1+$A57)^10+'MOD Model'!$K$77*(1+D$51)*(1-D$51/'Assumptions'!$E$15)/($A57-D$51)/(1+$A57)^10+'MOD Model'!B94)/'Inputs'!$F$8</x:f>
        <x:v>141.8620848452548</x:v>
      </x:c>
      <x:c r="E57" s="42" t="n">
        <x:f>('MOD Model'!B82/(1+$A57)^1+'MOD Model'!C82/(1+$A57)^2+'MOD Model'!D82/(1+$A57)^3+'MOD Model'!E82/(1+$A57)^4+'MOD Model'!F82/(1+$A57)^5+'MOD Model'!G82/(1+$A57)^6+'MOD Model'!H82/(1+$A57)^7+'MOD Model'!I82/(1+$A57)^8+'MOD Model'!J82/(1+$A57)^9+'MOD Model'!K82/(1+$A57)^10+'MOD Model'!$K$77*(1+E$51)*(1-E$51/'Assumptions'!$E$15)/($A57-E$51)/(1+$A57)^10+'MOD Model'!B94)/'Inputs'!$F$8</x:f>
        <x:v>145.22562142690018</x:v>
      </x:c>
      <x:c r="F57" s="42" t="n">
        <x:f>('MOD Model'!B82/(1+$A57)^1+'MOD Model'!C82/(1+$A57)^2+'MOD Model'!D82/(1+$A57)^3+'MOD Model'!E82/(1+$A57)^4+'MOD Model'!F82/(1+$A57)^5+'MOD Model'!G82/(1+$A57)^6+'MOD Model'!H82/(1+$A57)^7+'MOD Model'!I82/(1+$A57)^8+'MOD Model'!J82/(1+$A57)^9+'MOD Model'!K82/(1+$A57)^10+'MOD Model'!$K$77*(1+F$51)*(1-F$51/'Assumptions'!$E$15)/($A57-F$51)/(1+$A57)^10+'MOD Model'!B94)/'Inputs'!$F$8</x:f>
        <x:v>149.04715713491885</x:v>
      </x:c>
    </x:row>
    <x:row r="58">
      <x:c r="A58" s="22" t="n">
        <x:v>0.12</x:v>
      </x:c>
      <x:c r="B58" s="42" t="n">
        <x:f>('MOD Model'!B82/(1+$A58)^1+'MOD Model'!C82/(1+$A58)^2+'MOD Model'!D82/(1+$A58)^3+'MOD Model'!E82/(1+$A58)^4+'MOD Model'!F82/(1+$A58)^5+'MOD Model'!G82/(1+$A58)^6+'MOD Model'!H82/(1+$A58)^7+'MOD Model'!I82/(1+$A58)^8+'MOD Model'!J82/(1+$A58)^9+'MOD Model'!K82/(1+$A58)^10+'MOD Model'!$K$77*(1+B$51)*(1-B$51/'Assumptions'!$E$15)/($A58-B$51)/(1+$A58)^10+'MOD Model'!B94)/'Inputs'!$F$8</x:f>
        <x:v>120.64748165498801</x:v>
      </x:c>
      <x:c r="C58" s="42" t="n">
        <x:f>('MOD Model'!B82/(1+$A58)^1+'MOD Model'!C82/(1+$A58)^2+'MOD Model'!D82/(1+$A58)^3+'MOD Model'!E82/(1+$A58)^4+'MOD Model'!F82/(1+$A58)^5+'MOD Model'!G82/(1+$A58)^6+'MOD Model'!H82/(1+$A58)^7+'MOD Model'!I82/(1+$A58)^8+'MOD Model'!J82/(1+$A58)^9+'MOD Model'!K82/(1+$A58)^10+'MOD Model'!$K$77*(1+C$51)*(1-C$51/'Assumptions'!$E$15)/($A58-C$51)/(1+$A58)^10+'MOD Model'!B94)/'Inputs'!$F$8</x:f>
        <x:v>122.48952781853333</x:v>
      </x:c>
      <x:c r="D58" s="42" t="n">
        <x:f>('MOD Model'!B82/(1+$A58)^1+'MOD Model'!C82/(1+$A58)^2+'MOD Model'!D82/(1+$A58)^3+'MOD Model'!E82/(1+$A58)^4+'MOD Model'!F82/(1+$A58)^5+'MOD Model'!G82/(1+$A58)^6+'MOD Model'!H82/(1+$A58)^7+'MOD Model'!I82/(1+$A58)^8+'MOD Model'!J82/(1+$A58)^9+'MOD Model'!K82/(1+$A58)^10+'MOD Model'!$K$77*(1+D$51)*(1-D$51/'Assumptions'!$E$15)/($A58-D$51)/(1+$A58)^10+'MOD Model'!B94)/'Inputs'!$F$8</x:f>
        <x:v>124.52024263348886</x:v>
      </x:c>
      <x:c r="E58" s="42" t="n">
        <x:f>('MOD Model'!B82/(1+$A58)^1+'MOD Model'!C82/(1+$A58)^2+'MOD Model'!D82/(1+$A58)^3+'MOD Model'!E82/(1+$A58)^4+'MOD Model'!F82/(1+$A58)^5+'MOD Model'!G82/(1+$A58)^6+'MOD Model'!H82/(1+$A58)^7+'MOD Model'!I82/(1+$A58)^8+'MOD Model'!J82/(1+$A58)^9+'MOD Model'!K82/(1+$A58)^10+'MOD Model'!$K$77*(1+E$51)*(1-E$51/'Assumptions'!$E$15)/($A58-E$51)/(1+$A58)^10+'MOD Model'!B94)/'Inputs'!$F$8</x:f>
        <x:v>126.77292056775052</x:v>
      </x:c>
      <x:c r="F58" s="42" t="n">
        <x:f>('MOD Model'!B82/(1+$A58)^1+'MOD Model'!C82/(1+$A58)^2+'MOD Model'!D82/(1+$A58)^3+'MOD Model'!E82/(1+$A58)^4+'MOD Model'!F82/(1+$A58)^5+'MOD Model'!G82/(1+$A58)^6+'MOD Model'!H82/(1+$A58)^7+'MOD Model'!I82/(1+$A58)^8+'MOD Model'!J82/(1+$A58)^9+'MOD Model'!K82/(1+$A58)^10+'MOD Model'!$K$77*(1+F$51)*(1-F$51/'Assumptions'!$E$15)/($A58-F$51)/(1+$A58)^10+'MOD Model'!B94)/'Inputs'!$F$8</x:f>
        <x:v>129.28917970618826</x:v>
      </x:c>
    </x:row>
    <x:row r="61" ht="29" customHeight="1">
      <x:c r="A61" s="27" t="str">
        <x:v>POWL | base cash flows fixed; discount and terminal growth varied</x:v>
      </x:c>
      <x:c r="B61" s="27"/>
      <x:c r="C61" s="27"/>
      <x:c r="D61" s="27"/>
      <x:c r="E61" s="27"/>
      <x:c r="F61" s="27"/>
    </x:row>
    <x:row r="63">
      <x:c r="A63" t="str">
        <x:v>Discount / terminal g</x:v>
      </x:c>
      <x:c r="B63" s="22" t="n">
        <x:v>0.02</x:v>
      </x:c>
      <x:c r="C63" s="22" t="n">
        <x:v>0.025</x:v>
      </x:c>
      <x:c r="D63" s="22" t="n">
        <x:v>0.03</x:v>
      </x:c>
      <x:c r="E63" s="22" t="n">
        <x:v>0.035</x:v>
      </x:c>
      <x:c r="F63" s="22" t="n">
        <x:v>0.04</x:v>
      </x:c>
    </x:row>
    <x:row r="64">
      <x:c r="A64" s="22" t="n">
        <x:v>0.08</x:v>
      </x:c>
      <x:c r="B64" s="42" t="n">
        <x:f>('POWL Model'!B82/(1+$A64)^1+'POWL Model'!C82/(1+$A64)^2+'POWL Model'!D82/(1+$A64)^3+'POWL Model'!E82/(1+$A64)^4+'POWL Model'!F82/(1+$A64)^5+'POWL Model'!G82/(1+$A64)^6+'POWL Model'!H82/(1+$A64)^7+'POWL Model'!I82/(1+$A64)^8+'POWL Model'!J82/(1+$A64)^9+'POWL Model'!K82/(1+$A64)^10+'POWL Model'!$K$77*(1+B$63)*(1-B$63/'Assumptions'!$E$18)/($A64-B$63)/(1+$A64)^10+'POWL Model'!B94)/'Inputs'!$G$8</x:f>
        <x:v>155.57362216899205</x:v>
      </x:c>
      <x:c r="C64" s="42" t="n">
        <x:f>('POWL Model'!B82/(1+$A64)^1+'POWL Model'!C82/(1+$A64)^2+'POWL Model'!D82/(1+$A64)^3+'POWL Model'!E82/(1+$A64)^4+'POWL Model'!F82/(1+$A64)^5+'POWL Model'!G82/(1+$A64)^6+'POWL Model'!H82/(1+$A64)^7+'POWL Model'!I82/(1+$A64)^8+'POWL Model'!J82/(1+$A64)^9+'POWL Model'!K82/(1+$A64)^10+'POWL Model'!$K$77*(1+C$63)*(1-C$63/'Assumptions'!$E$18)/($A64-C$63)/(1+$A64)^10+'POWL Model'!B94)/'Inputs'!$G$8</x:f>
        <x:v>162.2719316819021</x:v>
      </x:c>
      <x:c r="D64" s="42" t="n">
        <x:f>('POWL Model'!B82/(1+$A64)^1+'POWL Model'!C82/(1+$A64)^2+'POWL Model'!D82/(1+$A64)^3+'POWL Model'!E82/(1+$A64)^4+'POWL Model'!F82/(1+$A64)^5+'POWL Model'!G82/(1+$A64)^6+'POWL Model'!H82/(1+$A64)^7+'POWL Model'!I82/(1+$A64)^8+'POWL Model'!J82/(1+$A64)^9+'POWL Model'!K82/(1+$A64)^10+'POWL Model'!$K$77*(1+D$63)*(1-D$63/'Assumptions'!$E$18)/($A64-D$63)/(1+$A64)^10+'POWL Model'!B94)/'Inputs'!$G$8</x:f>
        <x:v>170.2862493559361</x:v>
      </x:c>
      <x:c r="E64" s="42" t="n">
        <x:f>('POWL Model'!B82/(1+$A64)^1+'POWL Model'!C82/(1+$A64)^2+'POWL Model'!D82/(1+$A64)^3+'POWL Model'!E82/(1+$A64)^4+'POWL Model'!F82/(1+$A64)^5+'POWL Model'!G82/(1+$A64)^6+'POWL Model'!H82/(1+$A64)^7+'POWL Model'!I82/(1+$A64)^8+'POWL Model'!J82/(1+$A64)^9+'POWL Model'!K82/(1+$A64)^10+'POWL Model'!$K$77*(1+E$63)*(1-E$63/'Assumptions'!$E$18)/($A64-E$63)/(1+$A64)^10+'POWL Model'!B94)/'Inputs'!$G$8</x:f>
        <x:v>180.05524457813524</x:v>
      </x:c>
      <x:c r="F64" s="42" t="n">
        <x:f>('POWL Model'!B82/(1+$A64)^1+'POWL Model'!C82/(1+$A64)^2+'POWL Model'!D82/(1+$A64)^3+'POWL Model'!E82/(1+$A64)^4+'POWL Model'!F82/(1+$A64)^5+'POWL Model'!G82/(1+$A64)^6+'POWL Model'!H82/(1+$A64)^7+'POWL Model'!I82/(1+$A64)^8+'POWL Model'!J82/(1+$A64)^9+'POWL Model'!K82/(1+$A64)^10+'POWL Model'!$K$77*(1+F$63)*(1-F$63/'Assumptions'!$E$18)/($A64-F$63)/(1+$A64)^10+'POWL Model'!B94)/'Inputs'!$G$8</x:f>
        <x:v>192.2369214290616</x:v>
      </x:c>
    </x:row>
    <x:row r="65">
      <x:c r="A65" s="22" t="n">
        <x:v>0.09</x:v>
      </x:c>
      <x:c r="B65" s="42" t="n">
        <x:f>('POWL Model'!B82/(1+$A65)^1+'POWL Model'!C82/(1+$A65)^2+'POWL Model'!D82/(1+$A65)^3+'POWL Model'!E82/(1+$A65)^4+'POWL Model'!F82/(1+$A65)^5+'POWL Model'!G82/(1+$A65)^6+'POWL Model'!H82/(1+$A65)^7+'POWL Model'!I82/(1+$A65)^8+'POWL Model'!J82/(1+$A65)^9+'POWL Model'!K82/(1+$A65)^10+'POWL Model'!$K$77*(1+B$63)*(1-B$63/'Assumptions'!$E$18)/($A65-B$63)/(1+$A65)^10+'POWL Model'!B94)/'Inputs'!$G$8</x:f>
        <x:v>132.57048762414917</x:v>
      </x:c>
      <x:c r="C65" s="42" t="n">
        <x:f>('POWL Model'!B82/(1+$A65)^1+'POWL Model'!C82/(1+$A65)^2+'POWL Model'!D82/(1+$A65)^3+'POWL Model'!E82/(1+$A65)^4+'POWL Model'!F82/(1+$A65)^5+'POWL Model'!G82/(1+$A65)^6+'POWL Model'!H82/(1+$A65)^7+'POWL Model'!I82/(1+$A65)^8+'POWL Model'!J82/(1+$A65)^9+'POWL Model'!K82/(1+$A65)^10+'POWL Model'!$K$77*(1+C$63)*(1-C$63/'Assumptions'!$E$18)/($A65-C$63)/(1+$A65)^10+'POWL Model'!B94)/'Inputs'!$G$8</x:f>
        <x:v>136.81241014100837</x:v>
      </x:c>
      <x:c r="D65" s="42" t="n">
        <x:f>('POWL Model'!B82/(1+$A65)^1+'POWL Model'!C82/(1+$A65)^2+'POWL Model'!D82/(1+$A65)^3+'POWL Model'!E82/(1+$A65)^4+'POWL Model'!F82/(1+$A65)^5+'POWL Model'!G82/(1+$A65)^6+'POWL Model'!H82/(1+$A65)^7+'POWL Model'!I82/(1+$A65)^8+'POWL Model'!J82/(1+$A65)^9+'POWL Model'!K82/(1+$A65)^10+'POWL Model'!$K$77*(1+D$63)*(1-D$63/'Assumptions'!$E$18)/($A65-D$63)/(1+$A65)^10+'POWL Model'!B94)/'Inputs'!$G$8</x:f>
        <x:v>141.74334382201047</x:v>
      </x:c>
      <x:c r="E65" s="42" t="n">
        <x:f>('POWL Model'!B82/(1+$A65)^1+'POWL Model'!C82/(1+$A65)^2+'POWL Model'!D82/(1+$A65)^3+'POWL Model'!E82/(1+$A65)^4+'POWL Model'!F82/(1+$A65)^5+'POWL Model'!G82/(1+$A65)^6+'POWL Model'!H82/(1+$A65)^7+'POWL Model'!I82/(1+$A65)^8+'POWL Model'!J82/(1+$A65)^9+'POWL Model'!K82/(1+$A65)^10+'POWL Model'!$K$77*(1+E$63)*(1-E$63/'Assumptions'!$E$18)/($A65-E$63)/(1+$A65)^10+'POWL Model'!B94)/'Inputs'!$G$8</x:f>
        <x:v>147.55120080283086</x:v>
      </x:c>
      <x:c r="F65" s="42" t="n">
        <x:f>('POWL Model'!B82/(1+$A65)^1+'POWL Model'!C82/(1+$A65)^2+'POWL Model'!D82/(1+$A65)^3+'POWL Model'!E82/(1+$A65)^4+'POWL Model'!F82/(1+$A65)^5+'POWL Model'!G82/(1+$A65)^6+'POWL Model'!H82/(1+$A65)^7+'POWL Model'!I82/(1+$A65)^8+'POWL Model'!J82/(1+$A65)^9+'POWL Model'!K82/(1+$A65)^10+'POWL Model'!$K$77*(1+F$63)*(1-F$63/'Assumptions'!$E$18)/($A65-F$63)/(1+$A65)^10+'POWL Model'!B94)/'Inputs'!$G$8</x:f>
        <x:v>154.49905807341494</x:v>
      </x:c>
    </x:row>
    <x:row r="66">
      <x:c r="A66" s="22" t="n">
        <x:v>0.095</x:v>
      </x:c>
      <x:c r="B66" s="42" t="n">
        <x:f>('POWL Model'!B82/(1+$A66)^1+'POWL Model'!C82/(1+$A66)^2+'POWL Model'!D82/(1+$A66)^3+'POWL Model'!E82/(1+$A66)^4+'POWL Model'!F82/(1+$A66)^5+'POWL Model'!G82/(1+$A66)^6+'POWL Model'!H82/(1+$A66)^7+'POWL Model'!I82/(1+$A66)^8+'POWL Model'!J82/(1+$A66)^9+'POWL Model'!K82/(1+$A66)^10+'POWL Model'!$K$77*(1+B$63)*(1-B$63/'Assumptions'!$E$18)/($A66-B$63)/(1+$A66)^10+'POWL Model'!B94)/'Inputs'!$G$8</x:f>
        <x:v>123.40162747138898</x:v>
      </x:c>
      <x:c r="C66" s="42" t="n">
        <x:f>('POWL Model'!B82/(1+$A66)^1+'POWL Model'!C82/(1+$A66)^2+'POWL Model'!D82/(1+$A66)^3+'POWL Model'!E82/(1+$A66)^4+'POWL Model'!F82/(1+$A66)^5+'POWL Model'!G82/(1+$A66)^6+'POWL Model'!H82/(1+$A66)^7+'POWL Model'!I82/(1+$A66)^8+'POWL Model'!J82/(1+$A66)^9+'POWL Model'!K82/(1+$A66)^10+'POWL Model'!$K$77*(1+C$63)*(1-C$63/'Assumptions'!$E$18)/($A66-C$63)/(1+$A66)^10+'POWL Model'!B94)/'Inputs'!$G$8</x:f>
        <x:v>126.83549005658253</x:v>
      </x:c>
      <x:c r="D66" s="42" t="n">
        <x:f>('POWL Model'!B82/(1+$A66)^1+'POWL Model'!C82/(1+$A66)^2+'POWL Model'!D82/(1+$A66)^3+'POWL Model'!E82/(1+$A66)^4+'POWL Model'!F82/(1+$A66)^5+'POWL Model'!G82/(1+$A66)^6+'POWL Model'!H82/(1+$A66)^7+'POWL Model'!I82/(1+$A66)^8+'POWL Model'!J82/(1+$A66)^9+'POWL Model'!K82/(1+$A66)^10+'POWL Model'!$K$77*(1+D$63)*(1-D$63/'Assumptions'!$E$18)/($A66-D$63)/(1+$A66)^10+'POWL Model'!B94)/'Inputs'!$G$8</x:f>
        <x:v>130.7817883323886</x:v>
      </x:c>
      <x:c r="E66" s="42" t="n">
        <x:f>('POWL Model'!B82/(1+$A66)^1+'POWL Model'!C82/(1+$A66)^2+'POWL Model'!D82/(1+$A66)^3+'POWL Model'!E82/(1+$A66)^4+'POWL Model'!F82/(1+$A66)^5+'POWL Model'!G82/(1+$A66)^6+'POWL Model'!H82/(1+$A66)^7+'POWL Model'!I82/(1+$A66)^8+'POWL Model'!J82/(1+$A66)^9+'POWL Model'!K82/(1+$A66)^10+'POWL Model'!$K$77*(1+E$63)*(1-E$63/'Assumptions'!$E$18)/($A66-E$63)/(1+$A66)^10+'POWL Model'!B94)/'Inputs'!$G$8</x:f>
        <x:v>135.36863122146028</x:v>
      </x:c>
      <x:c r="F66" s="42" t="n">
        <x:f>('POWL Model'!B82/(1+$A66)^1+'POWL Model'!C82/(1+$A66)^2+'POWL Model'!D82/(1+$A66)^3+'POWL Model'!E82/(1+$A66)^4+'POWL Model'!F82/(1+$A66)^5+'POWL Model'!G82/(1+$A66)^6+'POWL Model'!H82/(1+$A66)^7+'POWL Model'!I82/(1+$A66)^8+'POWL Model'!J82/(1+$A66)^9+'POWL Model'!K82/(1+$A66)^10+'POWL Model'!$K$77*(1+F$63)*(1-F$63/'Assumptions'!$E$18)/($A66-F$63)/(1+$A66)^10+'POWL Model'!B94)/'Inputs'!$G$8</x:f>
        <x:v>140.77071270923366</x:v>
      </x:c>
    </x:row>
    <x:row r="67">
      <x:c r="A67" s="22" t="n">
        <x:v>0.1</x:v>
      </x:c>
      <x:c r="B67" s="42" t="n">
        <x:f>('POWL Model'!B82/(1+$A67)^1+'POWL Model'!C82/(1+$A67)^2+'POWL Model'!D82/(1+$A67)^3+'POWL Model'!E82/(1+$A67)^4+'POWL Model'!F82/(1+$A67)^5+'POWL Model'!G82/(1+$A67)^6+'POWL Model'!H82/(1+$A67)^7+'POWL Model'!I82/(1+$A67)^8+'POWL Model'!J82/(1+$A67)^9+'POWL Model'!K82/(1+$A67)^10+'POWL Model'!$K$77*(1+B$63)*(1-B$63/'Assumptions'!$E$18)/($A67-B$63)/(1+$A67)^10+'POWL Model'!B94)/'Inputs'!$G$8</x:f>
        <x:v>115.39812165004213</x:v>
      </x:c>
      <x:c r="C67" s="42" t="n">
        <x:f>('POWL Model'!B82/(1+$A67)^1+'POWL Model'!C82/(1+$A67)^2+'POWL Model'!D82/(1+$A67)^3+'POWL Model'!E82/(1+$A67)^4+'POWL Model'!F82/(1+$A67)^5+'POWL Model'!G82/(1+$A67)^6+'POWL Model'!H82/(1+$A67)^7+'POWL Model'!I82/(1+$A67)^8+'POWL Model'!J82/(1+$A67)^9+'POWL Model'!K82/(1+$A67)^10+'POWL Model'!$K$77*(1+C$63)*(1-C$63/'Assumptions'!$E$18)/($A67-C$63)/(1+$A67)^10+'POWL Model'!B94)/'Inputs'!$G$8</x:f>
        <x:v>118.20371945554415</x:v>
      </x:c>
      <x:c r="D67" s="42" t="n">
        <x:f>('POWL Model'!B82/(1+$A67)^1+'POWL Model'!C82/(1+$A67)^2+'POWL Model'!D82/(1+$A67)^3+'POWL Model'!E82/(1+$A67)^4+'POWL Model'!F82/(1+$A67)^5+'POWL Model'!G82/(1+$A67)^6+'POWL Model'!H82/(1+$A67)^7+'POWL Model'!I82/(1+$A67)^8+'POWL Model'!J82/(1+$A67)^9+'POWL Model'!K82/(1+$A67)^10+'POWL Model'!$K$77*(1+D$63)*(1-D$63/'Assumptions'!$E$18)/($A67-D$63)/(1+$A67)^10+'POWL Model'!B94)/'Inputs'!$G$8</x:f>
        <x:v>121.3960538006517</x:v>
      </x:c>
      <x:c r="E67" s="42" t="n">
        <x:f>('POWL Model'!B82/(1+$A67)^1+'POWL Model'!C82/(1+$A67)^2+'POWL Model'!D82/(1+$A67)^3+'POWL Model'!E82/(1+$A67)^4+'POWL Model'!F82/(1+$A67)^5+'POWL Model'!G82/(1+$A67)^6+'POWL Model'!H82/(1+$A67)^7+'POWL Model'!I82/(1+$A67)^8+'POWL Model'!J82/(1+$A67)^9+'POWL Model'!K82/(1+$A67)^10+'POWL Model'!$K$77*(1+E$63)*(1-E$63/'Assumptions'!$E$18)/($A67-E$63)/(1+$A67)^10+'POWL Model'!B94)/'Inputs'!$G$8</x:f>
        <x:v>125.06437157911992</x:v>
      </x:c>
      <x:c r="F67" s="42" t="n">
        <x:f>('POWL Model'!B82/(1+$A67)^1+'POWL Model'!C82/(1+$A67)^2+'POWL Model'!D82/(1+$A67)^3+'POWL Model'!E82/(1+$A67)^4+'POWL Model'!F82/(1+$A67)^5+'POWL Model'!G82/(1+$A67)^6+'POWL Model'!H82/(1+$A67)^7+'POWL Model'!I82/(1+$A67)^8+'POWL Model'!J82/(1+$A67)^9+'POWL Model'!K82/(1+$A67)^10+'POWL Model'!$K$77*(1+F$63)*(1-F$63/'Assumptions'!$E$18)/($A67-F$63)/(1+$A67)^10+'POWL Model'!B94)/'Inputs'!$G$8</x:f>
        <x:v>129.32766864928897</x:v>
      </x:c>
    </x:row>
    <x:row r="68">
      <x:c r="A68" s="22" t="n">
        <x:v>0.105</x:v>
      </x:c>
      <x:c r="B68" s="42" t="n">
        <x:f>('POWL Model'!B82/(1+$A68)^1+'POWL Model'!C82/(1+$A68)^2+'POWL Model'!D82/(1+$A68)^3+'POWL Model'!E82/(1+$A68)^4+'POWL Model'!F82/(1+$A68)^5+'POWL Model'!G82/(1+$A68)^6+'POWL Model'!H82/(1+$A68)^7+'POWL Model'!I82/(1+$A68)^8+'POWL Model'!J82/(1+$A68)^9+'POWL Model'!K82/(1+$A68)^10+'POWL Model'!$K$77*(1+B$63)*(1-B$63/'Assumptions'!$E$18)/($A68-B$63)/(1+$A68)^10+'POWL Model'!B94)/'Inputs'!$G$8</x:f>
        <x:v>108.35365329684515</x:v>
      </x:c>
      <x:c r="C68" s="42" t="n">
        <x:f>('POWL Model'!B82/(1+$A68)^1+'POWL Model'!C82/(1+$A68)^2+'POWL Model'!D82/(1+$A68)^3+'POWL Model'!E82/(1+$A68)^4+'POWL Model'!F82/(1+$A68)^5+'POWL Model'!G82/(1+$A68)^6+'POWL Model'!H82/(1+$A68)^7+'POWL Model'!I82/(1+$A68)^8+'POWL Model'!J82/(1+$A68)^9+'POWL Model'!K82/(1+$A68)^10+'POWL Model'!$K$77*(1+C$63)*(1-C$63/'Assumptions'!$E$18)/($A68-C$63)/(1+$A68)^10+'POWL Model'!B94)/'Inputs'!$G$8</x:f>
        <x:v>110.66442580642534</x:v>
      </x:c>
      <x:c r="D68" s="42" t="n">
        <x:f>('POWL Model'!B82/(1+$A68)^1+'POWL Model'!C82/(1+$A68)^2+'POWL Model'!D82/(1+$A68)^3+'POWL Model'!E82/(1+$A68)^4+'POWL Model'!F82/(1+$A68)^5+'POWL Model'!G82/(1+$A68)^6+'POWL Model'!H82/(1+$A68)^7+'POWL Model'!I82/(1+$A68)^8+'POWL Model'!J82/(1+$A68)^9+'POWL Model'!K82/(1+$A68)^10+'POWL Model'!$K$77*(1+D$63)*(1-D$63/'Assumptions'!$E$18)/($A68-D$63)/(1+$A68)^10+'POWL Model'!B94)/'Inputs'!$G$8</x:f>
        <x:v>113.27075768364313</x:v>
      </x:c>
      <x:c r="E68" s="42" t="n">
        <x:f>('POWL Model'!B82/(1+$A68)^1+'POWL Model'!C82/(1+$A68)^2+'POWL Model'!D82/(1+$A68)^3+'POWL Model'!E82/(1+$A68)^4+'POWL Model'!F82/(1+$A68)^5+'POWL Model'!G82/(1+$A68)^6+'POWL Model'!H82/(1+$A68)^7+'POWL Model'!I82/(1+$A68)^8+'POWL Model'!J82/(1+$A68)^9+'POWL Model'!K82/(1+$A68)^10+'POWL Model'!$K$77*(1+E$63)*(1-E$63/'Assumptions'!$E$18)/($A68-E$63)/(1+$A68)^10+'POWL Model'!B94)/'Inputs'!$G$8</x:f>
        <x:v>116.23598307870651</x:v>
      </x:c>
      <x:c r="F68" s="42" t="n">
        <x:f>('POWL Model'!B82/(1+$A68)^1+'POWL Model'!C82/(1+$A68)^2+'POWL Model'!D82/(1+$A68)^3+'POWL Model'!E82/(1+$A68)^4+'POWL Model'!F82/(1+$A68)^5+'POWL Model'!G82/(1+$A68)^6+'POWL Model'!H82/(1+$A68)^7+'POWL Model'!I82/(1+$A68)^8+'POWL Model'!J82/(1+$A68)^9+'POWL Model'!K82/(1+$A68)^10+'POWL Model'!$K$77*(1+F$63)*(1-F$63/'Assumptions'!$E$18)/($A68-F$63)/(1+$A68)^10+'POWL Model'!B94)/'Inputs'!$G$8</x:f>
        <x:v>119.64292357265681</x:v>
      </x:c>
    </x:row>
    <x:row r="69">
      <x:c r="A69" s="22" t="n">
        <x:v>0.11</x:v>
      </x:c>
      <x:c r="B69" s="42" t="n">
        <x:f>('POWL Model'!B82/(1+$A69)^1+'POWL Model'!C82/(1+$A69)^2+'POWL Model'!D82/(1+$A69)^3+'POWL Model'!E82/(1+$A69)^4+'POWL Model'!F82/(1+$A69)^5+'POWL Model'!G82/(1+$A69)^6+'POWL Model'!H82/(1+$A69)^7+'POWL Model'!I82/(1+$A69)^8+'POWL Model'!J82/(1+$A69)^9+'POWL Model'!K82/(1+$A69)^10+'POWL Model'!$K$77*(1+B$63)*(1-B$63/'Assumptions'!$E$18)/($A69-B$63)/(1+$A69)^10+'POWL Model'!B94)/'Inputs'!$G$8</x:f>
        <x:v>102.10778157701729</x:v>
      </x:c>
      <x:c r="C69" s="42" t="n">
        <x:f>('POWL Model'!B82/(1+$A69)^1+'POWL Model'!C82/(1+$A69)^2+'POWL Model'!D82/(1+$A69)^3+'POWL Model'!E82/(1+$A69)^4+'POWL Model'!F82/(1+$A69)^5+'POWL Model'!G82/(1+$A69)^6+'POWL Model'!H82/(1+$A69)^7+'POWL Model'!I82/(1+$A69)^8+'POWL Model'!J82/(1+$A69)^9+'POWL Model'!K82/(1+$A69)^10+'POWL Model'!$K$77*(1+C$63)*(1-C$63/'Assumptions'!$E$18)/($A69-C$63)/(1+$A69)^10+'POWL Model'!B94)/'Inputs'!$G$8</x:f>
        <x:v>104.02440585408046</x:v>
      </x:c>
      <x:c r="D69" s="42" t="n">
        <x:f>('POWL Model'!B82/(1+$A69)^1+'POWL Model'!C82/(1+$A69)^2+'POWL Model'!D82/(1+$A69)^3+'POWL Model'!E82/(1+$A69)^4+'POWL Model'!F82/(1+$A69)^5+'POWL Model'!G82/(1+$A69)^6+'POWL Model'!H82/(1+$A69)^7+'POWL Model'!I82/(1+$A69)^8+'POWL Model'!J82/(1+$A69)^9+'POWL Model'!K82/(1+$A69)^10+'POWL Model'!$K$77*(1+D$63)*(1-D$63/'Assumptions'!$E$18)/($A69-D$63)/(1+$A69)^10+'POWL Model'!B94)/'Inputs'!$G$8</x:f>
        <x:v>106.16936761401362</x:v>
      </x:c>
      <x:c r="E69" s="42" t="n">
        <x:f>('POWL Model'!B82/(1+$A69)^1+'POWL Model'!C82/(1+$A69)^2+'POWL Model'!D82/(1+$A69)^3+'POWL Model'!E82/(1+$A69)^4+'POWL Model'!F82/(1+$A69)^5+'POWL Model'!G82/(1+$A69)^6+'POWL Model'!H82/(1+$A69)^7+'POWL Model'!I82/(1+$A69)^8+'POWL Model'!J82/(1+$A69)^9+'POWL Model'!K82/(1+$A69)^10+'POWL Model'!$K$77*(1+E$63)*(1-E$63/'Assumptions'!$E$18)/($A69-E$63)/(1+$A69)^10+'POWL Model'!B94)/'Inputs'!$G$8</x:f>
        <x:v>108.58833435339076</x:v>
      </x:c>
      <x:c r="F69" s="42" t="n">
        <x:f>('POWL Model'!B82/(1+$A69)^1+'POWL Model'!C82/(1+$A69)^2+'POWL Model'!D82/(1+$A69)^3+'POWL Model'!E82/(1+$A69)^4+'POWL Model'!F82/(1+$A69)^5+'POWL Model'!G82/(1+$A69)^6+'POWL Model'!H82/(1+$A69)^7+'POWL Model'!I82/(1+$A69)^8+'POWL Model'!J82/(1+$A69)^9+'POWL Model'!K82/(1+$A69)^10+'POWL Model'!$K$77*(1+F$63)*(1-F$63/'Assumptions'!$E$18)/($A69-F$63)/(1+$A69)^10+'POWL Model'!B94)/'Inputs'!$G$8</x:f>
        <x:v>111.34002142494991</x:v>
      </x:c>
    </x:row>
    <x:row r="70">
      <x:c r="A70" s="22" t="n">
        <x:v>0.12</x:v>
      </x:c>
      <x:c r="B70" s="42" t="n">
        <x:f>('POWL Model'!B82/(1+$A70)^1+'POWL Model'!C82/(1+$A70)^2+'POWL Model'!D82/(1+$A70)^3+'POWL Model'!E82/(1+$A70)^4+'POWL Model'!F82/(1+$A70)^5+'POWL Model'!G82/(1+$A70)^6+'POWL Model'!H82/(1+$A70)^7+'POWL Model'!I82/(1+$A70)^8+'POWL Model'!J82/(1+$A70)^9+'POWL Model'!K82/(1+$A70)^10+'POWL Model'!$K$77*(1+B$63)*(1-B$63/'Assumptions'!$E$18)/($A70-B$63)/(1+$A70)^10+'POWL Model'!B94)/'Inputs'!$G$8</x:f>
        <x:v>91.53062326056626</x:v>
      </x:c>
      <x:c r="C70" s="42" t="n">
        <x:f>('POWL Model'!B82/(1+$A70)^1+'POWL Model'!C82/(1+$A70)^2+'POWL Model'!D82/(1+$A70)^3+'POWL Model'!E82/(1+$A70)^4+'POWL Model'!F82/(1+$A70)^5+'POWL Model'!G82/(1+$A70)^6+'POWL Model'!H82/(1+$A70)^7+'POWL Model'!I82/(1+$A70)^8+'POWL Model'!J82/(1+$A70)^9+'POWL Model'!K82/(1+$A70)^10+'POWL Model'!$K$77*(1+C$63)*(1-C$63/'Assumptions'!$E$18)/($A70-C$63)/(1+$A70)^10+'POWL Model'!B94)/'Inputs'!$G$8</x:f>
        <x:v>92.87281750011286</x:v>
      </x:c>
      <x:c r="D70" s="42" t="n">
        <x:f>('POWL Model'!B82/(1+$A70)^1+'POWL Model'!C82/(1+$A70)^2+'POWL Model'!D82/(1+$A70)^3+'POWL Model'!E82/(1+$A70)^4+'POWL Model'!F82/(1+$A70)^5+'POWL Model'!G82/(1+$A70)^6+'POWL Model'!H82/(1+$A70)^7+'POWL Model'!I82/(1+$A70)^8+'POWL Model'!J82/(1+$A70)^9+'POWL Model'!K82/(1+$A70)^10+'POWL Model'!$K$77*(1+D$63)*(1-D$63/'Assumptions'!$E$18)/($A70-D$63)/(1+$A70)^10+'POWL Model'!B94)/'Inputs'!$G$8</x:f>
        <x:v>94.35500993528812</x:v>
      </x:c>
      <x:c r="E70" s="42" t="n">
        <x:f>('POWL Model'!B82/(1+$A70)^1+'POWL Model'!C82/(1+$A70)^2+'POWL Model'!D82/(1+$A70)^3+'POWL Model'!E82/(1+$A70)^4+'POWL Model'!F82/(1+$A70)^5+'POWL Model'!G82/(1+$A70)^6+'POWL Model'!H82/(1+$A70)^7+'POWL Model'!I82/(1+$A70)^8+'POWL Model'!J82/(1+$A70)^9+'POWL Model'!K82/(1+$A70)^10+'POWL Model'!$K$77*(1+E$63)*(1-E$63/'Assumptions'!$E$18)/($A70-E$63)/(1+$A70)^10+'POWL Model'!B94)/'Inputs'!$G$8</x:f>
        <x:v>96.00190613002643</x:v>
      </x:c>
      <x:c r="F70" s="42" t="n">
        <x:f>('POWL Model'!B82/(1+$A70)^1+'POWL Model'!C82/(1+$A70)^2+'POWL Model'!D82/(1+$A70)^3+'POWL Model'!E82/(1+$A70)^4+'POWL Model'!F82/(1+$A70)^5+'POWL Model'!G82/(1+$A70)^6+'POWL Model'!H82/(1+$A70)^7+'POWL Model'!I82/(1+$A70)^8+'POWL Model'!J82/(1+$A70)^9+'POWL Model'!K82/(1+$A70)^10+'POWL Model'!$K$77*(1+F$63)*(1-F$63/'Assumptions'!$E$18)/($A70-F$63)/(1+$A70)^10+'POWL Model'!B94)/'Inputs'!$G$8</x:f>
        <x:v>97.84438803924593</x:v>
      </x:c>
    </x:row>
  </x:sheetData>
  <x:mergeCells>
    <x:mergeCell ref="A1:F1"/>
    <x:mergeCell ref="A13:F13"/>
    <x:mergeCell ref="A25:F25"/>
    <x:mergeCell ref="A37:F37"/>
    <x:mergeCell ref="A49:F49"/>
    <x:mergeCell ref="A61:F6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30" hidden="0" customWidth="1"/>
  </x:cols>
  <x:sheetData>
    <x:row r="1" ht="29" customHeight="1">
      <x:c r="A1" s="7" t="str">
        <x:v>RESEARCH DECISIONS | resolved, bounded and still unknown</x:v>
      </x:c>
      <x:c r="B1" s="7"/>
      <x:c r="C1" s="7"/>
      <x:c r="D1" s="7"/>
      <x:c r="E1" s="7"/>
      <x:c r="F1" s="7"/>
      <x:c r="G1" s="7"/>
    </x:row>
    <x:row r="3" ht="35" customHeight="1">
      <x:c r="A3" s="52" t="str">
        <x:v>Company</x:v>
      </x:c>
      <x:c r="B3" s="52" t="str">
        <x:v>Resolved / corrected</x:v>
      </x:c>
      <x:c r="C3" s="52" t="str">
        <x:v>Unresolved decisive question</x:v>
      </x:c>
      <x:c r="D3" s="52" t="str">
        <x:v>Current assessment</x:v>
      </x:c>
      <x:c r="E3" s="52" t="str">
        <x:v>Evidence that would change decision</x:v>
      </x:c>
      <x:c r="F3" s="52" t="str">
        <x:v>Failure mechanism</x:v>
      </x:c>
      <x:c r="G3" s="52" t="str">
        <x:v>Sources</x:v>
      </x:c>
    </x:row>
    <x:row r="4" ht="132" customHeight="1">
      <x:c r="A4" s="82" t="str">
        <x:v>NSSC</x:v>
      </x:c>
      <x:c r="B4" s="82" t="str">
        <x:v>Litigation is a recurring-EPS adjustment but unpaid cash claim; annual tariff effect differs from quarter effect.</x:v>
      </x:c>
      <x:c r="C4" s="82" t="str">
        <x:v>Gross activations, disconnects, carrier cost and dealer economics; exact fiscal consensus bridge.</x:v>
      </x:c>
      <x:c r="D4" s="82" t="str">
        <x:v>Conditional watch: closest to base value</x:v>
      </x:c>
      <x:c r="E4" s="82" t="str">
        <x:v>Durable net service growth with verified recurring margins and a price below a freshly refreshed conservative valuation.</x:v>
      </x:c>
      <x:c r="F4" s="82" t="str">
        <x:v>RSR deceleration, rising carrier/dealer costs, weak hardware placements; growth can conceal churn.</x:v>
      </x:c>
      <x:c r="G4" s="82" t="str">
        <x:v>NSSC_K; NSSC_MW</x:v>
      </x:c>
    </x:row>
    <x:row r="5" ht="132" customHeight="1">
      <x:c r="A5" s="82" t="str">
        <x:v>MOD</x:v>
      </x:c>
      <x:c r="B5" s="82" t="str">
        <x:v>Retained-only operating valuation; no double counting PT, $210m, THRM or customer deposits.</x:v>
      </x:c>
      <x:c r="C5" s="82" t="str">
        <x:v>Cost-by-cost margin recovery, investment returns and final transaction perimeter / matched estimates.</x:v>
      </x:c>
      <x:c r="D5" s="82" t="str">
        <x:v>Conditional inflection: execution / deal gates</x:v>
      </x:c>
      <x:c r="E5" s="82" t="str">
        <x:v>Sequential profitability AND cash conversion support the modeled economics; final closing bridge clears; expectations leave a measurable gap.</x:v>
      </x:c>
      <x:c r="F5" s="82" t="str">
        <x:v>Growth consumes cash, supply/client bargaining erodes returns, closing delayed or repriced.</x:v>
      </x:c>
      <x:c r="G5" s="82" t="str">
        <x:v>MOD_Q; MOD_R; MOD_DEAL; MOD_MW</x:v>
      </x:c>
    </x:row>
    <x:row r="6" ht="132" customHeight="1">
      <x:c r="A6" s="82" t="str">
        <x:v>POWL</x:v>
      </x:c>
      <x:c r="B6" s="82" t="str">
        <x:v>Next-12-month backlog is ~$1.3bn; advance-funded cash not all excess; $2.428m current contingent claim.</x:v>
      </x:c>
      <x:c r="C6" s="82" t="str">
        <x:v>Delivery timing, cancellations, sustainable margins/capacity costs, fiscal-year bridge versus consensus.</x:v>
      </x:c>
      <x:c r="D6" s="82" t="str">
        <x:v>Quality watch: growth already expected</x:v>
      </x:c>
      <x:c r="E6" s="82" t="str">
        <x:v>A conservative fiscal build supports earnings materially above the public FY27 ~$6.88 reference, or lower entry.</x:v>
      </x:c>
      <x:c r="F6" s="82" t="str">
        <x:v>Project slippage, working-capital unwind, competition, fixed-price execution costs.</x:v>
      </x:c>
      <x:c r="G6" s="82" t="str">
        <x:v>POWL_Q; POWL_MW</x:v>
      </x:c>
    </x:row>
    <x:row r="7" ht="132" customHeight="1">
      <x:c r="A7" s="82" t="str">
        <x:v>LMAT</x:v>
      </x:c>
      <x:c r="B7" s="82" t="str">
        <x:v>Convertible debt and conversion shares are alternative claims; unresolved FDA remediation is material.</x:v>
      </x:c>
      <x:c r="C7" s="82" t="str">
        <x:v>Regulatory closure, product availability and incremental remediation/working-capital burden.</x:v>
      </x:c>
      <x:c r="D7" s="82" t="str">
        <x:v>Downgraded: regulatory gate and valuation</x:v>
      </x:c>
      <x:c r="E7" s="82" t="str">
        <x:v>Documented regulatory progress and a valuation that compensates for residual uncertainty.</x:v>
      </x:c>
      <x:c r="F7" s="82" t="str">
        <x:v>Escalated enforcement, disruption, delayed expansion or remediation exceeding scenarios.</x:v>
      </x:c>
      <x:c r="G7" s="82" t="str">
        <x:v>LMAT_Q; LMAT_FDA; LMAT_MW</x:v>
      </x:c>
    </x:row>
    <x:row r="8" ht="132" customHeight="1">
      <x:c r="A8" s="82" t="str">
        <x:v>APPF</x:v>
      </x:c>
      <x:c r="B8" s="82" t="str">
        <x:v>After-SBC cash differs from adjusted EPS; VAS is not homogeneous recurring software.</x:v>
      </x:c>
      <x:c r="C8" s="82" t="str">
        <x:v>Gross profit by subscription/payment/service cohort; retention and sustainable compensation cost.</x:v>
      </x:c>
      <x:c r="D8" s="82" t="str">
        <x:v>Price watch: after-SBC / service mix</x:v>
      </x:c>
      <x:c r="E8" s="82" t="str">
        <x:v>Evidence of durable economic monetization and cash conversion supports returns without extreme growth duration.</x:v>
      </x:c>
      <x:c r="F8" s="82" t="str">
        <x:v>Payment or service costs outgrow take rates; cohort retention or AI pricing power weakens.</x:v>
      </x:c>
      <x:c r="G8" s="82" t="str">
        <x:v>APPF_Q; APPF_MW</x:v>
      </x:c>
    </x:row>
    <x:row r="9" ht="132" customHeight="1">
      <x:c r="A9" s="82" t="str">
        <x:v>WINA</x:v>
      </x:c>
      <x:c r="B9" s="82" t="str">
        <x:v>Advertising/software fees have offsetting expenses; extra burden on franchisees is quantifiable.</x:v>
      </x:c>
      <x:c r="C9" s="82" t="str">
        <x:v>Actual owner-adjusted store returns and new unit investment/payback after fees.</x:v>
      </x:c>
      <x:c r="D9" s="82" t="str">
        <x:v>Price watch: franchise ROIC and duration</x:v>
      </x:c>
      <x:c r="E9" s="82" t="str">
        <x:v>Better growth durability or lower price plus measured franchisee returns, not just renewal statistics.</x:v>
      </x:c>
      <x:c r="F9" s="82" t="str">
        <x:v>New fees reduce operator returns; modest net store growth and rising tech expense constrain per-share growth.</x:v>
      </x:c>
      <x:c r="G9" s="82" t="str">
        <x:v>WINA_Q; WINA_FEES; WINA_STORE</x:v>
      </x:c>
    </x:row>
    <x:row r="12" ht="29" customHeight="1">
      <x:c r="A12" s="27" t="str">
        <x:v>PROCESS REFINEMENTS | rules applied in this underwriting</x:v>
      </x:c>
      <x:c r="B12" s="27"/>
      <x:c r="C12" s="27"/>
      <x:c r="D12" s="27"/>
      <x:c r="E12" s="27"/>
      <x:c r="F12" s="27"/>
      <x:c r="G12" s="27"/>
    </x:row>
    <x:row r="14" ht="40" customHeight="1">
      <x:c r="A14" s="24" t="str">
        <x:v>Expectation matching</x:v>
      </x:c>
      <x:c r="B14" s="24"/>
      <x:c r="C14" s="24" t="str">
        <x:v>Match fiscal period, business perimeter, GAAP/adjusted basis, tax and share conventions before claiming a beat.</x:v>
      </x:c>
      <x:c r="D14" s="24"/>
      <x:c r="E14" s="24"/>
      <x:c r="F14" s="24"/>
      <x:c r="G14" s="24"/>
    </x:row>
    <x:row r="15" ht="40" customHeight="1">
      <x:c r="A15" s="24" t="str">
        <x:v>Cash classification</x:v>
      </x:c>
      <x:c r="B15" s="24"/>
      <x:c r="C15" s="24" t="str">
        <x:v>Separate free cash, required liquidity, customer advances, unpaid liabilities, dividends and illiquid investments.</x:v>
      </x:c>
      <x:c r="D15" s="24"/>
      <x:c r="E15" s="24"/>
      <x:c r="F15" s="24"/>
      <x:c r="G15" s="24"/>
    </x:row>
    <x:row r="16" ht="40" customHeight="1">
      <x:c r="A16" s="24" t="str">
        <x:v>Claims once</x:v>
      </x:c>
      <x:c r="B16" s="24"/>
      <x:c r="C16" s="24" t="str">
        <x:v>Do not subtract convertible debt and also count every conversion share. Keep deal proceeds and disposed earnings consistent.</x:v>
      </x:c>
      <x:c r="D16" s="24"/>
      <x:c r="E16" s="24"/>
      <x:c r="F16" s="24"/>
      <x:c r="G16" s="24"/>
    </x:row>
    <x:row r="17" ht="40" customHeight="1">
      <x:c r="A17" s="24" t="str">
        <x:v>Economic growth</x:v>
      </x:c>
      <x:c r="B17" s="24"/>
      <x:c r="C17" s="24" t="str">
        <x:v>Pass-through funds, acquisitions and inflation do not automatically create incremental owner profit.</x:v>
      </x:c>
      <x:c r="D17" s="24"/>
      <x:c r="E17" s="24"/>
      <x:c r="F17" s="24"/>
      <x:c r="G17" s="24"/>
    </x:row>
    <x:row r="18" ht="40" customHeight="1">
      <x:c r="A18" s="24" t="str">
        <x:v>SBC treatment</x:v>
      </x:c>
      <x:c r="B18" s="24"/>
      <x:c r="C18" s="24" t="str">
        <x:v>Use after-SBC EBIT or subtract SBC in historical CFO diagnostics—do not double deduct in the forward model.</x:v>
      </x:c>
      <x:c r="D18" s="24"/>
      <x:c r="E18" s="24"/>
      <x:c r="F18" s="24"/>
      <x:c r="G18" s="24"/>
    </x:row>
    <x:row r="19" ht="40" customHeight="1">
      <x:c r="A19" s="24" t="str">
        <x:v>Two mandates</x:v>
      </x:c>
      <x:c r="B19" s="24"/>
      <x:c r="C19" s="24" t="str">
        <x:v>Long-term DCF and two-year resale payoff require different evidence. A good exit scenario is not proof of undervaluation.</x:v>
      </x:c>
      <x:c r="D19" s="24"/>
      <x:c r="E19" s="24"/>
      <x:c r="F19" s="24"/>
      <x:c r="G19" s="24"/>
    </x:row>
    <x:row r="20" ht="40" customHeight="1">
      <x:c r="A20" s="24" t="str">
        <x:v>Bound missing data</x:v>
      </x:c>
      <x:c r="B20" s="24"/>
      <x:c r="C20" s="24" t="str">
        <x:v>Use cost ceilings and reverse valuation when unit data are unavailable; do not manufacture churn or ROIC.</x:v>
      </x:c>
      <x:c r="D20" s="24"/>
      <x:c r="E20" s="24"/>
      <x:c r="F20" s="24"/>
      <x:c r="G20" s="24"/>
    </x:row>
    <x:row r="21" ht="40" customHeight="1">
      <x:c r="A21" s="24" t="str">
        <x:v>Uncertainty</x:v>
      </x:c>
      <x:c r="B21" s="24"/>
      <x:c r="C21" s="24" t="str">
        <x:v>Uncalibrated scenarios are not probability bands. Show terminal-value and reinvestment sensitivity.</x:v>
      </x:c>
      <x:c r="D21" s="24"/>
      <x:c r="E21" s="24"/>
      <x:c r="F21" s="24"/>
      <x:c r="G21" s="24"/>
    </x:row>
    <x:row r="22" ht="40" customHeight="1">
      <x:c r="A22" s="24" t="str">
        <x:v>Point-in-time discipline</x:v>
      </x:c>
      <x:c r="B22" s="24"/>
      <x:c r="C22" s="24" t="str">
        <x:v>Preserve dates, vendor differences and old assumptions. Before action, re-roll quotes, claims, fiscal cash flows and transaction terms.</x:v>
      </x:c>
      <x:c r="D22" s="24"/>
      <x:c r="E22" s="24"/>
      <x:c r="F22" s="24"/>
      <x:c r="G22" s="24"/>
    </x:row>
  </x:sheetData>
  <x:mergeCells>
    <x:mergeCell ref="A1:G1"/>
    <x:mergeCell ref="A12:G12"/>
    <x:mergeCell ref="A14:B14"/>
    <x:mergeCell ref="C14:G14"/>
    <x:mergeCell ref="A15:B15"/>
    <x:mergeCell ref="C15:G15"/>
    <x:mergeCell ref="A16:B16"/>
    <x:mergeCell ref="C16:G16"/>
    <x:mergeCell ref="A17:B17"/>
    <x:mergeCell ref="C17:G17"/>
    <x:mergeCell ref="A18:B18"/>
    <x:mergeCell ref="C18:G18"/>
    <x:mergeCell ref="A19:B19"/>
    <x:mergeCell ref="C19:G19"/>
    <x:mergeCell ref="A20:B20"/>
    <x:mergeCell ref="C20:G20"/>
    <x:mergeCell ref="A21:B21"/>
    <x:mergeCell ref="C21:G21"/>
    <x:mergeCell ref="A22:B22"/>
    <x:mergeCell ref="C22:G22"/>
  </x:mergeCells>
  <x:pageMargins left="0.7" right="0.7" top="0.75" bottom="0.75" header="0.3" footer="0.3"/>
</x:worksheet>
</file>