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11d4425a4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4-Industry Encyclopedia" sheetId="1" r:id="Rb40c3afd5f834895"/>
    <x:sheet xmlns:r="http://schemas.openxmlformats.org/officeDocument/2006/relationships" name="Coverage Dashboard" sheetId="2" r:id="R478ecc2ffa9b4ff4"/>
    <x:sheet xmlns:r="http://schemas.openxmlformats.org/officeDocument/2006/relationships" name="Research Process" sheetId="3" r:id="R848d9a3555dc4071"/>
    <x:sheet xmlns:r="http://schemas.openxmlformats.org/officeDocument/2006/relationships" name="Source Library" sheetId="4" r:id="R14076f015db7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414dcf24c4556" /><Relationship Type="http://schemas.openxmlformats.org/officeDocument/2006/relationships/theme" Target="/xl/theme/theme1.xml" Id="R1f2752f8f5504a10" /><Relationship Type="http://schemas.openxmlformats.org/officeDocument/2006/relationships/sharedStrings" Target="/xl/sharedStrings.xml" Id="R38db9ab54ce741c0" /><Relationship Type="http://schemas.openxmlformats.org/officeDocument/2006/relationships/worksheet" Target="/xl/worksheets/sheet1.xml" Id="Rb40c3afd5f834895" /><Relationship Type="http://schemas.openxmlformats.org/officeDocument/2006/relationships/worksheet" Target="/xl/worksheets/sheet2.xml" Id="R478ecc2ffa9b4ff4" /><Relationship Type="http://schemas.openxmlformats.org/officeDocument/2006/relationships/worksheet" Target="/xl/worksheets/sheet3.xml" Id="R848d9a3555dc4071" /><Relationship Type="http://schemas.openxmlformats.org/officeDocument/2006/relationships/worksheet" Target="/xl/worksheets/sheet4.xml" Id="R14076f015db743cf" /></Relationships>
</file>

<file path=xl/tables/table1.xml><?xml version="1.0" encoding="utf-8"?>
<x:table xmlns:x="http://schemas.openxmlformats.org/spreadsheetml/2006/main" id="1" name="IndustryEncyclopediaTable" displayName="IndustryEncyclopediaTable" ref="A1:R75" headerRowCount="1" totalsRowCount="0" totalsRowShown="0">
  <x:tableColumns count="18">
    <x:tableColumn id="1" name="Sector"/>
    <x:tableColumn id="2" name="Industry Group"/>
    <x:tableColumn id="3" name="GICS Industry Code"/>
    <x:tableColumn id="4" name="Industry"/>
    <x:tableColumn id="5" name="Economic Engine"/>
    <x:tableColumn id="6" name="Core KPIs"/>
    <x:tableColumn id="7" name="Leading Indicators"/>
    <x:tableColumn id="8" name="Typical Moats"/>
    <x:tableColumn id="9" name="Capital-Cycle / Supply Response"/>
    <x:tableColumn id="10" name="Best Valuation Lenses"/>
    <x:tableColumn id="11" name="Accounting / Data Traps"/>
    <x:tableColumn id="12" name="Common Failure Modes"/>
    <x:tableColumn id="13" name="Ideal Compounder Setup"/>
    <x:tableColumn id="14" name="Ideal Inflection Setup"/>
    <x:tableColumn id="15" name="Research Priority (1-5)"/>
    <x:tableColumn id="16" name="Thesis Half-Life / Cadence"/>
    <x:tableColumn id="17" name="Preferred Archetype"/>
    <x:tableColumn id="18" name="Highest-EVI Ques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LibraryTable" displayName="SourceLibraryTable" ref="A1:D23" headerRowCount="1" totalsRowCount="0" totalsRowShown="0">
  <x:tableColumns count="4">
    <x:tableColumn id="1" name="Domain"/>
    <x:tableColumn id="2" name="Primary source"/>
    <x:tableColumn id="3" name="URL"/>
    <x:tableColumn id="4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922e6eeec04a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adf1bcf88ac4e7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7" hidden="0" customWidth="1"/>
    <x:col min="3" max="3" width="15" hidden="0" customWidth="1"/>
    <x:col min="4" max="4" width="31" hidden="0" customWidth="1"/>
    <x:col min="5" max="5" width="45" hidden="0" customWidth="1"/>
    <x:col min="6" max="6" width="42" hidden="0" customWidth="1"/>
    <x:col min="7" max="7" width="42" hidden="0" customWidth="1"/>
    <x:col min="8" max="8" width="38" hidden="0" customWidth="1"/>
    <x:col min="9" max="9" width="42" hidden="0" customWidth="1"/>
    <x:col min="10" max="10" width="34" hidden="0" customWidth="1"/>
    <x:col min="11" max="11" width="40" hidden="0" customWidth="1"/>
    <x:col min="12" max="12" width="40" hidden="0" customWidth="1"/>
    <x:col min="13" max="13" width="45" hidden="0" customWidth="1"/>
    <x:col min="14" max="14" width="45" hidden="0" customWidth="1"/>
    <x:col min="15" max="15" width="17" hidden="0" customWidth="1"/>
    <x:col min="16" max="16" width="22" hidden="0" customWidth="1"/>
    <x:col min="17" max="17" width="28" hidden="0" customWidth="1"/>
    <x:col min="18" max="18" width="48" hidden="0" customWidth="1"/>
  </x:cols>
  <x:sheetData>
    <x:row r="1">
      <x:c r="A1" s="12" t="str">
        <x:v>Sector</x:v>
      </x:c>
      <x:c r="B1" s="12" t="str">
        <x:v>Industry Group</x:v>
      </x:c>
      <x:c r="C1" s="12" t="str">
        <x:v>GICS Industry Code</x:v>
      </x:c>
      <x:c r="D1" s="12" t="str">
        <x:v>Industry</x:v>
      </x:c>
      <x:c r="E1" s="12" t="str">
        <x:v>Economic Engine</x:v>
      </x:c>
      <x:c r="F1" s="12" t="str">
        <x:v>Core KPIs</x:v>
      </x:c>
      <x:c r="G1" s="12" t="str">
        <x:v>Leading Indicators</x:v>
      </x:c>
      <x:c r="H1" s="12" t="str">
        <x:v>Typical Moats</x:v>
      </x:c>
      <x:c r="I1" s="12" t="str">
        <x:v>Capital-Cycle / Supply Response</x:v>
      </x:c>
      <x:c r="J1" s="12" t="str">
        <x:v>Best Valuation Lenses</x:v>
      </x:c>
      <x:c r="K1" s="12" t="str">
        <x:v>Accounting / Data Traps</x:v>
      </x:c>
      <x:c r="L1" s="12" t="str">
        <x:v>Common Failure Modes</x:v>
      </x:c>
      <x:c r="M1" s="12" t="str">
        <x:v>Ideal Compounder Setup</x:v>
      </x:c>
      <x:c r="N1" s="12" t="str">
        <x:v>Ideal Inflection Setup</x:v>
      </x:c>
      <x:c r="O1" s="12" t="str">
        <x:v>Research Priority (1-5)</x:v>
      </x:c>
      <x:c r="P1" s="12" t="str">
        <x:v>Thesis Half-Life / Cadence</x:v>
      </x:c>
      <x:c r="Q1" s="12" t="str">
        <x:v>Preferred Archetype</x:v>
      </x:c>
      <x:c r="R1" s="12" t="str">
        <x:v>Highest-EVI Question</x:v>
      </x:c>
    </x:row>
    <x:row r="2">
      <x:c r="A2" s="13" t="str">
        <x:v>Energy</x:v>
      </x:c>
      <x:c r="B2" s="13" t="str">
        <x:v>Energy</x:v>
      </x:c>
      <x:c r="C2" s="13" t="str">
        <x:v>101010</x:v>
      </x:c>
      <x:c r="D2" s="13" t="str">
        <x:v>Energy Equipment &amp; Services</x:v>
      </x:c>
      <x:c r="E2" s="13" t="str">
        <x:v>Oilfield activity × service intensity × day/rental rates; economics hinge on upstream capex and equipment utilization.</x:v>
      </x:c>
      <x:c r="F2" s="13" t="str">
        <x:v>Rig count; frac spreads; utilization; day rates; backlog/book-to-bill; service pricing; offshore awards; FCF conversion.</x:v>
      </x:c>
      <x:c r="G2" s="13" t="str">
        <x:v>E&amp;P capex budgets; oil/gas strip; tender activity; rig reactivations; equipment lead times.</x:v>
      </x:c>
      <x:c r="H2" s="13" t="str">
        <x:v>Technical know-how, installed fleet, high-spec equipment scarcity, customer qualification, local service network.</x:v>
      </x:c>
      <x:c r="I2" s="13" t="str">
        <x:v>Very cyclical. High returns trigger fleet/equipment additions; offshore/high-spec assets can have multi-year supply lags.</x:v>
      </x:c>
      <x:c r="J2" s="13" t="str">
        <x:v>EV/EBITDA, EV/FCF, replacement value, mid-cycle earnings.</x:v>
      </x:c>
      <x:c r="K2" s="13" t="str">
        <x:v>Capitalized equipment costs, maintenance vs growth capex, contract backlog quality, asset impairments.</x:v>
      </x:c>
      <x:c r="L2" s="13" t="str">
        <x:v>Overbuilding capacity, commodity collapse, customer concentration, technological substitution, leverage.</x:v>
      </x:c>
      <x:c r="M2" s="13" t="str">
        <x:v>Asset-light service niches with recurring consumables/software, high switching costs, disciplined capital allocation.</x:v>
      </x:c>
      <x:c r="N2" s="13" t="str">
        <x:v>Utilization crosses threshold → pricing rises → incremental margins surge; offshore tender cycle turns.</x:v>
      </x:c>
      <x:c r="O2" s="13" t="n">
        <x:v>5</x:v>
      </x:c>
      <x:c r="P2" s="13" t="str">
        <x:v>Monthly/quarterly</x:v>
      </x:c>
      <x:c r="Q2" s="13" t="str">
        <x:v>Scarcity inflection</x:v>
      </x:c>
      <x:c r="R2" s="13" t="str">
        <x:v>What utilization level historically unlocks pricing? How fast can idle/competing capacity return?</x:v>
      </x:c>
    </x:row>
    <x:row r="3">
      <x:c r="A3" s="13" t="str">
        <x:v>Energy</x:v>
      </x:c>
      <x:c r="B3" s="13" t="str">
        <x:v>Energy</x:v>
      </x:c>
      <x:c r="C3" s="13" t="str">
        <x:v>101020</x:v>
      </x:c>
      <x:c r="D3" s="13" t="str">
        <x:v>Oil, Gas &amp; Consumable Fuels</x:v>
      </x:c>
      <x:c r="E3" s="13" t="str">
        <x:v>Commodity price × production/refining/storage volumes − lifting/feedstock/capex; midstream adds fee-based throughput.</x:v>
      </x:c>
      <x:c r="F3" s="13" t="str">
        <x:v>Production; realized prices; breakeven; decline rate; reserves; crack spreads; throughput; inventories; FCF/bbl; leverage.</x:v>
      </x:c>
      <x:c r="G3" s="13" t="str">
        <x:v>Futures curves; inventories; OPEC/supply policy; rig activity; refinery outages; pipeline flows; LNG capacity.</x:v>
      </x:c>
      <x:c r="H3" s="13" t="str">
        <x:v>Low-cost resource, advantaged acreage, scale, integrated assets, pipeline rights-of-way, long-term contracts.</x:v>
      </x:c>
      <x:c r="I3" s="13" t="str">
        <x:v>Upstream/mining highly cyclical; pipelines slower; refinery capacity additions take years but utilization can swing quickly.</x:v>
      </x:c>
      <x:c r="J3" s="13" t="str">
        <x:v>NAV, EV/EBITDA, FCF yield, EV/boe/d, P/NAV; DCF for contracted midstream.</x:v>
      </x:c>
      <x:c r="K3" s="13" t="str">
        <x:v>Reserve estimates, hedging, asset retirement obligations, maintenance capex, working-capital swings, MLP adjustments.</x:v>
      </x:c>
      <x:c r="L3" s="13" t="str">
        <x:v>Commodity mean reversion, depletion, political/regulatory risk, leverage, poor acquisitions, stranded assets.</x:v>
      </x:c>
      <x:c r="M3" s="13" t="str">
        <x:v>Low-cost reserves or fee-based infrastructure with disciplined reinvestment and per-share capital returns.</x:v>
      </x:c>
      <x:c r="N3" s="13" t="str">
        <x:v>Supply deficit, refinery bottleneck, gas/LNG basis change, capex discipline creates FCF step-up.</x:v>
      </x:c>
      <x:c r="O3" s="13" t="n">
        <x:v>4</x:v>
      </x:c>
      <x:c r="P3" s="13" t="str">
        <x:v>Weekly/monthly</x:v>
      </x:c>
      <x:c r="Q3" s="13" t="str">
        <x:v>Scarcity / capital-cycle</x:v>
      </x:c>
      <x:c r="R3" s="13" t="str">
        <x:v>What marginal supply sets price, and what capex is required to sustain—not grow—production?</x:v>
      </x:c>
    </x:row>
    <x:row r="4">
      <x:c r="A4" s="13" t="str">
        <x:v>Materials</x:v>
      </x:c>
      <x:c r="B4" s="13" t="str">
        <x:v>Materials</x:v>
      </x:c>
      <x:c r="C4" s="13" t="str">
        <x:v>151010</x:v>
      </x:c>
      <x:c r="D4" s="13" t="str">
        <x:v>Chemicals</x:v>
      </x:c>
      <x:c r="E4" s="13" t="str">
        <x:v>Price × volume − feedstock/energy; mix ranges from commodity plants to high-value formulations.</x:v>
      </x:c>
      <x:c r="F4" s="13" t="str">
        <x:v>Price/mix; volumes; utilization; feedstock spreads; inventories; EBITDA/ton; working capital; ROIC.</x:v>
      </x:c>
      <x:c r="G4" s="13" t="str">
        <x:v>Distributor inventories; plant operating rates; ethane/naphtha spreads; customer production; capacity shutdowns.</x:v>
      </x:c>
      <x:c r="H4" s="13" t="str">
        <x:v>Process know-how, formulation IP, qualification, switching costs, scale, feedstock advantage.</x:v>
      </x:c>
      <x:c r="I4" s="13" t="str">
        <x:v>Commodity chemicals respond via plant additions/closures; specialty capacity often less fungible and slower to qualify.</x:v>
      </x:c>
      <x:c r="J4" s="13" t="str">
        <x:v>EV/EBITDA, normalized FCF, P/E, replacement cost; specialty names may warrant ROIC-based DCF.</x:v>
      </x:c>
      <x:c r="K4" s="13" t="str">
        <x:v>Inventory gains/losses, restructuring add-backs, environmental liabilities, pension costs, maintenance capex.</x:v>
      </x:c>
      <x:c r="L4" s="13" t="str">
        <x:v>Capacity glut, feedstock disadvantage, customer destocking, China supply, environmental liabilities.</x:v>
      </x:c>
      <x:c r="M4" s="13" t="str">
        <x:v>Specialty portfolio with specification lock-in, recurring formulations, pricing power and low capital intensity.</x:v>
      </x:c>
      <x:c r="N4" s="13" t="str">
        <x:v>Destocking ends → utilization/pricing recover; feedstock spread widens; competitor capacity exits.</x:v>
      </x:c>
      <x:c r="O4" s="13" t="n">
        <x:v>4</x:v>
      </x:c>
      <x:c r="P4" s="13" t="str">
        <x:v>Monthly/quarterly</x:v>
      </x:c>
      <x:c r="Q4" s="13" t="str">
        <x:v>Inventory / price-cost inflection</x:v>
      </x:c>
      <x:c r="R4" s="13" t="str">
        <x:v>Is the product truly differentiated or merely marketed as specialty?</x:v>
      </x:c>
    </x:row>
    <x:row r="5">
      <x:c r="A5" s="13" t="str">
        <x:v>Materials</x:v>
      </x:c>
      <x:c r="B5" s="13" t="str">
        <x:v>Materials</x:v>
      </x:c>
      <x:c r="C5" s="13" t="str">
        <x:v>151020</x:v>
      </x:c>
      <x:c r="D5" s="13" t="str">
        <x:v>Construction Materials</x:v>
      </x:c>
      <x:c r="E5" s="13" t="str">
        <x:v>Local price × volume − quarry/cement/aggregate production and freight costs; geography matters enormously.</x:v>
      </x:c>
      <x:c r="F5" s="13" t="str">
        <x:v>Tons/shipments; price/ton; aggregates margins; cement utilization; backlog; public/private construction mix.</x:v>
      </x:c>
      <x:c r="G5" s="13" t="str">
        <x:v>Infrastructure awards; housing starts; nonres construction; DOT budgets; cement imports; weather.</x:v>
      </x:c>
      <x:c r="H5" s="13" t="str">
        <x:v>Permits/reserves, local scarcity, transportation economics, route density, vertical integration.</x:v>
      </x:c>
      <x:c r="I5" s="13" t="str">
        <x:v>New quarries/cement plants face permitting and long lead times; local shortages can persist for years.</x:v>
      </x:c>
      <x:c r="J5" s="13" t="str">
        <x:v>EV/EBITDA, FCF, value per reserve ton, replacement value.</x:v>
      </x:c>
      <x:c r="K5" s="13" t="str">
        <x:v>Depletion, reclamation liabilities, acquisition accounting, weather normalization, land values.</x:v>
      </x:c>
      <x:c r="L5" s="13" t="str">
        <x:v>Construction downturn, overpaying for reserves, energy inflation, permitting changes.</x:v>
      </x:c>
      <x:c r="M5" s="13" t="str">
        <x:v>Local oligopoly with scarce permitted reserves and consistent price &gt; cost inflation.</x:v>
      </x:c>
      <x:c r="N5" s="13" t="str">
        <x:v>Volume trough + continued price increases; infrastructure spend hits constrained local supply.</x:v>
      </x:c>
      <x:c r="O5" s="13" t="n">
        <x:v>5</x:v>
      </x:c>
      <x:c r="P5" s="13" t="str">
        <x:v>Monthly/quarterly</x:v>
      </x:c>
      <x:c r="Q5" s="13" t="str">
        <x:v>Local scarcity compounder</x:v>
      </x:c>
      <x:c r="R5" s="13" t="str">
        <x:v>How many years of permitted reserves exist, and can competitors economically truck material into the market?</x:v>
      </x:c>
    </x:row>
    <x:row r="6">
      <x:c r="A6" s="13" t="str">
        <x:v>Materials</x:v>
      </x:c>
      <x:c r="B6" s="13" t="str">
        <x:v>Materials</x:v>
      </x:c>
      <x:c r="C6" s="13" t="str">
        <x:v>151030</x:v>
      </x:c>
      <x:c r="D6" s="13" t="str">
        <x:v>Containers &amp; Packaging</x:v>
      </x:c>
      <x:c r="E6" s="13" t="str">
        <x:v>Units × price/mix − resin/metal/fiber and conversion cost; demand tied to consumer/industrial volumes.</x:v>
      </x:c>
      <x:c r="F6" s="13" t="str">
        <x:v>Volumes; price-cost spread; resin/paper/aluminum inputs; utilization; contract resets; EBITDA/ton/unit.</x:v>
      </x:c>
      <x:c r="G6" s="13" t="str">
        <x:v>Packaging volumes; retailer inventories; resin/pulp prices; capacity closures; customer contract renewals.</x:v>
      </x:c>
      <x:c r="H6" s="13" t="str">
        <x:v>Scale, customer integration, efficient plants, local freight advantage; usually modest differentiation.</x:v>
      </x:c>
      <x:c r="I6" s="13" t="str">
        <x:v>Cyclical and prone to overcapacity; closures/consolidation can restore pricing.</x:v>
      </x:c>
      <x:c r="J6" s="13" t="str">
        <x:v>EV/EBITDA, FCF yield, normalized margins.</x:v>
      </x:c>
      <x:c r="K6" s="13" t="str">
        <x:v>Pass-through timing, restructuring charges, pension, lease obligations, maintenance capex.</x:v>
      </x:c>
      <x:c r="L6" s="13" t="str">
        <x:v>Overcapacity, customer bargaining power, input spikes, secular packaging substitution.</x:v>
      </x:c>
      <x:c r="M6" s="13" t="str">
        <x:v>Niche packaging with high switching costs, specialized formats, disciplined consolidation.</x:v>
      </x:c>
      <x:c r="N6" s="13" t="str">
        <x:v>Capacity closures + demand stabilization → price-cost spread expansion.</x:v>
      </x:c>
      <x:c r="O6" s="13" t="n">
        <x:v>3</x:v>
      </x:c>
      <x:c r="P6" s="13" t="str">
        <x:v>Quarterly</x:v>
      </x:c>
      <x:c r="Q6" s="13" t="str">
        <x:v>Capacity rationalization</x:v>
      </x:c>
      <x:c r="R6" s="13" t="str">
        <x:v>Are price increases contractual pass-throughs or genuine pricing power?</x:v>
      </x:c>
    </x:row>
    <x:row r="7">
      <x:c r="A7" s="13" t="str">
        <x:v>Materials</x:v>
      </x:c>
      <x:c r="B7" s="13" t="str">
        <x:v>Materials</x:v>
      </x:c>
      <x:c r="C7" s="13" t="str">
        <x:v>151040</x:v>
      </x:c>
      <x:c r="D7" s="13" t="str">
        <x:v>Metals &amp; Mining</x:v>
      </x:c>
      <x:c r="E7" s="13" t="str">
        <x:v>Commodity price × volume − cash cost − sustaining/growth capex; ore grade and mine life dominate.</x:v>
      </x:c>
      <x:c r="F7" s="13" t="str">
        <x:v>Production; realized price; cash cost/AISC; grade; recovery; reserves; mine life; capex; jurisdiction exposure.</x:v>
      </x:c>
      <x:c r="G7" s="13" t="str">
        <x:v>Spot/futures prices; inventories; Chinese demand; smelter treatment charges; mine disruptions; project approvals.</x:v>
      </x:c>
      <x:c r="H7" s="13" t="str">
        <x:v>Lowest-cost resource, reserve quality, scale infrastructure, scarce geology; little product differentiation.</x:v>
      </x:c>
      <x:c r="I7" s="13" t="str">
        <x:v>Extremely cyclical; new mines can require 5–15 years, making supply lags long but eventual additions powerful.</x:v>
      </x:c>
      <x:c r="J7" s="13" t="str">
        <x:v>NAV, P/NAV, EV/EBITDA, FCF yield, EV/reserve unit.</x:v>
      </x:c>
      <x:c r="K7" s="13" t="str">
        <x:v>Reserve assumptions, stripping capitalization, impairment, reclamation, royalties, by-product credits.</x:v>
      </x:c>
      <x:c r="L7" s="13" t="str">
        <x:v>Commodity collapse, grade decline, political expropriation/tax, project overruns, bad M&amp;A.</x:v>
      </x:c>
      <x:c r="M7" s="13" t="str">
        <x:v>Rare: royalty/streaming or exceptionally low-cost long-life assets with disciplined capital returns.</x:v>
      </x:c>
      <x:c r="N7" s="13" t="str">
        <x:v>Supply disruption/deficit, inventory drawdown, capex drought, new mine ramp.</x:v>
      </x:c>
      <x:c r="O7" s="13" t="n">
        <x:v>4</x:v>
      </x:c>
      <x:c r="P7" s="13" t="str">
        <x:v>Weekly/monthly</x:v>
      </x:c>
      <x:c r="Q7" s="13" t="str">
        <x:v>Scarcity / commodity inflection</x:v>
      </x:c>
      <x:c r="R7" s="13" t="str">
        <x:v>Where is the marginal cost curve and what projects enter supply at today's incentive price?</x:v>
      </x:c>
    </x:row>
    <x:row r="8">
      <x:c r="A8" s="13" t="str">
        <x:v>Materials</x:v>
      </x:c>
      <x:c r="B8" s="13" t="str">
        <x:v>Materials</x:v>
      </x:c>
      <x:c r="C8" s="13" t="str">
        <x:v>151050</x:v>
      </x:c>
      <x:c r="D8" s="13" t="str">
        <x:v>Paper &amp; Forest Products</x:v>
      </x:c>
      <x:c r="E8" s="13" t="str">
        <x:v>Pulp/lumber/paper price × volume − fiber/energy/freight; timber assets add biological growth and land optionality.</x:v>
      </x:c>
      <x:c r="F8" s="13" t="str">
        <x:v>Pulp/lumber prices; shipments; mill utilization; timber harvest; log costs; inventories; housing exposure.</x:v>
      </x:c>
      <x:c r="G8" s="13" t="str">
        <x:v>Housing starts; pulp inventories; mill downtime; export demand; freight; capacity closures.</x:v>
      </x:c>
      <x:c r="H8" s="13" t="str">
        <x:v>Low-cost timberland/fiber basket, mill efficiency, local logistics; commodity moat otherwise limited.</x:v>
      </x:c>
      <x:c r="I8" s="13" t="str">
        <x:v>Strong capital cycle; mill additions/closures drive multi-year pricing swings.</x:v>
      </x:c>
      <x:c r="J8" s="13" t="str">
        <x:v>EV/EBITDA, FCF yield, timberland NAV, replacement value.</x:v>
      </x:c>
      <x:c r="K8" s="13" t="str">
        <x:v>Biological asset accounting, depletion, maintenance capex, pension, restructuring.</x:v>
      </x:c>
      <x:c r="L8" s="13" t="str">
        <x:v>Overcapacity, housing recession, China demand weakness, wildfire, input inflation.</x:v>
      </x:c>
      <x:c r="M8" s="13" t="str">
        <x:v>Timberland with low-cost growth and disciplined harvest/land monetization.</x:v>
      </x:c>
      <x:c r="N8" s="13" t="str">
        <x:v>Mill closures + demand rebound; lumber/pulp inventory cycle turns.</x:v>
      </x:c>
      <x:c r="O8" s="13" t="n">
        <x:v>2</x:v>
      </x:c>
      <x:c r="P8" s="13" t="str">
        <x:v>Monthly/quarterly</x:v>
      </x:c>
      <x:c r="Q8" s="13" t="str">
        <x:v>Commodity cycle</x:v>
      </x:c>
      <x:c r="R8" s="13" t="str">
        <x:v>What percentage of earnings is truly structural versus spot commodity pricing?</x:v>
      </x:c>
    </x:row>
    <x:row r="9">
      <x:c r="A9" s="13" t="str">
        <x:v>Industrials</x:v>
      </x:c>
      <x:c r="B9" s="13" t="str">
        <x:v>Capital Goods</x:v>
      </x:c>
      <x:c r="C9" s="13" t="str">
        <x:v>201010</x:v>
      </x:c>
      <x:c r="D9" s="13" t="str">
        <x:v>Aerospace &amp; Defense</x:v>
      </x:c>
      <x:c r="E9" s="13" t="str">
        <x:v>Aircraft/defense installed base + production rates + aftermarket/service; defense adds funded backlog and program economics.</x:v>
      </x:c>
      <x:c r="F9" s="13" t="str">
        <x:v>Book-to-bill; backlog; aircraft deliveries; flight hours; aftermarket mix; program margin; cash conversion; defense awards.</x:v>
      </x:c>
      <x:c r="G9" s="13" t="str">
        <x:v>OEM production schedules; airline traffic; defense budgets; supplier lead times; shop visits; engine cycles.</x:v>
      </x:c>
      <x:c r="H9" s="13" t="str">
        <x:v>Certification, IP, sole-source positions, installed base, long program lives, switching/requalification cost.</x:v>
      </x:c>
      <x:c r="I9" s="13" t="str">
        <x:v>Capacity/qualification can take years; aftermarket scarcity can persist; defense programs span decades.</x:v>
      </x:c>
      <x:c r="J9" s="13" t="str">
        <x:v>EV/EBITDA, P/E, FCF yield, sum-of-parts; aftermarket deserves higher multiple than OE.</x:v>
      </x:c>
      <x:c r="K9" s="13" t="str">
        <x:v>Program accounting, customer advances, pension, warranty, development capitalization, one-time contract charges.</x:v>
      </x:c>
      <x:c r="L9" s="13" t="str">
        <x:v>Program delays, fixed-price overruns, supplier failure, leverage, aftermarket normalization.</x:v>
      </x:c>
      <x:c r="M9" s="13" t="str">
        <x:v>Sole-source component/aftermarket supplier with growing installed base, high recurring content, disciplined M&amp;A.</x:v>
      </x:c>
      <x:c r="N9" s="13" t="str">
        <x:v>Production-rate recovery, aftermarket surge, defense award, supply bottleneck relief → margin step-up.</x:v>
      </x:c>
      <x:c r="O9" s="13" t="n">
        <x:v>5</x:v>
      </x:c>
      <x:c r="P9" s="13" t="str">
        <x:v>Monthly/quarterly</x:v>
      </x:c>
      <x:c r="Q9" s="13" t="str">
        <x:v>Installed-base compounder / production inflection</x:v>
      </x:c>
      <x:c r="R9" s="13" t="str">
        <x:v>What percentage of lifetime economics comes after the original equipment sale?</x:v>
      </x:c>
    </x:row>
    <x:row r="10">
      <x:c r="A10" s="13" t="str">
        <x:v>Industrials</x:v>
      </x:c>
      <x:c r="B10" s="13" t="str">
        <x:v>Capital Goods</x:v>
      </x:c>
      <x:c r="C10" s="13" t="str">
        <x:v>201020</x:v>
      </x:c>
      <x:c r="D10" s="13" t="str">
        <x:v>Building Products</x:v>
      </x:c>
      <x:c r="E10" s="13" t="str">
        <x:v>Residential/nonres construction volume × product content × price − materials/labor; repair/remodel can stabilize.</x:v>
      </x:c>
      <x:c r="F10" s="13" t="str">
        <x:v>Orders; backlog; price/mix; housing starts; R&amp;R mix; dealer inventory; gross margin; channel share.</x:v>
      </x:c>
      <x:c r="G10" s="13" t="str">
        <x:v>Permits; housing starts; mortgage rates; builder orders; architectural billings; distributor inventories.</x:v>
      </x:c>
      <x:c r="H10" s="13" t="str">
        <x:v>Brand/specification, contractor preference, code approval, distribution, installed base, low product cost vs labor.</x:v>
      </x:c>
      <x:c r="I10" s="13" t="str">
        <x:v>Plant capacity can often be added in 1–3 years; distribution/specification barriers may matter more than factories.</x:v>
      </x:c>
      <x:c r="J10" s="13" t="str">
        <x:v>P/E, EV/EBITDA, FCF, through-cycle margins.</x:v>
      </x:c>
      <x:c r="K10" s="13" t="str">
        <x:v>Channel inventory, rebates, acquisition intangibles, warranty reserves, housing-cycle normalization.</x:v>
      </x:c>
      <x:c r="L10" s="13" t="str">
        <x:v>Housing downturn, destocking, raw-material inflation, private-label competition.</x:v>
      </x:c>
      <x:c r="M10" s="13" t="str">
        <x:v>Mission-critical low-ticket product with contractor pull-through, recurring replacement, high incremental ROIC.</x:v>
      </x:c>
      <x:c r="N10" s="13" t="str">
        <x:v>Housing/order trough + destocking end; price-cost recovers; capacity absorption.</x:v>
      </x:c>
      <x:c r="O10" s="13" t="n">
        <x:v>5</x:v>
      </x:c>
      <x:c r="P10" s="13" t="str">
        <x:v>Monthly</x:v>
      </x:c>
      <x:c r="Q10" s="13" t="str">
        <x:v>Local/specification compounder</x:v>
      </x:c>
      <x:c r="R10" s="13" t="str">
        <x:v>Is the product selected by the contractor/specifier or commoditized by the distributor?</x:v>
      </x:c>
    </x:row>
    <x:row r="11">
      <x:c r="A11" s="13" t="str">
        <x:v>Industrials</x:v>
      </x:c>
      <x:c r="B11" s="13" t="str">
        <x:v>Capital Goods</x:v>
      </x:c>
      <x:c r="C11" s="13" t="str">
        <x:v>201030</x:v>
      </x:c>
      <x:c r="D11" s="13" t="str">
        <x:v>Construction &amp; Engineering</x:v>
      </x:c>
      <x:c r="E11" s="13" t="str">
        <x:v>Backlog conversion × project margin − labor/material overruns; cash flow depends on contract terms and working capital.</x:v>
      </x:c>
      <x:c r="F11" s="13" t="str">
        <x:v>Backlog/RPO; book-to-bill; gross margin; change orders; working capital; project mix; utilization.</x:v>
      </x:c>
      <x:c r="G11" s="13" t="str">
        <x:v>Infrastructure awards; data-center/energy project FIDs; permitting; labor availability; customer financing.</x:v>
      </x:c>
      <x:c r="H11" s="13" t="str">
        <x:v>Engineering expertise, safety record, bonding capacity, customer relationships, specialized labor.</x:v>
      </x:c>
      <x:c r="I11" s="13" t="str">
        <x:v>Labor and execution capacity are the bottleneck; competitors can scale but skilled teams take time.</x:v>
      </x:c>
      <x:c r="J11" s="13" t="str">
        <x:v>EV/EBITDA, FCF, backlog quality, P/E; avoid valuing pass-through revenue like value-add revenue.</x:v>
      </x:c>
      <x:c r="K11" s="13" t="str">
        <x:v>Percentage-of-completion estimates, claims, change orders, retainage, customer advances, JV liabilities.</x:v>
      </x:c>
      <x:c r="L11" s="13" t="str">
        <x:v>Fixed-price overruns, project cancellations, labor inflation, customer insolvency.</x:v>
      </x:c>
      <x:c r="M11" s="13" t="str">
        <x:v>Specialty contractor with repeat customers, low fixed capital and disciplined project selection.</x:v>
      </x:c>
      <x:c r="N11" s="13" t="str">
        <x:v>Backlog surge + labor productivity + mix shift; margin normalization after troubled projects.</x:v>
      </x:c>
      <x:c r="O11" s="13" t="n">
        <x:v>4</x:v>
      </x:c>
      <x:c r="P11" s="13" t="str">
        <x:v>Monthly/quarterly</x:v>
      </x:c>
      <x:c r="Q11" s="13" t="str">
        <x:v>Backlog conversion inflection</x:v>
      </x:c>
      <x:c r="R11" s="13" t="str">
        <x:v>How enforceable is backlog and who bears material/labor inflation?</x:v>
      </x:c>
    </x:row>
    <x:row r="12">
      <x:c r="A12" s="13" t="str">
        <x:v>Industrials</x:v>
      </x:c>
      <x:c r="B12" s="13" t="str">
        <x:v>Capital Goods</x:v>
      </x:c>
      <x:c r="C12" s="13" t="str">
        <x:v>201040</x:v>
      </x:c>
      <x:c r="D12" s="13" t="str">
        <x:v>Electrical Equipment</x:v>
      </x:c>
      <x:c r="E12" s="13" t="str">
        <x:v>Units/capacity slots × price − copper/electrical components/labor; scarcity and qualification drive high incremental margins.</x:v>
      </x:c>
      <x:c r="F12" s="13" t="str">
        <x:v>Orders; backlog/RPO; book-to-bill; lead times; price/mix; plant utilization; data-center/grid exposure; margins.</x:v>
      </x:c>
      <x:c r="G12" s="13" t="str">
        <x:v>Utility capex; transformer/switchgear lead times; data-center FIDs; grid interconnection; copper prices.</x:v>
      </x:c>
      <x:c r="H12" s="13" t="str">
        <x:v>Qualification, reliability, installed base, scarce factory slots, engineering integration, channel relationships.</x:v>
      </x:c>
      <x:c r="I12" s="13" t="str">
        <x:v>New transformer/switchgear capacity can take 2–5+ years including equipment/labor/qualification.</x:v>
      </x:c>
      <x:c r="J12" s="13" t="str">
        <x:v>EV/EBITDA, P/E, FCF; backlog-adjusted earnings and normalized margin sensitivity.</x:v>
      </x:c>
      <x:c r="K12" s="13" t="str">
        <x:v>Backlog definitions, advances, copper pass-through, project accounting, growth capex.</x:v>
      </x:c>
      <x:c r="L12" s="13" t="str">
        <x:v>Ghost demand, capacity glut, hyperscaler bargaining, copper inflation, execution delays.</x:v>
      </x:c>
      <x:c r="M12" s="13" t="str">
        <x:v>Niche electrical supplier with scarce capacity, high reliability and recurring service/retrofit demand.</x:v>
      </x:c>
      <x:c r="N12" s="13" t="str">
        <x:v>Orders outrun revenue → backlog → utilization → margin; grid/data-center bottleneck migrates into equipment.</x:v>
      </x:c>
      <x:c r="O12" s="13" t="n">
        <x:v>5</x:v>
      </x:c>
      <x:c r="P12" s="13" t="str">
        <x:v>Monthly</x:v>
      </x:c>
      <x:c r="Q12" s="13" t="str">
        <x:v>Scarcity / backlog inflection</x:v>
      </x:c>
      <x:c r="R12" s="13" t="str">
        <x:v>Which orders are funded and binding, and when does new industry capacity arrive?</x:v>
      </x:c>
    </x:row>
    <x:row r="13">
      <x:c r="A13" s="13" t="str">
        <x:v>Industrials</x:v>
      </x:c>
      <x:c r="B13" s="13" t="str">
        <x:v>Capital Goods</x:v>
      </x:c>
      <x:c r="C13" s="13" t="str">
        <x:v>201050</x:v>
      </x:c>
      <x:c r="D13" s="13" t="str">
        <x:v>Industrial Conglomerates</x:v>
      </x:c>
      <x:c r="E13" s="13" t="str">
        <x:v>Portfolio cash flows plus capital allocation; value depends on segment quality and management's reinvestment choices.</x:v>
      </x:c>
      <x:c r="F13" s="13" t="str">
        <x:v>Segment margins/ROIC; organic growth; FCF; acquisition multiples; portfolio mix; leverage.</x:v>
      </x:c>
      <x:c r="G13" s="13" t="str">
        <x:v>Portfolio reviews; spin-offs; acquisitions; segment order trends; capital allocation changes.</x:v>
      </x:c>
      <x:c r="H13" s="13" t="str">
        <x:v>Capital allocation system, decentralized culture, shared distribution/technology; conglomerate discount may or may not be justified.</x:v>
      </x:c>
      <x:c r="I13" s="13" t="str">
        <x:v>Depends on segments; acquisition capital cycle can become the key constraint.</x:v>
      </x:c>
      <x:c r="J13" s="13" t="str">
        <x:v>SOTP, FCF yield, EV/EBITDA, ROIC; compare implied segment multiples.</x:v>
      </x:c>
      <x:c r="K13" s="13" t="str">
        <x:v>Corporate allocations, pension, intercompany items, acquisition adjustments, stranded costs.</x:v>
      </x:c>
      <x:c r="L13" s="13" t="str">
        <x:v>Empire building, opaque segments, leverage, bad M&amp;A, conglomerate discount persistence.</x:v>
      </x:c>
      <x:c r="M13" s="13" t="str">
        <x:v>Decentralized operator with repeatable acquisition playbook and high incremental ROIC.</x:v>
      </x:c>
      <x:c r="N13" s="13" t="str">
        <x:v>Spin/separation reveals higher-quality asset; margin reset; capital allocation regime changes.</x:v>
      </x:c>
      <x:c r="O13" s="13" t="n">
        <x:v>4</x:v>
      </x:c>
      <x:c r="P13" s="13" t="str">
        <x:v>Quarterly</x:v>
      </x:c>
      <x:c r="Q13" s="13" t="str">
        <x:v>SOTP / capital-allocation</x:v>
      </x:c>
      <x:c r="R13" s="13" t="str">
        <x:v>Does the corporate center create value beyond what independent segments could?</x:v>
      </x:c>
    </x:row>
    <x:row r="14">
      <x:c r="A14" s="13" t="str">
        <x:v>Industrials</x:v>
      </x:c>
      <x:c r="B14" s="13" t="str">
        <x:v>Capital Goods</x:v>
      </x:c>
      <x:c r="C14" s="13" t="str">
        <x:v>201060</x:v>
      </x:c>
      <x:c r="D14" s="13" t="str">
        <x:v>Machinery</x:v>
      </x:c>
      <x:c r="E14" s="13" t="str">
        <x:v>Equipment units × price + aftermarket − manufacturing cost; highly sensitive to utilization and customer capex.</x:v>
      </x:c>
      <x:c r="F14" s="13" t="str">
        <x:v>Orders; book-to-bill; backlog; dealer inventories; utilization; price/cost; aftermarket mix; incremental margin.</x:v>
      </x:c>
      <x:c r="G14" s="13" t="str">
        <x:v>PMI; construction/mining/ag equipment demand; dealer inventory; commodity farmer income; capex plans.</x:v>
      </x:c>
      <x:c r="H14" s="13" t="str">
        <x:v>Installed base, dealer network, application expertise, brand, parts/service ecosystem.</x:v>
      </x:c>
      <x:c r="I14" s="13" t="str">
        <x:v>Factories respond in 1–3 years, but dealer/installed-base moats persist; end markets can be deeply cyclical.</x:v>
      </x:c>
      <x:c r="J14" s="13" t="str">
        <x:v>EV/EBITDA, P/E, FCF, normalized mid-cycle margins.</x:v>
      </x:c>
      <x:c r="K14" s="13" t="str">
        <x:v>Dealer financing, inventory, warranty, pension, restructuring, acquisition intangibles.</x:v>
      </x:c>
      <x:c r="L14" s="13" t="str">
        <x:v>Dealer destocking, peak-cycle extrapolation, China competition, input inflation.</x:v>
      </x:c>
      <x:c r="M14" s="13" t="str">
        <x:v>Niche machinery with consumables/service, high aftermarket share, low customer failure tolerance.</x:v>
      </x:c>
      <x:c r="N14" s="13" t="str">
        <x:v>Dealer inventory bottom, utilization rebound, price-cost turn, new product qualification.</x:v>
      </x:c>
      <x:c r="O14" s="13" t="n">
        <x:v>5</x:v>
      </x:c>
      <x:c r="P14" s="13" t="str">
        <x:v>Monthly</x:v>
      </x:c>
      <x:c r="Q14" s="13" t="str">
        <x:v>Operating leverage / installed base</x:v>
      </x:c>
      <x:c r="R14" s="13" t="str">
        <x:v>How much gross profit comes from aftermarket versus new machines?</x:v>
      </x:c>
    </x:row>
    <x:row r="15">
      <x:c r="A15" s="13" t="str">
        <x:v>Industrials</x:v>
      </x:c>
      <x:c r="B15" s="13" t="str">
        <x:v>Capital Goods</x:v>
      </x:c>
      <x:c r="C15" s="13" t="str">
        <x:v>201070</x:v>
      </x:c>
      <x:c r="D15" s="13" t="str">
        <x:v>Trading Companies &amp; Distributors</x:v>
      </x:c>
      <x:c r="E15" s="13" t="str">
        <x:v>Volume × gross margin − logistics/SG&amp;A; working-capital turns and local scale are central.</x:v>
      </x:c>
      <x:c r="F15" s="13" t="str">
        <x:v>Organic sales; gross margin; inventory turns; working capital; branch productivity; private-label mix; ROIC.</x:v>
      </x:c>
      <x:c r="G15" s="13" t="str">
        <x:v>Industrial production; channel inventories; supplier lead times; customer order frequency; pricing.</x:v>
      </x:c>
      <x:c r="H15" s="13" t="str">
        <x:v>Distribution density, breadth, availability, procurement scale, embedded workflow, private label.</x:v>
      </x:c>
      <x:c r="I15" s="13" t="str">
        <x:v>Physical capacity is easy; network density, data and relationships compound slowly.</x:v>
      </x:c>
      <x:c r="J15" s="13" t="str">
        <x:v>P/E, EV/EBITDA, FCF, ROIC; working-capital-normalized FCF.</x:v>
      </x:c>
      <x:c r="K15" s="13" t="str">
        <x:v>LIFO/FIFO, inventory gains, supplier rebates, acquisition add-backs, receivables.</x:v>
      </x:c>
      <x:c r="L15" s="13" t="str">
        <x:v>Destocking, e-commerce disintermediation, inventory obsolescence, acquisition overpayment.</x:v>
      </x:c>
      <x:c r="M15" s="13" t="str">
        <x:v>Specialty distributor with fragmented market, high service content, private label and bolt-on runway.</x:v>
      </x:c>
      <x:c r="N15" s="13" t="str">
        <x:v>Destocking ends; gross margin recovers; working capital releases cash.</x:v>
      </x:c>
      <x:c r="O15" s="13" t="n">
        <x:v>5</x:v>
      </x:c>
      <x:c r="P15" s="13" t="str">
        <x:v>Monthly/quarterly</x:v>
      </x:c>
      <x:c r="Q15" s="13" t="str">
        <x:v>Density compounder / destocking inflection</x:v>
      </x:c>
      <x:c r="R15" s="13" t="str">
        <x:v>What value does the distributor add that a manufacturer or online marketplace cannot replicate?</x:v>
      </x:c>
    </x:row>
    <x:row r="16">
      <x:c r="A16" s="13" t="str">
        <x:v>Industrials</x:v>
      </x:c>
      <x:c r="B16" s="13" t="str">
        <x:v>Commercial &amp; Professional Services</x:v>
      </x:c>
      <x:c r="C16" s="13" t="str">
        <x:v>202010</x:v>
      </x:c>
      <x:c r="D16" s="13" t="str">
        <x:v>Commercial Services &amp; Supplies</x:v>
      </x:c>
      <x:c r="E16" s="13" t="str">
        <x:v>Recurring service contracts × route/site density − labor/equipment; includes waste, facilities, security, office services.</x:v>
      </x:c>
      <x:c r="F16" s="13" t="str">
        <x:v>Organic price; retention; route density; labor utilization; recurring mix; acquisition multiples; FCF.</x:v>
      </x:c>
      <x:c r="G16" s="13" t="str">
        <x:v>Contract renewals; wage inflation; disposal pricing; customer formation; regulation; acquisition pipeline.</x:v>
      </x:c>
      <x:c r="H16" s="13" t="str">
        <x:v>Route density, permits, local regulation, installed systems, switching friction, reputation.</x:v>
      </x:c>
      <x:c r="I16" s="13" t="str">
        <x:v>Local networks take years to build; attractive returns invite bolt-on consolidation more than greenfield entry.</x:v>
      </x:c>
      <x:c r="J16" s="13" t="str">
        <x:v>P/E, EV/EBITDA, FCF yield, ROIC; route businesses often deserve DCF on local density economics.</x:v>
      </x:c>
      <x:c r="K16" s="13" t="str">
        <x:v>Acquisition adjustments, environmental reserves, landfill closure, lease classification, labor normalization.</x:v>
      </x:c>
      <x:c r="L16" s="13" t="str">
        <x:v>Labor inflation, contract repricing lag, poor M&amp;A, environmental liabilities.</x:v>
      </x:c>
      <x:c r="M16" s="13" t="str">
        <x:v>Waste/environmental/security niche with high retention, route density, pricing &gt; inflation.</x:v>
      </x:c>
      <x:c r="N16" s="13" t="str">
        <x:v>Price catches wages; route density improves; competitor exits; acquisition synergies.</x:v>
      </x:c>
      <x:c r="O16" s="13" t="n">
        <x:v>5</x:v>
      </x:c>
      <x:c r="P16" s="13" t="str">
        <x:v>Monthly/quarterly</x:v>
      </x:c>
      <x:c r="Q16" s="13" t="str">
        <x:v>Local-density compounder</x:v>
      </x:c>
      <x:c r="R16" s="13" t="str">
        <x:v>Can price rise annually without meaningful churn?</x:v>
      </x:c>
    </x:row>
    <x:row r="17">
      <x:c r="A17" s="13" t="str">
        <x:v>Industrials</x:v>
      </x:c>
      <x:c r="B17" s="13" t="str">
        <x:v>Commercial &amp; Professional Services</x:v>
      </x:c>
      <x:c r="C17" s="13" t="str">
        <x:v>202020</x:v>
      </x:c>
      <x:c r="D17" s="13" t="str">
        <x:v>Professional Services</x:v>
      </x:c>
      <x:c r="E17" s="13" t="str">
        <x:v>Billable headcount/utilization × billing rate − compensation; data/process outsourcing adds recurring contracts.</x:v>
      </x:c>
      <x:c r="F17" s="13" t="str">
        <x:v>Utilization; bill rates; headcount; attrition; bookings; backlog; recurring mix; revenue per employee.</x:v>
      </x:c>
      <x:c r="G17" s="13" t="str">
        <x:v>Hiring trends; wage inflation; client budgets; consulting demand; outsourcing awards; regulation.</x:v>
      </x:c>
      <x:c r="H17" s="13" t="str">
        <x:v>Reputation, specialized expertise, proprietary data, workflow integration, switching costs.</x:v>
      </x:c>
      <x:c r="I17" s="13" t="str">
        <x:v>Human capital supply responds relatively quickly; proprietary data/workflow moats are more durable.</x:v>
      </x:c>
      <x:c r="J17" s="13" t="str">
        <x:v>P/E, EV/EBITDA, FCF; revenue-per-employee and organic growth quality.</x:v>
      </x:c>
      <x:c r="K17" s="13" t="str">
        <x:v>Capitalized software, stock comp, acquisition earnouts, billable vs non-billable headcount.</x:v>
      </x:c>
      <x:c r="L17" s="13" t="str">
        <x:v>Utilization collapse, wage pressure, automation/AI, client concentration.</x:v>
      </x:c>
      <x:c r="M17" s="13" t="str">
        <x:v>Vertical data/analytics or outsourced mission-critical process with recurring contracts and high retention.</x:v>
      </x:c>
      <x:c r="N17" s="13" t="str">
        <x:v>Hiring freeze ends, utilization rebounds, pricing outpaces wages, large outsourcing award.</x:v>
      </x:c>
      <x:c r="O17" s="13" t="n">
        <x:v>4</x:v>
      </x:c>
      <x:c r="P17" s="13" t="str">
        <x:v>Monthly/quarterly</x:v>
      </x:c>
      <x:c r="Q17" s="13" t="str">
        <x:v>Utilization / recurring data</x:v>
      </x:c>
      <x:c r="R17" s="13" t="str">
        <x:v>Is the moat people-based or embedded in proprietary data/workflows?</x:v>
      </x:c>
    </x:row>
    <x:row r="18">
      <x:c r="A18" s="13" t="str">
        <x:v>Industrials</x:v>
      </x:c>
      <x:c r="B18" s="13" t="str">
        <x:v>Transportation</x:v>
      </x:c>
      <x:c r="C18" s="13" t="str">
        <x:v>203010</x:v>
      </x:c>
      <x:c r="D18" s="13" t="str">
        <x:v>Air Freight &amp; Logistics</x:v>
      </x:c>
      <x:c r="E18" s="13" t="str">
        <x:v>Shipment volume × yield/spread − transport procurement/labor; asset-light brokers differ from asset-heavy integrators.</x:v>
      </x:c>
      <x:c r="F18" s="13" t="str">
        <x:v>Tonnage; yield; load factor; purchased transportation; spot vs contract rates; working capital.</x:v>
      </x:c>
      <x:c r="G18" s="13" t="str">
        <x:v>Freight indices; e-commerce; air cargo rates; inventories; port volumes; fuel.</x:v>
      </x:c>
      <x:c r="H18" s="13" t="str">
        <x:v>Network density, customs capability, scale purchasing, customer integration, route network.</x:v>
      </x:c>
      <x:c r="I18" s="13" t="str">
        <x:v>Broker capacity adjusts fast; integrated global networks are slow and capital intensive.</x:v>
      </x:c>
      <x:c r="J18" s="13" t="str">
        <x:v>EV/EBITDA, P/E, FCF; mid-cycle margins.</x:v>
      </x:c>
      <x:c r="K18" s="13" t="str">
        <x:v>Fuel surcharges, purchased transportation gross vs net reporting, leases, pension.</x:v>
      </x:c>
      <x:c r="L18" s="13" t="str">
        <x:v>Rate collapse, excess capacity, labor, fuel, customer concentration.</x:v>
      </x:c>
      <x:c r="M18" s="13" t="str">
        <x:v>Asset-light logistics with sticky vertical specialization and technology-enabled network effects.</x:v>
      </x:c>
      <x:c r="N18" s="13" t="str">
        <x:v>Freight recession ends → rates/volumes recover; purchased transport spread expands.</x:v>
      </x:c>
      <x:c r="O18" s="13" t="n">
        <x:v>3</x:v>
      </x:c>
      <x:c r="P18" s="13" t="str">
        <x:v>Weekly/monthly</x:v>
      </x:c>
      <x:c r="Q18" s="13" t="str">
        <x:v>Freight-cycle inflection</x:v>
      </x:c>
      <x:c r="R18" s="13" t="str">
        <x:v>Are profits driven by structural network advantage or temporary rate spreads?</x:v>
      </x:c>
    </x:row>
    <x:row r="19">
      <x:c r="A19" s="13" t="str">
        <x:v>Industrials</x:v>
      </x:c>
      <x:c r="B19" s="13" t="str">
        <x:v>Transportation</x:v>
      </x:c>
      <x:c r="C19" s="13" t="str">
        <x:v>203020</x:v>
      </x:c>
      <x:c r="D19" s="13" t="str">
        <x:v>Passenger Airlines</x:v>
      </x:c>
      <x:c r="E19" s="13" t="str">
        <x:v>Passengers × fare/yield − fuel/labor/aircraft ownership; high fixed costs create extreme operating leverage.</x:v>
      </x:c>
      <x:c r="F19" s="13" t="str">
        <x:v>RASM/PRASM; CASM ex-fuel; load factor; capacity; bookings; fare; loyalty economics; net debt.</x:v>
      </x:c>
      <x:c r="G19" s="13" t="str">
        <x:v>TSA/booking data; capacity schedules; jet fuel; competitor cuts; corporate travel.</x:v>
      </x:c>
      <x:c r="H19" s="13" t="str">
        <x:v>Slots, hubs, loyalty programs, scale; historically weak due to low switching cost and high fixed costs.</x:v>
      </x:c>
      <x:c r="I19" s="13" t="str">
        <x:v>Aircraft/crew capacity adjusts slowly but bankruptcies/restructurings reset economics.</x:v>
      </x:c>
      <x:c r="J19" s="13" t="str">
        <x:v>EV/EBITDAR, FCF, normalized EPS; value loyalty separately when material.</x:v>
      </x:c>
      <x:c r="K19" s="13" t="str">
        <x:v>Aircraft leases, loyalty deferred revenue, pension, special items, maintenance timing.</x:v>
      </x:c>
      <x:c r="L19" s="13" t="str">
        <x:v>Fare wars, fuel spikes, labor contracts, leverage, recession, aircraft grounding.</x:v>
      </x:c>
      <x:c r="M19" s="13" t="str">
        <x:v>Rare; loyalty/network with disciplined capacity and strong balance sheet.</x:v>
      </x:c>
      <x:c r="N19" s="13" t="str">
        <x:v>Capacity cuts + resilient demand → fare/yield inflection; fuel decline.</x:v>
      </x:c>
      <x:c r="O19" s="13" t="n">
        <x:v>2</x:v>
      </x:c>
      <x:c r="P19" s="13" t="str">
        <x:v>Weekly/monthly</x:v>
      </x:c>
      <x:c r="Q19" s="13" t="str">
        <x:v>Capacity rationalization</x:v>
      </x:c>
      <x:c r="R19" s="13" t="str">
        <x:v>Is capacity discipline industry-wide or temporary?</x:v>
      </x:c>
    </x:row>
    <x:row r="20">
      <x:c r="A20" s="13" t="str">
        <x:v>Industrials</x:v>
      </x:c>
      <x:c r="B20" s="13" t="str">
        <x:v>Transportation</x:v>
      </x:c>
      <x:c r="C20" s="13" t="str">
        <x:v>203030</x:v>
      </x:c>
      <x:c r="D20" s="13" t="str">
        <x:v>Marine Transportation</x:v>
      </x:c>
      <x:c r="E20" s="13" t="str">
        <x:v>Freight rate × vessel days − fuel/opex; ship supply orderbook and route demand drive economics.</x:v>
      </x:c>
      <x:c r="F20" s="13" t="str">
        <x:v>Spot/contract rates; utilization; fleet age; orderbook; scrapping; ton-miles; breakeven.</x:v>
      </x:c>
      <x:c r="G20" s="13" t="str">
        <x:v>Orderbook deliveries; port congestion; trade flows; canal constraints; commodity demand.</x:v>
      </x:c>
      <x:c r="H20" s="13" t="str">
        <x:v>Low-cost fleet, niche routes/contracts; otherwise weak moat.</x:v>
      </x:c>
      <x:c r="I20" s="13" t="str">
        <x:v>Very strong capital cycle: high rates trigger ship orders with 2–4 year delivery lag.</x:v>
      </x:c>
      <x:c r="J20" s="13" t="str">
        <x:v>NAV, EV/EBITDA, FCF yield, fleet value.</x:v>
      </x:c>
      <x:c r="K20" s="13" t="str">
        <x:v>Vessel values, depreciation, charter accounting, drydock capex.</x:v>
      </x:c>
      <x:c r="L20" s="13" t="str">
        <x:v>Fleet oversupply, rate collapse, leverage, geopolitics, environmental capex.</x:v>
      </x:c>
      <x:c r="M20" s="13" t="str">
        <x:v>Niche contracted operator with scarce specialized vessels and disciplined fleet growth.</x:v>
      </x:c>
      <x:c r="N20" s="13" t="str">
        <x:v>Orderbook tight + demand/ton-mile shock; congestion/geopolitical rerouting.</x:v>
      </x:c>
      <x:c r="O20" s="13" t="n">
        <x:v>3</x:v>
      </x:c>
      <x:c r="P20" s="13" t="str">
        <x:v>Weekly</x:v>
      </x:c>
      <x:c r="Q20" s="13" t="str">
        <x:v>Shipping supply-cycle</x:v>
      </x:c>
      <x:c r="R20" s="13" t="str">
        <x:v>What percentage of fleet capacity is already on order relative to demand growth?</x:v>
      </x:c>
    </x:row>
    <x:row r="21">
      <x:c r="A21" s="13" t="str">
        <x:v>Industrials</x:v>
      </x:c>
      <x:c r="B21" s="13" t="str">
        <x:v>Transportation</x:v>
      </x:c>
      <x:c r="C21" s="13" t="str">
        <x:v>203040</x:v>
      </x:c>
      <x:c r="D21" s="13" t="str">
        <x:v>Ground Transportation</x:v>
      </x:c>
      <x:c r="E21" s="13" t="str">
        <x:v>Rail/truck/bus volume × yield − labor/fuel/equipment; network density and capacity utilization determine margins.</x:v>
      </x:c>
      <x:c r="F21" s="13" t="str">
        <x:v>Carloads/loads; yield; OR; miles; driver/crew productivity; spot/contract rates; equipment utilization.</x:v>
      </x:c>
      <x:c r="G21" s="13" t="str">
        <x:v>Freight indices; inventory cycle; industrial production; truck exits; rail service metrics.</x:v>
      </x:c>
      <x:c r="H21" s="13" t="str">
        <x:v>Rail network/rights-of-way; terminal density; brokerage network; dedicated contracts.</x:v>
      </x:c>
      <x:c r="I21" s="13" t="str">
        <x:v>Truck capacity adjusts quickly through exits; rail infrastructure is effectively impossible to replicate.</x:v>
      </x:c>
      <x:c r="J21" s="13" t="str">
        <x:v>EV/EBITDA, P/E, FCF; rail normalized OR and capex.</x:v>
      </x:c>
      <x:c r="K21" s="13" t="str">
        <x:v>Equipment leases, fuel surcharges, pension, owner-operator classification.</x:v>
      </x:c>
      <x:c r="L21" s="13" t="str">
        <x:v>Freight recession, labor, regulation, service failure, capacity additions.</x:v>
      </x:c>
      <x:c r="M21" s="13" t="str">
        <x:v>Rail/network or niche fleet with density and pricing power.</x:v>
      </x:c>
      <x:c r="N21" s="13" t="str">
        <x:v>Truck capacity exits → rates turn; rail service improvement unlocks price/volume.</x:v>
      </x:c>
      <x:c r="O21" s="13" t="n">
        <x:v>4</x:v>
      </x:c>
      <x:c r="P21" s="13" t="str">
        <x:v>Weekly/monthly</x:v>
      </x:c>
      <x:c r="Q21" s="13" t="str">
        <x:v>Capacity / network moat</x:v>
      </x:c>
      <x:c r="R21" s="13" t="str">
        <x:v>What is the marginal carrier's cash breakeven and exit rate?</x:v>
      </x:c>
    </x:row>
    <x:row r="22">
      <x:c r="A22" s="13" t="str">
        <x:v>Industrials</x:v>
      </x:c>
      <x:c r="B22" s="13" t="str">
        <x:v>Transportation</x:v>
      </x:c>
      <x:c r="C22" s="13" t="str">
        <x:v>203050</x:v>
      </x:c>
      <x:c r="D22" s="13" t="str">
        <x:v>Transportation Infrastructure</x:v>
      </x:c>
      <x:c r="E22" s="13" t="str">
        <x:v>Passenger/cargo throughput × regulated/concession fees − operating/capex; often toll-road-like.</x:v>
      </x:c>
      <x:c r="F22" s="13" t="str">
        <x:v>Traffic; passengers; TEUs; aeronautical/non-aero revenue; tariff increases; capex; concession life.</x:v>
      </x:c>
      <x:c r="G22" s="13" t="str">
        <x:v>Travel volumes; trade; port congestion; government concessions; route additions.</x:v>
      </x:c>
      <x:c r="H22" s="13" t="str">
        <x:v>Scarce concession, location, network, regulatory barriers.</x:v>
      </x:c>
      <x:c r="I22" s="13" t="str">
        <x:v>Very long-lived, difficult-to-replicate assets; expansions slow and regulated.</x:v>
      </x:c>
      <x:c r="J22" s="13" t="str">
        <x:v>DCF, EV/EBITDA, concession NAV, dividend yield.</x:v>
      </x:c>
      <x:c r="K22" s="13" t="str">
        <x:v>Concession liabilities, capitalized interest, regulatory assets, maintenance capex.</x:v>
      </x:c>
      <x:c r="L22" s="13" t="str">
        <x:v>Traffic shock, political tariff controls, concession renewal, leverage.</x:v>
      </x:c>
      <x:c r="M22" s="13" t="str">
        <x:v>Long concession with inflation-linked pricing and growing throughput.</x:v>
      </x:c>
      <x:c r="N22" s="13" t="str">
        <x:v>Traffic recovery; tariff reset; capacity expansion commissioned.</x:v>
      </x:c>
      <x:c r="O22" s="13" t="n">
        <x:v>4</x:v>
      </x:c>
      <x:c r="P22" s="13" t="str">
        <x:v>Monthly/quarterly</x:v>
      </x:c>
      <x:c r="Q22" s="13" t="str">
        <x:v>Infrastructure toll-road</x:v>
      </x:c>
      <x:c r="R22" s="13" t="str">
        <x:v>How much pricing is contractual versus politically discretionary?</x:v>
      </x:c>
    </x:row>
    <x:row r="23">
      <x:c r="A23" s="13" t="str">
        <x:v>Consumer Discretionary</x:v>
      </x:c>
      <x:c r="B23" s="13" t="str">
        <x:v>Automobiles &amp; Components</x:v>
      </x:c>
      <x:c r="C23" s="13" t="str">
        <x:v>251010</x:v>
      </x:c>
      <x:c r="D23" s="13" t="str">
        <x:v>Automobile Components</x:v>
      </x:c>
      <x:c r="E23" s="13" t="str">
        <x:v>Vehicle production × content per vehicle × price − materials/labor; EV/ADAS can radically shift content.</x:v>
      </x:c>
      <x:c r="F23" s="13" t="str">
        <x:v>Global light vehicle production; content/vehicle; backlog; customer mix; margin; launches; warranty.</x:v>
      </x:c>
      <x:c r="G23" s="13" t="str">
        <x:v>OEM production schedules; vehicle inventories; EV penetration; platform awards; semiconductor supply.</x:v>
      </x:c>
      <x:c r="H23" s="13" t="str">
        <x:v>Qualification, platform lock-in, safety certification, engineering integration; OEM bargaining limits returns.</x:v>
      </x:c>
      <x:c r="I23" s="13" t="str">
        <x:v>Plant/tooling additions tied to programs; multi-year awards but rapid technology shifts.</x:v>
      </x:c>
      <x:c r="J23" s="13" t="str">
        <x:v>EV/EBITDA, P/E, FCF; normalize cycle and launch costs.</x:v>
      </x:c>
      <x:c r="K23" s="13" t="str">
        <x:v>Tooling reimbursements, warranty, restructuring, pension, program capitalized costs.</x:v>
      </x:c>
      <x:c r="L23" s="13" t="str">
        <x:v>OEM price-downs, platform loss, EV transition, recall, leverage.</x:v>
      </x:c>
      <x:c r="M23" s="13" t="str">
        <x:v>High-content niche supplier with IP, aftermarket or safety-critical products and diversified platforms.</x:v>
      </x:c>
      <x:c r="N23" s="13" t="str">
        <x:v>Production recovery + new content launch + fixed-cost absorption.</x:v>
      </x:c>
      <x:c r="O23" s="13" t="n">
        <x:v>4</x:v>
      </x:c>
      <x:c r="P23" s="13" t="str">
        <x:v>Monthly</x:v>
      </x:c>
      <x:c r="Q23" s="13" t="str">
        <x:v>Content-per-unit inflection</x:v>
      </x:c>
      <x:c r="R23" s="13" t="str">
        <x:v>Does content growth outweigh annual OEM price-downs and EV substitution risk?</x:v>
      </x:c>
    </x:row>
    <x:row r="24">
      <x:c r="A24" s="13" t="str">
        <x:v>Consumer Discretionary</x:v>
      </x:c>
      <x:c r="B24" s="13" t="str">
        <x:v>Automobiles &amp; Components</x:v>
      </x:c>
      <x:c r="C24" s="13" t="str">
        <x:v>251020</x:v>
      </x:c>
      <x:c r="D24" s="13" t="str">
        <x:v>Automobiles</x:v>
      </x:c>
      <x:c r="E24" s="13" t="str">
        <x:v>Vehicle units × ASP − materials/labor/warranty + financing/software; enormous fixed capital and product-cycle risk.</x:v>
      </x:c>
      <x:c r="F24" s="13" t="str">
        <x:v>Deliveries; ASP; incentives; inventory days; utilization; gross margin; FCF; warranty; finance penetration.</x:v>
      </x:c>
      <x:c r="G24" s="13" t="str">
        <x:v>Dealer inventory; incentives; order books; battery/raw materials; rates; used-car prices.</x:v>
      </x:c>
      <x:c r="H24" s="13" t="str">
        <x:v>Brand, scale, dealer/service network, software ecosystem, manufacturing efficiency.</x:v>
      </x:c>
      <x:c r="I24" s="13" t="str">
        <x:v>Capacity additions are large and slow; price wars can destroy returns rapidly.</x:v>
      </x:c>
      <x:c r="J24" s="13" t="str">
        <x:v>EV/EBITDA, P/E, FCF, sum-of-parts, enterprise value per unit/capacity.</x:v>
      </x:c>
      <x:c r="K24" s="13" t="str">
        <x:v>Lease residuals, warranty, captive finance credit, regulatory credits, capitalized development.</x:v>
      </x:c>
      <x:c r="L24" s="13" t="str">
        <x:v>Price wars, overcapacity, recalls, tech transition, financing losses.</x:v>
      </x:c>
      <x:c r="M24" s="13" t="str">
        <x:v>Rare: brand-led premium economics or capital-light ecosystem/service layer.</x:v>
      </x:c>
      <x:c r="N24" s="13" t="str">
        <x:v>Inventory tightens, incentives fall; plant utilization rises; model launch resets mix.</x:v>
      </x:c>
      <x:c r="O24" s="13" t="n">
        <x:v>2</x:v>
      </x:c>
      <x:c r="P24" s="13" t="str">
        <x:v>Monthly</x:v>
      </x:c>
      <x:c r="Q24" s="13" t="str">
        <x:v>Product-cycle / utilization</x:v>
      </x:c>
      <x:c r="R24" s="13" t="str">
        <x:v>What normalized ROIC survives a full auto cycle?</x:v>
      </x:c>
    </x:row>
    <x:row r="25">
      <x:c r="A25" s="13" t="str">
        <x:v>Consumer Discretionary</x:v>
      </x:c>
      <x:c r="B25" s="13" t="str">
        <x:v>Consumer Durables &amp; Apparel</x:v>
      </x:c>
      <x:c r="C25" s="13" t="str">
        <x:v>252010</x:v>
      </x:c>
      <x:c r="D25" s="13" t="str">
        <x:v>Household Durables</x:v>
      </x:c>
      <x:c r="E25" s="13" t="str">
        <x:v>Units × price/mix − materials/channel costs; homebuilding is land turns × gross margin.</x:v>
      </x:c>
      <x:c r="F25" s="13" t="str">
        <x:v>Orders; backlog; housing starts; cancellation; ASP; gross margin; inventory; land position.</x:v>
      </x:c>
      <x:c r="G25" s="13" t="str">
        <x:v>Mortgage rates; permits; builder sentiment; channel inventories; raw materials.</x:v>
      </x:c>
      <x:c r="H25" s="13" t="str">
        <x:v>Brand, distribution, design, land sourcing, local scale; varies widely.</x:v>
      </x:c>
      <x:c r="I25" s="13" t="str">
        <x:v>Homebuilding land cycle is long; appliances/furniture capacity responds faster.</x:v>
      </x:c>
      <x:c r="J25" s="13" t="str">
        <x:v>P/E, EV/EBITDA, P/B for builders, FCF; builders on normalized ROE/tangible book.</x:v>
      </x:c>
      <x:c r="K25" s="13" t="str">
        <x:v>Land impairments, incentives, inventory capitalization, warranty, channel stuffing.</x:v>
      </x:c>
      <x:c r="L25" s="13" t="str">
        <x:v>Housing downturn, inventory write-downs, promotional pressure, fashion obsolescence.</x:v>
      </x:c>
      <x:c r="M25" s="13" t="str">
        <x:v>Asset-light branded niche or disciplined homebuilder with superior land turns.</x:v>
      </x:c>
      <x:c r="N25" s="13" t="str">
        <x:v>Rates fall/order growth turns; channel destocking; gross margin recovers.</x:v>
      </x:c>
      <x:c r="O25" s="13" t="n">
        <x:v>3</x:v>
      </x:c>
      <x:c r="P25" s="13" t="str">
        <x:v>Monthly</x:v>
      </x:c>
      <x:c r="Q25" s="13" t="str">
        <x:v>Housing / inventory inflection</x:v>
      </x:c>
      <x:c r="R25" s="13" t="str">
        <x:v>Is inventory owned by the company, dealer, or customer—and where is the real excess?</x:v>
      </x:c>
    </x:row>
    <x:row r="26">
      <x:c r="A26" s="13" t="str">
        <x:v>Consumer Discretionary</x:v>
      </x:c>
      <x:c r="B26" s="13" t="str">
        <x:v>Consumer Durables &amp; Apparel</x:v>
      </x:c>
      <x:c r="C26" s="13" t="str">
        <x:v>252020</x:v>
      </x:c>
      <x:c r="D26" s="13" t="str">
        <x:v>Leisure Products</x:v>
      </x:c>
      <x:c r="E26" s="13" t="str">
        <x:v>Unit demand × ASP − manufacturing/marketing; enthusiast installed bases can drive accessories/consumables.</x:v>
      </x:c>
      <x:c r="F26" s="13" t="str">
        <x:v>Sell-through; dealer inventory; ASP; participation rates; backlog; gross margin; new products.</x:v>
      </x:c>
      <x:c r="G26" s="13" t="str">
        <x:v>Retail sell-through; channel inventory; consumer confidence; participation trends.</x:v>
      </x:c>
      <x:c r="H26" s="13" t="str">
        <x:v>Brand/community, IP, dealer network, installed base, ecosystem.</x:v>
      </x:c>
      <x:c r="I26" s="13" t="str">
        <x:v>Capacity generally flexible; fads and product cycles can be short.</x:v>
      </x:c>
      <x:c r="J26" s="13" t="str">
        <x:v>P/E, EV/EBITDA, FCF; normalize pandemic-like demand spikes.</x:v>
      </x:c>
      <x:c r="K26" s="13" t="str">
        <x:v>Dealer inventory, returns, capitalized development, promotional allowances.</x:v>
      </x:c>
      <x:c r="L26" s="13" t="str">
        <x:v>Fad reversal, dealer destocking, discretionary downturn, product failure.</x:v>
      </x:c>
      <x:c r="M26" s="13" t="str">
        <x:v>Niche enthusiast brand with repeat accessories/consumables and community moat.</x:v>
      </x:c>
      <x:c r="N26" s="13" t="str">
        <x:v>Channel inventory bottoms; new product cycle; participation reaccelerates.</x:v>
      </x:c>
      <x:c r="O26" s="13" t="n">
        <x:v>3</x:v>
      </x:c>
      <x:c r="P26" s="13" t="str">
        <x:v>Monthly/quarterly</x:v>
      </x:c>
      <x:c r="Q26" s="13" t="str">
        <x:v>Inventory / product cycle</x:v>
      </x:c>
      <x:c r="R26" s="13" t="str">
        <x:v>What is true end-consumer sell-through versus shipments into channel?</x:v>
      </x:c>
    </x:row>
    <x:row r="27">
      <x:c r="A27" s="13" t="str">
        <x:v>Consumer Discretionary</x:v>
      </x:c>
      <x:c r="B27" s="13" t="str">
        <x:v>Consumer Durables &amp; Apparel</x:v>
      </x:c>
      <x:c r="C27" s="13" t="str">
        <x:v>252030</x:v>
      </x:c>
      <x:c r="D27" s="13" t="str">
        <x:v>Textiles, Apparel &amp; Luxury Goods</x:v>
      </x:c>
      <x:c r="E27" s="13" t="str">
        <x:v>Units × ASP × gross margin − marketing/retail costs; luxury depends on brand scarcity and price integrity.</x:v>
      </x:c>
      <x:c r="F27" s="13" t="str">
        <x:v>Comparable sales; DTC mix; gross margin; inventory; full-price sell-through; store productivity.</x:v>
      </x:c>
      <x:c r="G27" s="13" t="str">
        <x:v>Search/social trends; tourism; wholesale inventories; China demand; discounting.</x:v>
      </x:c>
      <x:c r="H27" s="13" t="str">
        <x:v>Brand, heritage, scarcity, design, distribution control; low for commoditized apparel.</x:v>
      </x:c>
      <x:c r="I27" s="13" t="str">
        <x:v>Supply is easy for basic apparel, but authentic luxury brand equity takes decades.</x:v>
      </x:c>
      <x:c r="J27" s="13" t="str">
        <x:v>P/E, EV/EBITDA, FCF; brand/IP DCF; watch inventory-adjusted margins.</x:v>
      </x:c>
      <x:c r="K27" s="13" t="str">
        <x:v>Inventory reserves, wholesale returns, lease liabilities, marketing capitalization narratives.</x:v>
      </x:c>
      <x:c r="L27" s="13" t="str">
        <x:v>Fashion miss, discounting, brand dilution, inventory build, China slowdown.</x:v>
      </x:c>
      <x:c r="M27" s="13" t="str">
        <x:v>Luxury/niche brand with pricing power, controlled distribution and low dilution.</x:v>
      </x:c>
      <x:c r="N27" s="13" t="str">
        <x:v>Inventory cleared + gross margin normalization; new creative/product cycle.</x:v>
      </x:c>
      <x:c r="O27" s="13" t="n">
        <x:v>4</x:v>
      </x:c>
      <x:c r="P27" s="13" t="str">
        <x:v>Monthly</x:v>
      </x:c>
      <x:c r="Q27" s="13" t="str">
        <x:v>Brand compounder / inventory inflection</x:v>
      </x:c>
      <x:c r="R27" s="13" t="str">
        <x:v>Can price rise faster than inflation without increased discounting?</x:v>
      </x:c>
    </x:row>
    <x:row r="28">
      <x:c r="A28" s="13" t="str">
        <x:v>Consumer Discretionary</x:v>
      </x:c>
      <x:c r="B28" s="13" t="str">
        <x:v>Consumer Services</x:v>
      </x:c>
      <x:c r="C28" s="13" t="str">
        <x:v>253010</x:v>
      </x:c>
      <x:c r="D28" s="13" t="str">
        <x:v>Hotels, Restaurants &amp; Leisure</x:v>
      </x:c>
      <x:c r="E28" s="13" t="str">
        <x:v>Traffic/occupancy × price − labor/food/property costs; franchised models separate brand economics from asset ownership.</x:v>
      </x:c>
      <x:c r="F28" s="13" t="str">
        <x:v>Same-store sales; traffic; ADR/RevPAR; occupancy; unit growth; store margin; franchise mix.</x:v>
      </x:c>
      <x:c r="G28" s="13" t="str">
        <x:v>Reservations; credit-card spend; air travel; restaurant traffic; wage/food inflation.</x:v>
      </x:c>
      <x:c r="H28" s="13" t="str">
        <x:v>Brand, loyalty, franchise network, site density, unit economics, regulatory scarcity in gaming.</x:v>
      </x:c>
      <x:c r="I28" s="13" t="str">
        <x:v>Restaurants can add units in months/years; hotels/casinos/cruise capacity slower and capital intensive.</x:v>
      </x:c>
      <x:c r="J28" s="13" t="str">
        <x:v>P/E, EV/EBITDA, FCF; EV/room or unit economics where relevant.</x:v>
      </x:c>
      <x:c r="K28" s="13" t="str">
        <x:v>Franchise vs company-owned mix, pre-opening costs, loyalty liabilities, lease accounting.</x:v>
      </x:c>
      <x:c r="L28" s="13" t="str">
        <x:v>Traffic decline, wage inflation, oversaturation, weak new-unit returns, leverage.</x:v>
      </x:c>
      <x:c r="M28" s="13" t="str">
        <x:v>Asset-light franchise/royalty model with high unit ROIC and long runway.</x:v>
      </x:c>
      <x:c r="N28" s="13" t="str">
        <x:v>Traffic turns + price holds; food/wage cost eases; new-unit cohorts mature.</x:v>
      </x:c>
      <x:c r="O28" s="13" t="n">
        <x:v>5</x:v>
      </x:c>
      <x:c r="P28" s="13" t="str">
        <x:v>Weekly/monthly</x:v>
      </x:c>
      <x:c r="Q28" s="13" t="str">
        <x:v>Unit-economics compounder / margin inflection</x:v>
      </x:c>
      <x:c r="R28" s="13" t="str">
        <x:v>Are new units earning returns equal to or above mature cohorts after full occupancy/labor?</x:v>
      </x:c>
    </x:row>
    <x:row r="29">
      <x:c r="A29" s="13" t="str">
        <x:v>Consumer Discretionary</x:v>
      </x:c>
      <x:c r="B29" s="13" t="str">
        <x:v>Consumer Services</x:v>
      </x:c>
      <x:c r="C29" s="13" t="str">
        <x:v>253020</x:v>
      </x:c>
      <x:c r="D29" s="13" t="str">
        <x:v>Diversified Consumer Services</x:v>
      </x:c>
      <x:c r="E29" s="13" t="str">
        <x:v>Enrollment/membership/transaction volume × fee − service delivery and customer acquisition.</x:v>
      </x:c>
      <x:c r="F29" s="13" t="str">
        <x:v>Enrollments; retention; utilization; revenue/student/member; CAC; regulatory metrics.</x:v>
      </x:c>
      <x:c r="G29" s="13" t="str">
        <x:v>Employment trends; education demand; household formation; regulatory approvals.</x:v>
      </x:c>
      <x:c r="H29" s="13" t="str">
        <x:v>Accreditation, brand, local network, trust, switching friction.</x:v>
      </x:c>
      <x:c r="I29" s="13" t="str">
        <x:v>Capacity often scalable; regulation/accreditation can slow entrants.</x:v>
      </x:c>
      <x:c r="J29" s="13" t="str">
        <x:v>P/E, EV/EBITDA, FCF; cohort/unit economics.</x:v>
      </x:c>
      <x:c r="K29" s="13" t="str">
        <x:v>Deferred revenue, student financing, regulatory reserves, acquisition costs.</x:v>
      </x:c>
      <x:c r="L29" s="13" t="str">
        <x:v>Regulatory action, poor outcomes, CAC inflation, churn.</x:v>
      </x:c>
      <x:c r="M29" s="13" t="str">
        <x:v>Mission-critical service with recurring membership and reputation moat.</x:v>
      </x:c>
      <x:c r="N29" s="13" t="str">
        <x:v>Enrollment/member growth turns; regulatory overhang clears; utilization rises.</x:v>
      </x:c>
      <x:c r="O29" s="13" t="n">
        <x:v>3</x:v>
      </x:c>
      <x:c r="P29" s="13" t="str">
        <x:v>Quarterly</x:v>
      </x:c>
      <x:c r="Q29" s="13" t="str">
        <x:v>Cohort / regulatory inflection</x:v>
      </x:c>
      <x:c r="R29" s="13" t="str">
        <x:v>What objective customer outcome justifies retention and pricing?</x:v>
      </x:c>
    </x:row>
    <x:row r="30">
      <x:c r="A30" s="13" t="str">
        <x:v>Consumer Discretionary</x:v>
      </x:c>
      <x:c r="B30" s="13" t="str">
        <x:v>Consumer Discretionary Distribution &amp; Retail</x:v>
      </x:c>
      <x:c r="C30" s="13" t="str">
        <x:v>255010</x:v>
      </x:c>
      <x:c r="D30" s="13" t="str">
        <x:v>Distributors</x:v>
      </x:c>
      <x:c r="E30" s="13" t="str">
        <x:v>Wholesale volume × gross spread − logistics/working capital.</x:v>
      </x:c>
      <x:c r="F30" s="13" t="str">
        <x:v>Sales growth; gross margin; inventory turns; receivables; supplier concentration; ROIC.</x:v>
      </x:c>
      <x:c r="G30" s="13" t="str">
        <x:v>Retailer orders; channel inventories; freight; supplier lead times.</x:v>
      </x:c>
      <x:c r="H30" s="13" t="str">
        <x:v>Scale procurement, exclusive distribution rights, logistics density.</x:v>
      </x:c>
      <x:c r="I30" s="13" t="str">
        <x:v>Easy physical entry but relationships/exclusivity can be durable.</x:v>
      </x:c>
      <x:c r="J30" s="13" t="str">
        <x:v>EV/EBITDA, P/E, FCF; working-capital normalized.</x:v>
      </x:c>
      <x:c r="K30" s="13" t="str">
        <x:v>Inventory, rebates, returns, supplier incentives.</x:v>
      </x:c>
      <x:c r="L30" s="13" t="str">
        <x:v>Supplier bypass, retailer destocking, inventory obsolescence.</x:v>
      </x:c>
      <x:c r="M30" s="13" t="str">
        <x:v>Exclusive/niche distributor with high turns and fragmented end market.</x:v>
      </x:c>
      <x:c r="N30" s="13" t="str">
        <x:v>Destocking ends; supplier shortage improves spreads.</x:v>
      </x:c>
      <x:c r="O30" s="13" t="n">
        <x:v>3</x:v>
      </x:c>
      <x:c r="P30" s="13" t="str">
        <x:v>Monthly/quarterly</x:v>
      </x:c>
      <x:c r="Q30" s="13" t="str">
        <x:v>Distribution density / destocking</x:v>
      </x:c>
      <x:c r="R30" s="13" t="str">
        <x:v>Who controls the customer—the distributor or supplier?</x:v>
      </x:c>
    </x:row>
    <x:row r="31">
      <x:c r="A31" s="13" t="str">
        <x:v>Consumer Discretionary</x:v>
      </x:c>
      <x:c r="B31" s="13" t="str">
        <x:v>Consumer Discretionary Distribution &amp; Retail</x:v>
      </x:c>
      <x:c r="C31" s="13" t="str">
        <x:v>255030</x:v>
      </x:c>
      <x:c r="D31" s="13" t="str">
        <x:v>Broadline Retail</x:v>
      </x:c>
      <x:c r="E31" s="13" t="str">
        <x:v>Traffic × conversion × basket × gross margin − fulfillment/store/marketing cost.</x:v>
      </x:c>
      <x:c r="F31" s="13" t="str">
        <x:v>Comp sales; units; ticket; traffic; inventory; fulfillment cost; membership/ad revenue; ROIC.</x:v>
      </x:c>
      <x:c r="G31" s="13" t="str">
        <x:v>Consumer spending; web traffic; search trends; inventory; promotional intensity.</x:v>
      </x:c>
      <x:c r="H31" s="13" t="str">
        <x:v>Scale, logistics, membership, ecosystem, data, private label.</x:v>
      </x:c>
      <x:c r="I31" s="13" t="str">
        <x:v>Warehouses/logistics take years; digital competition can change rapidly.</x:v>
      </x:c>
      <x:c r="J31" s="13" t="str">
        <x:v>P/E, EV/EBITDA, FCF, GMV-based unit economics where relevant.</x:v>
      </x:c>
      <x:c r="K31" s="13" t="str">
        <x:v>Third-party gross vs net revenue, inventory, lease liabilities, fulfillment capex.</x:v>
      </x:c>
      <x:c r="L31" s="13" t="str">
        <x:v>Margin-dilutive growth, promotions, inventory errors, disintermediation.</x:v>
      </x:c>
      <x:c r="M31" s="13" t="str">
        <x:v>Membership/marketplace flywheel with high repeat frequency and improving ancillary monetization.</x:v>
      </x:c>
      <x:c r="N31" s="13" t="str">
        <x:v>Inventory normalizes; mix/ads/membership raise margin; competitor exits.</x:v>
      </x:c>
      <x:c r="O31" s="13" t="n">
        <x:v>4</x:v>
      </x:c>
      <x:c r="P31" s="13" t="str">
        <x:v>Weekly/monthly</x:v>
      </x:c>
      <x:c r="Q31" s="13" t="str">
        <x:v>Flywheel / margin mix-shift</x:v>
      </x:c>
      <x:c r="R31" s="13" t="str">
        <x:v>What part of gross profit comes from high-margin ancillary revenue versus merchandise?</x:v>
      </x:c>
    </x:row>
    <x:row r="32">
      <x:c r="A32" s="13" t="str">
        <x:v>Consumer Discretionary</x:v>
      </x:c>
      <x:c r="B32" s="13" t="str">
        <x:v>Consumer Discretionary Distribution &amp; Retail</x:v>
      </x:c>
      <x:c r="C32" s="13" t="str">
        <x:v>255040</x:v>
      </x:c>
      <x:c r="D32" s="13" t="str">
        <x:v>Specialty Retail</x:v>
      </x:c>
      <x:c r="E32" s="13" t="str">
        <x:v>Store/online traffic × conversion × ticket × gross margin − occupancy/labor/fulfillment.</x:v>
      </x:c>
      <x:c r="F32" s="13" t="str">
        <x:v>Comp sales; traffic; ticket; gross margin; inventory; store productivity; new-store payback.</x:v>
      </x:c>
      <x:c r="G32" s="13" t="str">
        <x:v>Credit-card spend; channel checks; housing/auto category trends; search traffic.</x:v>
      </x:c>
      <x:c r="H32" s="13" t="str">
        <x:v>Category authority, service expertise, distribution, private label, local scale.</x:v>
      </x:c>
      <x:c r="I32" s="13" t="str">
        <x:v>Stores can be added quickly; category expertise/brand takes longer.</x:v>
      </x:c>
      <x:c r="J32" s="13" t="str">
        <x:v>P/E, EV/EBITDA, FCF; unit economics and lease-adjusted returns.</x:v>
      </x:c>
      <x:c r="K32" s="13" t="str">
        <x:v>Inventory reserves, leases, vendor allowances, loyalty liabilities.</x:v>
      </x:c>
      <x:c r="L32" s="13" t="str">
        <x:v>Category slowdown, inventory markdowns, e-commerce pressure, overexpansion.</x:v>
      </x:c>
      <x:c r="M32" s="13" t="str">
        <x:v>Niche category leader with high turns, private label and strong new-store ROIC.</x:v>
      </x:c>
      <x:c r="N32" s="13" t="str">
        <x:v>Inventory clears; comp turns positive; gross margin normalizes.</x:v>
      </x:c>
      <x:c r="O32" s="13" t="n">
        <x:v>4</x:v>
      </x:c>
      <x:c r="P32" s="13" t="str">
        <x:v>Weekly/monthly</x:v>
      </x:c>
      <x:c r="Q32" s="13" t="str">
        <x:v>Unit economics / inventory inflection</x:v>
      </x:c>
      <x:c r="R32" s="13" t="str">
        <x:v>Are comp gains traffic-led or price-led, and what happens when inflation reverses?</x:v>
      </x:c>
    </x:row>
    <x:row r="33">
      <x:c r="A33" s="13" t="str">
        <x:v>Consumer Staples</x:v>
      </x:c>
      <x:c r="B33" s="13" t="str">
        <x:v>Consumer Staples Distribution &amp; Retail</x:v>
      </x:c>
      <x:c r="C33" s="13" t="str">
        <x:v>301010</x:v>
      </x:c>
      <x:c r="D33" s="13" t="str">
        <x:v>Consumer Staples Distribution &amp; Retail</x:v>
      </x:c>
      <x:c r="E33" s="13" t="str">
        <x:v>High-frequency volume × thin gross margin − logistics/labor; scale and turns dominate.</x:v>
      </x:c>
      <x:c r="F33" s="13" t="str">
        <x:v>Same-store sales; traffic; units; gross margin; inventory turns; shrink; private label; working capital.</x:v>
      </x:c>
      <x:c r="G33" s="13" t="str">
        <x:v>Food inflation; SNAP/consumer budgets; supplier pricing; shrink trends.</x:v>
      </x:c>
      <x:c r="H33" s="13" t="str">
        <x:v>Scale procurement, location density, distribution centers, loyalty data.</x:v>
      </x:c>
      <x:c r="I33" s="13" t="str">
        <x:v>Physical networks take years; margins remain structurally thin.</x:v>
      </x:c>
      <x:c r="J33" s="13" t="str">
        <x:v>P/E, EV/EBITDA, FCF, ROIC; inventory-turn adjusted.</x:v>
      </x:c>
      <x:c r="K33" s="13" t="str">
        <x:v>LIFO, supplier allowances, shrink reserves, leases.</x:v>
      </x:c>
      <x:c r="L33" s="13" t="str">
        <x:v>Price competition, wage inflation, shrink, weak pharmacy economics.</x:v>
      </x:c>
      <x:c r="M33" s="13" t="str">
        <x:v>High-turn retailer with private label, density and membership economics.</x:v>
      </x:c>
      <x:c r="N33" s="13" t="str">
        <x:v>Inflation moderates while unit volumes recover; shrink falls.</x:v>
      </x:c>
      <x:c r="O33" s="13" t="n">
        <x:v>3</x:v>
      </x:c>
      <x:c r="P33" s="13" t="str">
        <x:v>Monthly</x:v>
      </x:c>
      <x:c r="Q33" s="13" t="str">
        <x:v>Scale / margin normalization</x:v>
      </x:c>
      <x:c r="R33" s="13" t="str">
        <x:v>Can gross margin expand without sacrificing traffic?</x:v>
      </x:c>
    </x:row>
    <x:row r="34">
      <x:c r="A34" s="13" t="str">
        <x:v>Consumer Staples</x:v>
      </x:c>
      <x:c r="B34" s="13" t="str">
        <x:v>Food, Beverage &amp; Tobacco</x:v>
      </x:c>
      <x:c r="C34" s="13" t="str">
        <x:v>302010</x:v>
      </x:c>
      <x:c r="D34" s="13" t="str">
        <x:v>Beverages</x:v>
      </x:c>
      <x:c r="E34" s="13" t="str">
        <x:v>Volume × price/mix − concentrate/commodity/packaging/distribution costs; brand economics can be exceptional.</x:v>
      </x:c>
      <x:c r="F34" s="13" t="str">
        <x:v>Organic volume; price/mix; gross margin; concentrate mix; distributor inventory; market share.</x:v>
      </x:c>
      <x:c r="G34" s="13" t="str">
        <x:v>Retail scanner data; commodity inputs; channel inventories; emerging-market FX.</x:v>
      </x:c>
      <x:c r="H34" s="13" t="str">
        <x:v>Brand, distribution, shelf space, route-to-market, habitual consumption.</x:v>
      </x:c>
      <x:c r="I34" s="13" t="str">
        <x:v>Production easy relative to building brand/distribution; brand moat can last decades.</x:v>
      </x:c>
      <x:c r="J34" s="13" t="str">
        <x:v>P/E, EV/EBITDA, FCF, ROIC.</x:v>
      </x:c>
      <x:c r="K34" s="13" t="str">
        <x:v>Bottler consolidation, FX, commodity hedges, marketing spend.</x:v>
      </x:c>
      <x:c r="L34" s="13" t="str">
        <x:v>Volume elasticity, health/regulation, brand erosion, distributor conflict.</x:v>
      </x:c>
      <x:c r="M34" s="13" t="str">
        <x:v>Global/niche brand with pricing power, high repeat purchase and low incremental capital.</x:v>
      </x:c>
      <x:c r="N34" s="13" t="str">
        <x:v>Input costs fall while pricing holds; distribution expansion.</x:v>
      </x:c>
      <x:c r="O34" s="13" t="n">
        <x:v>5</x:v>
      </x:c>
      <x:c r="P34" s="13" t="str">
        <x:v>Monthly/quarterly</x:v>
      </x:c>
      <x:c r="Q34" s="13" t="str">
        <x:v>Brand compounder / price-cost</x:v>
      </x:c>
      <x:c r="R34" s="13" t="str">
        <x:v>Is price/mix being retained after commodity inflation recedes?</x:v>
      </x:c>
    </x:row>
    <x:row r="35">
      <x:c r="A35" s="13" t="str">
        <x:v>Consumer Staples</x:v>
      </x:c>
      <x:c r="B35" s="13" t="str">
        <x:v>Food, Beverage &amp; Tobacco</x:v>
      </x:c>
      <x:c r="C35" s="13" t="str">
        <x:v>302020</x:v>
      </x:c>
      <x:c r="D35" s="13" t="str">
        <x:v>Food Products</x:v>
      </x:c>
      <x:c r="E35" s="13" t="str">
        <x:v>Volume × price/mix − agricultural inputs/manufacturing/promotion; brands vary from commodity to durable.</x:v>
      </x:c>
      <x:c r="F35" s="13" t="str">
        <x:v>Volume; price/mix; gross margin; commodity basket; promotional spend; market share.</x:v>
      </x:c>
      <x:c r="G35" s="13" t="str">
        <x:v>Scanner data; crop/livestock prices; retailer inventories; private-label share.</x:v>
      </x:c>
      <x:c r="H35" s="13" t="str">
        <x:v>Brand, formulation, distribution, sourcing scale; weak for commodity processors.</x:v>
      </x:c>
      <x:c r="I35" s="13" t="str">
        <x:v>Commodity processing cyclical; branded capacity easy but brand building slow.</x:v>
      </x:c>
      <x:c r="J35" s="13" t="str">
        <x:v>P/E, EV/EBITDA, FCF, ROIC.</x:v>
      </x:c>
      <x:c r="K35" s="13" t="str">
        <x:v>Commodity hedges, biological/ag inputs, restructuring, trade spend.</x:v>
      </x:c>
      <x:c r="L35" s="13" t="str">
        <x:v>Private-label pressure, commodity spikes, volume erosion, brand overextension.</x:v>
      </x:c>
      <x:c r="M35" s="13" t="str">
        <x:v>Niche branded food with loyal repeat purchase and distribution runway.</x:v>
      </x:c>
      <x:c r="N35" s="13" t="str">
        <x:v>Price-cost spread widens; volume recovers after inflation shock.</x:v>
      </x:c>
      <x:c r="O35" s="13" t="n">
        <x:v>3</x:v>
      </x:c>
      <x:c r="P35" s="13" t="str">
        <x:v>Monthly</x:v>
      </x:c>
      <x:c r="Q35" s="13" t="str">
        <x:v>Brand / price-cost inflection</x:v>
      </x:c>
      <x:c r="R35" s="13" t="str">
        <x:v>Is volume loss temporary elasticity or structural share loss?</x:v>
      </x:c>
    </x:row>
    <x:row r="36">
      <x:c r="A36" s="13" t="str">
        <x:v>Consumer Staples</x:v>
      </x:c>
      <x:c r="B36" s="13" t="str">
        <x:v>Food, Beverage &amp; Tobacco</x:v>
      </x:c>
      <x:c r="C36" s="13" t="str">
        <x:v>302030</x:v>
      </x:c>
      <x:c r="D36" s="13" t="str">
        <x:v>Tobacco</x:v>
      </x:c>
      <x:c r="E36" s="13" t="str">
        <x:v>Nicotine users × price/mix − manufacturing/marketing/tax; combustible decline offset by pricing and next-gen products.</x:v>
      </x:c>
      <x:c r="F36" s="13" t="str">
        <x:v>Volumes; price/mix; market share; reduced-risk product users; excise tax; FCF; buybacks.</x:v>
      </x:c>
      <x:c r="G36" s="13" t="str">
        <x:v>Regulation; illicit trade; new-product approvals; cigarette volumes.</x:v>
      </x:c>
      <x:c r="H36" s="13" t="str">
        <x:v>Brand, addiction/habit, distribution, regulatory barriers.</x:v>
      </x:c>
      <x:c r="I36" s="13" t="str">
        <x:v>New entrants constrained by regulation; category volume structurally declining.</x:v>
      </x:c>
      <x:c r="J36" s="13" t="str">
        <x:v>P/E, FCF yield, dividend yield, DCF with declining volumes.</x:v>
      </x:c>
      <x:c r="K36" s="13" t="str">
        <x:v>Litigation reserves, excise taxes, pension, regulatory provisions.</x:v>
      </x:c>
      <x:c r="L36" s="13" t="str">
        <x:v>Regulation, litigation, accelerated volume decline, failed next-gen transition.</x:v>
      </x:c>
      <x:c r="M36" s="13" t="str">
        <x:v>Cash-generative franchise that transitions users to durable reduced-risk platform.</x:v>
      </x:c>
      <x:c r="N36" s="13" t="str">
        <x:v>New product approval/adoption; price exceeds volume decline.</x:v>
      </x:c>
      <x:c r="O36" s="13" t="n">
        <x:v>2</x:v>
      </x:c>
      <x:c r="P36" s="13" t="str">
        <x:v>Quarterly</x:v>
      </x:c>
      <x:c r="Q36" s="13" t="str">
        <x:v>Cash harvest / product transition</x:v>
      </x:c>
      <x:c r="R36" s="13" t="str">
        <x:v>What terminal decline rate and regulatory outcome does valuation require?</x:v>
      </x:c>
    </x:row>
    <x:row r="37">
      <x:c r="A37" s="13" t="str">
        <x:v>Consumer Staples</x:v>
      </x:c>
      <x:c r="B37" s="13" t="str">
        <x:v>Household &amp; Personal Products</x:v>
      </x:c>
      <x:c r="C37" s="13" t="str">
        <x:v>303010</x:v>
      </x:c>
      <x:c r="D37" s="13" t="str">
        <x:v>Household Products</x:v>
      </x:c>
      <x:c r="E37" s="13" t="str">
        <x:v>Recurring unit consumption × price/mix − commodities/marketing; mature but resilient.</x:v>
      </x:c>
      <x:c r="F37" s="13" t="str">
        <x:v>Organic sales; volume; price/mix; gross margin; market share; ad spend.</x:v>
      </x:c>
      <x:c r="G37" s="13" t="str">
        <x:v>Scanner data; pulp/resin/chemical inputs; retailer inventories.</x:v>
      </x:c>
      <x:c r="H37" s="13" t="str">
        <x:v>Brand, shelf space, habit, scale purchasing.</x:v>
      </x:c>
      <x:c r="I37" s="13" t="str">
        <x:v>Capacity easy; brand/distribution hard.</x:v>
      </x:c>
      <x:c r="J37" s="13" t="str">
        <x:v>P/E, EV/EBITDA, FCF, ROIC.</x:v>
      </x:c>
      <x:c r="K37" s="13" t="str">
        <x:v>Restructuring, trade spend, commodity hedges, FX.</x:v>
      </x:c>
      <x:c r="L37" s="13" t="str">
        <x:v>Private label, brand erosion, persistent volume loss.</x:v>
      </x:c>
      <x:c r="M37" s="13" t="str">
        <x:v>Category leader with habitual use, pricing power and emerging-market runway.</x:v>
      </x:c>
      <x:c r="N37" s="13" t="str">
        <x:v>Commodity deflation while pricing sticks; innovation lifts mix.</x:v>
      </x:c>
      <x:c r="O37" s="13" t="n">
        <x:v>3</x:v>
      </x:c>
      <x:c r="P37" s="13" t="str">
        <x:v>Quarterly</x:v>
      </x:c>
      <x:c r="Q37" s="13" t="str">
        <x:v>Brand / price-cost</x:v>
      </x:c>
      <x:c r="R37" s="13" t="str">
        <x:v>Is marketing spend maintaining share or masking weak organic demand?</x:v>
      </x:c>
    </x:row>
    <x:row r="38">
      <x:c r="A38" s="13" t="str">
        <x:v>Consumer Staples</x:v>
      </x:c>
      <x:c r="B38" s="13" t="str">
        <x:v>Household &amp; Personal Products</x:v>
      </x:c>
      <x:c r="C38" s="13" t="str">
        <x:v>303020</x:v>
      </x:c>
      <x:c r="D38" s="13" t="str">
        <x:v>Personal Care Products</x:v>
      </x:c>
      <x:c r="E38" s="13" t="str">
        <x:v>Repeat consumption × premium price − formulation/marketing/distribution; innovation and brand matter.</x:v>
      </x:c>
      <x:c r="F38" s="13" t="str">
        <x:v>Organic growth; volume; price/mix; DTC/retail mix; gross margin; CAC; repeat rates.</x:v>
      </x:c>
      <x:c r="G38" s="13" t="str">
        <x:v>Retail sell-through; social/search trends; channel expansion; beauty category growth.</x:v>
      </x:c>
      <x:c r="H38" s="13" t="str">
        <x:v>Brand, formulation, community, shelf access, dermatologist/professional endorsement.</x:v>
      </x:c>
      <x:c r="I38" s="13" t="str">
        <x:v>Manufacturing easy; durable brand/community difficult.</x:v>
      </x:c>
      <x:c r="J38" s="13" t="str">
        <x:v>P/E, EV/EBITDA, FCF; cohort economics for DTC-heavy names.</x:v>
      </x:c>
      <x:c r="K38" s="13" t="str">
        <x:v>Channel inventory, returns, marketing capitalization narratives, acquisition intangibles.</x:v>
      </x:c>
      <x:c r="L38" s="13" t="str">
        <x:v>Trend reversal, CAC inflation, retailer concentration, brand fad.</x:v>
      </x:c>
      <x:c r="M38" s="13" t="str">
        <x:v>Niche brand with high repeat purchase, low CAC and large distribution white space.</x:v>
      </x:c>
      <x:c r="N38" s="13" t="str">
        <x:v>Retail rollout + repeat rates hold; gross margin scales.</x:v>
      </x:c>
      <x:c r="O38" s="13" t="n">
        <x:v>4</x:v>
      </x:c>
      <x:c r="P38" s="13" t="str">
        <x:v>Monthly</x:v>
      </x:c>
      <x:c r="Q38" s="13" t="str">
        <x:v>Brand/distribution compounder</x:v>
      </x:c>
      <x:c r="R38" s="13" t="str">
        <x:v>How much growth comes from repeat customers versus paid acquisition?</x:v>
      </x:c>
    </x:row>
    <x:row r="39">
      <x:c r="A39" s="13" t="str">
        <x:v>Health Care</x:v>
      </x:c>
      <x:c r="B39" s="13" t="str">
        <x:v>Health Care Equipment &amp; Services</x:v>
      </x:c>
      <x:c r="C39" s="13" t="str">
        <x:v>351010</x:v>
      </x:c>
      <x:c r="D39" s="13" t="str">
        <x:v>Health Care Equipment &amp; Supplies</x:v>
      </x:c>
      <x:c r="E39" s="13" t="str">
        <x:v>Procedures/installed base × device/consumable content − manufacturing/R&amp;D/sales; recurring consumables can dominate economics.</x:v>
      </x:c>
      <x:c r="F39" s="13" t="str">
        <x:v>Procedure volumes; installed base; placements; utilization; consumable pull-through; ASP; gross margin; R&amp;D.</x:v>
      </x:c>
      <x:c r="G39" s="13" t="str">
        <x:v>Procedure data; hospital capex; reimbursement; FDA approvals; competitor recalls.</x:v>
      </x:c>
      <x:c r="H39" s="13" t="str">
        <x:v>Clinical evidence, regulatory approval, surgeon workflow, installed base, patents, switching/retraining cost.</x:v>
      </x:c>
      <x:c r="I39" s="13" t="str">
        <x:v>Qualification/regulatory cycles slow entry; capacity often less constraining than adoption.</x:v>
      </x:c>
      <x:c r="J39" s="13" t="str">
        <x:v>P/E, EV/EBITDA, DCF; installed-base plus consumables model.</x:v>
      </x:c>
      <x:c r="K39" s="13" t="str">
        <x:v>Capitalized R&amp;D/acquired IPR&amp;D, stock comp, contingent consideration, warranty.</x:v>
      </x:c>
      <x:c r="L39" s="13" t="str">
        <x:v>Clinical failure, reimbursement cut, recall, new technology, hospital budget pressure.</x:v>
      </x:c>
      <x:c r="M39" s="13" t="str">
        <x:v>Razor/razorblade medtech with growing installed base and high-margin recurring consumables.</x:v>
      </x:c>
      <x:c r="N39" s="13" t="str">
        <x:v>Procedure recovery; new indication; reimbursement win; installed-base utilization inflects.</x:v>
      </x:c>
      <x:c r="O39" s="13" t="n">
        <x:v>5</x:v>
      </x:c>
      <x:c r="P39" s="13" t="str">
        <x:v>Monthly/quarterly</x:v>
      </x:c>
      <x:c r="Q39" s="13" t="str">
        <x:v>Installed-base compounder</x:v>
      </x:c>
      <x:c r="R39" s="13" t="str">
        <x:v>What recurring revenue is generated per installed system over its lifetime?</x:v>
      </x:c>
    </x:row>
    <x:row r="40">
      <x:c r="A40" s="13" t="str">
        <x:v>Health Care</x:v>
      </x:c>
      <x:c r="B40" s="13" t="str">
        <x:v>Health Care Equipment &amp; Services</x:v>
      </x:c>
      <x:c r="C40" s="13" t="str">
        <x:v>351020</x:v>
      </x:c>
      <x:c r="D40" s="13" t="str">
        <x:v>Health Care Providers &amp; Services</x:v>
      </x:c>
      <x:c r="E40" s="13" t="str">
        <x:v>Patient/member volume × reimbursement − labor/medical cost; payors depend on premiums minus claims.</x:v>
      </x:c>
      <x:c r="F40" s="13" t="str">
        <x:v>Admissions; procedures; occupancy; reimbursement; labor cost; MLR; membership; payer mix; same-store revenue.</x:v>
      </x:c>
      <x:c r="G40" s="13" t="str">
        <x:v>Utilization; wage rates; CMS rates; enrollment; flu/seasonality; policy changes.</x:v>
      </x:c>
      <x:c r="H40" s="13" t="str">
        <x:v>Local scale, physician networks, payer contracts, provider density, data.</x:v>
      </x:c>
      <x:c r="I40" s="13" t="str">
        <x:v>Local capacity and regulation can constrain entry; labor remains variable bottleneck.</x:v>
      </x:c>
      <x:c r="J40" s="13" t="str">
        <x:v>EV/EBITDA, P/E, FCF; payors on P/E/tangible capital; facilities on leverage-adjusted FCF.</x:v>
      </x:c>
      <x:c r="K40" s="13" t="str">
        <x:v>Risk adjustment, medical reserves, provider receivables, leases, supplemental payments.</x:v>
      </x:c>
      <x:c r="L40" s="13" t="str">
        <x:v>Reimbursement cuts, utilization spikes, labor inflation, regulatory change, leverage.</x:v>
      </x:c>
      <x:c r="M40" s="13" t="str">
        <x:v>Specialized provider with local density, repeat referrals, low capex and favorable reimbursement.</x:v>
      </x:c>
      <x:c r="N40" s="13" t="str">
        <x:v>Labor normalizes; reimbursement catches cost inflation; utilization mix improves.</x:v>
      </x:c>
      <x:c r="O40" s="13" t="n">
        <x:v>4</x:v>
      </x:c>
      <x:c r="P40" s="13" t="str">
        <x:v>Monthly</x:v>
      </x:c>
      <x:c r="Q40" s="13" t="str">
        <x:v>Reimbursement / utilization inflection</x:v>
      </x:c>
      <x:c r="R40" s="13" t="str">
        <x:v>Who bears medical-cost inflation and how quickly can reimbursement reset?</x:v>
      </x:c>
    </x:row>
    <x:row r="41">
      <x:c r="A41" s="13" t="str">
        <x:v>Health Care</x:v>
      </x:c>
      <x:c r="B41" s="13" t="str">
        <x:v>Health Care Equipment &amp; Services</x:v>
      </x:c>
      <x:c r="C41" s="13" t="str">
        <x:v>351030</x:v>
      </x:c>
      <x:c r="D41" s="13" t="str">
        <x:v>Health Care Technology</x:v>
      </x:c>
      <x:c r="E41" s="13" t="str">
        <x:v>Subscription/transaction revenue from provider/payor workflows − R&amp;D/sales; value tied to embedded workflows and data.</x:v>
      </x:c>
      <x:c r="F41" s="13" t="str">
        <x:v>ARR; retention; bookings; implementation backlog; gross margin; sales efficiency; client count.</x:v>
      </x:c>
      <x:c r="G41" s="13" t="str">
        <x:v>Hospital IT budgets; regulatory mandates; contract wins; provider consolidation.</x:v>
      </x:c>
      <x:c r="H41" s="13" t="str">
        <x:v>Workflow integration, proprietary data, switching costs, regulatory complexity.</x:v>
      </x:c>
      <x:c r="I41" s="13" t="str">
        <x:v>Software supply easy, but replacing clinical/admin workflows is slow and risky.</x:v>
      </x:c>
      <x:c r="J41" s="13" t="str">
        <x:v>EV/ARR, EV/FCF, P/E for mature; Rule-of-40 style unit economics with caution.</x:v>
      </x:c>
      <x:c r="K41" s="13" t="str">
        <x:v>Capitalized implementation/software, stock comp, contract assets, acquisition intangibles.</x:v>
      </x:c>
      <x:c r="L41" s="13" t="str">
        <x:v>Long implementations, customer concentration, interoperability disruption, AI commoditization.</x:v>
      </x:c>
      <x:c r="M41" s="13" t="str">
        <x:v>Vertical workflow platform with high GRR and expansion into adjacent modules.</x:v>
      </x:c>
      <x:c r="N41" s="13" t="str">
        <x:v>Bookings acceleration; implementation bottleneck clears; margin expands.</x:v>
      </x:c>
      <x:c r="O41" s="13" t="n">
        <x:v>5</x:v>
      </x:c>
      <x:c r="P41" s="13" t="str">
        <x:v>Quarterly</x:v>
      </x:c>
      <x:c r="Q41" s="13" t="str">
        <x:v>Vertical software compounder</x:v>
      </x:c>
      <x:c r="R41" s="13" t="str">
        <x:v>What is gross retention after excluding acquisitions and cross-sell?</x:v>
      </x:c>
    </x:row>
    <x:row r="42">
      <x:c r="A42" s="13" t="str">
        <x:v>Health Care</x:v>
      </x:c>
      <x:c r="B42" s="13" t="str">
        <x:v>Pharmaceuticals, Biotechnology &amp; Life Sciences</x:v>
      </x:c>
      <x:c r="C42" s="13" t="str">
        <x:v>352010</x:v>
      </x:c>
      <x:c r="D42" s="13" t="str">
        <x:v>Biotechnology</x:v>
      </x:c>
      <x:c r="E42" s="13" t="str">
        <x:v>Probability-adjusted future drug cash flows; value changes discontinuously with clinical/regulatory evidence.</x:v>
      </x:c>
      <x:c r="F42" s="13" t="str">
        <x:v>Trial endpoints; enrollment; safety; cash runway; burn; probability of success; addressable patients; pricing.</x:v>
      </x:c>
      <x:c r="G42" s="13" t="str">
        <x:v>Clinical readouts; FDA/EMA meetings; competitor data; enrollment updates; financing.</x:v>
      </x:c>
      <x:c r="H42" s="13" t="str">
        <x:v>Patents, biological insight, clinical differentiation, manufacturing know-how.</x:v>
      </x:c>
      <x:c r="I42" s="13" t="str">
        <x:v>Entry can be fast scientifically but development takes years; capital markets matter.</x:v>
      </x:c>
      <x:c r="J42" s="13" t="str">
        <x:v>rNPV, probability-adjusted DCF, EV/cash for preclinical context—not conventional P/E.</x:v>
      </x:c>
      <x:c r="K42" s="13" t="str">
        <x:v>R&amp;D capitalization narratives, milestone accounting, stock-based comp, warrant dilution.</x:v>
      </x:c>
      <x:c r="L42" s="13" t="str">
        <x:v>Trial failure, safety, financing dilution, competitor superiority, patent weakness.</x:v>
      </x:c>
      <x:c r="M42" s="13" t="str">
        <x:v>Platform with repeated validated biology and self-funded pipeline is rare but valuable.</x:v>
      </x:c>
      <x:c r="N42" s="13" t="str">
        <x:v>Binary/milestone catalyst where market misestimates probability or commercial magnitude.</x:v>
      </x:c>
      <x:c r="O42" s="13" t="n">
        <x:v>4</x:v>
      </x:c>
      <x:c r="P42" s="13" t="str">
        <x:v>Event-driven</x:v>
      </x:c>
      <x:c r="Q42" s="13" t="str">
        <x:v>Clinical probability inflection</x:v>
      </x:c>
      <x:c r="R42" s="13" t="str">
        <x:v>What exact evidence changes probability of technical and regulatory success?</x:v>
      </x:c>
    </x:row>
    <x:row r="43">
      <x:c r="A43" s="13" t="str">
        <x:v>Health Care</x:v>
      </x:c>
      <x:c r="B43" s="13" t="str">
        <x:v>Pharmaceuticals, Biotechnology &amp; Life Sciences</x:v>
      </x:c>
      <x:c r="C43" s="13" t="str">
        <x:v>352020</x:v>
      </x:c>
      <x:c r="D43" s="13" t="str">
        <x:v>Pharmaceuticals</x:v>
      </x:c>
      <x:c r="E43" s="13" t="str">
        <x:v>Drug volume × net price over patent life − COGS/R&amp;D/SG&amp;A; portfolio must replace patent expirations.</x:v>
      </x:c>
      <x:c r="F43" s="13" t="str">
        <x:v>Prescription volume; new-to-brand; net price; gross-to-net; patent dates; pipeline NPV; R&amp;D productivity.</x:v>
      </x:c>
      <x:c r="G43" s="13" t="str">
        <x:v>Prescription data; formulary coverage; trial readouts; FDA decisions; generic/biosimilar entries.</x:v>
      </x:c>
      <x:c r="H43" s="13" t="str">
        <x:v>Patents, clinical differentiation, physician trust, manufacturing, commercial scale.</x:v>
      </x:c>
      <x:c r="I43" s="13" t="str">
        <x:v>Patents create temporary monopolies; competitive response accelerates after success.</x:v>
      </x:c>
      <x:c r="J43" s="13" t="str">
        <x:v>P/E, EV/EBITDA, DCF by product, SOTP/rNPV.</x:v>
      </x:c>
      <x:c r="K43" s="13" t="str">
        <x:v>Gross-to-net accruals, acquired IPR&amp;D, milestone payments, restructuring.</x:v>
      </x:c>
      <x:c r="L43" s="13" t="str">
        <x:v>Patent cliffs, safety, pricing regulation, pipeline failure.</x:v>
      </x:c>
      <x:c r="M43" s="13" t="str">
        <x:v>Specialty pharma with durable orphan/niche franchises and disciplined pipeline acquisition.</x:v>
      </x:c>
      <x:c r="N43" s="13" t="str">
        <x:v>Launch inflection, label expansion, competitor setback, patent litigation resolution.</x:v>
      </x:c>
      <x:c r="O43" s="13" t="n">
        <x:v>4</x:v>
      </x:c>
      <x:c r="P43" s="13" t="str">
        <x:v>Weekly/monthly</x:v>
      </x:c>
      <x:c r="Q43" s="13" t="str">
        <x:v>Product-cycle / patent inflection</x:v>
      </x:c>
      <x:c r="R43" s="13" t="str">
        <x:v>What proportion of enterprise value depends on assets within five years of loss of exclusivity?</x:v>
      </x:c>
    </x:row>
    <x:row r="44">
      <x:c r="A44" s="13" t="str">
        <x:v>Health Care</x:v>
      </x:c>
      <x:c r="B44" s="13" t="str">
        <x:v>Pharmaceuticals, Biotechnology &amp; Life Sciences</x:v>
      </x:c>
      <x:c r="C44" s="13" t="str">
        <x:v>352030</x:v>
      </x:c>
      <x:c r="D44" s="13" t="str">
        <x:v>Life Sciences Tools &amp; Services</x:v>
      </x:c>
      <x:c r="E44" s="13" t="str">
        <x:v>Instrument placements + consumables/services tied to research/bioprocess activity; installed-base model can be excellent.</x:v>
      </x:c>
      <x:c r="F44" s="13" t="str">
        <x:v>Instrument orders; consumables pull-through; bioprocess demand; book-to-bill; China exposure; R&amp;D funding.</x:v>
      </x:c>
      <x:c r="G44" s="13" t="str">
        <x:v>Biotech funding; NIH budgets; bioprocess utilization; pharma R&amp;D; China stimulus/regulation.</x:v>
      </x:c>
      <x:c r="H44" s="13" t="str">
        <x:v>Installed base, proprietary consumables, workflow validation, regulatory quality systems.</x:v>
      </x:c>
      <x:c r="I44" s="13" t="str">
        <x:v>Instrument competitors can emerge, but consumable workflows and validation create switching costs.</x:v>
      </x:c>
      <x:c r="J44" s="13" t="str">
        <x:v>P/E, EV/EBITDA, FCF, installed-base DCF.</x:v>
      </x:c>
      <x:c r="K44" s="13" t="str">
        <x:v>Channel inventory, COVID normalization, acquired intangibles, restructuring.</x:v>
      </x:c>
      <x:c r="L44" s="13" t="str">
        <x:v>Biotech funding downturn, destocking, China weakness, technology obsolescence.</x:v>
      </x:c>
      <x:c r="M44" s="13" t="str">
        <x:v>Instrument/consumable platform with high recurring pull-through and expanding applications.</x:v>
      </x:c>
      <x:c r="N44" s="13" t="str">
        <x:v>Destocking ends; bioprocess utilization rebounds; new instrument cycle.</x:v>
      </x:c>
      <x:c r="O44" s="13" t="n">
        <x:v>5</x:v>
      </x:c>
      <x:c r="P44" s="13" t="str">
        <x:v>Monthly</x:v>
      </x:c>
      <x:c r="Q44" s="13" t="str">
        <x:v>Installed-base / destocking</x:v>
      </x:c>
      <x:c r="R44" s="13" t="str">
        <x:v>What consumables revenue is generated per installed instrument and how stable is it through funding cycles?</x:v>
      </x:c>
    </x:row>
    <x:row r="45">
      <x:c r="A45" s="13" t="str">
        <x:v>Financials</x:v>
      </x:c>
      <x:c r="B45" s="13" t="str">
        <x:v>Banks</x:v>
      </x:c>
      <x:c r="C45" s="13" t="str">
        <x:v>401010</x:v>
      </x:c>
      <x:c r="D45" s="13" t="str">
        <x:v>Banks</x:v>
      </x:c>
      <x:c r="E45" s="13" t="str">
        <x:v>Earning assets × NIM + fees − credit losses − opex; deposit franchise and underwriting determine long-run ROE.</x:v>
      </x:c>
      <x:c r="F45" s="13" t="str">
        <x:v>Deposit growth/mix/cost; NIM; loan growth; NCOs; criticized assets; CET1; tangible book; efficiency ratio.</x:v>
      </x:c>
      <x:c r="G45" s="13" t="str">
        <x:v>Yield curve; deposit betas; delinquencies; CRE values; loan officer surveys; funding competition.</x:v>
      </x:c>
      <x:c r="H45" s="13" t="str">
        <x:v>Low-cost core deposits, local relationships, underwriting culture, scale in niche verticals.</x:v>
      </x:c>
      <x:c r="I45" s="13" t="str">
        <x:v>Balance-sheet growth constrained by capital/liquidity; credit cycles can take years to surface.</x:v>
      </x:c>
      <x:c r="J45" s="13" t="str">
        <x:v>P/TBV, P/E, ROTCE, dividend discount.</x:v>
      </x:c>
      <x:c r="K45" s="13" t="str">
        <x:v>CECL reserves, AOCI, held-to-maturity marks, nonaccruals, deposit classification.</x:v>
      </x:c>
      <x:c r="L45" s="13" t="str">
        <x:v>Credit losses, deposit flight, duration mismatch, CRE concentration, weak capital.</x:v>
      </x:c>
      <x:c r="M45" s="13" t="str">
        <x:v>Niche bank with durable low-cost deposits, conservative underwriting and fee income.</x:v>
      </x:c>
      <x:c r="N45" s="13" t="str">
        <x:v>Deposit costs peak + asset yields reprice; credit fears prove overdone.</x:v>
      </x:c>
      <x:c r="O45" s="13" t="n">
        <x:v>5</x:v>
      </x:c>
      <x:c r="P45" s="13" t="str">
        <x:v>Weekly/monthly</x:v>
      </x:c>
      <x:c r="Q45" s="13" t="str">
        <x:v>NIM / credit inflection</x:v>
      </x:c>
      <x:c r="R45" s="13" t="str">
        <x:v>What losses are embedded in tangible book after marking securities and loans economically?</x:v>
      </x:c>
    </x:row>
    <x:row r="46">
      <x:c r="A46" s="13" t="str">
        <x:v>Financials</x:v>
      </x:c>
      <x:c r="B46" s="13" t="str">
        <x:v>Financial Services</x:v>
      </x:c>
      <x:c r="C46" s="13" t="str">
        <x:v>402010</x:v>
      </x:c>
      <x:c r="D46" s="13" t="str">
        <x:v>Financial Services</x:v>
      </x:c>
      <x:c r="E46" s="13" t="str">
        <x:v>Varies: diversified finance, payments, specialty lending, holding companies; core is spread/fees × volume minus losses/capital.</x:v>
      </x:c>
      <x:c r="F46" s="13" t="str">
        <x:v>Transaction volume; take rate; funding cost; credit losses; assets under management where relevant; capital returns.</x:v>
      </x:c>
      <x:c r="G46" s="13" t="str">
        <x:v>Consumer spend; rates; funding markets; merchant volumes; regulatory changes.</x:v>
      </x:c>
      <x:c r="H46" s="13" t="str">
        <x:v>Networks, licenses, data, low-cost funding, distribution, scale.</x:v>
      </x:c>
      <x:c r="I46" s="13" t="str">
        <x:v>Network businesses compound slowly; lenders' capacity follows funding and credit cycles.</x:v>
      </x:c>
      <x:c r="J46" s="13" t="str">
        <x:v>P/E, P/TBV, EV/EBITDA for fee businesses, DCF/SOTP.</x:v>
      </x:c>
      <x:c r="K46" s="13" t="str">
        <x:v>Securitization, gain-on-sale, fair value, CECL, regulatory capital.</x:v>
      </x:c>
      <x:c r="L46" s="13" t="str">
        <x:v>Funding shock, regulation, credit loss, take-rate compression.</x:v>
      </x:c>
      <x:c r="M46" s="13" t="str">
        <x:v>Payment/network or specialty finance niche with data advantage and low losses.</x:v>
      </x:c>
      <x:c r="N46" s="13" t="str">
        <x:v>Funding costs fall; transaction mix improves; credit cycle stabilizes.</x:v>
      </x:c>
      <x:c r="O46" s="13" t="n">
        <x:v>5</x:v>
      </x:c>
      <x:c r="P46" s="13" t="str">
        <x:v>Weekly/monthly</x:v>
      </x:c>
      <x:c r="Q46" s="13" t="str">
        <x:v>Network / spread inflection</x:v>
      </x:c>
      <x:c r="R46" s="13" t="str">
        <x:v>Is growth consuming capital or generating self-funded network economics?</x:v>
      </x:c>
    </x:row>
    <x:row r="47">
      <x:c r="A47" s="13" t="str">
        <x:v>Financials</x:v>
      </x:c>
      <x:c r="B47" s="13" t="str">
        <x:v>Financial Services</x:v>
      </x:c>
      <x:c r="C47" s="13" t="str">
        <x:v>402020</x:v>
      </x:c>
      <x:c r="D47" s="13" t="str">
        <x:v>Consumer Finance</x:v>
      </x:c>
      <x:c r="E47" s="13" t="str">
        <x:v>Receivables × net interest spread − credit losses − servicing/marketing; underwriting and funding are everything.</x:v>
      </x:c>
      <x:c r="F47" s="13" t="str">
        <x:v>Loan/receivable growth; yield; funding cost; delinquencies; charge-offs; reserves; CAC; payment rate.</x:v>
      </x:c>
      <x:c r="G47" s="13" t="str">
        <x:v>Consumer delinquencies; unemployment; card spend; securitization spreads; used-car/home values.</x:v>
      </x:c>
      <x:c r="H47" s="13" t="str">
        <x:v>Proprietary underwriting data, low-cost deposits/funding, distribution partnerships.</x:v>
      </x:c>
      <x:c r="I47" s="13" t="str">
        <x:v>Credit capacity expands in booms and contracts after losses; competition is cyclical.</x:v>
      </x:c>
      <x:c r="J47" s="13" t="str">
        <x:v>P/E, P/TBV, ROE, excess capital DCF.</x:v>
      </x:c>
      <x:c r="K47" s="13" t="str">
        <x:v>CECL, gain-on-sale, securitization residuals, deferred acquisition costs.</x:v>
      </x:c>
      <x:c r="L47" s="13" t="str">
        <x:v>Under-reserving, funding freeze, adverse selection, regulation.</x:v>
      </x:c>
      <x:c r="M47" s="13" t="str">
        <x:v>Niche lender with superior underwriting and low-cost captive distribution.</x:v>
      </x:c>
      <x:c r="N47" s="13" t="str">
        <x:v>Losses peak below expectations; funding spreads compress; reserve releases.</x:v>
      </x:c>
      <x:c r="O47" s="13" t="n">
        <x:v>4</x:v>
      </x:c>
      <x:c r="P47" s="13" t="str">
        <x:v>Monthly</x:v>
      </x:c>
      <x:c r="Q47" s="13" t="str">
        <x:v>Credit-cycle inflection</x:v>
      </x:c>
      <x:c r="R47" s="13" t="str">
        <x:v>How would losses behave under vintage-level stress, not just portfolio averages?</x:v>
      </x:c>
    </x:row>
    <x:row r="48">
      <x:c r="A48" s="13" t="str">
        <x:v>Financials</x:v>
      </x:c>
      <x:c r="B48" s="13" t="str">
        <x:v>Financial Services</x:v>
      </x:c>
      <x:c r="C48" s="13" t="str">
        <x:v>402030</x:v>
      </x:c>
      <x:c r="D48" s="13" t="str">
        <x:v>Capital Markets</x:v>
      </x:c>
      <x:c r="E48" s="13" t="str">
        <x:v>AUM/trading/issuance/data volume × fee rates − compensation; exchanges/data can be recurring, brokers more cyclical.</x:v>
      </x:c>
      <x:c r="F48" s="13" t="str">
        <x:v>AUM; net flows; fee rate; trading volume; underwriting pipeline; client assets; comp ratio; data subscriptions.</x:v>
      </x:c>
      <x:c r="G48" s="13" t="str">
        <x:v>Markets; volatility; IPO/M&amp;A calendar; fund flows; futures/open interest.</x:v>
      </x:c>
      <x:c r="H48" s="13" t="str">
        <x:v>Brand, distribution, exchange liquidity/network effects, proprietary indices/data, switching costs.</x:v>
      </x:c>
      <x:c r="I48" s="13" t="str">
        <x:v>People-based capacity can scale quickly; exchange/data moats compound over decades.</x:v>
      </x:c>
      <x:c r="J48" s="13" t="str">
        <x:v>P/E, EV/EBITDA, FCF; exchanges on recurring data/volume mix; asset managers on AUM/fees.</x:v>
      </x:c>
      <x:c r="K48" s="13" t="str">
        <x:v>Performance fees, seed investments, compensation accruals, fair-value marks.</x:v>
      </x:c>
      <x:c r="L48" s="13" t="str">
        <x:v>Fee compression, poor performance, market drawdown, regulatory shifts.</x:v>
      </x:c>
      <x:c r="M48" s="13" t="str">
        <x:v>Exchange/data platform or specialist asset manager with durable flows and high incremental margins.</x:v>
      </x:c>
      <x:c r="N48" s="13" t="str">
        <x:v>Capital-markets cycle reopens; volatility/trading spikes; net flows turn.</x:v>
      </x:c>
      <x:c r="O48" s="13" t="n">
        <x:v>5</x:v>
      </x:c>
      <x:c r="P48" s="13" t="str">
        <x:v>Weekly/monthly</x:v>
      </x:c>
      <x:c r="Q48" s="13" t="str">
        <x:v>Network compounder / activity inflection</x:v>
      </x:c>
      <x:c r="R48" s="13" t="str">
        <x:v>What revenue persists if asset prices and transaction activity are flat for three years?</x:v>
      </x:c>
    </x:row>
    <x:row r="49">
      <x:c r="A49" s="13" t="str">
        <x:v>Financials</x:v>
      </x:c>
      <x:c r="B49" s="13" t="str">
        <x:v>Financial Services</x:v>
      </x:c>
      <x:c r="C49" s="13" t="str">
        <x:v>402040</x:v>
      </x:c>
      <x:c r="D49" s="13" t="str">
        <x:v>Mortgage REITs</x:v>
      </x:c>
      <x:c r="E49" s="13" t="str">
        <x:v>Levered mortgage assets × spread − hedging/funding losses; book value and funding determine survival.</x:v>
      </x:c>
      <x:c r="F49" s="13" t="str">
        <x:v>Book value; leverage; asset yield; repo cost; duration gap; CPR; hedges; dividend coverage.</x:v>
      </x:c>
      <x:c r="G49" s="13" t="str">
        <x:v>Yield curve; mortgage spreads; volatility; repo conditions; prepayments.</x:v>
      </x:c>
      <x:c r="H49" s="13" t="str">
        <x:v>Scale/funding relationships; generally limited moat.</x:v>
      </x:c>
      <x:c r="I49" s="13" t="str">
        <x:v>Capital availability drives asset growth; leverage makes cycles violent.</x:v>
      </x:c>
      <x:c r="J49" s="13" t="str">
        <x:v>P/B, dividend yield, ROE on book.</x:v>
      </x:c>
      <x:c r="K49" s="13" t="str">
        <x:v>Fair-value marks, hedge accounting, non-GAAP distributable earnings.</x:v>
      </x:c>
      <x:c r="L49" s="13" t="str">
        <x:v>Margin calls, spread widening, prepayment shocks, dilution.</x:v>
      </x:c>
      <x:c r="M49" s="13" t="str">
        <x:v>Rare; disciplined manager buying assets below replacement/book during dislocation.</x:v>
      </x:c>
      <x:c r="N49" s="13" t="str">
        <x:v>Mortgage spreads tighten from panic; funding stabilizes.</x:v>
      </x:c>
      <x:c r="O49" s="13" t="n">
        <x:v>1</x:v>
      </x:c>
      <x:c r="P49" s="13" t="str">
        <x:v>Weekly</x:v>
      </x:c>
      <x:c r="Q49" s="13" t="str">
        <x:v>Spread dislocation</x:v>
      </x:c>
      <x:c r="R49" s="13" t="str">
        <x:v>What happens to book value under parallel and curve-shape shocks?</x:v>
      </x:c>
    </x:row>
    <x:row r="50">
      <x:c r="A50" s="13" t="str">
        <x:v>Financials</x:v>
      </x:c>
      <x:c r="B50" s="13" t="str">
        <x:v>Insurance</x:v>
      </x:c>
      <x:c r="C50" s="13" t="str">
        <x:v>403010</x:v>
      </x:c>
      <x:c r="D50" s="13" t="str">
        <x:v>Insurance</x:v>
      </x:c>
      <x:c r="E50" s="13" t="str">
        <x:v>Premium − claims − expenses + investment income; value compounds through underwriting profit and float.</x:v>
      </x:c>
      <x:c r="F50" s="13" t="str">
        <x:v>Combined ratio; loss ratio; expense ratio; rate change; retention; reserve development; book value/share; ROE.</x:v>
      </x:c>
      <x:c r="G50" s="13" t="str">
        <x:v>Commercial pricing surveys; catastrophe losses; repair/medical inflation; bond yields; reinsurance renewals.</x:v>
      </x:c>
      <x:c r="H50" s="13" t="str">
        <x:v>Distribution, underwriting data, specialty expertise, customer relationships, scale, regulatory licenses.</x:v>
      </x:c>
      <x:c r="I50" s="13" t="str">
        <x:v>Capital enters after hard markets; specialty expertise/distribution can keep returns durable.</x:v>
      </x:c>
      <x:c r="J50" s="13" t="str">
        <x:v>P/B, P/E, ROE, tangible book growth; sum underwriting + investment income.</x:v>
      </x:c>
      <x:c r="K50" s="13" t="str">
        <x:v>Reserve releases, catastrophe normalization, unrealized investment marks, reinsurance recoverables.</x:v>
      </x:c>
      <x:c r="L50" s="13" t="str">
        <x:v>Under-reserving, social inflation, catastrophe aggregation, pricing softness, investment losses.</x:v>
      </x:c>
      <x:c r="M50" s="13" t="str">
        <x:v>Specialty insurer/broker with disciplined underwriting, recurring distribution and high book-value compounding.</x:v>
      </x:c>
      <x:c r="N50" s="13" t="str">
        <x:v>Rate &gt; loss-cost inflation; reserve fears peak; investment yield reprices upward.</x:v>
      </x:c>
      <x:c r="O50" s="13" t="n">
        <x:v>5</x:v>
      </x:c>
      <x:c r="P50" s="13" t="str">
        <x:v>Monthly</x:v>
      </x:c>
      <x:c r="Q50" s="13" t="str">
        <x:v>Underwriting-cycle compounder</x:v>
      </x:c>
      <x:c r="R50" s="13" t="str">
        <x:v>Are favorable reserve developments genuine conservatism or masking current-year weakness?</x:v>
      </x:c>
    </x:row>
    <x:row r="51">
      <x:c r="A51" s="13" t="str">
        <x:v>Information Technology</x:v>
      </x:c>
      <x:c r="B51" s="13" t="str">
        <x:v>Software &amp; Services</x:v>
      </x:c>
      <x:c r="C51" s="13" t="str">
        <x:v>451020</x:v>
      </x:c>
      <x:c r="D51" s="13" t="str">
        <x:v>IT Services</x:v>
      </x:c>
      <x:c r="E51" s="13" t="str">
        <x:v>Billable labor/managed services/cloud infrastructure × rate − personnel/infrastructure; recurring managed services can improve quality.</x:v>
      </x:c>
      <x:c r="F51" s="13" t="str">
        <x:v>Bookings; backlog; utilization; bill rates; attrition; recurring mix; cloud workload; FCF.</x:v>
      </x:c>
      <x:c r="G51" s="13" t="str">
        <x:v>Enterprise IT budgets; cloud migrations; outsourcing deals; wage trends.</x:v>
      </x:c>
      <x:c r="H51" s="13" t="str">
        <x:v>Customer integration, certifications, scale, vertical expertise, proprietary platforms.</x:v>
      </x:c>
      <x:c r="I51" s="13" t="str">
        <x:v>Labor scales quickly; deeply embedded managed services are sticky.</x:v>
      </x:c>
      <x:c r="J51" s="13" t="str">
        <x:v>P/E, EV/EBITDA, FCF; organic growth and margin quality.</x:v>
      </x:c>
      <x:c r="K51" s="13" t="str">
        <x:v>Capitalized software, restructuring, stock comp, pass-through cloud revenue.</x:v>
      </x:c>
      <x:c r="L51" s="13" t="str">
        <x:v>AI automation, pricing pressure, client budget cuts, wage inflation.</x:v>
      </x:c>
      <x:c r="M51" s="13" t="str">
        <x:v>Vertical managed-services platform with high retention and automation-driven margin upside.</x:v>
      </x:c>
      <x:c r="N51" s="13" t="str">
        <x:v>Utilization recovers; large deal ramps; AI lowers delivery cost faster than price.</x:v>
      </x:c>
      <x:c r="O51" s="13" t="n">
        <x:v>4</x:v>
      </x:c>
      <x:c r="P51" s="13" t="str">
        <x:v>Monthly/quarterly</x:v>
      </x:c>
      <x:c r="Q51" s="13" t="str">
        <x:v>Utilization / automation inflection</x:v>
      </x:c>
      <x:c r="R51" s="13" t="str">
        <x:v>Will AI commoditize billable hours or expand margins through automation?</x:v>
      </x:c>
    </x:row>
    <x:row r="52">
      <x:c r="A52" s="13" t="str">
        <x:v>Information Technology</x:v>
      </x:c>
      <x:c r="B52" s="13" t="str">
        <x:v>Software &amp; Services</x:v>
      </x:c>
      <x:c r="C52" s="13" t="str">
        <x:v>451030</x:v>
      </x:c>
      <x:c r="D52" s="13" t="str">
        <x:v>Software</x:v>
      </x:c>
      <x:c r="E52" s="13" t="str">
        <x:v>ARR/subscription × retention/expansion − R&amp;D/S&amp;M; high gross margins make CAC and durability decisive.</x:v>
      </x:c>
      <x:c r="F52" s="13" t="str">
        <x:v>ARR; GRR/NRR; bookings; RPO; CAC payback; gross margin; FCF margin; SBC/dilution.</x:v>
      </x:c>
      <x:c r="G52" s="13" t="str">
        <x:v>CIO budgets; seat growth; usage; renewal cohorts; channel checks; cloud consumption.</x:v>
      </x:c>
      <x:c r="H52" s="13" t="str">
        <x:v>Workflow lock-in, data network effects, ecosystem, developer adoption, brand, switching cost.</x:v>
      </x:c>
      <x:c r="I52" s="13" t="str">
        <x:v>Software supply easy; distribution, data and embedded workflows take years; AI may reset barriers.</x:v>
      </x:c>
      <x:c r="J52" s="13" t="str">
        <x:v>EV/ARR, EV/FCF, P/E for mature, DCF; growth + FCF quality.</x:v>
      </x:c>
      <x:c r="K52" s="13" t="str">
        <x:v>SBC, capitalized commissions/R&amp;D, billings vs revenue, acquisition adjustments.</x:v>
      </x:c>
      <x:c r="L52" s="13" t="str">
        <x:v>AI disruption, seat contraction, poor retention, CAC inflation, dilution.</x:v>
      </x:c>
      <x:c r="M52" s="13" t="str">
        <x:v>Vertical mission-critical software with high GRR, expansion, low CAC and long runway.</x:v>
      </x:c>
      <x:c r="N52" s="13" t="str">
        <x:v>Bookings/RPO trough; sales productivity turns; AI feature monetization; margin inflects.</x:v>
      </x:c>
      <x:c r="O52" s="13" t="n">
        <x:v>5</x:v>
      </x:c>
      <x:c r="P52" s="13" t="str">
        <x:v>Monthly/quarterly</x:v>
      </x:c>
      <x:c r="Q52" s="13" t="str">
        <x:v>Vertical software compounder</x:v>
      </x:c>
      <x:c r="R52" s="13" t="str">
        <x:v>What is retention by cohort and how much growth depends on seat inflation versus true value expansion?</x:v>
      </x:c>
    </x:row>
    <x:row r="53">
      <x:c r="A53" s="13" t="str">
        <x:v>Information Technology</x:v>
      </x:c>
      <x:c r="B53" s="13" t="str">
        <x:v>Technology Hardware &amp; Equipment</x:v>
      </x:c>
      <x:c r="C53" s="13" t="str">
        <x:v>452010</x:v>
      </x:c>
      <x:c r="D53" s="13" t="str">
        <x:v>Communications Equipment</x:v>
      </x:c>
      <x:c r="E53" s="13" t="str">
        <x:v>Networking units/ports × ASP + software/service − silicon/components/manufacturing; product cycles and customer capex dominate.</x:v>
      </x:c>
      <x:c r="F53" s="13" t="str">
        <x:v>Orders; backlog; revenue by speed/gen; deferred revenue; gross margin; service mix; customer concentration.</x:v>
      </x:c>
      <x:c r="G53" s="13" t="str">
        <x:v>Cloud/telco capex; bandwidth growth; optical/network standards; lead times.</x:v>
      </x:c>
      <x:c r="H53" s="13" t="str">
        <x:v>Protocol/IP, installed base, interoperability, switching costs, channel ecosystem.</x:v>
      </x:c>
      <x:c r="I53" s="13" t="str">
        <x:v>Hardware supply can ramp in 1–2 years; qualification and standards slow switching.</x:v>
      </x:c>
      <x:c r="J53" s="13" t="str">
        <x:v>P/E, EV/EBITDA, FCF, SOTP recurring software/service.</x:v>
      </x:c>
      <x:c r="K53" s="13" t="str">
        <x:v>Deferred revenue, channel inventory, component purchase commitments, acquisitions.</x:v>
      </x:c>
      <x:c r="L53" s="13" t="str">
        <x:v>Standards transition, hyperscaler insourcing, component glut, customer concentration.</x:v>
      </x:c>
      <x:c r="M53" s="13" t="str">
        <x:v>Installed-base vendor with recurring software/service and increasing content per network.</x:v>
      </x:c>
      <x:c r="N53" s="13" t="str">
        <x:v>New bandwidth generation ramps (800G/1.6T), qualification wins, component shortage eases.</x:v>
      </x:c>
      <x:c r="O53" s="13" t="n">
        <x:v>5</x:v>
      </x:c>
      <x:c r="P53" s="13" t="str">
        <x:v>Monthly</x:v>
      </x:c>
      <x:c r="Q53" s="13" t="str">
        <x:v>Bandwidth/product-cycle inflection</x:v>
      </x:c>
      <x:c r="R53" s="13" t="str">
        <x:v>Does higher bandwidth create more supplier gross profit per rack, or just lower $/bit?</x:v>
      </x:c>
    </x:row>
    <x:row r="54">
      <x:c r="A54" s="13" t="str">
        <x:v>Information Technology</x:v>
      </x:c>
      <x:c r="B54" s="13" t="str">
        <x:v>Technology Hardware &amp; Equipment</x:v>
      </x:c>
      <x:c r="C54" s="13" t="str">
        <x:v>452020</x:v>
      </x:c>
      <x:c r="D54" s="13" t="str">
        <x:v>Technology Hardware, Storage &amp; Peripherals</x:v>
      </x:c>
      <x:c r="E54" s="13" t="str">
        <x:v>Device/storage units × ASP − components/manufacturing; ecosystem services can alter quality.</x:v>
      </x:c>
      <x:c r="F54" s="13" t="str">
        <x:v>Units; ASP; channel inventory; installed base; attach/service revenue; component cost; gross margin.</x:v>
      </x:c>
      <x:c r="G54" s="13" t="str">
        <x:v>PC/server/storage shipments; DRAM/NAND prices; channel inventory; refresh cycles.</x:v>
      </x:c>
      <x:c r="H54" s="13" t="str">
        <x:v>Brand/ecosystem, OS integration, enterprise qualification, scale procurement.</x:v>
      </x:c>
      <x:c r="I54" s="13" t="str">
        <x:v>Capacity often flexible via ODMs; ecosystem/installed base more durable.</x:v>
      </x:c>
      <x:c r="J54" s="13" t="str">
        <x:v>P/E, EV/EBITDA, FCF; SOTP services.</x:v>
      </x:c>
      <x:c r="K54" s="13" t="str">
        <x:v>Channel inventory, warranty, supplier commitments, capitalized software.</x:v>
      </x:c>
      <x:c r="L54" s="13" t="str">
        <x:v>Commoditization, component inflation, refresh-cycle stall, cloud substitution.</x:v>
      </x:c>
      <x:c r="M54" s="13" t="str">
        <x:v>Hardware ecosystem with high-margin services/consumables and loyal installed base.</x:v>
      </x:c>
      <x:c r="N54" s="13" t="str">
        <x:v>Refresh cycle + inventory normalization; component costs fall before ASP.</x:v>
      </x:c>
      <x:c r="O54" s="13" t="n">
        <x:v>3</x:v>
      </x:c>
      <x:c r="P54" s="13" t="str">
        <x:v>Monthly</x:v>
      </x:c>
      <x:c r="Q54" s="13" t="str">
        <x:v>Refresh / component-cycle</x:v>
      </x:c>
      <x:c r="R54" s="13" t="str">
        <x:v>How much margin is structural ecosystem value versus temporary component pricing?</x:v>
      </x:c>
    </x:row>
    <x:row r="55">
      <x:c r="A55" s="13" t="str">
        <x:v>Information Technology</x:v>
      </x:c>
      <x:c r="B55" s="13" t="str">
        <x:v>Technology Hardware &amp; Equipment</x:v>
      </x:c>
      <x:c r="C55" s="13" t="str">
        <x:v>452030</x:v>
      </x:c>
      <x:c r="D55" s="13" t="str">
        <x:v>Electronic Equipment, Instruments &amp; Components</x:v>
      </x:c>
      <x:c r="E55" s="13" t="str">
        <x:v>Units/content × ASP − components/manufacturing; includes instrumentation, components, EMS and distributors.</x:v>
      </x:c>
      <x:c r="F55" s="13" t="str">
        <x:v>Orders; book-to-bill; backlog; design wins; content/unit; utilization; inventory; gross margin.</x:v>
      </x:c>
      <x:c r="G55" s="13" t="str">
        <x:v>PMI; semiconductor/electronics inventories; design wins; customer capex.</x:v>
      </x:c>
      <x:c r="H55" s="13" t="str">
        <x:v>Qualification, precision know-how, design-in, test data, switching cost; EMS/distribution moats differ.</x:v>
      </x:c>
      <x:c r="I55" s="13" t="str">
        <x:v>Component capacity can be cyclical; high-spec instrumentation qualification slow.</x:v>
      </x:c>
      <x:c r="J55" s="13" t="str">
        <x:v>P/E, EV/EBITDA, FCF; design-win pipeline and normalized margins.</x:v>
      </x:c>
      <x:c r="K55" s="13" t="str">
        <x:v>Distributor gross vs net, inventory reserves, customer-owned tooling, acquisition intangibles.</x:v>
      </x:c>
      <x:c r="L55" s="13" t="str">
        <x:v>Design loss, inventory correction, customer insourcing, component commoditization.</x:v>
      </x:c>
      <x:c r="M55" s="13" t="str">
        <x:v>Precision sensor/instrument/component with long design cycles, high content growth and aftermarket.</x:v>
      </x:c>
      <x:c r="N55" s="13" t="str">
        <x:v>Inventory correction ends; design wins enter production; utilization lifts margins.</x:v>
      </x:c>
      <x:c r="O55" s="13" t="n">
        <x:v>5</x:v>
      </x:c>
      <x:c r="P55" s="13" t="str">
        <x:v>Monthly</x:v>
      </x:c>
      <x:c r="Q55" s="13" t="str">
        <x:v>Design-win / inventory inflection</x:v>
      </x:c>
      <x:c r="R55" s="13" t="str">
        <x:v>How long from design win to revenue, and how sticky is the socket across product generations?</x:v>
      </x:c>
    </x:row>
    <x:row r="56">
      <x:c r="A56" s="13" t="str">
        <x:v>Information Technology</x:v>
      </x:c>
      <x:c r="B56" s="13" t="str">
        <x:v>Semiconductors &amp; Semiconductor Equipment</x:v>
      </x:c>
      <x:c r="C56" s="13" t="str">
        <x:v>453010</x:v>
      </x:c>
      <x:c r="D56" s="13" t="str">
        <x:v>Semiconductors &amp; Semiconductor Equipment</x:v>
      </x:c>
      <x:c r="E56" s="13" t="str">
        <x:v>Wafer/device units × ASP + equipment intensity − fab/equipment cost; utilization and technology transitions create nonlinear cycles.</x:v>
      </x:c>
      <x:c r="F56" s="13" t="str">
        <x:v>Wafer starts; utilization; bit growth; ASP; inventories; capex; bookings; WFE; advanced packaging/HBM content.</x:v>
      </x:c>
      <x:c r="G56" s="13" t="str">
        <x:v>Memory spot/contract prices; foundry utilization; hyperscaler capex; equipment lead times; node transitions.</x:v>
      </x:c>
      <x:c r="H56" s="13" t="str">
        <x:v>Process IP, scale, ecosystem, qualification, installed base/service, manufacturing learning curves.</x:v>
      </x:c>
      <x:c r="I56" s="13" t="str">
        <x:v>Fabs/equipment capacity takes years and billions; shortages/gluts can persist then reverse violently.</x:v>
      </x:c>
      <x:c r="J56" s="13" t="str">
        <x:v>P/E, EV/EBITDA, FCF, replacement cost; normalized mid-cycle plus secular content model.</x:v>
      </x:c>
      <x:c r="K56" s="13" t="str">
        <x:v>Inventory, capital intensity, depreciation, stock comp, customer prepayments, export controls.</x:v>
      </x:c>
      <x:c r="L56" s="13" t="str">
        <x:v>Overcapacity, node execution, customer concentration, export restrictions, rapid substitution.</x:v>
      </x:c>
      <x:c r="M56" s="13" t="str">
        <x:v>Fabless/IP/equipment/inspection platform with rising content per compute and durable installed base.</x:v>
      </x:c>
      <x:c r="N56" s="13" t="str">
        <x:v>Inventory/utilization bottom → pricing/orders turn → massive earnings elasticity; new node/HBM packaging bottleneck.</x:v>
      </x:c>
      <x:c r="O56" s="13" t="n">
        <x:v>5</x:v>
      </x:c>
      <x:c r="P56" s="13" t="str">
        <x:v>Weekly/monthly</x:v>
      </x:c>
      <x:c r="Q56" s="13" t="str">
        <x:v>Cycle + secular content inflection</x:v>
      </x:c>
      <x:c r="R56" s="13" t="str">
        <x:v>Which bottleneck is next, and what supply response date ends the scarcity rent?</x:v>
      </x:c>
    </x:row>
    <x:row r="57">
      <x:c r="A57" s="13" t="str">
        <x:v>Communication Services</x:v>
      </x:c>
      <x:c r="B57" s="13" t="str">
        <x:v>Telecommunication Services</x:v>
      </x:c>
      <x:c r="C57" s="13" t="str">
        <x:v>501010</x:v>
      </x:c>
      <x:c r="D57" s="13" t="str">
        <x:v>Diversified Telecommunication Services</x:v>
      </x:c>
      <x:c r="E57" s="13" t="str">
        <x:v>Subscribers/lines × ARPU − network opex/capex; fixed broadband economics improve with density.</x:v>
      </x:c>
      <x:c r="F57" s="13" t="str">
        <x:v>Net adds; churn; ARPU; broadband penetration; capex; FCF; fiber passings; leverage.</x:v>
      </x:c>
      <x:c r="G57" s="13" t="str">
        <x:v>Subscriber trends; fiber builds; pricing/promotions; spectrum/regulation.</x:v>
      </x:c>
      <x:c r="H57" s="13" t="str">
        <x:v>Local network, spectrum, rights-of-way, bundled services; high fixed costs.</x:v>
      </x:c>
      <x:c r="I57" s="13" t="str">
        <x:v>Networks take years and huge capital; overbuild can permanently impair returns.</x:v>
      </x:c>
      <x:c r="J57" s="13" t="str">
        <x:v>EV/EBITDA, FCF yield, sum-of-parts, subscriber/household metrics.</x:v>
      </x:c>
      <x:c r="K57" s="13" t="str">
        <x:v>Leases, spectrum capitalization, pension, restructuring, handset financing.</x:v>
      </x:c>
      <x:c r="L57" s="13" t="str">
        <x:v>Price wars, overbuild, capex creep, leverage, regulation.</x:v>
      </x:c>
      <x:c r="M57" s="13" t="str">
        <x:v>Local broadband/fiber network with high penetration, low churn and declining capex intensity.</x:v>
      </x:c>
      <x:c r="N57" s="13" t="str">
        <x:v>Capex peaks; fiber penetration ramps; pricing stabilizes; FCF inflects.</x:v>
      </x:c>
      <x:c r="O57" s="13" t="n">
        <x:v>3</x:v>
      </x:c>
      <x:c r="P57" s="13" t="str">
        <x:v>Monthly</x:v>
      </x:c>
      <x:c r="Q57" s="13" t="str">
        <x:v>Capex-to-FCF inflection</x:v>
      </x:c>
      <x:c r="R57" s="13" t="str">
        <x:v>What is mature maintenance capex after the current build cycle ends?</x:v>
      </x:c>
    </x:row>
    <x:row r="58">
      <x:c r="A58" s="13" t="str">
        <x:v>Communication Services</x:v>
      </x:c>
      <x:c r="B58" s="13" t="str">
        <x:v>Telecommunication Services</x:v>
      </x:c>
      <x:c r="C58" s="13" t="str">
        <x:v>501020</x:v>
      </x:c>
      <x:c r="D58" s="13" t="str">
        <x:v>Wireless Telecommunication Services</x:v>
      </x:c>
      <x:c r="E58" s="13" t="str">
        <x:v>Subscribers × ARPU − network/spectrum/device subsidies; scale and spectrum portfolio matter.</x:v>
      </x:c>
      <x:c r="F58" s="13" t="str">
        <x:v>Net adds; churn; ARPU; service revenue; spectrum; capex; FCF; device promotions.</x:v>
      </x:c>
      <x:c r="G58" s="13" t="str">
        <x:v>Porting data; promotions; spectrum auctions; network quality; subscriber growth.</x:v>
      </x:c>
      <x:c r="H58" s="13" t="str">
        <x:v>Spectrum licenses, network density, scale, distribution.</x:v>
      </x:c>
      <x:c r="I58" s="13" t="str">
        <x:v>Network/spectrum capacity costly and slow; pricing can still be competitive.</x:v>
      </x:c>
      <x:c r="J58" s="13" t="str">
        <x:v>EV/EBITDA, FCF yield, subscriber value.</x:v>
      </x:c>
      <x:c r="K58" s="13" t="str">
        <x:v>Spectrum amortization, leases, handset receivables, tower contracts.</x:v>
      </x:c>
      <x:c r="L58" s="13" t="str">
        <x:v>Promotional wars, spectrum costs, capex, saturation.</x:v>
      </x:c>
      <x:c r="M58" s="13" t="str">
        <x:v>Low-churn operator with network quality and structurally lower capex.</x:v>
      </x:c>
      <x:c r="N58" s="13" t="str">
        <x:v>Promotions ease; capex falls; ARPU rises.</x:v>
      </x:c>
      <x:c r="O58" s="13" t="n">
        <x:v>2</x:v>
      </x:c>
      <x:c r="P58" s="13" t="str">
        <x:v>Monthly</x:v>
      </x:c>
      <x:c r="Q58" s="13" t="str">
        <x:v>Pricing / capex inflection</x:v>
      </x:c>
      <x:c r="R58" s="13" t="str">
        <x:v>Is ARPU growth from real pricing or device/accounting mix?</x:v>
      </x:c>
    </x:row>
    <x:row r="59">
      <x:c r="A59" s="13" t="str">
        <x:v>Communication Services</x:v>
      </x:c>
      <x:c r="B59" s="13" t="str">
        <x:v>Media &amp; Entertainment</x:v>
      </x:c>
      <x:c r="C59" s="13" t="str">
        <x:v>502010</x:v>
      </x:c>
      <x:c r="D59" s="13" t="str">
        <x:v>Media</x:v>
      </x:c>
      <x:c r="E59" s="13" t="str">
        <x:v>Audience/reach × ad/subscription monetization − content/distribution; legacy broadcast/cable differs from digital advertising.</x:v>
      </x:c>
      <x:c r="F59" s="13" t="str">
        <x:v>Ad revenue; impressions; CPM; subscribers; churn; affiliate fees; content cost.</x:v>
      </x:c>
      <x:c r="G59" s="13" t="str">
        <x:v>Ad spend; ratings; upfronts; cord-cutting; political ad cycles.</x:v>
      </x:c>
      <x:c r="H59" s="13" t="str">
        <x:v>Owned audience, local licenses, brand/content rights; legacy distribution eroding.</x:v>
      </x:c>
      <x:c r="I59" s="13" t="str">
        <x:v>Digital ad inventory abundant; scarce premium audiences/content remain valuable.</x:v>
      </x:c>
      <x:c r="J59" s="13" t="str">
        <x:v>P/E, EV/EBITDA, FCF, SOTP; subscriber LTV where relevant.</x:v>
      </x:c>
      <x:c r="K59" s="13" t="str">
        <x:v>Content amortization, retransmission, political ad normalization, goodwill.</x:v>
      </x:c>
      <x:c r="L59" s="13" t="str">
        <x:v>Audience fragmentation, cord cutting, ad recession, platform dependence.</x:v>
      </x:c>
      <x:c r="M59" s="13" t="str">
        <x:v>Niche information/media asset with loyal paid audience and proprietary content/data.</x:v>
      </x:c>
      <x:c r="N59" s="13" t="str">
        <x:v>Ad cycle turns; rights renewal; cost reset; streaming breakeven.</x:v>
      </x:c>
      <x:c r="O59" s="13" t="n">
        <x:v>3</x:v>
      </x:c>
      <x:c r="P59" s="13" t="str">
        <x:v>Monthly</x:v>
      </x:c>
      <x:c r="Q59" s="13" t="str">
        <x:v>Audience monetization inflection</x:v>
      </x:c>
      <x:c r="R59" s="13" t="str">
        <x:v>Does the company own the customer relationship or rent distribution from a platform?</x:v>
      </x:c>
    </x:row>
    <x:row r="60">
      <x:c r="A60" s="13" t="str">
        <x:v>Communication Services</x:v>
      </x:c>
      <x:c r="B60" s="13" t="str">
        <x:v>Media &amp; Entertainment</x:v>
      </x:c>
      <x:c r="C60" s="13" t="str">
        <x:v>502020</x:v>
      </x:c>
      <x:c r="D60" s="13" t="str">
        <x:v>Entertainment</x:v>
      </x:c>
      <x:c r="E60" s="13" t="str">
        <x:v>Content/IP engagement × monetization across box office, subscriptions, licensing, games/merchandise − content cost.</x:v>
      </x:c>
      <x:c r="F60" s="13" t="str">
        <x:v>Bookings; subscribers; engagement; slate; franchise revenue; content spend; margins.</x:v>
      </x:c>
      <x:c r="G60" s="13" t="str">
        <x:v>Release calendars; engagement rankings; box office; game preorders; subscriber trends.</x:v>
      </x:c>
      <x:c r="H60" s="13" t="str">
        <x:v>Franchise IP, creative talent, communities, distribution, network effects in games.</x:v>
      </x:c>
      <x:c r="I60" s="13" t="str">
        <x:v>Hit-driven supply unpredictable; durable franchises can compound for decades.</x:v>
      </x:c>
      <x:c r="J60" s="13" t="str">
        <x:v>P/E, EV/EBITDA, FCF, franchise SOTP; game bookings-based models.</x:v>
      </x:c>
      <x:c r="K60" s="13" t="str">
        <x:v>Content capitalization/amortization, deferred revenue, participations, impairment.</x:v>
      </x:c>
      <x:c r="L60" s="13" t="str">
        <x:v>Flops, franchise fatigue, cost inflation, platform dependence.</x:v>
      </x:c>
      <x:c r="M60" s="13" t="str">
        <x:v>Durable IP with recurring game/service monetization and multiple distribution channels.</x:v>
      </x:c>
      <x:c r="N60" s="13" t="str">
        <x:v>Major release exceeds expectations; live-service bookings inflect; cost rationalization.</x:v>
      </x:c>
      <x:c r="O60" s="13" t="n">
        <x:v>4</x:v>
      </x:c>
      <x:c r="P60" s="13" t="str">
        <x:v>Weekly/monthly</x:v>
      </x:c>
      <x:c r="Q60" s="13" t="str">
        <x:v>IP / product-cycle</x:v>
      </x:c>
      <x:c r="R60" s="13" t="str">
        <x:v>What percentage of value comes from repeatable franchises versus unrepeatable hits?</x:v>
      </x:c>
    </x:row>
    <x:row r="61">
      <x:c r="A61" s="13" t="str">
        <x:v>Communication Services</x:v>
      </x:c>
      <x:c r="B61" s="13" t="str">
        <x:v>Media &amp; Entertainment</x:v>
      </x:c>
      <x:c r="C61" s="13" t="str">
        <x:v>502030</x:v>
      </x:c>
      <x:c r="D61" s="13" t="str">
        <x:v>Interactive Media &amp; Services</x:v>
      </x:c>
      <x:c r="E61" s="13" t="str">
        <x:v>Users × engagement × monetization (ads/subscriptions/commerce) − infrastructure/R&amp;D; network effects can be enormous.</x:v>
      </x:c>
      <x:c r="F61" s="13" t="str">
        <x:v>DAU/MAU; time spent; ad impressions; CPM; conversion; take rate; CAC; capex; FCF.</x:v>
      </x:c>
      <x:c r="G61" s="13" t="str">
        <x:v>Ad budgets; app usage; creator activity; privacy/regulation; product launches.</x:v>
      </x:c>
      <x:c r="H61" s="13" t="str">
        <x:v>Social/network effects, data, identity, creator ecosystems, distribution.</x:v>
      </x:c>
      <x:c r="I61" s="13" t="str">
        <x:v>Digital supply scales instantly, but networks can tip toward winners.</x:v>
      </x:c>
      <x:c r="J61" s="13" t="str">
        <x:v>P/E, EV/FCF, DCF; user economics and ad load.</x:v>
      </x:c>
      <x:c r="K61" s="13" t="str">
        <x:v>SBC, traffic acquisition costs, capex, gross vs net ad/commerce revenue.</x:v>
      </x:c>
      <x:c r="L61" s="13" t="str">
        <x:v>Platform shift, regulation, privacy, AI disruption, user migration.</x:v>
      </x:c>
      <x:c r="M61" s="13" t="str">
        <x:v>Network with rising monetization per user and low incremental capital.</x:v>
      </x:c>
      <x:c r="N61" s="13" t="str">
        <x:v>Ad pricing/engagement turns; new product monetizes; cost discipline.</x:v>
      </x:c>
      <x:c r="O61" s="13" t="n">
        <x:v>5</x:v>
      </x:c>
      <x:c r="P61" s="13" t="str">
        <x:v>Weekly/monthly</x:v>
      </x:c>
      <x:c r="Q61" s="13" t="str">
        <x:v>Network-effect compounder</x:v>
      </x:c>
      <x:c r="R61" s="13" t="str">
        <x:v>Are engagement gains durable among younger cohorts and creators?</x:v>
      </x:c>
    </x:row>
    <x:row r="62">
      <x:c r="A62" s="13" t="str">
        <x:v>Utilities</x:v>
      </x:c>
      <x:c r="B62" s="13" t="str">
        <x:v>Utilities</x:v>
      </x:c>
      <x:c r="C62" s="13" t="str">
        <x:v>551010</x:v>
      </x:c>
      <x:c r="D62" s="13" t="str">
        <x:v>Electric Utilities</x:v>
      </x:c>
      <x:c r="E62" s="13" t="str">
        <x:v>Rate base × allowed ROE + unregulated generation − financing/opex; load growth can accelerate capital deployment.</x:v>
      </x:c>
      <x:c r="F62" s="13" t="str">
        <x:v>Rate-base growth; allowed ROE; load growth; capex; regulatory lag; FFO/debt; customer mix.</x:v>
      </x:c>
      <x:c r="G62" s="13" t="str">
        <x:v>Rate cases; data-center load requests; interconnection; generation retirements; bond yields.</x:v>
      </x:c>
      <x:c r="H62" s="13" t="str">
        <x:v>Exclusive service territory, regulated asset base, transmission rights.</x:v>
      </x:c>
      <x:c r="I62" s="13" t="str">
        <x:v>Generation/transmission takes years; regulatory approval and financing constrain supply.</x:v>
      </x:c>
      <x:c r="J62" s="13" t="str">
        <x:v>P/E, P/B, dividend yield, DCF on rate base.</x:v>
      </x:c>
      <x:c r="K62" s="13" t="str">
        <x:v>Regulatory assets/liabilities, storm costs, pension, nuclear decommissioning.</x:v>
      </x:c>
      <x:c r="L62" s="13" t="str">
        <x:v>Regulatory disallowance, wildfire/storm liability, financing dilution, project overruns.</x:v>
      </x:c>
      <x:c r="M62" s="13" t="str">
        <x:v>Utility with above-average load/rate-base growth, constructive regulator and self-funded capex.</x:v>
      </x:c>
      <x:c r="N62" s="13" t="str">
        <x:v>Large load contracts become funded; rate case improves ROE; financing costs fall.</x:v>
      </x:c>
      <x:c r="O62" s="13" t="n">
        <x:v>4</x:v>
      </x:c>
      <x:c r="P62" s="13" t="str">
        <x:v>Monthly</x:v>
      </x:c>
      <x:c r="Q62" s="13" t="str">
        <x:v>Rate-base / load inflection</x:v>
      </x:c>
      <x:c r="R62" s="13" t="str">
        <x:v>How much announced load is contracted and creditworthy versus speculative queue demand?</x:v>
      </x:c>
    </x:row>
    <x:row r="63">
      <x:c r="A63" s="13" t="str">
        <x:v>Utilities</x:v>
      </x:c>
      <x:c r="B63" s="13" t="str">
        <x:v>Utilities</x:v>
      </x:c>
      <x:c r="C63" s="13" t="str">
        <x:v>551020</x:v>
      </x:c>
      <x:c r="D63" s="13" t="str">
        <x:v>Gas Utilities</x:v>
      </x:c>
      <x:c r="E63" s="13" t="str">
        <x:v>Regulated rate base × allowed return; throughput/weather affects near-term volumes.</x:v>
      </x:c>
      <x:c r="F63" s="13" t="str">
        <x:v>Rate base; customer growth; capex; allowed ROE; weather-normalized volumes; FFO/debt.</x:v>
      </x:c>
      <x:c r="G63" s="13" t="str">
        <x:v>Rate cases; housing starts; pipeline safety mandates; gas policy.</x:v>
      </x:c>
      <x:c r="H63" s="13" t="str">
        <x:v>Exclusive territory, network infrastructure.</x:v>
      </x:c>
      <x:c r="I63" s="13" t="str">
        <x:v>Slow, regulated capital additions.</x:v>
      </x:c>
      <x:c r="J63" s="13" t="str">
        <x:v>P/E, P/B, dividend yield.</x:v>
      </x:c>
      <x:c r="K63" s="13" t="str">
        <x:v>Regulatory assets, pension, environmental obligations.</x:v>
      </x:c>
      <x:c r="L63" s="13" t="str">
        <x:v>Decarbonization policy, regulatory lag, safety incidents.</x:v>
      </x:c>
      <x:c r="M63" s="13" t="str">
        <x:v>Constructive-regulation utility with steady customer/rate-base growth.</x:v>
      </x:c>
      <x:c r="N63" s="13" t="str">
        <x:v>Rate case reset; safety replacement program accelerates allowed investment.</x:v>
      </x:c>
      <x:c r="O63" s="13" t="n">
        <x:v>2</x:v>
      </x:c>
      <x:c r="P63" s="13" t="str">
        <x:v>Quarterly</x:v>
      </x:c>
      <x:c r="Q63" s="13" t="str">
        <x:v>Rate-case inflection</x:v>
      </x:c>
      <x:c r="R63" s="13" t="str">
        <x:v>Will new capex earn full allowed return or face stranded-asset risk?</x:v>
      </x:c>
    </x:row>
    <x:row r="64">
      <x:c r="A64" s="13" t="str">
        <x:v>Utilities</x:v>
      </x:c>
      <x:c r="B64" s="13" t="str">
        <x:v>Utilities</x:v>
      </x:c>
      <x:c r="C64" s="13" t="str">
        <x:v>551030</x:v>
      </x:c>
      <x:c r="D64" s="13" t="str">
        <x:v>Multi-Utilities</x:v>
      </x:c>
      <x:c r="E64" s="13" t="str">
        <x:v>Portfolio of regulated electric/gas/water rate bases; capital allocation and jurisdiction mix matter.</x:v>
      </x:c>
      <x:c r="F64" s="13" t="str">
        <x:v>Rate-base growth by jurisdiction; ROE; capex; FFO/debt; dividend.</x:v>
      </x:c>
      <x:c r="G64" s="13" t="str">
        <x:v>Rate cases; load growth; bond yields; jurisdiction policy.</x:v>
      </x:c>
      <x:c r="H64" s="13" t="str">
        <x:v>Diversified regulated franchises, scale.</x:v>
      </x:c>
      <x:c r="I64" s="13" t="str">
        <x:v>Slow capacity; portfolio complexity can hide quality differences.</x:v>
      </x:c>
      <x:c r="J64" s="13" t="str">
        <x:v>P/E, P/B, DCF/SOTP.</x:v>
      </x:c>
      <x:c r="K64" s="13" t="str">
        <x:v>Regulatory assets, pension, segment allocations.</x:v>
      </x:c>
      <x:c r="L64" s="13" t="str">
        <x:v>Bad jurisdiction, financing, project overruns.</x:v>
      </x:c>
      <x:c r="M64" s="13" t="str">
        <x:v>Portfolio tilted to constructive jurisdictions with above-average rate-base growth.</x:v>
      </x:c>
      <x:c r="N64" s="13" t="str">
        <x:v>Asset sale/restructuring improves mix; load growth surprises.</x:v>
      </x:c>
      <x:c r="O64" s="13" t="n">
        <x:v>3</x:v>
      </x:c>
      <x:c r="P64" s="13" t="str">
        <x:v>Quarterly</x:v>
      </x:c>
      <x:c r="Q64" s="13" t="str">
        <x:v>SOTP / regulatory mix</x:v>
      </x:c>
      <x:c r="R64" s="13" t="str">
        <x:v>Which jurisdiction drives marginal capital and what is earned ROE versus allowed ROE?</x:v>
      </x:c>
    </x:row>
    <x:row r="65">
      <x:c r="A65" s="13" t="str">
        <x:v>Utilities</x:v>
      </x:c>
      <x:c r="B65" s="13" t="str">
        <x:v>Utilities</x:v>
      </x:c>
      <x:c r="C65" s="13" t="str">
        <x:v>551040</x:v>
      </x:c>
      <x:c r="D65" s="13" t="str">
        <x:v>Water Utilities</x:v>
      </x:c>
      <x:c r="E65" s="13" t="str">
        <x:v>Customers/usage × regulated tariffs − treatment/distribution cost; acquisitions expand rate base.</x:v>
      </x:c>
      <x:c r="F65" s="13" t="str">
        <x:v>Customer growth; rate-base growth; allowed ROE; capex; leakage; acquisition pipeline.</x:v>
      </x:c>
      <x:c r="G65" s="13" t="str">
        <x:v>Rate cases; drought; municipal privatization; infrastructure funding.</x:v>
      </x:c>
      <x:c r="H65" s="13" t="str">
        <x:v>Scarce local network, water rights, regulation, acquisition expertise.</x:v>
      </x:c>
      <x:c r="I65" s="13" t="str">
        <x:v>Extremely slow to replicate; replacement needs are multi-decade.</x:v>
      </x:c>
      <x:c r="J65" s="13" t="str">
        <x:v>P/E, EV/EBITDA, dividend yield, rate-base DCF.</x:v>
      </x:c>
      <x:c r="K65" s="13" t="str">
        <x:v>Regulatory assets, acquisition premiums, infrastructure surcharge accounting.</x:v>
      </x:c>
      <x:c r="L65" s="13" t="str">
        <x:v>Political rate pressure, drought, contamination liability, rich valuation.</x:v>
      </x:c>
      <x:c r="M65" s="13" t="str">
        <x:v>Fragmented local systems consolidated by disciplined operator with constructive regulators.</x:v>
      </x:c>
      <x:c r="N65" s="13" t="str">
        <x:v>Acquisition approval, rate case, infrastructure surcharge.</x:v>
      </x:c>
      <x:c r="O65" s="13" t="n">
        <x:v>4</x:v>
      </x:c>
      <x:c r="P65" s="13" t="str">
        <x:v>Quarterly</x:v>
      </x:c>
      <x:c r="Q65" s="13" t="str">
        <x:v>Regulated compounder</x:v>
      </x:c>
      <x:c r="R65" s="13" t="str">
        <x:v>Can acquisition premiums be recovered in rates without diluting returns?</x:v>
      </x:c>
    </x:row>
    <x:row r="66">
      <x:c r="A66" s="13" t="str">
        <x:v>Utilities</x:v>
      </x:c>
      <x:c r="B66" s="13" t="str">
        <x:v>Utilities</x:v>
      </x:c>
      <x:c r="C66" s="13" t="str">
        <x:v>551050</x:v>
      </x:c>
      <x:c r="D66" s="13" t="str">
        <x:v>Independent Power and Renewable Electricity Producers</x:v>
      </x:c>
      <x:c r="E66" s="13" t="str">
        <x:v>Generation MWh × power price/PPA − fuel/opex/capex; asset mix and contract duration define volatility.</x:v>
      </x:c>
      <x:c r="F66" s="13" t="str">
        <x:v>MW; capacity factor; realized power price; PPA tenor; merchant exposure; pipeline; capex; leverage.</x:v>
      </x:c>
      <x:c r="G66" s="13" t="str">
        <x:v>Power forwards; capacity auctions; data-center PPAs; tax credits; interconnection queues.</x:v>
      </x:c>
      <x:c r="H66" s="13" t="str">
        <x:v>Scarce interconnects, low-cost generation, permits, long PPAs.</x:v>
      </x:c>
      <x:c r="I66" s="13" t="str">
        <x:v>Projects take years; interconnection is often bottleneck; capital can flood attractive subsidies.</x:v>
      </x:c>
      <x:c r="J66" s="13" t="str">
        <x:v>DCF by asset/PPA, EV/MW, EV/EBITDA, CAFD yield.</x:v>
      </x:c>
      <x:c r="K66" s="13" t="str">
        <x:v>Tax equity, project finance, derivative marks, development pipeline probabilities.</x:v>
      </x:c>
      <x:c r="L66" s="13" t="str">
        <x:v>Merchant price collapse, curtailment, financing, policy change, construction overruns.</x:v>
      </x:c>
      <x:c r="M66" s="13" t="str">
        <x:v>Contracted low-cost fleet with valuable interconnects and disciplined development.</x:v>
      </x:c>
      <x:c r="N66" s="13" t="str">
        <x:v>Power scarcity/PPAs reprice; project reaches NTP; financing cost falls.</x:v>
      </x:c>
      <x:c r="O66" s="13" t="n">
        <x:v>4</x:v>
      </x:c>
      <x:c r="P66" s="13" t="str">
        <x:v>Weekly/monthly</x:v>
      </x:c>
      <x:c r="Q66" s="13" t="str">
        <x:v>Power-price / interconnect scarcity</x:v>
      </x:c>
      <x:c r="R66" s="13" t="str">
        <x:v>What portion of pipeline has interconnection, offtake and financing—not just site control?</x:v>
      </x:c>
    </x:row>
    <x:row r="67">
      <x:c r="A67" s="13" t="str">
        <x:v>Real Estate</x:v>
      </x:c>
      <x:c r="B67" s="13" t="str">
        <x:v>Equity REITs</x:v>
      </x:c>
      <x:c r="C67" s="13" t="str">
        <x:v>601010</x:v>
      </x:c>
      <x:c r="D67" s="13" t="str">
        <x:v>Diversified REITs</x:v>
      </x:c>
      <x:c r="E67" s="13" t="str">
        <x:v>Property NOI across multiple types − interest/corporate costs; capital allocation and portfolio mix dominate.</x:v>
      </x:c>
      <x:c r="F67" s="13" t="str">
        <x:v>Same-store NOI; occupancy; leasing spreads; AFFO; leverage; NAV discount; development yields.</x:v>
      </x:c>
      <x:c r="G67" s="13" t="str">
        <x:v>Cap rates; credit spreads; leasing data; property transactions.</x:v>
      </x:c>
      <x:c r="H67" s="13" t="str">
        <x:v>Scale, access to capital, local operating expertise; diversification can dilute edge.</x:v>
      </x:c>
      <x:c r="I67" s="13" t="str">
        <x:v>Property supply slow but varies by segment.</x:v>
      </x:c>
      <x:c r="J67" s="13" t="str">
        <x:v>P/NAV, P/AFFO, implied cap rate, DCF.</x:v>
      </x:c>
      <x:c r="K67" s="13" t="str">
        <x:v>AFFO adjustments, straight-line rent, recurring capex, JV accounting.</x:v>
      </x:c>
      <x:c r="L67" s="13" t="str">
        <x:v>Bad mix, leverage, value-destructive acquisitions.</x:v>
      </x:c>
      <x:c r="M67" s="13" t="str">
        <x:v>Exceptional allocator buying/selling assets through cycles at NAV-accretive spreads.</x:v>
      </x:c>
      <x:c r="N67" s="13" t="str">
        <x:v>NAV discount closes after asset sales/deleveraging.</x:v>
      </x:c>
      <x:c r="O67" s="13" t="n">
        <x:v>3</x:v>
      </x:c>
      <x:c r="P67" s="13" t="str">
        <x:v>Monthly/quarterly</x:v>
      </x:c>
      <x:c r="Q67" s="13" t="str">
        <x:v>NAV / capital allocation</x:v>
      </x:c>
      <x:c r="R67" s="13" t="str">
        <x:v>Does diversification lower risk or hide inferior assets?</x:v>
      </x:c>
    </x:row>
    <x:row r="68">
      <x:c r="A68" s="13" t="str">
        <x:v>Real Estate</x:v>
      </x:c>
      <x:c r="B68" s="13" t="str">
        <x:v>Equity REITs</x:v>
      </x:c>
      <x:c r="C68" s="13" t="str">
        <x:v>601025</x:v>
      </x:c>
      <x:c r="D68" s="13" t="str">
        <x:v>Industrial REITs</x:v>
      </x:c>
      <x:c r="E68" s="13" t="str">
        <x:v>Warehouse rent × occupancy − property costs; development spread and rent mark-to-market drive value.</x:v>
      </x:c>
      <x:c r="F68" s="13" t="str">
        <x:v>Occupancy; cash leasing spreads; same-store NOI; development pipeline; yield on cost; rent mark-to-market.</x:v>
      </x:c>
      <x:c r="G68" s="13" t="str">
        <x:v>Warehouse supply; absorption; e-commerce; vacancy; construction starts.</x:v>
      </x:c>
      <x:c r="H68" s="13" t="str">
        <x:v>Location, land bank, development platform, tenant network.</x:v>
      </x:c>
      <x:c r="I68" s="13" t="str">
        <x:v>Supply takes 1–3 years; land/entitlements constrain prime markets.</x:v>
      </x:c>
      <x:c r="J68" s="13" t="str">
        <x:v>P/NAV, P/AFFO, implied cap rate, development NAV.</x:v>
      </x:c>
      <x:c r="K68" s="13" t="str">
        <x:v>Straight-line rent, tenant improvements, recurring capex, JV development.</x:v>
      </x:c>
      <x:c r="L68" s="13" t="str">
        <x:v>Overbuilding, tenant concentration, cap-rate expansion.</x:v>
      </x:c>
      <x:c r="M68" s="13" t="str">
        <x:v>Infill portfolio with embedded below-market rents and accretive development runway.</x:v>
      </x:c>
      <x:c r="N68" s="13" t="str">
        <x:v>Supply starts collapse while demand holds; leases reset materially higher.</x:v>
      </x:c>
      <x:c r="O68" s="13" t="n">
        <x:v>5</x:v>
      </x:c>
      <x:c r="P68" s="13" t="str">
        <x:v>Monthly</x:v>
      </x:c>
      <x:c r="Q68" s="13" t="str">
        <x:v>Rent mark-to-market compounder</x:v>
      </x:c>
      <x:c r="R68" s="13" t="str">
        <x:v>What percentage of rents reset in the next 3 years and at what mark-to-market?</x:v>
      </x:c>
    </x:row>
    <x:row r="69">
      <x:c r="A69" s="13" t="str">
        <x:v>Real Estate</x:v>
      </x:c>
      <x:c r="B69" s="13" t="str">
        <x:v>Equity REITs</x:v>
      </x:c>
      <x:c r="C69" s="13" t="str">
        <x:v>601030</x:v>
      </x:c>
      <x:c r="D69" s="13" t="str">
        <x:v>Hotel &amp; Resort REITs</x:v>
      </x:c>
      <x:c r="E69" s="13" t="str">
        <x:v>Rooms × occupancy × ADR − hotel operating costs − fixed charges; very high operating leverage.</x:v>
      </x:c>
      <x:c r="F69" s="13" t="str">
        <x:v>RevPAR; occupancy; ADR; group bookings; EBITDA margin; renovation capex; leverage.</x:v>
      </x:c>
      <x:c r="G69" s="13" t="str">
        <x:v>Travel bookings; convention calendars; airline capacity; corporate travel.</x:v>
      </x:c>
      <x:c r="H69" s="13" t="str">
        <x:v>Location, asset quality, brand/operator agreements; limited corporate moat.</x:v>
      </x:c>
      <x:c r="I69" s="13" t="str">
        <x:v>New hotels take years but demand can collapse instantly.</x:v>
      </x:c>
      <x:c r="J69" s="13" t="str">
        <x:v>P/NAV, EV/EBITDA, FFO/AFFO, value per key.</x:v>
      </x:c>
      <x:c r="K69" s="13" t="str">
        <x:v>FF&amp;E reserves, management fees, renovations, seasonality.</x:v>
      </x:c>
      <x:c r="L69" s="13" t="str">
        <x:v>Recession, new supply, labor, leverage.</x:v>
      </x:c>
      <x:c r="M69" s="13" t="str">
        <x:v>Scarce luxury/convention assets bought below replacement cost.</x:v>
      </x:c>
      <x:c r="N69" s="13" t="str">
        <x:v>Group/business travel recovery; renovation completion; supply constrained.</x:v>
      </x:c>
      <x:c r="O69" s="13" t="n">
        <x:v>2</x:v>
      </x:c>
      <x:c r="P69" s="13" t="str">
        <x:v>Weekly/monthly</x:v>
      </x:c>
      <x:c r="Q69" s="13" t="str">
        <x:v>RevPAR operating leverage</x:v>
      </x:c>
      <x:c r="R69" s="13" t="str">
        <x:v>How much EBITDA changes for 1% RevPAR movement after fixed costs?</x:v>
      </x:c>
    </x:row>
    <x:row r="70">
      <x:c r="A70" s="13" t="str">
        <x:v>Real Estate</x:v>
      </x:c>
      <x:c r="B70" s="13" t="str">
        <x:v>Equity REITs</x:v>
      </x:c>
      <x:c r="C70" s="13" t="str">
        <x:v>601040</x:v>
      </x:c>
      <x:c r="D70" s="13" t="str">
        <x:v>Office REITs</x:v>
      </x:c>
      <x:c r="E70" s="13" t="str">
        <x:v>Leased square feet × rent − property costs/capex; tenant demand and obsolescence dominate.</x:v>
      </x:c>
      <x:c r="F70" s="13" t="str">
        <x:v>Occupancy; leasing spreads; expirations; TI/LC; same-store NOI; debt maturities.</x:v>
      </x:c>
      <x:c r="G70" s="13" t="str">
        <x:v>Office utilization; sublease availability; job growth; new supply; transactions.</x:v>
      </x:c>
      <x:c r="H70" s="13" t="str">
        <x:v>Prime location, modern amenities, transit; many assets have weak moat post-remote work.</x:v>
      </x:c>
      <x:c r="I70" s="13" t="str">
        <x:v>Supply slow, but demand impairment can make existing stock obsolete.</x:v>
      </x:c>
      <x:c r="J70" s="13" t="str">
        <x:v>P/NAV, implied cap rate, FFO adjusted for TI/LC.</x:v>
      </x:c>
      <x:c r="K70" s="13" t="str">
        <x:v>Straight-line rent, concessions, tenant improvements, capex capitalization.</x:v>
      </x:c>
      <x:c r="L70" s="13" t="str">
        <x:v>Structural vacancy, refinancing, obsolete assets.</x:v>
      </x:c>
      <x:c r="M70" s="13" t="str">
        <x:v>Rare trophy/infill portfolio with low basis and strong tenant demand.</x:v>
      </x:c>
      <x:c r="N70" s="13" t="str">
        <x:v>Leasing trough; asset sales validate NAV; debt refinance removes solvency fear.</x:v>
      </x:c>
      <x:c r="O70" s="13" t="n">
        <x:v>1</x:v>
      </x:c>
      <x:c r="P70" s="13" t="str">
        <x:v>Monthly</x:v>
      </x:c>
      <x:c r="Q70" s="13" t="str">
        <x:v>Deep-value / balance-sheet inflection</x:v>
      </x:c>
      <x:c r="R70" s="13" t="str">
        <x:v>What is economic occupancy after concessions and required tenant capex?</x:v>
      </x:c>
    </x:row>
    <x:row r="71">
      <x:c r="A71" s="13" t="str">
        <x:v>Real Estate</x:v>
      </x:c>
      <x:c r="B71" s="13" t="str">
        <x:v>Equity REITs</x:v>
      </x:c>
      <x:c r="C71" s="13" t="str">
        <x:v>601050</x:v>
      </x:c>
      <x:c r="D71" s="13" t="str">
        <x:v>Health Care REITs</x:v>
      </x:c>
      <x:c r="E71" s="13" t="str">
        <x:v>Rent from senior housing/medical/life-science properties − property/financing; operator health matters.</x:v>
      </x:c>
      <x:c r="F71" s="13" t="str">
        <x:v>Occupancy; rent coverage; operator EBITDAR; same-store NOI; lease escalators; development.</x:v>
      </x:c>
      <x:c r="G71" s="13" t="str">
        <x:v>Senior demographics; labor costs; reimbursement; life-science funding.</x:v>
      </x:c>
      <x:c r="H71" s="13" t="str">
        <x:v>Purpose-built assets, relationships, local scale, licensing.</x:v>
      </x:c>
      <x:c r="I71" s="13" t="str">
        <x:v>Supply slow; operator economics can be fragile.</x:v>
      </x:c>
      <x:c r="J71" s="13" t="str">
        <x:v>P/NAV, P/AFFO, implied cap rate.</x:v>
      </x:c>
      <x:c r="K71" s="13" t="str">
        <x:v>Operator loans, straight-line rent, development, recurring capex.</x:v>
      </x:c>
      <x:c r="L71" s="13" t="str">
        <x:v>Tenant distress, reimbursement, labor, overbuilding.</x:v>
      </x:c>
      <x:c r="M71" s="13" t="str">
        <x:v>Medical/senior housing platform with improving occupancy and strong operator coverage.</x:v>
      </x:c>
      <x:c r="N71" s="13" t="str">
        <x:v>Occupancy recovery + labor normalization; troubled tenant reset.</x:v>
      </x:c>
      <x:c r="O71" s="13" t="n">
        <x:v>3</x:v>
      </x:c>
      <x:c r="P71" s="13" t="str">
        <x:v>Quarterly</x:v>
      </x:c>
      <x:c r="Q71" s="13" t="str">
        <x:v>Occupancy / operator recovery</x:v>
      </x:c>
      <x:c r="R71" s="13" t="str">
        <x:v>Can tenants cover rent after normalized labor and maintenance capex?</x:v>
      </x:c>
    </x:row>
    <x:row r="72">
      <x:c r="A72" s="13" t="str">
        <x:v>Real Estate</x:v>
      </x:c>
      <x:c r="B72" s="13" t="str">
        <x:v>Equity REITs</x:v>
      </x:c>
      <x:c r="C72" s="13" t="str">
        <x:v>601060</x:v>
      </x:c>
      <x:c r="D72" s="13" t="str">
        <x:v>Residential REITs</x:v>
      </x:c>
      <x:c r="E72" s="13" t="str">
        <x:v>Units × effective rent × occupancy − property costs; supply pipeline and household formation drive growth.</x:v>
      </x:c>
      <x:c r="F72" s="13" t="str">
        <x:v>Occupancy; blended rent growth; concessions; turnover; same-store NOI; development yield.</x:v>
      </x:c>
      <x:c r="G72" s="13" t="str">
        <x:v>Apartment deliveries; permits; household formation; wages; mortgage affordability.</x:v>
      </x:c>
      <x:c r="H72" s="13" t="str">
        <x:v>Infill locations, operating scale, data; limited differentiation beyond location.</x:v>
      </x:c>
      <x:c r="I72" s="13" t="str">
        <x:v>Supply takes 2–4 years, creating visible boom/bust pipeline.</x:v>
      </x:c>
      <x:c r="J72" s="13" t="str">
        <x:v>P/NAV, P/AFFO, implied cap rate.</x:v>
      </x:c>
      <x:c r="K72" s="13" t="str">
        <x:v>Concessions, capitalized renovations, same-store definitions.</x:v>
      </x:c>
      <x:c r="L72" s="13" t="str">
        <x:v>Supply wave, rent controls, property taxes, cap-rate expansion.</x:v>
      </x:c>
      <x:c r="M72" s="13" t="str">
        <x:v>Low-cost operator with scarce infill assets and accretive redevelopment.</x:v>
      </x:c>
      <x:c r="N72" s="13" t="str">
        <x:v>Supply deliveries peak; starts collapse; rent growth reaccelerates.</x:v>
      </x:c>
      <x:c r="O72" s="13" t="n">
        <x:v>4</x:v>
      </x:c>
      <x:c r="P72" s="13" t="str">
        <x:v>Monthly</x:v>
      </x:c>
      <x:c r="Q72" s="13" t="str">
        <x:v>Supply-pipeline inflection</x:v>
      </x:c>
      <x:c r="R72" s="13" t="str">
        <x:v>When do new deliveries peak relative to lease renewal calendar?</x:v>
      </x:c>
    </x:row>
    <x:row r="73">
      <x:c r="A73" s="13" t="str">
        <x:v>Real Estate</x:v>
      </x:c>
      <x:c r="B73" s="13" t="str">
        <x:v>Equity REITs</x:v>
      </x:c>
      <x:c r="C73" s="13" t="str">
        <x:v>601070</x:v>
      </x:c>
      <x:c r="D73" s="13" t="str">
        <x:v>Retail REITs</x:v>
      </x:c>
      <x:c r="E73" s="13" t="str">
        <x:v>Tenant sales support rent × occupancy − property costs; quality malls/centers can benefit from scarce locations.</x:v>
      </x:c>
      <x:c r="F73" s="13" t="str">
        <x:v>Occupancy; leasing spreads; tenant sales/sqft; bad debt; redevelopment yield; same-store NOI.</x:v>
      </x:c>
      <x:c r="G73" s="13" t="str">
        <x:v>Retail bankruptcies; store openings/closures; consumer spend; new supply.</x:v>
      </x:c>
      <x:c r="H73" s="13" t="str">
        <x:v>Location, tenant mix, zoning, experiential density.</x:v>
      </x:c>
      <x:c r="I73" s="13" t="str">
        <x:v>New prime retail supply limited in many markets.</x:v>
      </x:c>
      <x:c r="J73" s="13" t="str">
        <x:v>P/NAV, P/AFFO, implied cap rate.</x:v>
      </x:c>
      <x:c r="K73" s="13" t="str">
        <x:v>Straight-line rent, redevelopment capitalization, tenant allowances.</x:v>
      </x:c>
      <x:c r="L73" s="13" t="str">
        <x:v>Tenant failures, e-commerce, overleveraged assets.</x:v>
      </x:c>
      <x:c r="M73" s="13" t="str">
        <x:v>Grocery/necessity or top-tier center with pricing power and redevelopment runway.</x:v>
      </x:c>
      <x:c r="N73" s="13" t="str">
        <x:v>Bankruptcies fall; occupancy rises; redevelopment leased.</x:v>
      </x:c>
      <x:c r="O73" s="13" t="n">
        <x:v>4</x:v>
      </x:c>
      <x:c r="P73" s="13" t="str">
        <x:v>Quarterly</x:v>
      </x:c>
      <x:c r="Q73" s="13" t="str">
        <x:v>Location / redevelopment compounder</x:v>
      </x:c>
      <x:c r="R73" s="13" t="str">
        <x:v>Are tenant sales productivity and occupancy strong enough to support rent increases?</x:v>
      </x:c>
    </x:row>
    <x:row r="74">
      <x:c r="A74" s="13" t="str">
        <x:v>Real Estate</x:v>
      </x:c>
      <x:c r="B74" s="13" t="str">
        <x:v>Equity REITs</x:v>
      </x:c>
      <x:c r="C74" s="13" t="str">
        <x:v>601080</x:v>
      </x:c>
      <x:c r="D74" s="13" t="str">
        <x:v>Specialized REITs</x:v>
      </x:c>
      <x:c r="E74" s="13" t="str">
        <x:v>Varies by towers, data centers, storage, timber, gaming/other: lease/usage revenue on specialized infrastructure.</x:v>
      </x:c>
      <x:c r="F74" s="13" t="str">
        <x:v>Tenant churn; same-store NOI; bookings; utilization; power availability; tower amendments; storage street rates.</x:v>
      </x:c>
      <x:c r="G74" s="13" t="str">
        <x:v>Wireless capex; data-center demand; storage move-ins; timber prices; tenant capex.</x:v>
      </x:c>
      <x:c r="H74" s="13" t="str">
        <x:v>Specialized asset scarcity, network/location, permits, power/interconnect, switching cost.</x:v>
      </x:c>
      <x:c r="I74" s="13" t="str">
        <x:v>Often very slow supply for towers/data centers/power; self-storage faster.</x:v>
      </x:c>
      <x:c r="J74" s="13" t="str">
        <x:v>P/NAV, P/AFFO, EV/EBITDA, asset-specific DCF.</x:v>
      </x:c>
      <x:c r="K74" s="13" t="str">
        <x:v>Development capex, straight-line rent, power pass-through, customer concentration.</x:v>
      </x:c>
      <x:c r="L74" s="13" t="str">
        <x:v>Tenant concentration, technology substitution, overbuilding, financing.</x:v>
      </x:c>
      <x:c r="M74" s="13" t="str">
        <x:v>Asset network with embedded escalators, high incremental margins and scarce locations/power.</x:v>
      </x:c>
      <x:c r="N74" s="13" t="str">
        <x:v>Lease-up/utilization inflection; power scarcity reprices; tenant capex cycle turns.</x:v>
      </x:c>
      <x:c r="O74" s="13" t="n">
        <x:v>5</x:v>
      </x:c>
      <x:c r="P74" s="13" t="str">
        <x:v>Monthly</x:v>
      </x:c>
      <x:c r="Q74" s="13" t="str">
        <x:v>Infrastructure REIT compounder</x:v>
      </x:c>
      <x:c r="R74" s="13" t="str">
        <x:v>What physical constraint—power, zoning, fiber, location—prevents new supply?</x:v>
      </x:c>
    </x:row>
    <x:row r="75">
      <x:c r="A75" s="13" t="str">
        <x:v>Real Estate</x:v>
      </x:c>
      <x:c r="B75" s="13" t="str">
        <x:v>Real Estate Management &amp; Development</x:v>
      </x:c>
      <x:c r="C75" s="13" t="str">
        <x:v>602010</x:v>
      </x:c>
      <x:c r="D75" s="13" t="str">
        <x:v>Real Estate Management &amp; Development</x:v>
      </x:c>
      <x:c r="E75" s="13" t="str">
        <x:v>Development spread, management/brokerage fees, transaction volumes and owned-property cash flows.</x:v>
      </x:c>
      <x:c r="F75" s="13" t="str">
        <x:v>Pre-sales; backlog; land bank; development margin; AUM; fee revenue; transactions; net debt.</x:v>
      </x:c>
      <x:c r="G75" s="13" t="str">
        <x:v>Cap rates; mortgage rates; transaction volumes; permits; property prices.</x:v>
      </x:c>
      <x:c r="H75" s="13" t="str">
        <x:v>Local land expertise, brand, capital relationships, management scale, data.</x:v>
      </x:c>
      <x:c r="I75" s="13" t="str">
        <x:v>Development supply lags but can overbuild; fee businesses scale faster.</x:v>
      </x:c>
      <x:c r="J75" s="13" t="str">
        <x:v>NAV/SOTP, P/E for fee businesses, P/B for developers.</x:v>
      </x:c>
      <x:c r="K75" s="13" t="str">
        <x:v>Land valuation, capitalized interest, JV/off-balance-sheet debt, percentage-of-completion.</x:v>
      </x:c>
      <x:c r="L75" s="13" t="str">
        <x:v>Property downturn, leverage, land impairments, transaction freeze.</x:v>
      </x:c>
      <x:c r="M75" s="13" t="str">
        <x:v>Asset-light manager/service platform with recurring AUM and low capital needs.</x:v>
      </x:c>
      <x:c r="N75" s="13" t="str">
        <x:v>Transaction cycle reopens; distressed land bought cheaply; pre-sales turn.</x:v>
      </x:c>
      <x:c r="O75" s="13" t="n">
        <x:v>3</x:v>
      </x:c>
      <x:c r="P75" s="13" t="str">
        <x:v>Monthly/quarterly</x:v>
      </x:c>
      <x:c r="Q75" s="13" t="str">
        <x:v>Transaction / NAV inflection</x:v>
      </x:c>
      <x:c r="R75" s="13" t="str">
        <x:v>How much value is fee-based recurring earnings versus leveraged land/property exposure?</x:v>
      </x:c>
    </x:row>
  </x:sheetData>
  <x:conditionalFormatting sqref="O2:O7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1922e6eeec04a69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8" t="str">
        <x:v>GICS Coverage Dashboard — Investment Research Encyclopedia</x:v>
      </x:c>
      <x:c r="B1" s="18"/>
      <x:c r="C1" s="18"/>
      <x:c r="D1" s="18"/>
      <x:c r="E1" s="18"/>
      <x:c r="F1" s="18"/>
      <x:c r="G1" s="18"/>
      <x:c r="H1" s="18"/>
    </x:row>
    <x:row r="3">
      <x:c r="A3" s="23" t="str">
        <x:v>Coverage metric</x:v>
      </x:c>
      <x:c r="B3" s="23" t="str">
        <x:v>Value</x:v>
      </x:c>
      <x:c r="D3" s="23" t="str">
        <x:v>Priority</x:v>
      </x:c>
      <x:c r="E3" s="23" t="str">
        <x:v>Industries</x:v>
      </x:c>
    </x:row>
    <x:row r="4">
      <x:c r="A4" t="str">
        <x:v>Sectors</x:v>
      </x:c>
      <x:c r="B4" t="n">
        <x:v>11</x:v>
      </x:c>
      <x:c r="D4" t="n">
        <x:v>5</x:v>
      </x:c>
      <x:c r="E4" t="n">
        <x:f>COUNTIF('74-Industry Encyclopedia'!$O$2:$O$75,D4)</x:f>
        <x:v>24</x:v>
      </x:c>
    </x:row>
    <x:row r="5">
      <x:c r="A5" t="str">
        <x:v>Industry Groups</x:v>
      </x:c>
      <x:c r="B5" t="n">
        <x:v>25</x:v>
      </x:c>
      <x:c r="D5" t="n">
        <x:v>4</x:v>
      </x:c>
      <x:c r="E5" t="n">
        <x:f>COUNTIF('74-Industry Encyclopedia'!$O$2:$O$75,D5)</x:f>
        <x:v>24</x:v>
      </x:c>
    </x:row>
    <x:row r="6">
      <x:c r="A6" t="str">
        <x:v>Industries</x:v>
      </x:c>
      <x:c r="B6" t="n">
        <x:v>74</x:v>
      </x:c>
      <x:c r="D6" t="n">
        <x:v>3</x:v>
      </x:c>
      <x:c r="E6" t="n">
        <x:f>COUNTIF('74-Industry Encyclopedia'!$O$2:$O$75,D6)</x:f>
        <x:v>17</x:v>
      </x:c>
    </x:row>
    <x:row r="7">
      <x:c r="A7" t="str">
        <x:v>Sub-industries in current GICS</x:v>
      </x:c>
      <x:c r="B7" t="n">
        <x:v>163</x:v>
      </x:c>
      <x:c r="D7" t="n">
        <x:v>2</x:v>
      </x:c>
      <x:c r="E7" t="n">
        <x:f>COUNTIF('74-Industry Encyclopedia'!$O$2:$O$75,D7)</x:f>
        <x:v>7</x:v>
      </x:c>
    </x:row>
    <x:row r="8">
      <x:c r="D8" t="n">
        <x:v>1</x:v>
      </x:c>
      <x:c r="E8" t="n">
        <x:f>COUNTIF('74-Industry Encyclopedia'!$O$2:$O$75,D8)</x:f>
        <x:v>2</x:v>
      </x:c>
    </x:row>
    <x:row r="10">
      <x:c r="A10" s="23" t="str">
        <x:v>Sector</x:v>
      </x:c>
      <x:c r="B10" s="23" t="str">
        <x:v>Industry Count</x:v>
      </x:c>
      <x:c r="C10" s="23" t="str">
        <x:v>Average Research Priority</x:v>
      </x:c>
    </x:row>
    <x:row r="11">
      <x:c r="A11" t="str">
        <x:v>Energy</x:v>
      </x:c>
      <x:c r="B11" t="n">
        <x:f>COUNTIF('74-Industry Encyclopedia'!$A$2:$A$75,A11)</x:f>
        <x:v>2</x:v>
      </x:c>
      <x:c r="C11" s="26" t="n">
        <x:f>AVERAGEIF('74-Industry Encyclopedia'!$A$2:$A$75,A11,'74-Industry Encyclopedia'!$O$2:$O$75)</x:f>
        <x:v>4.5</x:v>
      </x:c>
    </x:row>
    <x:row r="12">
      <x:c r="A12" t="str">
        <x:v>Materials</x:v>
      </x:c>
      <x:c r="B12" t="n">
        <x:f>COUNTIF('74-Industry Encyclopedia'!$A$2:$A$75,A12)</x:f>
        <x:v>5</x:v>
      </x:c>
      <x:c r="C12" s="26" t="n">
        <x:f>AVERAGEIF('74-Industry Encyclopedia'!$A$2:$A$75,A12,'74-Industry Encyclopedia'!$O$2:$O$75)</x:f>
        <x:v>3.6</x:v>
      </x:c>
    </x:row>
    <x:row r="13">
      <x:c r="A13" t="str">
        <x:v>Industrials</x:v>
      </x:c>
      <x:c r="B13" t="n">
        <x:f>COUNTIF('74-Industry Encyclopedia'!$A$2:$A$75,A13)</x:f>
        <x:v>14</x:v>
      </x:c>
      <x:c r="C13" s="26" t="n">
        <x:f>AVERAGEIF('74-Industry Encyclopedia'!$A$2:$A$75,A13,'74-Industry Encyclopedia'!$O$2:$O$75)</x:f>
        <x:v>4.142857142857143</x:v>
      </x:c>
    </x:row>
    <x:row r="14">
      <x:c r="A14" t="str">
        <x:v>Consumer Discretionary</x:v>
      </x:c>
      <x:c r="B14" t="n">
        <x:f>COUNTIF('74-Industry Encyclopedia'!$A$2:$A$75,A14)</x:f>
        <x:v>10</x:v>
      </x:c>
      <x:c r="C14" s="26" t="n">
        <x:f>AVERAGEIF('74-Industry Encyclopedia'!$A$2:$A$75,A14,'74-Industry Encyclopedia'!$O$2:$O$75)</x:f>
        <x:v>3.5</x:v>
      </x:c>
    </x:row>
    <x:row r="15">
      <x:c r="A15" t="str">
        <x:v>Consumer Staples</x:v>
      </x:c>
      <x:c r="B15" t="n">
        <x:f>COUNTIF('74-Industry Encyclopedia'!$A$2:$A$75,A15)</x:f>
        <x:v>6</x:v>
      </x:c>
      <x:c r="C15" s="26" t="n">
        <x:f>AVERAGEIF('74-Industry Encyclopedia'!$A$2:$A$75,A15,'74-Industry Encyclopedia'!$O$2:$O$75)</x:f>
        <x:v>3.3333333333333335</x:v>
      </x:c>
    </x:row>
    <x:row r="16">
      <x:c r="A16" t="str">
        <x:v>Health Care</x:v>
      </x:c>
      <x:c r="B16" t="n">
        <x:f>COUNTIF('74-Industry Encyclopedia'!$A$2:$A$75,A16)</x:f>
        <x:v>6</x:v>
      </x:c>
      <x:c r="C16" s="26" t="n">
        <x:f>AVERAGEIF('74-Industry Encyclopedia'!$A$2:$A$75,A16,'74-Industry Encyclopedia'!$O$2:$O$75)</x:f>
        <x:v>4.5</x:v>
      </x:c>
    </x:row>
    <x:row r="17">
      <x:c r="A17" t="str">
        <x:v>Financials</x:v>
      </x:c>
      <x:c r="B17" t="n">
        <x:f>COUNTIF('74-Industry Encyclopedia'!$A$2:$A$75,A17)</x:f>
        <x:v>6</x:v>
      </x:c>
      <x:c r="C17" s="26" t="n">
        <x:f>AVERAGEIF('74-Industry Encyclopedia'!$A$2:$A$75,A17,'74-Industry Encyclopedia'!$O$2:$O$75)</x:f>
        <x:v>4.166666666666667</x:v>
      </x:c>
    </x:row>
    <x:row r="18">
      <x:c r="A18" t="str">
        <x:v>Information Technology</x:v>
      </x:c>
      <x:c r="B18" t="n">
        <x:f>COUNTIF('74-Industry Encyclopedia'!$A$2:$A$75,A18)</x:f>
        <x:v>6</x:v>
      </x:c>
      <x:c r="C18" s="26" t="n">
        <x:f>AVERAGEIF('74-Industry Encyclopedia'!$A$2:$A$75,A18,'74-Industry Encyclopedia'!$O$2:$O$75)</x:f>
        <x:v>4.5</x:v>
      </x:c>
    </x:row>
    <x:row r="19">
      <x:c r="A19" t="str">
        <x:v>Communication Services</x:v>
      </x:c>
      <x:c r="B19" t="n">
        <x:f>COUNTIF('74-Industry Encyclopedia'!$A$2:$A$75,A19)</x:f>
        <x:v>5</x:v>
      </x:c>
      <x:c r="C19" s="26" t="n">
        <x:f>AVERAGEIF('74-Industry Encyclopedia'!$A$2:$A$75,A19,'74-Industry Encyclopedia'!$O$2:$O$75)</x:f>
        <x:v>3.4</x:v>
      </x:c>
    </x:row>
    <x:row r="20">
      <x:c r="A20" t="str">
        <x:v>Utilities</x:v>
      </x:c>
      <x:c r="B20" t="n">
        <x:f>COUNTIF('74-Industry Encyclopedia'!$A$2:$A$75,A20)</x:f>
        <x:v>5</x:v>
      </x:c>
      <x:c r="C20" s="26" t="n">
        <x:f>AVERAGEIF('74-Industry Encyclopedia'!$A$2:$A$75,A20,'74-Industry Encyclopedia'!$O$2:$O$75)</x:f>
        <x:v>3.4</x:v>
      </x:c>
    </x:row>
    <x:row r="21">
      <x:c r="A21" t="str">
        <x:v>Real Estate</x:v>
      </x:c>
      <x:c r="B21" t="n">
        <x:f>COUNTIF('74-Industry Encyclopedia'!$A$2:$A$75,A21)</x:f>
        <x:v>9</x:v>
      </x:c>
      <x:c r="C21" s="26" t="n">
        <x:f>AVERAGEIF('74-Industry Encyclopedia'!$A$2:$A$75,A21,'74-Industry Encyclopedia'!$O$2:$O$75)</x:f>
        <x:v>3.3333333333333335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  <x:col min="3" max="3" width="50" hidden="0" customWidth="1"/>
  </x:cols>
  <x:sheetData>
    <x:row r="1">
      <x:c r="A1" s="4" t="str">
        <x:v>Stage</x:v>
      </x:c>
      <x:c r="B1" s="4" t="str">
        <x:v>Required output</x:v>
      </x:c>
      <x:c r="C1" s="4" t="str">
        <x:v>Hard gate</x:v>
      </x:c>
    </x:row>
    <x:row r="2">
      <x:c r="A2" s="10" t="str">
        <x:v>0. World model</x:v>
      </x:c>
      <x:c r="B2" s="10" t="str">
        <x:v>Value chain, profit pools, capital cycle, leading indicators</x:v>
      </x:c>
      <x:c r="C2" s="10" t="str">
        <x:v>Industry economics understood before stock thesis</x:v>
      </x:c>
    </x:row>
    <x:row r="3">
      <x:c r="A3" s="10" t="str">
        <x:v>1. Detect change</x:v>
      </x:c>
      <x:c r="B3" s="10" t="str">
        <x:v>Specific anomaly or change, dated</x:v>
      </x:c>
      <x:c r="C3" s="10" t="str">
        <x:v>No generic TAM-only ideas</x:v>
      </x:c>
    </x:row>
    <x:row r="4">
      <x:c r="A4" s="10" t="str">
        <x:v>2. Causal chain</x:v>
      </x:c>
      <x:c r="B4" s="10" t="str">
        <x:v>External change → operating variable → financials → expectations → price</x:v>
      </x:c>
      <x:c r="C4" s="10" t="str">
        <x:v>Every arrow testable</x:v>
      </x:c>
    </x:row>
    <x:row r="5">
      <x:c r="A5" s="10" t="str">
        <x:v>3. Expectations</x:v>
      </x:c>
      <x:c r="B5" s="10" t="str">
        <x:v>Management, consensus, price-implied, our forecast</x:v>
      </x:c>
      <x:c r="C5" s="10" t="str">
        <x:v>Variant perception stated explicitly</x:v>
      </x:c>
    </x:row>
    <x:row r="6">
      <x:c r="A6" s="10" t="str">
        <x:v>4. Evidence ledger</x:v>
      </x:c>
      <x:c r="B6" s="10" t="str">
        <x:v>Facts / interpretations / estimates / unknowns</x:v>
      </x:c>
      <x:c r="C6" s="10" t="str">
        <x:v>Unknowns remain visible</x:v>
      </x:c>
    </x:row>
    <x:row r="7">
      <x:c r="A7" s="10" t="str">
        <x:v>5. Demand quality</x:v>
      </x:c>
      <x:c r="B7" s="10" t="str">
        <x:v>Revenue &gt; RPO &gt; firm order &gt; funded reservation &gt; LOI &gt; pipeline &gt; TAM</x:v>
      </x:c>
      <x:c r="C7" s="10" t="str">
        <x:v>Do not equate backlog labels</x:v>
      </x:c>
    </x:row>
    <x:row r="8">
      <x:c r="A8" s="10" t="str">
        <x:v>6. Supply response</x:v>
      </x:c>
      <x:c r="B8" s="10" t="str">
        <x:v>Capacity additions, qualification, timing, marginal economics</x:v>
      </x:c>
      <x:c r="C8" s="10" t="str">
        <x:v>Scarcity duration estimated</x:v>
      </x:c>
    </x:row>
    <x:row r="9">
      <x:c r="A9" s="10" t="str">
        <x:v>7. Earnings elasticity</x:v>
      </x:c>
      <x:c r="B9" s="10" t="str">
        <x:v>Driver sensitivity to EBITDA/EPS/FCF</x:v>
      </x:c>
      <x:c r="C9" s="10" t="str">
        <x:v>Nonlinear mechanism quantified</x:v>
      </x:c>
    </x:row>
    <x:row r="10">
      <x:c r="A10" s="10" t="str">
        <x:v>8. Red team</x:v>
      </x:c>
      <x:c r="B10" s="10" t="str">
        <x:v>Best short case and 50% downside scenario</x:v>
      </x:c>
      <x:c r="C10" s="10" t="str">
        <x:v>Contradictory evidence sought first</x:v>
      </x:c>
    </x:row>
    <x:row r="11">
      <x:c r="A11" s="10" t="str">
        <x:v>9. Valuation</x:v>
      </x:c>
      <x:c r="B11" s="10" t="str">
        <x:v>Forward, DCF/owner earnings, reverse valuation</x:v>
      </x:c>
      <x:c r="C11" s="10" t="str">
        <x:v>Bull case not required for adequate return</x:v>
      </x:c>
    </x:row>
    <x:row r="12">
      <x:c r="A12" s="10" t="str">
        <x:v>10. Milestones/falsifiers</x:v>
      </x:c>
      <x:c r="B12" s="10" t="str">
        <x:v>Dated measurable milestones and thesis kill criteria</x:v>
      </x:c>
      <x:c r="C12" s="10" t="str">
        <x:v>No thesis drift</x:v>
      </x:c>
    </x:row>
    <x:row r="13">
      <x:c r="A13" s="10" t="str">
        <x:v>11. Portfolio comparison</x:v>
      </x:c>
      <x:c r="B13" s="10" t="str">
        <x:v>Expected return, permanent-loss risk, correlation, liquidity</x:v>
      </x:c>
      <x:c r="C13" s="10" t="str">
        <x:v>Must beat next-best use of capital</x:v>
      </x:c>
    </x:row>
    <x:row r="14">
      <x:c r="A14" s="10" t="str">
        <x:v>12. Post-mortem</x:v>
      </x:c>
      <x:c r="B14" s="10" t="str">
        <x:v>Forecast calibration and mistake taxonomy</x:v>
      </x:c>
      <x:c r="C14" s="10" t="str">
        <x:v>Process changes after errors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8" hidden="0" customWidth="1"/>
    <x:col min="4" max="4" width="62" hidden="0" customWidth="1"/>
  </x:cols>
  <x:sheetData>
    <x:row r="1">
      <x:c r="A1" s="4" t="str">
        <x:v>Domain</x:v>
      </x:c>
      <x:c r="B1" s="4" t="str">
        <x:v>Primary source</x:v>
      </x:c>
      <x:c r="C1" s="4" t="str">
        <x:v>URL</x:v>
      </x:c>
      <x:c r="D1" s="4" t="str">
        <x:v>Use</x:v>
      </x:c>
    </x:row>
    <x:row r="2">
      <x:c r="A2" s="10" t="str">
        <x:v>Cross-market</x:v>
      </x:c>
      <x:c r="B2" s="10" t="str">
        <x:v>SEC EDGAR / company filings</x:v>
      </x:c>
      <x:c r="C2" s="10" t="str">
        <x:v>https://www.sec.gov/edgar/search/</x:v>
      </x:c>
      <x:c r="D2" s="10" t="str">
        <x:v>10-K/10-Q/8-K, exhibits, contracts, primary-source financial disclosures</x:v>
      </x:c>
    </x:row>
    <x:row r="3">
      <x:c r="A3" s="10" t="str">
        <x:v>Macro</x:v>
      </x:c>
      <x:c r="B3" s="10" t="str">
        <x:v>FRED / ALFRED</x:v>
      </x:c>
      <x:c r="C3" s="10" t="str">
        <x:v>https://fred.stlouisfed.org/</x:v>
      </x:c>
      <x:c r="D3" s="10" t="str">
        <x:v>Rates, credit, production, inflation, vintage macro series</x:v>
      </x:c>
    </x:row>
    <x:row r="4">
      <x:c r="A4" s="10" t="str">
        <x:v>Macro</x:v>
      </x:c>
      <x:c r="B4" s="10" t="str">
        <x:v>BEA</x:v>
      </x:c>
      <x:c r="C4" s="10" t="str">
        <x:v>https://www.bea.gov/</x:v>
      </x:c>
      <x:c r="D4" s="10" t="str">
        <x:v>GDP, industry accounts, consumption, investment</x:v>
      </x:c>
    </x:row>
    <x:row r="5">
      <x:c r="A5" s="10" t="str">
        <x:v>Labor</x:v>
      </x:c>
      <x:c r="B5" s="10" t="str">
        <x:v>BLS</x:v>
      </x:c>
      <x:c r="C5" s="10" t="str">
        <x:v>https://www.bls.gov/</x:v>
      </x:c>
      <x:c r="D5" s="10" t="str">
        <x:v>Employment, wages, productivity, PPI/CPI by industry</x:v>
      </x:c>
    </x:row>
    <x:row r="6">
      <x:c r="A6" s="10" t="str">
        <x:v>Energy</x:v>
      </x:c>
      <x:c r="B6" s="10" t="str">
        <x:v>U.S. EIA</x:v>
      </x:c>
      <x:c r="C6" s="10" t="str">
        <x:v>https://www.eia.gov/</x:v>
      </x:c>
      <x:c r="D6" s="10" t="str">
        <x:v>Oil/gas/power inventories, production, prices, generation and capacity</x:v>
      </x:c>
    </x:row>
    <x:row r="7">
      <x:c r="A7" s="10" t="str">
        <x:v>Construction</x:v>
      </x:c>
      <x:c r="B7" s="10" t="str">
        <x:v>U.S. Census Construction</x:v>
      </x:c>
      <x:c r="C7" s="10" t="str">
        <x:v>https://www.census.gov/construction/</x:v>
      </x:c>
      <x:c r="D7" s="10" t="str">
        <x:v>Housing starts, permits, construction spending</x:v>
      </x:c>
    </x:row>
    <x:row r="8">
      <x:c r="A8" s="10" t="str">
        <x:v>Manufacturing</x:v>
      </x:c>
      <x:c r="B8" s="10" t="str">
        <x:v>Federal Reserve Industrial Production</x:v>
      </x:c>
      <x:c r="C8" s="10" t="str">
        <x:v>https://www.federalreserve.gov/releases/g17/</x:v>
      </x:c>
      <x:c r="D8" s="10" t="str">
        <x:v>Industrial production and capacity utilization</x:v>
      </x:c>
    </x:row>
    <x:row r="9">
      <x:c r="A9" s="10" t="str">
        <x:v>Transportation</x:v>
      </x:c>
      <x:c r="B9" s="10" t="str">
        <x:v>Bureau of Transportation Statistics</x:v>
      </x:c>
      <x:c r="C9" s="10" t="str">
        <x:v>https://www.bts.gov/</x:v>
      </x:c>
      <x:c r="D9" s="10" t="str">
        <x:v>Freight, transport activity and infrastructure statistics</x:v>
      </x:c>
    </x:row>
    <x:row r="10">
      <x:c r="A10" s="10" t="str">
        <x:v>Aviation</x:v>
      </x:c>
      <x:c r="B10" s="10" t="str">
        <x:v>FAA</x:v>
      </x:c>
      <x:c r="C10" s="10" t="str">
        <x:v>https://www.faa.gov/</x:v>
      </x:c>
      <x:c r="D10" s="10" t="str">
        <x:v>Aircraft, traffic, safety, certification and aerospace context</x:v>
      </x:c>
    </x:row>
    <x:row r="11">
      <x:c r="A11" s="10" t="str">
        <x:v>Agriculture/Food</x:v>
      </x:c>
      <x:c r="B11" s="10" t="str">
        <x:v>USDA ERS</x:v>
      </x:c>
      <x:c r="C11" s="10" t="str">
        <x:v>https://www.ers.usda.gov/</x:v>
      </x:c>
      <x:c r="D11" s="10" t="str">
        <x:v>Agricultural commodities, food demand and farm economics</x:v>
      </x:c>
    </x:row>
    <x:row r="12">
      <x:c r="A12" s="10" t="str">
        <x:v>Health Care</x:v>
      </x:c>
      <x:c r="B12" s="10" t="str">
        <x:v>CMS</x:v>
      </x:c>
      <x:c r="C12" s="10" t="str">
        <x:v>https://www.cms.gov/</x:v>
      </x:c>
      <x:c r="D12" s="10" t="str">
        <x:v>Reimbursement, enrollment, utilization and health policy</x:v>
      </x:c>
    </x:row>
    <x:row r="13">
      <x:c r="A13" s="10" t="str">
        <x:v>Drugs/Devices</x:v>
      </x:c>
      <x:c r="B13" s="10" t="str">
        <x:v>FDA</x:v>
      </x:c>
      <x:c r="C13" s="10" t="str">
        <x:v>https://www.fda.gov/</x:v>
      </x:c>
      <x:c r="D13" s="10" t="str">
        <x:v>Approvals, recalls, trial/regulatory documents</x:v>
      </x:c>
    </x:row>
    <x:row r="14">
      <x:c r="A14" s="10" t="str">
        <x:v>Banks</x:v>
      </x:c>
      <x:c r="B14" s="10" t="str">
        <x:v>FDIC Bank Data</x:v>
      </x:c>
      <x:c r="C14" s="10" t="str">
        <x:v>https://www.fdic.gov/analysis/quarterly-banking-profile</x:v>
      </x:c>
      <x:c r="D14" s="10" t="str">
        <x:v>Bank balances, deposits, credit quality and industry profitability</x:v>
      </x:c>
    </x:row>
    <x:row r="15">
      <x:c r="A15" s="10" t="str">
        <x:v>Banks/Finance</x:v>
      </x:c>
      <x:c r="B15" s="10" t="str">
        <x:v>Federal Reserve</x:v>
      </x:c>
      <x:c r="C15" s="10" t="str">
        <x:v>https://www.federalreserve.gov/</x:v>
      </x:c>
      <x:c r="D15" s="10" t="str">
        <x:v>Rates, financial conditions, bank credit, Senior Loan Officer surveys</x:v>
      </x:c>
    </x:row>
    <x:row r="16">
      <x:c r="A16" s="10" t="str">
        <x:v>Insurance</x:v>
      </x:c>
      <x:c r="B16" s="10" t="str">
        <x:v>NAIC</x:v>
      </x:c>
      <x:c r="C16" s="10" t="str">
        <x:v>https://content.naic.org/</x:v>
      </x:c>
      <x:c r="D16" s="10" t="str">
        <x:v>Insurance statutory/regulatory data and industry resources</x:v>
      </x:c>
    </x:row>
    <x:row r="17">
      <x:c r="A17" s="10" t="str">
        <x:v>Telecom/Media</x:v>
      </x:c>
      <x:c r="B17" s="10" t="str">
        <x:v>FCC</x:v>
      </x:c>
      <x:c r="C17" s="10" t="str">
        <x:v>https://www.fcc.gov/</x:v>
      </x:c>
      <x:c r="D17" s="10" t="str">
        <x:v>Broadband, wireless, spectrum and communications regulation</x:v>
      </x:c>
    </x:row>
    <x:row r="18">
      <x:c r="A18" s="10" t="str">
        <x:v>Utilities/Power</x:v>
      </x:c>
      <x:c r="B18" s="10" t="str">
        <x:v>FERC</x:v>
      </x:c>
      <x:c r="C18" s="10" t="str">
        <x:v>https://www.ferc.gov/</x:v>
      </x:c>
      <x:c r="D18" s="10" t="str">
        <x:v>Power markets, transmission, pipelines and interconnection regulation</x:v>
      </x:c>
    </x:row>
    <x:row r="19">
      <x:c r="A19" s="10" t="str">
        <x:v>Real Estate</x:v>
      </x:c>
      <x:c r="B19" s="10" t="str">
        <x:v>U.S. Census / FRED</x:v>
      </x:c>
      <x:c r="C19" s="10" t="str">
        <x:v>https://fred.stlouisfed.org/categories/97</x:v>
      </x:c>
      <x:c r="D19" s="10" t="str">
        <x:v>Construction, vacancies, housing, rates and economic series</x:v>
      </x:c>
    </x:row>
    <x:row r="20">
      <x:c r="A20" s="10" t="str">
        <x:v>Semiconductors</x:v>
      </x:c>
      <x:c r="B20" s="10" t="str">
        <x:v>SEMI</x:v>
      </x:c>
      <x:c r="C20" s="10" t="str">
        <x:v>https://www.semi.org/</x:v>
      </x:c>
      <x:c r="D20" s="10" t="str">
        <x:v>Semiconductor equipment, fab and industry ecosystem research</x:v>
      </x:c>
    </x:row>
    <x:row r="21">
      <x:c r="A21" s="10" t="str">
        <x:v>Semiconductors</x:v>
      </x:c>
      <x:c r="B21" s="10" t="str">
        <x:v>SIA</x:v>
      </x:c>
      <x:c r="C21" s="10" t="str">
        <x:v>https://www.semiconductors.org/</x:v>
      </x:c>
      <x:c r="D21" s="10" t="str">
        <x:v>Semiconductor sales and industry policy/context</x:v>
      </x:c>
    </x:row>
    <x:row r="22">
      <x:c r="A22" s="10" t="str">
        <x:v>GICS</x:v>
      </x:c>
      <x:c r="B22" s="10" t="str">
        <x:v>S&amp;P DJI GICS</x:v>
      </x:c>
      <x:c r="C22" s="10" t="str">
        <x:v>https://www.spglobal.com/spdji/en/landing/topic/gics/</x:v>
      </x:c>
      <x:c r="D22" s="10" t="str">
        <x:v>Official classification structure and methodology</x:v>
      </x:c>
    </x:row>
    <x:row r="23">
      <x:c r="A23" s="10" t="str">
        <x:v>GICS</x:v>
      </x:c>
      <x:c r="B23" s="10" t="str">
        <x:v>MSCI GICS</x:v>
      </x:c>
      <x:c r="C23" s="10" t="str">
        <x:v>https://www.msci.com/indexes/index-resources/gics</x:v>
      </x:c>
      <x:c r="D23" s="10" t="str">
        <x:v>Official GICS framework and definitions</x:v>
      </x:c>
    </x:row>
  </x:sheetData>
  <x:pageMargins left="0.7" right="0.7" top="0.75" bottom="0.75" header="0.3" footer="0.3"/>
  <x:tableParts count="1">
    <x:tablePart xmlns:r="http://schemas.openxmlformats.org/officeDocument/2006/relationships" r:id="R7adf1bcf88ac4e78"/>
  </x:tableParts>
</x:worksheet>
</file>