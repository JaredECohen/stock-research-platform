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867ba6216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750d2c82a2042dc"/>
    <x:sheet xmlns:r="http://schemas.openxmlformats.org/officeDocument/2006/relationships" name="Settings" sheetId="2" r:id="R7b9b1165c0024a04"/>
    <x:sheet xmlns:r="http://schemas.openxmlformats.org/officeDocument/2006/relationships" name="Economic Maps" sheetId="3" r:id="R0b33d7cec2834aa2"/>
    <x:sheet xmlns:r="http://schemas.openxmlformats.org/officeDocument/2006/relationships" name="Company Universe" sheetId="4" r:id="Rea8a800d0083420a"/>
    <x:sheet xmlns:r="http://schemas.openxmlformats.org/officeDocument/2006/relationships" name="Company Node Links" sheetId="5" r:id="Re7ca2f4ab38e434e"/>
    <x:sheet xmlns:r="http://schemas.openxmlformats.org/officeDocument/2006/relationships" name="Industry Coverage" sheetId="6" r:id="R964c7dbc1e984819"/>
    <x:sheet xmlns:r="http://schemas.openxmlformats.org/officeDocument/2006/relationships" name="Indicator Definitions" sheetId="7" r:id="Rba95838a61a04bb4"/>
    <x:sheet xmlns:r="http://schemas.openxmlformats.org/officeDocument/2006/relationships" name="Observations" sheetId="8" r:id="R84b3baf267d7418d"/>
    <x:sheet xmlns:r="http://schemas.openxmlformats.org/officeDocument/2006/relationships" name="Candidate Screens" sheetId="9" r:id="Rda09ea2a3f9f4e5a"/>
    <x:sheet xmlns:r="http://schemas.openxmlformats.org/officeDocument/2006/relationships" name="Diligence Gates" sheetId="10" r:id="R509d1329fbec4464"/>
    <x:sheet xmlns:r="http://schemas.openxmlformats.org/officeDocument/2006/relationships" name="Cycle Library" sheetId="11" r:id="Reeac09f399d746a2"/>
    <x:sheet xmlns:r="http://schemas.openxmlformats.org/officeDocument/2006/relationships" name="Dependencies" sheetId="12" r:id="R47c222a290874c47"/>
    <x:sheet xmlns:r="http://schemas.openxmlformats.org/officeDocument/2006/relationships" name="Research Queue" sheetId="13" r:id="R338d86ccca204184"/>
    <x:sheet xmlns:r="http://schemas.openxmlformats.org/officeDocument/2006/relationships" name="Source Register" sheetId="14" r:id="R11858f24c7734ef8"/>
    <x:sheet xmlns:r="http://schemas.openxmlformats.org/officeDocument/2006/relationships" name="Audit Log" sheetId="15" r:id="R6baa2aba0e124fb2"/>
    <x:sheet xmlns:r="http://schemas.openxmlformats.org/officeDocument/2006/relationships" name="Sector Snapshots" sheetId="16" r:id="R819bcf7c5db44e44"/>
    <x:sheet xmlns:r="http://schemas.openxmlformats.org/officeDocument/2006/relationships" name="Normalization Bridges" sheetId="17" r:id="Rbb68799dcf444be1"/>
    <x:sheet xmlns:r="http://schemas.openxmlformats.org/officeDocument/2006/relationships" name="Signal Dashboard" sheetId="18" r:id="R7780dff8f93b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%"/>
    <x:numFmt numFmtId="202" formatCode="#,##0.00;[Red](#,##0.00);&quot;-&quot;"/>
    <x:numFmt numFmtId="203" formatCode="0.0%;[Red](0.0%);&quot;-&quot;"/>
    <x:numFmt numFmtId="204" formatCode="0"/>
    <x:numFmt numFmtId="205" formatCode="0.00"/>
    <x:numFmt numFmtId="206" formatCode="0.0%"/>
  </x:numFmts>
  <x:fonts count="22">
    <x:font>
      <x:sz val="11"/>
      <x:name val="Carlito"/>
    </x:font>
    <x:font>
      <x:b/>
      <x:sz val="15"/>
      <x:color rgb="FFFFFFFF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sz val="10"/>
      <x:color rgb="FF62758A"/>
      <x:name val="Carlito"/>
    </x:font>
    <x:font>
      <x:b/>
      <x:sz val="10"/>
      <x:color rgb="FFFFFFFF"/>
      <x:name val="Carlito"/>
    </x:font>
    <x:font>
      <x:sz val="10"/>
      <x:color rgb="FF15283A"/>
      <x:name val="Calibri"/>
    </x:font>
    <x:font>
      <x:sz val="10"/>
      <x:color rgb="FF0000FF"/>
      <x:name val="Calibri"/>
    </x:font>
    <x:font>
      <x:sz val="10"/>
      <x:color rgb="FF008000"/>
      <x:name val="Calibri"/>
    </x:font>
    <x:font>
      <x:sz val="10"/>
      <x:name val="Carlito"/>
    </x:font>
    <x:font>
      <x:sz val="11"/>
      <x:name val="Calibri"/>
    </x:font>
    <x:font>
      <x:b/>
      <x:sz val="25"/>
      <x:color rgb="FFFFFFFF"/>
      <x:name val="Calibri"/>
    </x:font>
    <x:font>
      <x:sz val="11"/>
      <x:color rgb="FF62758A"/>
      <x:name val="Calibri"/>
    </x:font>
    <x:font>
      <x:b/>
      <x:sz val="10"/>
      <x:color rgb="FF132C46"/>
      <x:name val="Calibri"/>
    </x:font>
    <x:font>
      <x:b/>
      <x:sz val="29"/>
      <x:color rgb="FF008000"/>
      <x:name val="Calibri"/>
    </x:font>
    <x:font>
      <x:sz val="11"/>
      <x:color rgb="FF132C46"/>
      <x:name val="Calibri"/>
    </x:font>
    <x:font>
      <x:b/>
      <x:sz val="11"/>
      <x:color rgb="FFFFFFFF"/>
      <x:name val="Calibri"/>
    </x:font>
    <x:font>
      <x:b/>
      <x:sz val="11"/>
      <x:color rgb="FF132C46"/>
      <x:name val="Calibri"/>
    </x:font>
    <x:font>
      <x:sz val="11"/>
      <x:color rgb="FF008000"/>
      <x:name val="Calibri"/>
    </x:font>
    <x:font>
      <x:b/>
      <x:sz val="11"/>
      <x:name val="Calibri"/>
    </x:font>
    <x:font>
      <x:sz val="1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32C46"/>
      </x:patternFill>
    </x:fill>
    <x:fill>
      <x:patternFill patternType="solid">
        <x:fgColor rgb="FF137C83"/>
      </x:patternFill>
    </x:fill>
    <x:fill>
      <x:patternFill patternType="solid">
        <x:fgColor rgb="FFEAF3F6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0" fillId="0" borderId="0" xfId="0" applyNumberFormat="1" applyFont="1" applyFill="1" applyBorder="1"/>
    <x:xf numFmtId="201" fontId="2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202" fontId="8" fillId="0" borderId="1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204" fontId="9" fillId="0" borderId="0" xfId="0" applyNumberFormat="1" applyFont="1" applyFill="1" applyBorder="1" applyAlignment="1">
      <x:alignment vertical="top" wrapText="1"/>
    </x:xf>
    <x:xf numFmtId="204" fontId="9" fillId="0" borderId="1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1" fontId="8" fillId="0" borderId="1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 applyAlignment="1">
      <x:alignment vertical="top" wrapText="1"/>
    </x:xf>
    <x:xf numFmtId="205" fontId="7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206" fontId="2" fillId="0" borderId="0" xfId="0" applyNumberFormat="1" applyFont="1" applyFill="1" applyBorder="1"/>
    <x:xf numFmtId="206" fontId="2" fillId="0" borderId="1" xfId="0" applyNumberFormat="1" applyFont="1" applyFill="1" applyBorder="1"/>
    <x:xf numFmtId="205" fontId="9" fillId="0" borderId="0" xfId="0" applyNumberFormat="1" applyFont="1" applyFill="1" applyBorder="1" applyAlignment="1">
      <x:alignment vertical="top" wrapText="1"/>
    </x:xf>
    <x:xf numFmtId="205" fontId="9" fillId="0" borderId="1" xfId="0" applyNumberFormat="1" applyFont="1" applyFill="1" applyBorder="1" applyAlignment="1">
      <x:alignment vertical="top" wrapText="1"/>
    </x:xf>
    <x:xf numFmtId="206" fontId="9" fillId="0" borderId="0" xfId="0" applyNumberFormat="1" applyFont="1" applyFill="1" applyBorder="1" applyAlignment="1">
      <x:alignment vertical="top" wrapText="1"/>
    </x:xf>
    <x:xf numFmtId="206" fontId="9" fillId="0" borderId="1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/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1" fillId="4" borderId="0" xfId="0" applyNumberFormat="1" applyFont="1" applyFill="1" applyBorder="1"/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1" fillId="4" borderId="1" xfId="0" applyNumberFormat="1" applyFont="1" applyFill="1" applyBorder="1"/>
    <x:xf numFmtId="0" fontId="14" fillId="4" borderId="1" xfId="0" applyNumberFormat="1" applyFont="1" applyFill="1" applyBorder="1"/>
    <x:xf numFmtId="0" fontId="14" fillId="4" borderId="1" xfId="0" applyNumberFormat="1" applyFont="1" applyFill="1" applyBorder="1" applyAlignment="1">
      <x:alignment horizontal="center"/>
    </x:xf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/>
    </x:xf>
    <x:xf numFmtId="0" fontId="15" fillId="4" borderId="0" xfId="0" applyNumberFormat="1" applyFont="1" applyFill="1" applyBorder="1" applyAlignment="1">
      <x:alignment horizontal="center" vertical="center"/>
    </x:xf>
    <x:xf numFmtId="0" fontId="15" fillId="4" borderId="1" xfId="0" applyNumberFormat="1" applyFont="1" applyFill="1" applyBorder="1"/>
    <x:xf numFmtId="0" fontId="15" fillId="4" borderId="1" xfId="0" applyNumberFormat="1" applyFont="1" applyFill="1" applyBorder="1" applyAlignment="1">
      <x:alignment horizontal="center"/>
    </x:xf>
    <x:xf numFmtId="0" fontId="15" fillId="4" borderId="1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/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7" fillId="3" borderId="0" xfId="0" applyNumberFormat="1" applyFont="1" applyFill="1" applyBorder="1"/>
    <x:xf numFmtId="0" fontId="11" fillId="3" borderId="1" xfId="0" applyNumberFormat="1" applyFont="1" applyFill="1" applyBorder="1"/>
    <x:xf numFmtId="0" fontId="17" fillId="3" borderId="1" xfId="0" applyNumberFormat="1" applyFont="1" applyFill="1" applyBorder="1"/>
    <x:xf numFmtId="0" fontId="18" fillId="0" borderId="0" xfId="0" applyNumberFormat="1" applyFont="1" applyFill="1" applyBorder="1"/>
    <x:xf numFmtId="0" fontId="18" fillId="0" borderId="1" xfId="0" applyNumberFormat="1" applyFont="1" applyFill="1" applyBorder="1"/>
    <x:xf numFmtId="0" fontId="19" fillId="0" borderId="0" xfId="0" applyNumberFormat="1" applyFont="1" applyFill="1" applyBorder="1"/>
    <x:xf numFmtId="0" fontId="19" fillId="0" borderId="1" xfId="0" applyNumberFormat="1" applyFont="1" applyFill="1" applyBorder="1"/>
    <x:xf numFmtId="0" fontId="19" fillId="4" borderId="0" xfId="0" applyNumberFormat="1" applyFont="1" applyFill="1" applyBorder="1"/>
    <x:xf numFmtId="0" fontId="19" fillId="4" borderId="1" xfId="0" applyNumberFormat="1" applyFont="1" applyFill="1" applyBorder="1"/>
    <x:xf numFmtId="0" fontId="20" fillId="0" borderId="0" xfId="0" applyNumberFormat="1" applyFont="1" applyFill="1" applyBorder="1"/>
    <x:xf numFmtId="0" fontId="20" fillId="0" borderId="1" xfId="0" applyNumberFormat="1" applyFont="1" applyFill="1" applyBorder="1"/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center" wrapText="1"/>
    </x:xf>
    <x:xf numFmtId="0" fontId="13" fillId="4" borderId="1" xfId="0" applyNumberFormat="1" applyFont="1" applyFill="1" applyBorder="1"/>
    <x:xf numFmtId="0" fontId="13" fillId="4" borderId="1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/>
    <x:xf numFmtId="0" fontId="21" fillId="0" borderId="1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FF3D6"/>
        </x:patternFill>
      </x:fill>
    </x:dxf>
    <x:dxf>
      <x:fill>
        <x:patternFill patternType="solid">
          <x:bgColor rgb="FFFFF3D6"/>
        </x:patternFill>
      </x:fill>
    </x:dxf>
    <x:dxf>
      <x:fill>
        <x:patternFill patternType="solid">
          <x:bgColor rgb="FFFFF3D6"/>
        </x:patternFill>
      </x:fill>
    </x:dxf>
    <x:dxf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7e6d6f7c944ee" /><Relationship Type="http://schemas.openxmlformats.org/officeDocument/2006/relationships/theme" Target="/xl/theme/theme1.xml" Id="Rd5782b3e2b5f4a4b" /><Relationship Type="http://schemas.openxmlformats.org/officeDocument/2006/relationships/sharedStrings" Target="/xl/sharedStrings.xml" Id="R48387136ba97467b" /><Relationship Type="http://schemas.openxmlformats.org/officeDocument/2006/relationships/worksheet" Target="/xl/worksheets/sheet1.xml" Id="Rd750d2c82a2042dc" /><Relationship Type="http://schemas.openxmlformats.org/officeDocument/2006/relationships/worksheet" Target="/xl/worksheets/sheet2.xml" Id="R7b9b1165c0024a04" /><Relationship Type="http://schemas.openxmlformats.org/officeDocument/2006/relationships/worksheet" Target="/xl/worksheets/sheet3.xml" Id="R0b33d7cec2834aa2" /><Relationship Type="http://schemas.openxmlformats.org/officeDocument/2006/relationships/worksheet" Target="/xl/worksheets/sheet4.xml" Id="Rea8a800d0083420a" /><Relationship Type="http://schemas.openxmlformats.org/officeDocument/2006/relationships/worksheet" Target="/xl/worksheets/sheet5.xml" Id="Re7ca2f4ab38e434e" /><Relationship Type="http://schemas.openxmlformats.org/officeDocument/2006/relationships/worksheet" Target="/xl/worksheets/sheet6.xml" Id="R964c7dbc1e984819" /><Relationship Type="http://schemas.openxmlformats.org/officeDocument/2006/relationships/worksheet" Target="/xl/worksheets/sheet7.xml" Id="Rba95838a61a04bb4" /><Relationship Type="http://schemas.openxmlformats.org/officeDocument/2006/relationships/worksheet" Target="/xl/worksheets/sheet8.xml" Id="R84b3baf267d7418d" /><Relationship Type="http://schemas.openxmlformats.org/officeDocument/2006/relationships/worksheet" Target="/xl/worksheets/sheet9.xml" Id="Rda09ea2a3f9f4e5a" /><Relationship Type="http://schemas.openxmlformats.org/officeDocument/2006/relationships/worksheet" Target="/xl/worksheets/sheet10.xml" Id="R509d1329fbec4464" /><Relationship Type="http://schemas.openxmlformats.org/officeDocument/2006/relationships/worksheet" Target="/xl/worksheets/sheet11.xml" Id="Reeac09f399d746a2" /><Relationship Type="http://schemas.openxmlformats.org/officeDocument/2006/relationships/worksheet" Target="/xl/worksheets/sheet12.xml" Id="R47c222a290874c47" /><Relationship Type="http://schemas.openxmlformats.org/officeDocument/2006/relationships/worksheet" Target="/xl/worksheets/sheet13.xml" Id="R338d86ccca204184" /><Relationship Type="http://schemas.openxmlformats.org/officeDocument/2006/relationships/worksheet" Target="/xl/worksheets/sheet14.xml" Id="R11858f24c7734ef8" /><Relationship Type="http://schemas.openxmlformats.org/officeDocument/2006/relationships/worksheet" Target="/xl/worksheets/sheet15.xml" Id="R6baa2aba0e124fb2" /><Relationship Type="http://schemas.openxmlformats.org/officeDocument/2006/relationships/worksheet" Target="/xl/worksheets/sheet16.xml" Id="R819bcf7c5db44e44" /><Relationship Type="http://schemas.openxmlformats.org/officeDocument/2006/relationships/worksheet" Target="/xl/worksheets/sheet17.xml" Id="Rbb68799dcf444be1" /><Relationship Type="http://schemas.openxmlformats.org/officeDocument/2006/relationships/worksheet" Target="/xl/worksheets/sheet18.xml" Id="R7780dff8f93b44cd" /></Relationships>
</file>

<file path=xl/tables/table1.xml><?xml version="1.0" encoding="utf-8"?>
<x:table xmlns:x="http://schemas.openxmlformats.org/spreadsheetml/2006/main" id="1" name="EconomicMapsTbl" displayName="EconomicMapsTbl" ref="A5:O155" headerRowCount="1" totalsRowCount="0" totalsRowShown="0">
  <x:tableColumns count="15">
    <x:tableColumn id="1" name="Node ID"/>
    <x:tableColumn id="2" name="Sector"/>
    <x:tableColumn id="3" name="GICS industry"/>
    <x:tableColumn id="4" name="Economic node"/>
    <x:tableColumn id="5" name="Value chain"/>
    <x:tableColumn id="6" name="Unit economics"/>
    <x:tableColumn id="7" name="Scarcity / supply response"/>
    <x:tableColumn id="8" name="Leading test"/>
    <x:tableColumn id="9" name="Falsifier"/>
    <x:tableColumn id="10" name="Company seeds"/>
    <x:tableColumn id="11" name="Archetype"/>
    <x:tableColumn id="12" name="Valuation lenses"/>
    <x:tableColumn id="13" name="Accounting tests"/>
    <x:tableColumn id="14" name="Evidence depth"/>
    <x:tableColumn id="15" name="Source 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nyUniverseTbl" displayName="CompanyUniverseTbl" ref="A5:N321" headerRowCount="1" totalsRowCount="0" totalsRowShown="0">
  <x:tableColumns count="14">
    <x:tableColumn id="1" name="Company ID"/>
    <x:tableColumn id="2" name="Company"/>
    <x:tableColumn id="3" name="Ticker seed"/>
    <x:tableColumn id="4" name="Market hint"/>
    <x:tableColumn id="5" name="Primary economic sector"/>
    <x:tableColumn id="6" name="All economic sectors"/>
    <x:tableColumn id="7" name="Node IDs"/>
    <x:tableColumn id="8" name="Role"/>
    <x:tableColumn id="9" name="Evidence status"/>
    <x:tableColumn id="10" name="Listing / security status"/>
    <x:tableColumn id="11" name="Eligibility gate"/>
    <x:tableColumn id="12" name="Source IDs"/>
    <x:tableColumn id="13" name="Market cap"/>
    <x:tableColumn id="14" name="Pr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nyNodeLinksTbl" displayName="CompanyNodeLinksTbl" ref="A5:E322" headerRowCount="1" totalsRowCount="0" totalsRowShown="0">
  <x:tableColumns count="5">
    <x:tableColumn id="1" name="Company ID"/>
    <x:tableColumn id="2" name="Node ID"/>
    <x:tableColumn id="3" name="Economic exposure"/>
    <x:tableColumn id="4" name="Sector"/>
    <x:tableColumn id="5" name="Mapping bas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ustryCoverageTbl" displayName="IndustryCoverageTbl" ref="A5:I79" headerRowCount="1" totalsRowCount="0" totalsRowShown="0">
  <x:tableColumns count="9">
    <x:tableColumn id="1" name="Sector"/>
    <x:tableColumn id="2" name="Industry group"/>
    <x:tableColumn id="3" name="Industry code"/>
    <x:tableColumn id="4" name="Industry"/>
    <x:tableColumn id="5" name="Economic nodes"/>
    <x:tableColumn id="6" name="Node IDs"/>
    <x:tableColumn id="7" name="Current-check nodes"/>
    <x:tableColumn id="8" name="Valuation lenses"/>
    <x:tableColumn id="9" name="Accounting tes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dicatorDefinitionsTbl" displayName="IndicatorDefinitionsTbl" ref="A5:M70" headerRowCount="1" totalsRowCount="0" totalsRowShown="0">
  <x:tableColumns count="13">
    <x:tableColumn id="1" name="Indicator ID"/>
    <x:tableColumn id="2" name="Sector"/>
    <x:tableColumn id="3" name="Indicator"/>
    <x:tableColumn id="4" name="Cadence"/>
    <x:tableColumn id="5" name="Transformation"/>
    <x:tableColumn id="6" name="Proposed trigger"/>
    <x:tableColumn id="7" name="Financial transmission"/>
    <x:tableColumn id="8" name="False-positive test"/>
    <x:tableColumn id="9" name="Stage"/>
    <x:tableColumn id="10" name="Data status"/>
    <x:tableColumn id="11" name="Observation IDs"/>
    <x:tableColumn id="12" name="Source route"/>
    <x:tableColumn id="13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bservationsTbl" displayName="ObservationsTbl" ref="A5:Q101" headerRowCount="1" totalsRowCount="0" totalsRowShown="0">
  <x:tableColumns count="17">
    <x:tableColumn id="1" name="Observation ID"/>
    <x:tableColumn id="2" name="Sector"/>
    <x:tableColumn id="3" name="Entity"/>
    <x:tableColumn id="4" name="Metric"/>
    <x:tableColumn id="5" name="Period"/>
    <x:tableColumn id="6" name="Publication date"/>
    <x:tableColumn id="7" name="Value"/>
    <x:tableColumn id="8" name="Prior value"/>
    <x:tableColumn id="9" name="Unit"/>
    <x:tableColumn id="10" name="Comparison"/>
    <x:tableColumn id="11" name="Kind"/>
    <x:tableColumn id="12" name="Source ID"/>
    <x:tableColumn id="13" name="Source URL"/>
    <x:tableColumn id="14" name="Interpretation / limit"/>
    <x:tableColumn id="15" name="Age, days"/>
    <x:tableColumn id="16" name="Delta, stated units"/>
    <x:tableColumn id="17" name="Change, if comparab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ndidateScreensTbl" displayName="CandidateScreensTbl" ref="A5:X31" headerRowCount="1" totalsRowCount="0" totalsRowShown="0">
  <x:tableColumns count="24">
    <x:tableColumn id="1" name="ID"/>
    <x:tableColumn id="2" name="Company ID"/>
    <x:tableColumn id="3" name="Company"/>
    <x:tableColumn id="4" name="Sector"/>
    <x:tableColumn id="5" name="Track"/>
    <x:tableColumn id="6" name="Research state"/>
    <x:tableColumn id="7" name="Fit (1–5)"/>
    <x:tableColumn id="8" name="Decision impact (1–5)"/>
    <x:tableColumn id="9" name="Evidence (1–5)"/>
    <x:tableColumn id="10" name="Testability (1–5)"/>
    <x:tableColumn id="11" name="Research score /100"/>
    <x:tableColumn id="12" name="Within-track rank"/>
    <x:tableColumn id="13" name="Price attractiveness"/>
    <x:tableColumn id="14" name="Verified report evidence"/>
    <x:tableColumn id="15" name="Causal hypothesis"/>
    <x:tableColumn id="16" name="Strongest objection"/>
    <x:tableColumn id="17" name="Next decisive test"/>
    <x:tableColumn id="18" name="Falsifier"/>
    <x:tableColumn id="19" name="Valuation work required"/>
    <x:tableColumn id="20" name="Shared dependency"/>
    <x:tableColumn id="21" name="Source IDs"/>
    <x:tableColumn id="22" name="Report published"/>
    <x:tableColumn id="23" name="Investment gate"/>
    <x:tableColumn id="24" name="Verified market ca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ligenceGatesTbl" displayName="DiligenceGatesTbl" ref="A5:J31" headerRowCount="1" totalsRowCount="0" totalsRowShown="0">
  <x:tableColumns count="10">
    <x:tableColumn id="1" name="Company ID"/>
    <x:tableColumn id="2" name="Security / price"/>
    <x:tableColumn id="3" name="Capital structure"/>
    <x:tableColumn id="4" name="Operating evidence"/>
    <x:tableColumn id="5" name="Normalized model"/>
    <x:tableColumn id="6" name="Reverse valuation"/>
    <x:tableColumn id="7" name="Liquidity / size"/>
    <x:tableColumn id="8" name="Independent red team"/>
    <x:tableColumn id="9" name="Portfolio fit / approval"/>
    <x:tableColumn id="10" name="Gate resul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ycleLibraryTbl" displayName="CycleLibraryTbl" ref="A5:P29" headerRowCount="1" totalsRowCount="0" totalsRowShown="0">
  <x:tableColumns count="16">
    <x:tableColumn id="1" name="Case"/>
    <x:tableColumn id="2" name="Sector"/>
    <x:tableColumn id="3" name="Episode"/>
    <x:tableColumn id="4" name="Window"/>
    <x:tableColumn id="5" name="Causal driver"/>
    <x:tableColumn id="6" name="Documented evidence"/>
    <x:tableColumn id="7" name="Indicators to reconstruct"/>
    <x:tableColumn id="8" name="Economic transmission"/>
    <x:tableColumn id="9" name="Failure / invalidation"/>
    <x:tableColumn id="10" name="Current use"/>
    <x:tableColumn id="11" name="Source ID"/>
    <x:tableColumn id="12" name="Source URL"/>
    <x:tableColumn id="13" name="Publication"/>
    <x:tableColumn id="14" name="Evidence vintage"/>
    <x:tableColumn id="15" name="Backtest status"/>
    <x:tableColumn id="16" name="Next valid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pendenciesTbl" displayName="DependenciesTbl" ref="A5:H32" headerRowCount="1" totalsRowCount="0" totalsRowShown="0">
  <x:tableColumns count="8">
    <x:tableColumn id="1" name="Edge Id"/>
    <x:tableColumn id="2" name="Origin"/>
    <x:tableColumn id="3" name="Destination"/>
    <x:tableColumn id="4" name="Transmission"/>
    <x:tableColumn id="5" name="Example Exposures"/>
    <x:tableColumn id="6" name="Invalidation"/>
    <x:tableColumn id="7" name="Next Evidence"/>
    <x:tableColumn id="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QueueTbl" displayName="ResearchQueueTbl" ref="A5:L24" headerRowCount="1" totalsRowCount="0" totalsRowShown="0">
  <x:tableColumns count="12">
    <x:tableColumn id="1" name="ID"/>
    <x:tableColumn id="2" name="Subject"/>
    <x:tableColumn id="3" name="Open question"/>
    <x:tableColumn id="4" name="Decision-changing output"/>
    <x:tableColumn id="5" name="P(change) judgment"/>
    <x:tableColumn id="6" name="Impact (1–5)"/>
    <x:tableColumn id="7" name="Reusable learning (1–5)"/>
    <x:tableColumn id="8" name="Effort units (hours)"/>
    <x:tableColumn id="9" name="EVI heuristic"/>
    <x:tableColumn id="10" name="Source IDs"/>
    <x:tableColumn id="11" name="State"/>
    <x:tableColumn id="12" name="Cave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RegisterTbl" displayName="SourceRegisterTbl" ref="A5:H76" headerRowCount="1" totalsRowCount="0" totalsRowShown="0">
  <x:tableColumns count="8">
    <x:tableColumn id="1" name="Source ID"/>
    <x:tableColumn id="2" name="Title"/>
    <x:tableColumn id="3" name="URL"/>
    <x:tableColumn id="4" name="Published"/>
    <x:tableColumn id="5" name="Retrieved"/>
    <x:tableColumn id="6" name="Type"/>
    <x:tableColumn id="7" name="Scope / permitted inference"/>
    <x:tableColumn id="8" name="Access 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ditLogTbl" displayName="AuditLogTbl" ref="A5:E20" headerRowCount="1" totalsRowCount="0" totalsRowShown="0">
  <x:tableColumns count="5">
    <x:tableColumn id="1" name="ID"/>
    <x:tableColumn id="2" name="Area"/>
    <x:tableColumn id="3" name="Problem / correction"/>
    <x:tableColumn id="4" name="Operating implication"/>
    <x:tableColumn id="5" name="Source ID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ectorSnapshotsTbl" displayName="SectorSnapshotsTbl" ref="A5:F16" headerRowCount="1" totalsRowCount="0" totalsRowShown="0">
  <x:tableColumns count="6">
    <x:tableColumn id="1" name="Sector"/>
    <x:tableColumn id="2" name="Observed state"/>
    <x:tableColumn id="3" name="Interpretation"/>
    <x:tableColumn id="4" name="Source IDs"/>
    <x:tableColumn id="5" name="Next observation"/>
    <x:tableColumn id="6" name="Coverage limi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NormalizationBridgesTbl" displayName="NormalizationBridgesTbl" ref="A5:F18" headerRowCount="1" totalsRowCount="0" totalsRowShown="0">
  <x:tableColumns count="6">
    <x:tableColumn id="1" name="Company"/>
    <x:tableColumn id="2" name="Diagnostic"/>
    <x:tableColumn id="3" name="Calculated result"/>
    <x:tableColumn id="4" name="Unit"/>
    <x:tableColumn id="5" name="Interpretation / limits"/>
    <x:tableColumn id="6" name="Source ID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ignalDashboardTbl" displayName="SignalDashboardTbl" ref="A5:N36" headerRowCount="1" totalsRowCount="0" totalsRowShown="0">
  <x:tableColumns count="14">
    <x:tableColumn id="1" name="Observation"/>
    <x:tableColumn id="2" name="Sector"/>
    <x:tableColumn id="3" name="Entity"/>
    <x:tableColumn id="4" name="Metric"/>
    <x:tableColumn id="5" name="Period"/>
    <x:tableColumn id="6" name="Current"/>
    <x:tableColumn id="7" name="Prior"/>
    <x:tableColumn id="8" name="Unit"/>
    <x:tableColumn id="9" name="Published"/>
    <x:tableColumn id="10" name="Age (days)"/>
    <x:tableColumn id="11" name="Freshness control"/>
    <x:tableColumn id="12" name="Signal use"/>
    <x:tableColumn id="13" name="Source ID"/>
    <x:tableColumn id="14" name="Interpretation li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dc1010b837346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c5bd105193042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37f3fe4cad343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796996dc4bd42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bd2e32df9ca4e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852c0ab3e624d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c61e66197834a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5b48c22cd3d4c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64d501d2a343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35c9132657f4d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d03d4c121724a7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2ef94f266f8541f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6de8b9d89211419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5d075dacb76f42e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0a557839245a4fb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a5380212d9cc4e8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78" t="str">
        <x:v>INVESTMENT RESEARCH ATLAS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</x:row>
    <x:row r="2" ht="24" customHeight="1">
      <x:c r="A2" s="78"/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</x:row>
    <x:row r="3" ht="27" customHeight="1">
      <x:c r="A3" s="82" t="str">
        <x:v>Snapshot • 7 September 2026  |  11 sectors · 25 groups · 74 industries  |  No live feeds or automated tasks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</x:row>
    <x:row r="4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</x:row>
    <x:row r="5" ht="22" customHeight="1">
      <x:c r="A5" s="86" t="str">
        <x:v>ECONOMIC NODES</x:v>
      </x:c>
      <x:c r="B5" s="86"/>
      <x:c r="C5" s="86"/>
      <x:c r="D5" s="86" t="str">
        <x:v>COMPANY DISCOVERY SEEDS</x:v>
      </x:c>
      <x:c r="E5" s="86"/>
      <x:c r="F5" s="86"/>
      <x:c r="G5" s="86" t="str">
        <x:v>CURRENT-REPORT SCREENS</x:v>
      </x:c>
      <x:c r="H5" s="86"/>
      <x:c r="I5" s="86"/>
      <x:c r="J5" s="86" t="str">
        <x:v>VALUATION-CLEARED</x:v>
      </x:c>
      <x:c r="K5" s="86"/>
      <x:c r="L5" s="86"/>
    </x:row>
    <x:row r="6" ht="23" customHeight="1">
      <x:c r="A6" s="92" t="n">
        <x:f>COUNTA('Economic Maps'!A6:A155)</x:f>
        <x:v>150</x:v>
      </x:c>
      <x:c r="B6" s="92"/>
      <x:c r="C6" s="92"/>
      <x:c r="D6" s="92" t="n">
        <x:f>COUNTA('Company Universe'!A6:A321)</x:f>
        <x:v>316</x:v>
      </x:c>
      <x:c r="E6" s="92"/>
      <x:c r="F6" s="92"/>
      <x:c r="G6" s="92" t="n">
        <x:f>COUNTA('Candidate Screens'!A6:A31)</x:f>
        <x:v>26</x:v>
      </x:c>
      <x:c r="H6" s="92"/>
      <x:c r="I6" s="92"/>
      <x:c r="J6" s="92" t="n">
        <x:f>COUNTIF('Diligence Gates'!J6:J31,"CLEARED")</x:f>
        <x:v>0</x:v>
      </x:c>
      <x:c r="K6" s="92"/>
      <x:c r="L6" s="92"/>
    </x:row>
    <x:row r="7" ht="23" customHeight="1">
      <x:c r="A7" s="92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</x:row>
    <x:row r="9" ht="24" customHeight="1">
      <x:c r="A9" s="99" t="str">
        <x:v>Breadth is not depth. The 316-name universe is a representative discovery list; listing, liquidity and small-cap eligibility are open. Scores rank research questions—not expected stock returns.</x:v>
      </x:c>
      <x:c r="B9" s="99"/>
      <x:c r="C9" s="99"/>
      <x:c r="D9" s="99"/>
      <x:c r="E9" s="99"/>
      <x:c r="F9" s="99"/>
      <x:c r="G9" s="99"/>
      <x:c r="H9" s="99"/>
      <x:c r="I9" s="99"/>
      <x:c r="J9" s="99"/>
      <x:c r="K9" s="99"/>
      <x:c r="L9" s="99"/>
    </x:row>
    <x:row r="10" ht="24" customHeight="1">
      <x:c r="A10" s="99"/>
      <x:c r="B10" s="99"/>
      <x:c r="C10" s="99"/>
      <x:c r="D10" s="99"/>
      <x:c r="E10" s="99"/>
      <x:c r="F10" s="99"/>
      <x:c r="G10" s="99"/>
      <x:c r="H10" s="99"/>
      <x:c r="I10" s="99"/>
      <x:c r="J10" s="99"/>
      <x:c r="K10" s="99"/>
      <x:c r="L10" s="99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</x:row>
    <x:row r="12" ht="24" customHeight="1">
      <x:c r="A12" s="105" t="str">
        <x:v>COVERAGE AND EVIDENCE</x:v>
      </x:c>
      <x:c r="B12" s="105"/>
      <x:c r="C12" s="105"/>
      <x:c r="D12" s="105"/>
      <x:c r="E12" s="105"/>
      <x:c r="F12" s="105"/>
      <x:c r="G12" s="105"/>
      <x:c r="H12" s="105"/>
      <x:c r="I12" s="105"/>
      <x:c r="J12" s="105"/>
      <x:c r="K12" s="105"/>
      <x:c r="L12" s="105"/>
    </x:row>
    <x:row r="13" ht="23" customHeight="1">
      <x:c r="A13" s="108" t="str">
        <x:v>Sector</x:v>
      </x:c>
      <x:c r="B13" s="108"/>
      <x:c r="C13" s="108"/>
      <x:c r="D13" s="108"/>
      <x:c r="E13" s="108" t="str">
        <x:v>Nodes</x:v>
      </x:c>
      <x:c r="F13" s="108" t="str">
        <x:v>Screens</x:v>
      </x:c>
      <x:c r="G13" s="74"/>
      <x:c r="H13" s="114" t="str">
        <x:v>WHAT IS POPULATED</x:v>
      </x:c>
      <x:c r="I13" s="114"/>
      <x:c r="J13" s="114"/>
      <x:c r="K13" s="114"/>
      <x:c r="L13" s="114"/>
    </x:row>
    <x:row r="14" ht="23" customHeight="1">
      <x:c r="A14" s="84" t="str">
        <x:v>Energy</x:v>
      </x:c>
      <x:c r="B14" s="84"/>
      <x:c r="C14" s="84"/>
      <x:c r="D14" s="84"/>
      <x:c r="E14" s="112" t="n">
        <x:f>COUNTIF('Economic Maps'!B$6:B$155,A14)</x:f>
        <x:v>7</x:v>
      </x:c>
      <x:c r="F14" s="112" t="n">
        <x:f>COUNTIF('Candidate Screens'!D$6:D$31,A14)</x:f>
        <x:v>1</x:v>
      </x:c>
      <x:c r="G14" s="74"/>
      <x:c r="H14" s="74"/>
      <x:c r="I14" s="74"/>
      <x:c r="J14" s="74"/>
      <x:c r="K14" s="74"/>
      <x:c r="L14" s="74"/>
    </x:row>
    <x:row r="15" ht="23" customHeight="1">
      <x:c r="A15" s="74" t="str">
        <x:v>Materials</x:v>
      </x:c>
      <x:c r="B15" s="74"/>
      <x:c r="C15" s="74"/>
      <x:c r="D15" s="74"/>
      <x:c r="E15" s="110" t="n">
        <x:f>COUNTIF('Economic Maps'!B$6:B$155,A15)</x:f>
        <x:v>12</x:v>
      </x:c>
      <x:c r="F15" s="110" t="n">
        <x:f>COUNTIF('Candidate Screens'!D$6:D$31,A15)</x:f>
        <x:v>1</x:v>
      </x:c>
      <x:c r="G15" s="74"/>
      <x:c r="H15" s="74" t="str">
        <x:v>Indicator definitions</x:v>
      </x:c>
      <x:c r="I15" s="74"/>
      <x:c r="J15" s="74"/>
      <x:c r="K15" s="74"/>
      <x:c r="L15" s="110" t="n">
        <x:f>COUNTA('Indicator Definitions'!A6:A70)</x:f>
        <x:v>65</x:v>
      </x:c>
    </x:row>
    <x:row r="16" ht="23" customHeight="1">
      <x:c r="A16" s="84" t="str">
        <x:v>Industrials</x:v>
      </x:c>
      <x:c r="B16" s="84"/>
      <x:c r="C16" s="84"/>
      <x:c r="D16" s="84"/>
      <x:c r="E16" s="112" t="n">
        <x:f>COUNTIF('Economic Maps'!B$6:B$155,A16)</x:f>
        <x:v>27</x:v>
      </x:c>
      <x:c r="F16" s="112" t="n">
        <x:f>COUNTIF('Candidate Screens'!D$6:D$31,A16)</x:f>
        <x:v>8</x:v>
      </x:c>
      <x:c r="G16" s="74"/>
      <x:c r="H16" s="74" t="str">
        <x:v>Reported observations</x:v>
      </x:c>
      <x:c r="I16" s="74"/>
      <x:c r="J16" s="74"/>
      <x:c r="K16" s="74"/>
      <x:c r="L16" s="110" t="n">
        <x:f>COUNTA(Observations!A6:A101)</x:f>
        <x:v>96</x:v>
      </x:c>
    </x:row>
    <x:row r="17" ht="23" customHeight="1">
      <x:c r="A17" s="74" t="str">
        <x:v>Consumer Discretionary</x:v>
      </x:c>
      <x:c r="B17" s="74"/>
      <x:c r="C17" s="74"/>
      <x:c r="D17" s="74"/>
      <x:c r="E17" s="110" t="n">
        <x:f>COUNTIF('Economic Maps'!B$6:B$155,A17)</x:f>
        <x:v>19</x:v>
      </x:c>
      <x:c r="F17" s="110" t="n">
        <x:f>COUNTIF('Candidate Screens'!D$6:D$31,A17)</x:f>
        <x:v>2</x:v>
      </x:c>
      <x:c r="G17" s="74"/>
      <x:c r="H17" s="74" t="str">
        <x:v>Historical cases</x:v>
      </x:c>
      <x:c r="I17" s="74"/>
      <x:c r="J17" s="74"/>
      <x:c r="K17" s="74"/>
      <x:c r="L17" s="110" t="n">
        <x:f>COUNTA('Cycle Library'!A6:A29)</x:f>
        <x:v>24</x:v>
      </x:c>
    </x:row>
    <x:row r="18" ht="23" customHeight="1">
      <x:c r="A18" s="84" t="str">
        <x:v>Consumer Staples</x:v>
      </x:c>
      <x:c r="B18" s="84"/>
      <x:c r="C18" s="84"/>
      <x:c r="D18" s="84"/>
      <x:c r="E18" s="112" t="n">
        <x:f>COUNTIF('Economic Maps'!B$6:B$155,A18)</x:f>
        <x:v>9</x:v>
      </x:c>
      <x:c r="F18" s="112" t="n">
        <x:f>COUNTIF('Candidate Screens'!D$6:D$31,A18)</x:f>
        <x:v>1</x:v>
      </x:c>
      <x:c r="G18" s="74"/>
      <x:c r="H18" s="74" t="str">
        <x:v>Cross-sector links</x:v>
      </x:c>
      <x:c r="I18" s="74"/>
      <x:c r="J18" s="74"/>
      <x:c r="K18" s="74"/>
      <x:c r="L18" s="110" t="n">
        <x:f>COUNTA(Dependencies!A6:A32)</x:f>
        <x:v>27</x:v>
      </x:c>
    </x:row>
    <x:row r="19" ht="23" customHeight="1">
      <x:c r="A19" s="74" t="str">
        <x:v>Health Care</x:v>
      </x:c>
      <x:c r="B19" s="74"/>
      <x:c r="C19" s="74"/>
      <x:c r="D19" s="74"/>
      <x:c r="E19" s="110" t="n">
        <x:f>COUNTIF('Economic Maps'!B$6:B$155,A19)</x:f>
        <x:v>13</x:v>
      </x:c>
      <x:c r="F19" s="110" t="n">
        <x:f>COUNTIF('Candidate Screens'!D$6:D$31,A19)</x:f>
        <x:v>2</x:v>
      </x:c>
      <x:c r="G19" s="74"/>
      <x:c r="H19" s="74" t="str">
        <x:v>Priority research questions</x:v>
      </x:c>
      <x:c r="I19" s="74"/>
      <x:c r="J19" s="74"/>
      <x:c r="K19" s="74"/>
      <x:c r="L19" s="110" t="n">
        <x:f>COUNTA('Research Queue'!A6:A24)</x:f>
        <x:v>19</x:v>
      </x:c>
    </x:row>
    <x:row r="20" ht="23" customHeight="1">
      <x:c r="A20" s="84" t="str">
        <x:v>Financials</x:v>
      </x:c>
      <x:c r="B20" s="84"/>
      <x:c r="C20" s="84"/>
      <x:c r="D20" s="84"/>
      <x:c r="E20" s="112" t="n">
        <x:f>COUNTIF('Economic Maps'!B$6:B$155,A20)</x:f>
        <x:v>13</x:v>
      </x:c>
      <x:c r="F20" s="112" t="n">
        <x:f>COUNTIF('Candidate Screens'!D$6:D$31,A20)</x:f>
        <x:v>2</x:v>
      </x:c>
      <x:c r="G20" s="74"/>
      <x:c r="H20" s="74" t="str">
        <x:v>Retrieved source records</x:v>
      </x:c>
      <x:c r="I20" s="74"/>
      <x:c r="J20" s="74"/>
      <x:c r="K20" s="74"/>
      <x:c r="L20" s="110" t="n">
        <x:f>COUNTIF('Source Register'!H6:H76,"Retrieved")</x:f>
        <x:v>58</x:v>
      </x:c>
    </x:row>
    <x:row r="21" ht="23" customHeight="1">
      <x:c r="A21" s="74" t="str">
        <x:v>Information Technology</x:v>
      </x:c>
      <x:c r="B21" s="74"/>
      <x:c r="C21" s="74"/>
      <x:c r="D21" s="74"/>
      <x:c r="E21" s="110" t="n">
        <x:f>COUNTIF('Economic Maps'!B$6:B$155,A21)</x:f>
        <x:v>20</x:v>
      </x:c>
      <x:c r="F21" s="110" t="n">
        <x:f>COUNTIF('Candidate Screens'!D$6:D$31,A21)</x:f>
        <x:v>6</x:v>
      </x:c>
      <x:c r="G21" s="74"/>
      <x:c r="H21" s="74" t="str">
        <x:v>Source acquisition routes</x:v>
      </x:c>
      <x:c r="I21" s="74"/>
      <x:c r="J21" s="74"/>
      <x:c r="K21" s="74"/>
      <x:c r="L21" s="110" t="n">
        <x:f>COUNTIF('Source Register'!H6:H76,"Acquisition route only")</x:f>
        <x:v>13</x:v>
      </x:c>
    </x:row>
    <x:row r="22" ht="23" customHeight="1">
      <x:c r="A22" s="84" t="str">
        <x:v>Communication Services</x:v>
      </x:c>
      <x:c r="B22" s="84"/>
      <x:c r="C22" s="84"/>
      <x:c r="D22" s="84"/>
      <x:c r="E22" s="112" t="n">
        <x:f>COUNTIF('Economic Maps'!B$6:B$155,A22)</x:f>
        <x:v>8</x:v>
      </x:c>
      <x:c r="F22" s="112" t="n">
        <x:f>COUNTIF('Candidate Screens'!D$6:D$31,A22)</x:f>
        <x:v>1</x:v>
      </x:c>
      <x:c r="G22" s="74"/>
      <x:c r="H22" s="74"/>
      <x:c r="I22" s="74"/>
      <x:c r="J22" s="74"/>
      <x:c r="K22" s="74"/>
      <x:c r="L22" s="74"/>
    </x:row>
    <x:row r="23" ht="23" customHeight="1">
      <x:c r="A23" s="74" t="str">
        <x:v>Utilities</x:v>
      </x:c>
      <x:c r="B23" s="74"/>
      <x:c r="C23" s="74"/>
      <x:c r="D23" s="74"/>
      <x:c r="E23" s="110" t="n">
        <x:f>COUNTIF('Economic Maps'!B$6:B$155,A23)</x:f>
        <x:v>7</x:v>
      </x:c>
      <x:c r="F23" s="110" t="n">
        <x:f>COUNTIF('Candidate Screens'!D$6:D$31,A23)</x:f>
        <x:v>1</x:v>
      </x:c>
      <x:c r="G23" s="74"/>
      <x:c r="H23" s="118" t="str">
        <x:v>26 of 65 indicator definitions have at least one linked observation; none is a validated live signal. Missing data remain blank.</x:v>
      </x:c>
      <x:c r="I23" s="118"/>
      <x:c r="J23" s="118"/>
      <x:c r="K23" s="118"/>
      <x:c r="L23" s="118"/>
    </x:row>
    <x:row r="24" ht="23" customHeight="1">
      <x:c r="A24" s="84" t="str">
        <x:v>Real Estate</x:v>
      </x:c>
      <x:c r="B24" s="84"/>
      <x:c r="C24" s="84"/>
      <x:c r="D24" s="84"/>
      <x:c r="E24" s="112" t="n">
        <x:f>COUNTIF('Economic Maps'!B$6:B$155,A24)</x:f>
        <x:v>15</x:v>
      </x:c>
      <x:c r="F24" s="112" t="n">
        <x:f>COUNTIF('Candidate Screens'!D$6:D$31,A24)</x:f>
        <x:v>1</x:v>
      </x:c>
      <x:c r="G24" s="74"/>
      <x:c r="H24" s="118"/>
      <x:c r="I24" s="118"/>
      <x:c r="J24" s="118"/>
      <x:c r="K24" s="118"/>
      <x:c r="L24" s="118"/>
    </x:row>
    <x:row r="25">
      <x:c r="A25" s="74"/>
      <x:c r="B25" s="74"/>
      <x:c r="C25" s="74"/>
      <x:c r="D25" s="74"/>
      <x:c r="E25" s="74"/>
      <x:c r="F25" s="74"/>
      <x:c r="G25" s="74"/>
      <x:c r="H25" s="118"/>
      <x:c r="I25" s="118"/>
      <x:c r="J25" s="118"/>
      <x:c r="K25" s="118"/>
      <x:c r="L25" s="118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</x:row>
    <x:row r="27" ht="25" customHeight="1">
      <x:c r="A27" s="105" t="str">
        <x:v>RESEARCH PRIORITIES  |  not price-based investment rankings</x:v>
      </x:c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</x:row>
    <x:row r="28">
      <x:c r="A28" s="114" t="str">
        <x:v>COMPOUNDERS</x:v>
      </x:c>
      <x:c r="B28" s="74"/>
      <x:c r="C28" s="74"/>
      <x:c r="D28" s="74"/>
      <x:c r="E28" s="74"/>
      <x:c r="F28" s="74"/>
      <x:c r="G28" s="114" t="str">
        <x:v>INFLECTIONS</x:v>
      </x:c>
      <x:c r="H28" s="74"/>
      <x:c r="I28" s="74"/>
      <x:c r="J28" s="74"/>
      <x:c r="K28" s="74"/>
      <x:c r="L28" s="74"/>
    </x:row>
    <x:row r="29" ht="25" customHeight="1">
      <x:c r="A29" s="122" t="str">
        <x:v>LMAT · LeMaitre Vascular</x:v>
      </x:c>
      <x:c r="B29" s="122"/>
      <x:c r="C29" s="122"/>
      <x:c r="D29" s="122"/>
      <x:c r="E29" s="110" t="n">
        <x:f>'Candidate Screens'!K6</x:f>
        <x:v>92</x:v>
      </x:c>
      <x:c r="F29" s="74"/>
      <x:c r="G29" s="122" t="str">
        <x:v>MOD · Modine</x:v>
      </x:c>
      <x:c r="H29" s="122"/>
      <x:c r="I29" s="122"/>
      <x:c r="J29" s="122"/>
      <x:c r="K29" s="110" t="n">
        <x:f>'Candidate Screens'!K17</x:f>
        <x:v>95</x:v>
      </x:c>
      <x:c r="L29" s="74"/>
    </x:row>
    <x:row r="30" ht="25" customHeight="1">
      <x:c r="A30" s="122" t="str">
        <x:v>WINA · Winmark</x:v>
      </x:c>
      <x:c r="B30" s="122"/>
      <x:c r="C30" s="122"/>
      <x:c r="D30" s="122"/>
      <x:c r="E30" s="110" t="n">
        <x:f>'Candidate Screens'!K7</x:f>
        <x:v>87</x:v>
      </x:c>
      <x:c r="F30" s="74"/>
      <x:c r="G30" s="122" t="str">
        <x:v>POWL · Powell Industries</x:v>
      </x:c>
      <x:c r="H30" s="122"/>
      <x:c r="I30" s="122"/>
      <x:c r="J30" s="122"/>
      <x:c r="K30" s="110" t="n">
        <x:f>'Candidate Screens'!K18</x:f>
        <x:v>90</x:v>
      </x:c>
      <x:c r="L30" s="74"/>
    </x:row>
    <x:row r="31" ht="25" customHeight="1">
      <x:c r="A31" s="122" t="str">
        <x:v>APPF · AppFolio</x:v>
      </x:c>
      <x:c r="B31" s="122"/>
      <x:c r="C31" s="122"/>
      <x:c r="D31" s="122"/>
      <x:c r="E31" s="110" t="n">
        <x:f>'Candidate Screens'!K8</x:f>
        <x:v>87</x:v>
      </x:c>
      <x:c r="F31" s="74"/>
      <x:c r="G31" s="122" t="str">
        <x:v>HPS.A@CA · Hammond Power Solutions</x:v>
      </x:c>
      <x:c r="H31" s="122"/>
      <x:c r="I31" s="122"/>
      <x:c r="J31" s="122"/>
      <x:c r="K31" s="110" t="n">
        <x:f>'Candidate Screens'!K21</x:f>
        <x:v>86</x:v>
      </x:c>
      <x:c r="L31" s="74"/>
    </x:row>
    <x:row r="32" ht="25" customHeight="1">
      <x:c r="A32" s="122" t="str">
        <x:v>NSSC · NAPCO Security Technologies</x:v>
      </x:c>
      <x:c r="B32" s="122"/>
      <x:c r="C32" s="122"/>
      <x:c r="D32" s="122"/>
      <x:c r="E32" s="110" t="n">
        <x:f>'Candidate Screens'!K9</x:f>
        <x:v>85</x:v>
      </x:c>
      <x:c r="F32" s="74"/>
      <x:c r="G32" s="122" t="str">
        <x:v>RGEN · Repligen</x:v>
      </x:c>
      <x:c r="H32" s="122"/>
      <x:c r="I32" s="122"/>
      <x:c r="J32" s="122"/>
      <x:c r="K32" s="110" t="n">
        <x:f>'Candidate Screens'!K19</x:f>
        <x:v>85</x:v>
      </x:c>
      <x:c r="L32" s="74"/>
    </x:row>
    <x:row r="33" ht="25" customHeight="1">
      <x:c r="A33" s="122" t="str">
        <x:v>KNSL · Kinsale Capital</x:v>
      </x:c>
      <x:c r="B33" s="122"/>
      <x:c r="C33" s="122"/>
      <x:c r="D33" s="122"/>
      <x:c r="E33" s="110" t="n">
        <x:f>'Candidate Screens'!K15</x:f>
        <x:v>83</x:v>
      </x:c>
      <x:c r="F33" s="74"/>
      <x:c r="G33" s="122" t="str">
        <x:v>COHU · Cohu</x:v>
      </x:c>
      <x:c r="H33" s="122"/>
      <x:c r="I33" s="122"/>
      <x:c r="J33" s="122"/>
      <x:c r="K33" s="110" t="n">
        <x:f>'Candidate Screens'!K20</x:f>
        <x:v>81</x:v>
      </x:c>
      <x:c r="L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</x:row>
    <x:row r="35" ht="24" customHeight="1">
      <x:c r="A35" s="99" t="str">
        <x:v>Evidence holds: VITL (deterioration and inventory/supply normalization) and ZD (segment / ongoing-business verification). Ties retain equal ranks; no artificial precision.</x:v>
      </x:c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</x:row>
    <x:row r="36" ht="24" customHeight="1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</x:row>
    <x:row r="38" ht="24" customHeight="1">
      <x:c r="A38" s="124" t="str">
        <x:v>READ IN ORDER: Economic Maps → Company Universe → Indicator Definitions / Observations → Cycle Library → Candidate Screens → Diligence Gates. Normalization Bridges and Audit Log preserve the objections.</x:v>
      </x:c>
      <x:c r="B38" s="124"/>
      <x:c r="C38" s="124"/>
      <x:c r="D38" s="124"/>
      <x:c r="E38" s="124"/>
      <x:c r="F38" s="124"/>
      <x:c r="G38" s="124"/>
      <x:c r="H38" s="124"/>
      <x:c r="I38" s="124"/>
      <x:c r="J38" s="124"/>
      <x:c r="K38" s="124"/>
      <x:c r="L38" s="124"/>
    </x:row>
    <x:row r="39" ht="24" customHeight="1">
      <x:c r="A39" s="124"/>
      <x:c r="B39" s="124"/>
      <x:c r="C39" s="124"/>
      <x:c r="D39" s="124"/>
      <x:c r="E39" s="124"/>
      <x:c r="F39" s="124"/>
      <x:c r="G39" s="124"/>
      <x:c r="H39" s="124"/>
      <x:c r="I39" s="124"/>
      <x:c r="J39" s="124"/>
      <x:c r="K39" s="124"/>
      <x:c r="L39" s="12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L10"/>
    <x:mergeCell ref="A12:L12"/>
    <x:mergeCell ref="A13:D13"/>
    <x:mergeCell ref="A14:D14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H13:L13"/>
    <x:mergeCell ref="H15:K15"/>
    <x:mergeCell ref="H16:K16"/>
    <x:mergeCell ref="H17:K17"/>
    <x:mergeCell ref="H18:K18"/>
    <x:mergeCell ref="H19:K19"/>
    <x:mergeCell ref="H20:K20"/>
    <x:mergeCell ref="H21:K21"/>
    <x:mergeCell ref="H23:L25"/>
    <x:mergeCell ref="A27:L27"/>
    <x:mergeCell ref="A28:D28"/>
    <x:mergeCell ref="A29:D29"/>
    <x:mergeCell ref="A30:D30"/>
    <x:mergeCell ref="A31:D31"/>
    <x:mergeCell ref="A32:D32"/>
    <x:mergeCell ref="A33:D33"/>
    <x:mergeCell ref="A34:D34"/>
    <x:mergeCell ref="G28:J28"/>
    <x:mergeCell ref="G29:J29"/>
    <x:mergeCell ref="G30:J30"/>
    <x:mergeCell ref="G31:J31"/>
    <x:mergeCell ref="G32:J32"/>
    <x:mergeCell ref="G33:J33"/>
    <x:mergeCell ref="G34:J34"/>
    <x:mergeCell ref="A35:L36"/>
    <x:mergeCell ref="A38:L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4" hidden="0" customWidth="1"/>
    <x:col min="3" max="3" width="24" hidden="0" customWidth="1"/>
  </x:cols>
  <x:sheetData>
    <x:row r="1">
      <x:c r="A1" s="3" t="str">
        <x:v>Scoring and snapshot controls</x:v>
      </x:c>
      <x:c r="B1" s="3"/>
      <x:c r="C1" s="3"/>
    </x:row>
    <x:row r="3">
      <x:c r="A3" t="str">
        <x:v>Snapshot date</x:v>
      </x:c>
      <x:c r="B3" s="8" t="n">
        <x:v>46272</x:v>
      </x:c>
    </x:row>
    <x:row r="4">
      <x:c r="A4" t="str">
        <x:v>Research score scale</x:v>
      </x:c>
      <x:c r="B4" s="10" t="n">
        <x:v>20</x:v>
      </x:c>
      <x:c r="C4" s="10"/>
    </x:row>
    <x:row r="5">
      <x:c r="A5" t="str">
        <x:v>Quarterly stale threshold, days</x:v>
      </x:c>
      <x:c r="B5" s="10" t="n">
        <x:v>120</x:v>
      </x:c>
      <x:c r="C5" s="10"/>
    </x:row>
    <x:row r="6">
      <x:c r="A6" t="str">
        <x:v>Monthly stale threshold, days</x:v>
      </x:c>
      <x:c r="B6" s="10" t="n">
        <x:v>60</x:v>
      </x:c>
      <x:c r="C6" s="10"/>
    </x:row>
    <x:row r="7">
      <x:c r="B7" s="10"/>
      <x:c r="C7" s="10"/>
    </x:row>
    <x:row r="8">
      <x:c r="A8" s="18" t="str">
        <x:v>Research factor</x:v>
      </x:c>
      <x:c r="B8" s="18" t="str">
        <x:v>Compounder weight</x:v>
      </x:c>
      <x:c r="C8" s="18" t="str">
        <x:v>Inflection weight</x:v>
      </x:c>
    </x:row>
    <x:row r="9">
      <x:c r="A9" t="str">
        <x:v>Archetype fit</x:v>
      </x:c>
      <x:c r="B9" s="12" t="n">
        <x:v>0.35</x:v>
      </x:c>
      <x:c r="C9" s="12" t="n">
        <x:v>0.2</x:v>
      </x:c>
    </x:row>
    <x:row r="10">
      <x:c r="A10" t="str">
        <x:v>Decision impact of question</x:v>
      </x:c>
      <x:c r="B10" s="12" t="n">
        <x:v>0.15</x:v>
      </x:c>
      <x:c r="C10" s="12" t="n">
        <x:v>0.3</x:v>
      </x:c>
    </x:row>
    <x:row r="11">
      <x:c r="A11" t="str">
        <x:v>Evidence specificity</x:v>
      </x:c>
      <x:c r="B11" s="12" t="n">
        <x:v>0.25</x:v>
      </x:c>
      <x:c r="C11" s="12" t="n">
        <x:v>0.25</x:v>
      </x:c>
    </x:row>
    <x:row r="12">
      <x:c r="A12" t="str">
        <x:v>Testability</x:v>
      </x:c>
      <x:c r="B12" s="12" t="n">
        <x:v>0.25</x:v>
      </x:c>
      <x:c r="C12" s="12" t="n">
        <x:v>0.25</x:v>
      </x:c>
    </x:row>
    <x:row r="13">
      <x:c r="B13" s="13"/>
      <x:c r="C13" s="13"/>
    </x:row>
    <x:row r="14">
      <x:c r="A14" t="str">
        <x:v>Weight checks</x:v>
      </x:c>
      <x:c r="B14" s="13" t="n">
        <x:f>SUM(B9:B12)</x:f>
        <x:v>1</x:v>
      </x:c>
      <x:c r="C14" s="13" t="n">
        <x:f>SUM(C9:C12)</x:f>
        <x:v>1</x:v>
      </x:c>
    </x:row>
    <x:row r="16">
      <x:c r="A16" s="6" t="str">
        <x:v>Scores allocate research effort only. Inputs are analyst judgments on a 1–5 scale; weights are unvalidated. They are not return forecasts, probabilities, valuation scores or position sizes. Evidence holds are excluded from ranking; ties are retained.</x:v>
      </x:c>
      <x:c r="B16" s="6"/>
      <x:c r="C16" s="6"/>
    </x:row>
    <x:row r="17">
      <x:c r="A17" s="6"/>
      <x:c r="B17" s="6"/>
      <x:c r="C17" s="6"/>
    </x:row>
    <x:row r="18">
      <x:c r="A18" s="6"/>
      <x:c r="B18" s="6"/>
      <x:c r="C18" s="6"/>
    </x:row>
    <x:row r="19">
      <x:c r="A19" s="6"/>
      <x:c r="B19" s="6"/>
      <x:c r="C19" s="6"/>
    </x:row>
    <x:row r="21">
      <x:c r="A21" s="6" t="str">
        <x:v>Quarterly/monthly age thresholds are working controls, not proof that data are current. Refresh on new filings or events. No automatic web refresh or scheduled agent is connected.</x:v>
      </x:c>
      <x:c r="B21" s="6"/>
      <x:c r="C21" s="6"/>
    </x:row>
    <x:row r="22">
      <x:c r="A22" s="6"/>
      <x:c r="B22" s="6"/>
      <x:c r="C22" s="6"/>
    </x:row>
    <x:row r="23">
      <x:c r="A23" s="6"/>
      <x:c r="B23" s="6"/>
      <x:c r="C23" s="6"/>
    </x:row>
    <x:row r="24">
      <x:c r="A24" s="6"/>
      <x:c r="B24" s="6"/>
      <x:c r="C24" s="6"/>
    </x:row>
    <x:row r="27">
      <x:c r="A27" t="str">
        <x:v>Margin sensitivity, fractional 100 bp</x:v>
      </x:c>
      <x:c r="B27" s="68" t="n">
        <x:v>0.01</x:v>
      </x:c>
    </x:row>
    <x:row r="28">
      <x:c r="A28" t="str">
        <x:v>Basis points per percentage point</x:v>
      </x:c>
      <x:c r="B28" s="10" t="n">
        <x:v>100</x:v>
      </x:c>
    </x:row>
  </x:sheetData>
  <x:mergeCells>
    <x:mergeCell ref="A1:C1"/>
    <x:mergeCell ref="A16:C19"/>
    <x:mergeCell ref="A21:C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9" hidden="0" customWidth="1"/>
    <x:col min="4" max="4" width="31" hidden="0" customWidth="1"/>
    <x:col min="5" max="5" width="37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4" hidden="0" customWidth="1"/>
    <x:col min="11" max="11" width="14" hidden="0" customWidth="1"/>
    <x:col min="12" max="12" width="32" hidden="0" customWidth="1"/>
    <x:col min="13" max="13" width="34" hidden="0" customWidth="1"/>
    <x:col min="14" max="14" width="24" hidden="0" customWidth="1"/>
    <x:col min="15" max="15" width="20" hidden="0" customWidth="1"/>
  </x:cols>
  <x:sheetData>
    <x:row r="1">
      <x:c r="A1" s="24" t="str">
        <x:v>150 economic sub-industry maps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Analyst economic nodes, not a claim of exhaustive coverage of all 163 official GICS sub-industries. Source depth is explicit.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Node ID</x:v>
      </x:c>
      <x:c r="B5" s="34" t="str">
        <x:v>Sector</x:v>
      </x:c>
      <x:c r="C5" s="34" t="str">
        <x:v>GICS industry</x:v>
      </x:c>
      <x:c r="D5" s="34" t="str">
        <x:v>Economic node</x:v>
      </x:c>
      <x:c r="E5" s="34" t="str">
        <x:v>Value chain</x:v>
      </x:c>
      <x:c r="F5" s="34" t="str">
        <x:v>Unit economics</x:v>
      </x:c>
      <x:c r="G5" s="34" t="str">
        <x:v>Scarcity / supply response</x:v>
      </x:c>
      <x:c r="H5" s="34" t="str">
        <x:v>Leading test</x:v>
      </x:c>
      <x:c r="I5" s="34" t="str">
        <x:v>Falsifier</x:v>
      </x:c>
      <x:c r="J5" s="34" t="str">
        <x:v>Company seeds</x:v>
      </x:c>
      <x:c r="K5" s="34" t="str">
        <x:v>Archetype</x:v>
      </x:c>
      <x:c r="L5" s="34" t="str">
        <x:v>Valuation lenses</x:v>
      </x:c>
      <x:c r="M5" s="34" t="str">
        <x:v>Accounting tests</x:v>
      </x:c>
      <x:c r="N5" s="34" t="str">
        <x:v>Evidence depth</x:v>
      </x:c>
      <x:c r="O5" s="34" t="str">
        <x:v>Source IDs</x:v>
      </x:c>
    </x:row>
    <x:row r="6" ht="98" customHeight="1">
      <x:c r="A6" s="40" t="str">
        <x:v>E001</x:v>
      </x:c>
      <x:c r="B6" s="40" t="str">
        <x:v>Energy</x:v>
      </x:c>
      <x:c r="C6" s="40" t="str">
        <x:v>Energy Equipment &amp; Services</x:v>
      </x:c>
      <x:c r="D6" s="40" t="str">
        <x:v>Land drilling and pressure pumping</x:v>
      </x:c>
      <x:c r="E6" s="40" t="str">
        <x:v>E&amp;P budget → rig/fracturing contractor → completed well</x:v>
      </x:c>
      <x:c r="F6" s="40" t="str">
        <x:v>Active spreads × realized service rate less labor, fuel and equipment wear</x:v>
      </x:c>
      <x:c r="G6" s="40" t="str">
        <x:v>Idle fleets can reactivate; distinguish available from economically usable horsepower</x:v>
      </x:c>
      <x:c r="H6" s="40" t="str">
        <x:v>Tender rates and active spreads improve together; customer budgets funded</x:v>
      </x:c>
      <x:c r="I6" s="40" t="str">
        <x:v>Utilization rises without price; maintenance consumes EBITDA</x:v>
      </x:c>
      <x:c r="J6" s="40" t="str">
        <x:v>PTEN:Patterson-UTI;HP:Helmerich &amp; Payne</x:v>
      </x:c>
      <x:c r="K6" s="40" t="str">
        <x:v>Inflection</x:v>
      </x:c>
      <x:c r="L6" s="40" t="str">
        <x:v>EV/EBITDA, EV/FCF, replacement value, mid-cycle earnings.</x:v>
      </x:c>
      <x:c r="M6" s="40" t="str">
        <x:v>Capitalized equipment costs, maintenance vs growth capex, contract backlog quality, asset impairments.</x:v>
      </x:c>
      <x:c r="N6" s="40" t="str">
        <x:v>Economic framework only</x:v>
      </x:c>
      <x:c r="O6" s="40" t="str">
        <x:v>EIA</x:v>
      </x:c>
    </x:row>
    <x:row r="7" ht="98" customHeight="1">
      <x:c r="A7" s="40" t="str">
        <x:v>E002</x:v>
      </x:c>
      <x:c r="B7" s="40" t="str">
        <x:v>Energy</x:v>
      </x:c>
      <x:c r="C7" s="40" t="str">
        <x:v>Energy Equipment &amp; Services</x:v>
      </x:c>
      <x:c r="D7" s="40" t="str">
        <x:v>Offshore drilling and subsea services</x:v>
      </x:c>
      <x:c r="E7" s="40" t="str">
        <x:v>Offshore final investment decision → rig/subsea award → multiyear campaign</x:v>
      </x:c>
      <x:c r="F7" s="40" t="str">
        <x:v>Contracted days × dayrate less operating cost and survey/reactivation capex</x:v>
      </x:c>
      <x:c r="G7" s="40" t="str">
        <x:v>High-spec availability and certification matter; stacked rigs are not free capacity</x:v>
      </x:c>
      <x:c r="H7" s="40" t="str">
        <x:v>Firm tenders convert to awards above full-cycle breakeven</x:v>
      </x:c>
      <x:c r="I7" s="40" t="str">
        <x:v>Reactivations/newbuilds outrun awards; customer cancels project</x:v>
      </x:c>
      <x:c r="J7" s="40" t="str">
        <x:v>RIG:Transocean;FTI:TechnipFMC</x:v>
      </x:c>
      <x:c r="K7" s="40" t="str">
        <x:v>Inflection</x:v>
      </x:c>
      <x:c r="L7" s="40" t="str">
        <x:v>EV/EBITDA, EV/FCF, replacement value, mid-cycle earnings.</x:v>
      </x:c>
      <x:c r="M7" s="40" t="str">
        <x:v>Capitalized equipment costs, maintenance vs growth capex, contract backlog quality, asset impairments.</x:v>
      </x:c>
      <x:c r="N7" s="40" t="str">
        <x:v>Economic framework only</x:v>
      </x:c>
      <x:c r="O7" s="40" t="str">
        <x:v>EIA</x:v>
      </x:c>
    </x:row>
    <x:row r="8" ht="98" customHeight="1">
      <x:c r="A8" s="40" t="str">
        <x:v>E003</x:v>
      </x:c>
      <x:c r="B8" s="40" t="str">
        <x:v>Energy</x:v>
      </x:c>
      <x:c r="C8" s="40" t="str">
        <x:v>Energy Equipment &amp; Services</x:v>
      </x:c>
      <x:c r="D8" s="40" t="str">
        <x:v>Production compression and consumable services</x:v>
      </x:c>
      <x:c r="E8" s="40" t="str">
        <x:v>Producing wells → gathering/compression → pipeline</x:v>
      </x:c>
      <x:c r="F8" s="40" t="str">
        <x:v>Horsepower on rent × revenue per horsepower; parts and chemicals per producing asset</x:v>
      </x:c>
      <x:c r="G8" s="40" t="str">
        <x:v>Reliability and field-service density can protect returns; OEM delivery limits equipment additions</x:v>
      </x:c>
      <x:c r="H8" s="40" t="str">
        <x:v>Utilization plus renewal rates plus cash return on new equipment</x:v>
      </x:c>
      <x:c r="I8" s="40" t="str">
        <x:v>Capex intensity rises faster than rental profit; idle fleet grows</x:v>
      </x:c>
      <x:c r="J8" s="40" t="str">
        <x:v>AROC:Archrock;USAC:USA Compression Partners</x:v>
      </x:c>
      <x:c r="K8" s="40" t="str">
        <x:v>Both</x:v>
      </x:c>
      <x:c r="L8" s="40" t="str">
        <x:v>EV/EBITDA, EV/FCF, replacement value, mid-cycle earnings.</x:v>
      </x:c>
      <x:c r="M8" s="40" t="str">
        <x:v>Capitalized equipment costs, maintenance vs growth capex, contract backlog quality, asset impairments.</x:v>
      </x:c>
      <x:c r="N8" s="40" t="str">
        <x:v>Selected current issuer check</x:v>
      </x:c>
      <x:c r="O8" s="40" t="str">
        <x:v>AROC26</x:v>
      </x:c>
    </x:row>
    <x:row r="9" ht="98" customHeight="1">
      <x:c r="A9" s="40" t="str">
        <x:v>E004</x:v>
      </x:c>
      <x:c r="B9" s="40" t="str">
        <x:v>Energy</x:v>
      </x:c>
      <x:c r="C9" s="40" t="str">
        <x:v>Oil, Gas &amp; Consumable Fuels</x:v>
      </x:c>
      <x:c r="D9" s="40" t="str">
        <x:v>Upstream oil and gas</x:v>
      </x:c>
      <x:c r="E9" s="40" t="str">
        <x:v>Reservoir → drilling/completion → production → realized commodity price</x:v>
      </x:c>
      <x:c r="F9" s="40" t="str">
        <x:v>Production × realized netback less decline-replacement capex and taxes</x:v>
      </x:c>
      <x:c r="G9" s="40" t="str">
        <x:v>Resource cost curve and decline rates; cash cost is not sustaining breakeven</x:v>
      </x:c>
      <x:c r="H9" s="40" t="str">
        <x:v>Inventories and marginal supply versus forward price, not spot alone</x:v>
      </x:c>
      <x:c r="I9" s="40" t="str">
        <x:v>High decline forces reinvestment that exhausts operating cash</x:v>
      </x:c>
      <x:c r="J9" s="40" t="str">
        <x:v>EOG:EOG Resources;COP:ConocoPhillips</x:v>
      </x:c>
      <x:c r="K9" s="40" t="str">
        <x:v>Inflection</x:v>
      </x:c>
      <x:c r="L9" s="40" t="str">
        <x:v>NAV, EV/EBITDA, FCF yield, EV/boe/d, P/NAV; DCF for contracted midstream.</x:v>
      </x:c>
      <x:c r="M9" s="40" t="str">
        <x:v>Reserve estimates, hedging, asset retirement obligations, maintenance capex, working-capital swings, MLP adjustments.</x:v>
      </x:c>
      <x:c r="N9" s="40" t="str">
        <x:v>Economic framework only</x:v>
      </x:c>
      <x:c r="O9" s="40" t="str">
        <x:v>EIA</x:v>
      </x:c>
    </x:row>
    <x:row r="10" ht="98" customHeight="1">
      <x:c r="A10" s="40" t="str">
        <x:v>E005</x:v>
      </x:c>
      <x:c r="B10" s="40" t="str">
        <x:v>Energy</x:v>
      </x:c>
      <x:c r="C10" s="40" t="str">
        <x:v>Oil, Gas &amp; Consumable Fuels</x:v>
      </x:c>
      <x:c r="D10" s="40" t="str">
        <x:v>Refining and fuel distribution</x:v>
      </x:c>
      <x:c r="E10" s="40" t="str">
        <x:v>Crude procurement → refinery configuration → product markets</x:v>
      </x:c>
      <x:c r="F10" s="40" t="str">
        <x:v>Throughput × realized crack spread less energy and turnaround cost</x:v>
      </x:c>
      <x:c r="G10" s="40" t="str">
        <x:v>Refinery configuration, local logistics and outages; margins can reverse without new plants</x:v>
      </x:c>
      <x:c r="H10" s="40" t="str">
        <x:v>Product inventories, utilization and regional crack spreads</x:v>
      </x:c>
      <x:c r="I10" s="40" t="str">
        <x:v>Demand weakens as outages end; throughput gains dilute spread</x:v>
      </x:c>
      <x:c r="J10" s="40" t="str">
        <x:v>VLO:Valero Energy;MPC:Marathon Petroleum</x:v>
      </x:c>
      <x:c r="K10" s="40" t="str">
        <x:v>Inflection</x:v>
      </x:c>
      <x:c r="L10" s="40" t="str">
        <x:v>NAV, EV/EBITDA, FCF yield, EV/boe/d, P/NAV; DCF for contracted midstream.</x:v>
      </x:c>
      <x:c r="M10" s="40" t="str">
        <x:v>Reserve estimates, hedging, asset retirement obligations, maintenance capex, working-capital swings, MLP adjustments.</x:v>
      </x:c>
      <x:c r="N10" s="40" t="str">
        <x:v>Economic framework only</x:v>
      </x:c>
      <x:c r="O10" s="40" t="str">
        <x:v>EIA</x:v>
      </x:c>
    </x:row>
    <x:row r="11" ht="98" customHeight="1">
      <x:c r="A11" s="40" t="str">
        <x:v>E006</x:v>
      </x:c>
      <x:c r="B11" s="40" t="str">
        <x:v>Energy</x:v>
      </x:c>
      <x:c r="C11" s="40" t="str">
        <x:v>Oil, Gas &amp; Consumable Fuels</x:v>
      </x:c>
      <x:c r="D11" s="40" t="str">
        <x:v>Midstream and LNG infrastructure</x:v>
      </x:c>
      <x:c r="E11" s="40" t="str">
        <x:v>Wellhead → gathering → processing → transport/liquefaction → buyer</x:v>
      </x:c>
      <x:c r="F11" s="40" t="str">
        <x:v>Contracted capacity × fee plus exposed commodity/marketing spread</x:v>
      </x:c>
      <x:c r="G11" s="40" t="str">
        <x:v>Rights-of-way, permits, counterparty credit and minimum-volume terms</x:v>
      </x:c>
      <x:c r="H11" s="40" t="str">
        <x:v>Utilized contracted capacity, expansion returns and debt coverage</x:v>
      </x:c>
      <x:c r="I11" s="40" t="str">
        <x:v>Nominal take-or-pay fails due to counterparty distress or recontracting</x:v>
      </x:c>
      <x:c r="J11" s="40" t="str">
        <x:v>EPD:Enterprise Products Partners;LNG:Cheniere Energy</x:v>
      </x:c>
      <x:c r="K11" s="40" t="str">
        <x:v>Both</x:v>
      </x:c>
      <x:c r="L11" s="40" t="str">
        <x:v>NAV, EV/EBITDA, FCF yield, EV/boe/d, P/NAV; DCF for contracted midstream.</x:v>
      </x:c>
      <x:c r="M11" s="40" t="str">
        <x:v>Reserve estimates, hedging, asset retirement obligations, maintenance capex, working-capital swings, MLP adjustments.</x:v>
      </x:c>
      <x:c r="N11" s="40" t="str">
        <x:v>Economic framework only</x:v>
      </x:c>
      <x:c r="O11" s="40" t="str">
        <x:v>EIA</x:v>
      </x:c>
    </x:row>
    <x:row r="12" ht="98" customHeight="1">
      <x:c r="A12" s="40" t="str">
        <x:v>E007</x:v>
      </x:c>
      <x:c r="B12" s="40" t="str">
        <x:v>Energy</x:v>
      </x:c>
      <x:c r="C12" s="40" t="str">
        <x:v>Oil, Gas &amp; Consumable Fuels</x:v>
      </x:c>
      <x:c r="D12" s="40" t="str">
        <x:v>Coal and nuclear fuel supply</x:v>
      </x:c>
      <x:c r="E12" s="40" t="str">
        <x:v>Mine/enrichment capacity → utility/industrial purchaser</x:v>
      </x:c>
      <x:c r="F12" s="40" t="str">
        <x:v>Contract/spot price × deliverable volume less mining/conversion and closure obligations</x:v>
      </x:c>
      <x:c r="G12" s="40" t="str">
        <x:v>Resource and processing capacity; fuel qualification and contracting are separate constraints</x:v>
      </x:c>
      <x:c r="H12" s="40" t="str">
        <x:v>Term contracting volumes and delivered cost curve</x:v>
      </x:c>
      <x:c r="I12" s="40" t="str">
        <x:v>Spot scarcity does not convert to profitable long-term contracts</x:v>
      </x:c>
      <x:c r="J12" s="40" t="str">
        <x:v>BTU:Peabody Energy;CCJ:Cameco</x:v>
      </x:c>
      <x:c r="K12" s="40" t="str">
        <x:v>Inflection</x:v>
      </x:c>
      <x:c r="L12" s="40" t="str">
        <x:v>NAV, EV/EBITDA, FCF yield, EV/boe/d, P/NAV; DCF for contracted midstream.</x:v>
      </x:c>
      <x:c r="M12" s="40" t="str">
        <x:v>Reserve estimates, hedging, asset retirement obligations, maintenance capex, working-capital swings, MLP adjustments.</x:v>
      </x:c>
      <x:c r="N12" s="40" t="str">
        <x:v>Economic framework only</x:v>
      </x:c>
      <x:c r="O12" s="40" t="str">
        <x:v>EIA</x:v>
      </x:c>
    </x:row>
    <x:row r="13" ht="98" customHeight="1">
      <x:c r="A13" s="40" t="str">
        <x:v>E008</x:v>
      </x:c>
      <x:c r="B13" s="40" t="str">
        <x:v>Materials</x:v>
      </x:c>
      <x:c r="C13" s="40" t="str">
        <x:v>Chemicals</x:v>
      </x:c>
      <x:c r="D13" s="40" t="str">
        <x:v>Commodity and diversified chemicals</x:v>
      </x:c>
      <x:c r="E13" s="40" t="str">
        <x:v>Feedstock → chemical conversion → industrial customer</x:v>
      </x:c>
      <x:c r="F13" s="40" t="str">
        <x:v>Volume × product-feedstock spread less fixed plant cost</x:v>
      </x:c>
      <x:c r="G13" s="40" t="str">
        <x:v>Cost-curve position and operating rates; global capacity can defeat local recovery</x:v>
      </x:c>
      <x:c r="H13" s="40" t="str">
        <x:v>Destocking ends while uneconomic plants close</x:v>
      </x:c>
      <x:c r="I13" s="40" t="str">
        <x:v>Price recovery attracts imports or feedstock advantage disappears</x:v>
      </x:c>
      <x:c r="J13" s="40" t="str">
        <x:v>DOW:Dow;LYB:LyondellBasell</x:v>
      </x:c>
      <x:c r="K13" s="40" t="str">
        <x:v>Inflection</x:v>
      </x:c>
      <x:c r="L13" s="40" t="str">
        <x:v>EV/EBITDA, normalized FCF, P/E, replacement cost; specialty names may warrant ROIC-based DCF.</x:v>
      </x:c>
      <x:c r="M13" s="40" t="str">
        <x:v>Inventory gains/losses, restructuring add-backs, environmental liabilities, pension costs, maintenance capex.</x:v>
      </x:c>
      <x:c r="N13" s="40" t="str">
        <x:v>Economic framework only</x:v>
      </x:c>
      <x:c r="O13" s="40" t="str">
        <x:v>G17</x:v>
      </x:c>
    </x:row>
    <x:row r="14" ht="98" customHeight="1">
      <x:c r="A14" s="40" t="str">
        <x:v>E009</x:v>
      </x:c>
      <x:c r="B14" s="40" t="str">
        <x:v>Materials</x:v>
      </x:c>
      <x:c r="C14" s="40" t="str">
        <x:v>Chemicals</x:v>
      </x:c>
      <x:c r="D14" s="40" t="str">
        <x:v>Specialty formulations and additives</x:v>
      </x:c>
      <x:c r="E14" s="40" t="str">
        <x:v>Customer specification → qualified formulation → repeat consumption</x:v>
      </x:c>
      <x:c r="F14" s="40" t="str">
        <x:v>Qualified customer volumes × gross profit per unit less application/service cost</x:v>
      </x:c>
      <x:c r="G14" s="40" t="str">
        <x:v>Qualification, formulation knowledge and modest cost relative to customer failure</x:v>
      </x:c>
      <x:c r="H14" s="40" t="str">
        <x:v>Volume retention through price increases; new formulation wins</x:v>
      </x:c>
      <x:c r="I14" s="40" t="str">
        <x:v>Customer substitutes generic chemistry; technical premium erodes</x:v>
      </x:c>
      <x:c r="J14" s="40" t="str">
        <x:v>IOSP:Innospec;NEU:NewMarket</x:v>
      </x:c>
      <x:c r="K14" s="40" t="str">
        <x:v>Compounder</x:v>
      </x:c>
      <x:c r="L14" s="40" t="str">
        <x:v>EV/EBITDA, normalized FCF, P/E, replacement cost; specialty names may warrant ROIC-based DCF.</x:v>
      </x:c>
      <x:c r="M14" s="40" t="str">
        <x:v>Inventory gains/losses, restructuring add-backs, environmental liabilities, pension costs, maintenance capex.</x:v>
      </x:c>
      <x:c r="N14" s="40" t="str">
        <x:v>Selected current issuer check</x:v>
      </x:c>
      <x:c r="O14" s="40" t="str">
        <x:v>IOSP26</x:v>
      </x:c>
    </x:row>
    <x:row r="15" ht="98" customHeight="1">
      <x:c r="A15" s="40" t="str">
        <x:v>E010</x:v>
      </x:c>
      <x:c r="B15" s="40" t="str">
        <x:v>Materials</x:v>
      </x:c>
      <x:c r="C15" s="40" t="str">
        <x:v>Chemicals</x:v>
      </x:c>
      <x:c r="D15" s="40" t="str">
        <x:v>Industrial gases</x:v>
      </x:c>
      <x:c r="E15" s="40" t="str">
        <x:v>Large customer plant → on-site supply contract → merchant distribution</x:v>
      </x:c>
      <x:c r="F15" s="40" t="str">
        <x:v>Contractual capacity/service return plus merchant volume and price</x:v>
      </x:c>
      <x:c r="G15" s="40" t="str">
        <x:v>Co-location, pipeline density and switching downtime; examine energy pass-through</x:v>
      </x:c>
      <x:c r="H15" s="40" t="str">
        <x:v>New project starts and return on contracted capital</x:v>
      </x:c>
      <x:c r="I15" s="40" t="str">
        <x:v>Large project earns below cost of capital despite revenue growth</x:v>
      </x:c>
      <x:c r="J15" s="40" t="str">
        <x:v>LIN:Linde;APD:Air Products</x:v>
      </x:c>
      <x:c r="K15" s="40" t="str">
        <x:v>Compounder</x:v>
      </x:c>
      <x:c r="L15" s="40" t="str">
        <x:v>EV/EBITDA, normalized FCF, P/E, replacement cost; specialty names may warrant ROIC-based DCF.</x:v>
      </x:c>
      <x:c r="M15" s="40" t="str">
        <x:v>Inventory gains/losses, restructuring add-backs, environmental liabilities, pension costs, maintenance capex.</x:v>
      </x:c>
      <x:c r="N15" s="40" t="str">
        <x:v>Economic framework only</x:v>
      </x:c>
      <x:c r="O15" s="40" t="str">
        <x:v>G17</x:v>
      </x:c>
    </x:row>
    <x:row r="16" ht="98" customHeight="1">
      <x:c r="A16" s="40" t="str">
        <x:v>E011</x:v>
      </x:c>
      <x:c r="B16" s="40" t="str">
        <x:v>Materials</x:v>
      </x:c>
      <x:c r="C16" s="40" t="str">
        <x:v>Chemicals</x:v>
      </x:c>
      <x:c r="D16" s="40" t="str">
        <x:v>Fertilizers and crop protection</x:v>
      </x:c>
      <x:c r="E16" s="40" t="str">
        <x:v>Farm economics → planted acres → nutrient/chemical application</x:v>
      </x:c>
      <x:c r="F16" s="40" t="str">
        <x:v>Realized nutrient/formulation price less gas, mineral and channel costs</x:v>
      </x:c>
      <x:c r="G16" s="40" t="str">
        <x:v>Commodity nutrient supply differs from patented crop chemistry</x:v>
      </x:c>
      <x:c r="H16" s="40" t="str">
        <x:v>Crop value relative to input cost; distributor inventories</x:v>
      </x:c>
      <x:c r="I16" s="40" t="str">
        <x:v>Farmer affordability deteriorates; capacity adds overwhelm seasonal demand</x:v>
      </x:c>
      <x:c r="J16" s="40" t="str">
        <x:v>CF:CF Industries;CTVA:Corteva</x:v>
      </x:c>
      <x:c r="K16" s="40" t="str">
        <x:v>Both</x:v>
      </x:c>
      <x:c r="L16" s="40" t="str">
        <x:v>EV/EBITDA, normalized FCF, P/E, replacement cost; specialty names may warrant ROIC-based DCF.</x:v>
      </x:c>
      <x:c r="M16" s="40" t="str">
        <x:v>Inventory gains/losses, restructuring add-backs, environmental liabilities, pension costs, maintenance capex.</x:v>
      </x:c>
      <x:c r="N16" s="40" t="str">
        <x:v>Economic framework only</x:v>
      </x:c>
      <x:c r="O16" s="40" t="str">
        <x:v>G17</x:v>
      </x:c>
    </x:row>
    <x:row r="17" ht="98" customHeight="1">
      <x:c r="A17" s="40" t="str">
        <x:v>E012</x:v>
      </x:c>
      <x:c r="B17" s="40" t="str">
        <x:v>Materials</x:v>
      </x:c>
      <x:c r="C17" s="40" t="str">
        <x:v>Construction Materials</x:v>
      </x:c>
      <x:c r="D17" s="40" t="str">
        <x:v>Aggregates and cement</x:v>
      </x:c>
      <x:c r="E17" s="40" t="str">
        <x:v>Local construction → permitted reserves → processing → delivery</x:v>
      </x:c>
      <x:c r="F17" s="40" t="str">
        <x:v>Local tons × delivered spread less quarry/plant maintenance</x:v>
      </x:c>
      <x:c r="G17" s="40" t="str">
        <x:v>Permits and freight radius; quantify actual competing delivered costs</x:v>
      </x:c>
      <x:c r="H17" s="40" t="str">
        <x:v>Local awarded work, shipments and price excluding fuel pass-through</x:v>
      </x:c>
      <x:c r="I17" s="40" t="str">
        <x:v>Nearby reserve opens or imports cap price; fixed costs overwhelm volumes</x:v>
      </x:c>
      <x:c r="J17" s="40" t="str">
        <x:v>MLM:Martin Marietta;VMC:Vulcan Materials</x:v>
      </x:c>
      <x:c r="K17" s="40" t="str">
        <x:v>Compounder</x:v>
      </x:c>
      <x:c r="L17" s="40" t="str">
        <x:v>EV/EBITDA, FCF, value per reserve ton, replacement value.</x:v>
      </x:c>
      <x:c r="M17" s="40" t="str">
        <x:v>Depletion, reclamation liabilities, acquisition accounting, weather normalization, land values.</x:v>
      </x:c>
      <x:c r="N17" s="40" t="str">
        <x:v>Economic framework only</x:v>
      </x:c>
      <x:c r="O17" s="40" t="str">
        <x:v>G17</x:v>
      </x:c>
    </x:row>
    <x:row r="18" ht="98" customHeight="1">
      <x:c r="A18" s="40" t="str">
        <x:v>E013</x:v>
      </x:c>
      <x:c r="B18" s="40" t="str">
        <x:v>Materials</x:v>
      </x:c>
      <x:c r="C18" s="40" t="str">
        <x:v>Containers &amp; Packaging</x:v>
      </x:c>
      <x:c r="D18" s="40" t="str">
        <x:v>Rigid containers</x:v>
      </x:c>
      <x:c r="E18" s="40" t="str">
        <x:v>Food/beverage filling line → qualified glass/metal/plastic container</x:v>
      </x:c>
      <x:c r="F18" s="40" t="str">
        <x:v>Containers × conversion spread less plant and tooling costs</x:v>
      </x:c>
      <x:c r="G18" s="40" t="str">
        <x:v>Customer filling-line integration; material substitution and plant utilization</x:v>
      </x:c>
      <x:c r="H18" s="40" t="str">
        <x:v>Contract repricing plus end-market units</x:v>
      </x:c>
      <x:c r="I18" s="40" t="str">
        <x:v>Unit volumes decline as customers lightweight or switch packaging</x:v>
      </x:c>
      <x:c r="J18" s="40" t="str">
        <x:v>BALL:Ball;CCK:Crown Holdings</x:v>
      </x:c>
      <x:c r="K18" s="40" t="str">
        <x:v>Both</x:v>
      </x:c>
      <x:c r="L18" s="40" t="str">
        <x:v>EV/EBITDA, FCF yield, normalized margins.</x:v>
      </x:c>
      <x:c r="M18" s="40" t="str">
        <x:v>Pass-through timing, restructuring charges, pension, lease obligations, maintenance capex.</x:v>
      </x:c>
      <x:c r="N18" s="40" t="str">
        <x:v>Economic framework only</x:v>
      </x:c>
      <x:c r="O18" s="40" t="str">
        <x:v>G17</x:v>
      </x:c>
    </x:row>
    <x:row r="19" ht="98" customHeight="1">
      <x:c r="A19" s="40" t="str">
        <x:v>E014</x:v>
      </x:c>
      <x:c r="B19" s="40" t="str">
        <x:v>Materials</x:v>
      </x:c>
      <x:c r="C19" s="40" t="str">
        <x:v>Containers &amp; Packaging</x:v>
      </x:c>
      <x:c r="D19" s="40" t="str">
        <x:v>Fiber and flexible packaging</x:v>
      </x:c>
      <x:c r="E19" s="40" t="str">
        <x:v>Pulp/resin → converting → consumer/industrial shipment</x:v>
      </x:c>
      <x:c r="F19" s="40" t="str">
        <x:v>Converted volume × spread less feedstock and fixed costs</x:v>
      </x:c>
      <x:c r="G19" s="40" t="str">
        <x:v>Mill rationalization and converting networks; pass-through lags are not a moat</x:v>
      </x:c>
      <x:c r="H19" s="40" t="str">
        <x:v>End-use shipments and permanent capacity closures</x:v>
      </x:c>
      <x:c r="I19" s="40" t="str">
        <x:v>Restocking mistaken for consumption; new mills reverse pricing</x:v>
      </x:c>
      <x:c r="J19" s="40" t="str">
        <x:v>PKG:Packaging Corporation of America;IP:International Paper</x:v>
      </x:c>
      <x:c r="K19" s="40" t="str">
        <x:v>Inflection</x:v>
      </x:c>
      <x:c r="L19" s="40" t="str">
        <x:v>EV/EBITDA, FCF yield, normalized margins.</x:v>
      </x:c>
      <x:c r="M19" s="40" t="str">
        <x:v>Pass-through timing, restructuring charges, pension, lease obligations, maintenance capex.</x:v>
      </x:c>
      <x:c r="N19" s="40" t="str">
        <x:v>Economic framework only</x:v>
      </x:c>
      <x:c r="O19" s="40" t="str">
        <x:v>G17</x:v>
      </x:c>
    </x:row>
    <x:row r="20" ht="98" customHeight="1">
      <x:c r="A20" s="40" t="str">
        <x:v>E015</x:v>
      </x:c>
      <x:c r="B20" s="40" t="str">
        <x:v>Materials</x:v>
      </x:c>
      <x:c r="C20" s="40" t="str">
        <x:v>Metals &amp; Mining</x:v>
      </x:c>
      <x:c r="D20" s="40" t="str">
        <x:v>Base metals and aluminum</x:v>
      </x:c>
      <x:c r="E20" s="40" t="str">
        <x:v>Ore/power → mine/refine/smelt → industrial fabrication</x:v>
      </x:c>
      <x:c r="F20" s="40" t="str">
        <x:v>Payable metal × realized price less all-in sustaining cost</x:v>
      </x:c>
      <x:c r="G20" s="40" t="str">
        <x:v>Grade, energy and infrastructure; separate mine supply from smelter supply</x:v>
      </x:c>
      <x:c r="H20" s="40" t="str">
        <x:v>Exchange inventories, treatment charges and sanctioned projects</x:v>
      </x:c>
      <x:c r="I20" s="40" t="str">
        <x:v>Low inventories reflect relocation rather than shortage; grades decline</x:v>
      </x:c>
      <x:c r="J20" s="40" t="str">
        <x:v>FCX:Freeport-McMoRan;AA:Alcoa</x:v>
      </x:c>
      <x:c r="K20" s="40" t="str">
        <x:v>Inflection</x:v>
      </x:c>
      <x:c r="L20" s="40" t="str">
        <x:v>NAV, P/NAV, EV/EBITDA, FCF yield, EV/reserve unit.</x:v>
      </x:c>
      <x:c r="M20" s="40" t="str">
        <x:v>Reserve assumptions, stripping capitalization, impairment, reclamation, royalties, by-product credits.</x:v>
      </x:c>
      <x:c r="N20" s="40" t="str">
        <x:v>Economic framework only</x:v>
      </x:c>
      <x:c r="O20" s="40" t="str">
        <x:v>G17</x:v>
      </x:c>
    </x:row>
    <x:row r="21" ht="98" customHeight="1">
      <x:c r="A21" s="40" t="str">
        <x:v>E016</x:v>
      </x:c>
      <x:c r="B21" s="40" t="str">
        <x:v>Materials</x:v>
      </x:c>
      <x:c r="C21" s="40" t="str">
        <x:v>Metals &amp; Mining</x:v>
      </x:c>
      <x:c r="D21" s="40" t="str">
        <x:v>Precious metals and royalty streams</x:v>
      </x:c>
      <x:c r="E21" s="40" t="str">
        <x:v>Mine production → sale → producer/royalty economics</x:v>
      </x:c>
      <x:c r="F21" s="40" t="str">
        <x:v>Producer netback versus royalty percentage/stream purchase spread</x:v>
      </x:c>
      <x:c r="G21" s="40" t="str">
        <x:v>Geology for operators; contract quality and diversification for royalty firms</x:v>
      </x:c>
      <x:c r="H21" s="40" t="str">
        <x:v>Realized prices and reserve replacement at disciplined acquisition cost</x:v>
      </x:c>
      <x:c r="I21" s="40" t="str">
        <x:v>Higher gold price offset by cost inflation or dilutive acquisitions</x:v>
      </x:c>
      <x:c r="J21" s="40" t="str">
        <x:v>AEM:Agnico Eagle;FNV:Franco-Nevada</x:v>
      </x:c>
      <x:c r="K21" s="40" t="str">
        <x:v>Both</x:v>
      </x:c>
      <x:c r="L21" s="40" t="str">
        <x:v>NAV, P/NAV, EV/EBITDA, FCF yield, EV/reserve unit.</x:v>
      </x:c>
      <x:c r="M21" s="40" t="str">
        <x:v>Reserve assumptions, stripping capitalization, impairment, reclamation, royalties, by-product credits.</x:v>
      </x:c>
      <x:c r="N21" s="40" t="str">
        <x:v>Economic framework only</x:v>
      </x:c>
      <x:c r="O21" s="40" t="str">
        <x:v>G17</x:v>
      </x:c>
    </x:row>
    <x:row r="22" ht="98" customHeight="1">
      <x:c r="A22" s="40" t="str">
        <x:v>E017</x:v>
      </x:c>
      <x:c r="B22" s="40" t="str">
        <x:v>Materials</x:v>
      </x:c>
      <x:c r="C22" s="40" t="str">
        <x:v>Metals &amp; Mining</x:v>
      </x:c>
      <x:c r="D22" s="40" t="str">
        <x:v>Steel and metal processing</x:v>
      </x:c>
      <x:c r="E22" s="40" t="str">
        <x:v>Scrap/ore → furnace → mill/service center → end user</x:v>
      </x:c>
      <x:c r="F22" s="40" t="str">
        <x:v>Tons × metal spread less conversion and sustaining capex</x:v>
      </x:c>
      <x:c r="G22" s="40" t="str">
        <x:v>Local logistics and low-cost processes; tariffs do not guarantee durable returns</x:v>
      </x:c>
      <x:c r="H22" s="40" t="str">
        <x:v>Service-center inventory, capacity utilization and order lead times</x:v>
      </x:c>
      <x:c r="I22" s="40" t="str">
        <x:v>Price recovery prompts idled capacity restart and inventory liquidation</x:v>
      </x:c>
      <x:c r="J22" s="40" t="str">
        <x:v>NUE:Nucor;STLD:Steel Dynamics</x:v>
      </x:c>
      <x:c r="K22" s="40" t="str">
        <x:v>Inflection</x:v>
      </x:c>
      <x:c r="L22" s="40" t="str">
        <x:v>NAV, P/NAV, EV/EBITDA, FCF yield, EV/reserve unit.</x:v>
      </x:c>
      <x:c r="M22" s="40" t="str">
        <x:v>Reserve assumptions, stripping capitalization, impairment, reclamation, royalties, by-product credits.</x:v>
      </x:c>
      <x:c r="N22" s="40" t="str">
        <x:v>Economic framework only</x:v>
      </x:c>
      <x:c r="O22" s="40" t="str">
        <x:v>G17</x:v>
      </x:c>
    </x:row>
    <x:row r="23" ht="98" customHeight="1">
      <x:c r="A23" s="40" t="str">
        <x:v>E018</x:v>
      </x:c>
      <x:c r="B23" s="40" t="str">
        <x:v>Materials</x:v>
      </x:c>
      <x:c r="C23" s="40" t="str">
        <x:v>Paper &amp; Forest Products</x:v>
      </x:c>
      <x:c r="D23" s="40" t="str">
        <x:v>Lumber and timber products</x:v>
      </x:c>
      <x:c r="E23" s="40" t="str">
        <x:v>Forest harvest → sawmill → building/channel inventory</x:v>
      </x:c>
      <x:c r="F23" s="40" t="str">
        <x:v>Recoverable lumber × price less logs, energy and maintenance</x:v>
      </x:c>
      <x:c r="G23" s="40" t="str">
        <x:v>Fiber basket and mill cost position; housing demand and weather are distinct</x:v>
      </x:c>
      <x:c r="H23" s="40" t="str">
        <x:v>Dealer inventories, housing permits and mill curtailments</x:v>
      </x:c>
      <x:c r="I23" s="40" t="str">
        <x:v>Higher prices generate rapid mill restarts without end-demand growth</x:v>
      </x:c>
      <x:c r="J23" s="40" t="str">
        <x:v>WFG:West Fraser Timber;UFPI:UFP Industries</x:v>
      </x:c>
      <x:c r="K23" s="40" t="str">
        <x:v>Both</x:v>
      </x:c>
      <x:c r="L23" s="40" t="str">
        <x:v>EV/EBITDA, FCF yield, timberland NAV, replacement value.</x:v>
      </x:c>
      <x:c r="M23" s="40" t="str">
        <x:v>Biological asset accounting, depletion, maintenance capex, pension, restructuring.</x:v>
      </x:c>
      <x:c r="N23" s="40" t="str">
        <x:v>Economic framework only</x:v>
      </x:c>
      <x:c r="O23" s="40" t="str">
        <x:v>G17</x:v>
      </x:c>
    </x:row>
    <x:row r="24" ht="98" customHeight="1">
      <x:c r="A24" s="40" t="str">
        <x:v>E019</x:v>
      </x:c>
      <x:c r="B24" s="40" t="str">
        <x:v>Materials</x:v>
      </x:c>
      <x:c r="C24" s="40" t="str">
        <x:v>Paper &amp; Forest Products</x:v>
      </x:c>
      <x:c r="D24" s="40" t="str">
        <x:v>Pulp and specialty paper</x:v>
      </x:c>
      <x:c r="E24" s="40" t="str">
        <x:v>Fiber → pulp/mill → industrial/consumer customer</x:v>
      </x:c>
      <x:c r="F24" s="40" t="str">
        <x:v>Tons × pulp/paper spread less energy and fixed costs</x:v>
      </x:c>
      <x:c r="G24" s="40" t="str">
        <x:v>Grade-specific substitution and mill closures</x:v>
      </x:c>
      <x:c r="H24" s="40" t="str">
        <x:v>Inventory days and customer consumption by grade</x:v>
      </x:c>
      <x:c r="I24" s="40" t="str">
        <x:v>Structural demand erosion overwhelms supply rationalization</x:v>
      </x:c>
      <x:c r="J24" s="40" t="str">
        <x:v>CLW:Clearwater Paper;MERC:Mercer International</x:v>
      </x:c>
      <x:c r="K24" s="40" t="str">
        <x:v>Inflection</x:v>
      </x:c>
      <x:c r="L24" s="40" t="str">
        <x:v>EV/EBITDA, FCF yield, timberland NAV, replacement value.</x:v>
      </x:c>
      <x:c r="M24" s="40" t="str">
        <x:v>Biological asset accounting, depletion, maintenance capex, pension, restructuring.</x:v>
      </x:c>
      <x:c r="N24" s="40" t="str">
        <x:v>Economic framework only</x:v>
      </x:c>
      <x:c r="O24" s="40" t="str">
        <x:v>G17</x:v>
      </x:c>
    </x:row>
    <x:row r="25" ht="98" customHeight="1">
      <x:c r="A25" s="40" t="str">
        <x:v>E020</x:v>
      </x:c>
      <x:c r="B25" s="40" t="str">
        <x:v>Industrials</x:v>
      </x:c>
      <x:c r="C25" s="40" t="str">
        <x:v>Aerospace &amp; Defense</x:v>
      </x:c>
      <x:c r="D25" s="40" t="str">
        <x:v>Aerospace original equipment</x:v>
      </x:c>
      <x:c r="E25" s="40" t="str">
        <x:v>Aircraft/engine program → qualified component → OEM assembly</x:v>
      </x:c>
      <x:c r="F25" s="40" t="str">
        <x:v>Program shipments × content and margin less launch/tooling burden</x:v>
      </x:c>
      <x:c r="G25" s="40" t="str">
        <x:v>Certification, process yield and customer rate schedules</x:v>
      </x:c>
      <x:c r="H25" s="40" t="str">
        <x:v>Deliveries, supplier shipments and quality releases reconcile</x:v>
      </x:c>
      <x:c r="I25" s="40" t="str">
        <x:v>OEM raises schedules but supplier cannot earn margin or collect cash</x:v>
      </x:c>
      <x:c r="J25" s="40" t="str">
        <x:v>HWM:Howmet Aerospace;WWD:Woodward</x:v>
      </x:c>
      <x:c r="K25" s="40" t="str">
        <x:v>Both</x:v>
      </x:c>
      <x:c r="L25" s="40" t="str">
        <x:v>EV/EBITDA, P/E, FCF yield, sum-of-parts; aftermarket deserves higher multiple than OE.</x:v>
      </x:c>
      <x:c r="M25" s="40" t="str">
        <x:v>Program accounting, customer advances, pension, warranty, development capitalization, one-time contract charges.</x:v>
      </x:c>
      <x:c r="N25" s="40" t="str">
        <x:v>Economic framework only</x:v>
      </x:c>
      <x:c r="O25" s="40" t="str">
        <x:v>EDGAR</x:v>
      </x:c>
    </x:row>
    <x:row r="26" ht="98" customHeight="1">
      <x:c r="A26" s="40" t="str">
        <x:v>E021</x:v>
      </x:c>
      <x:c r="B26" s="40" t="str">
        <x:v>Industrials</x:v>
      </x:c>
      <x:c r="C26" s="40" t="str">
        <x:v>Aerospace &amp; Defense</x:v>
      </x:c>
      <x:c r="D26" s="40" t="str">
        <x:v>Aerospace aftermarket</x:v>
      </x:c>
      <x:c r="E26" s="40" t="str">
        <x:v>Installed fleet → flight cycles → scheduled/unscheduled repair</x:v>
      </x:c>
      <x:c r="F26" s="40" t="str">
        <x:v>Service events × parts/service profit less inventory and repair capacity</x:v>
      </x:c>
      <x:c r="G26" s="40" t="str">
        <x:v>Airworthiness approval, intellectual property and installed-base longevity</x:v>
      </x:c>
      <x:c r="H26" s="40" t="str">
        <x:v>Flight hours, shop visits and parts pricing</x:v>
      </x:c>
      <x:c r="I26" s="40" t="str">
        <x:v>Alternative parts or repairs bypass supplier; working capital absorbs profits</x:v>
      </x:c>
      <x:c r="J26" s="40" t="str">
        <x:v>HEI:HEICO;VSEC:VSE</x:v>
      </x:c>
      <x:c r="K26" s="40" t="str">
        <x:v>Compounder</x:v>
      </x:c>
      <x:c r="L26" s="40" t="str">
        <x:v>EV/EBITDA, P/E, FCF yield, sum-of-parts; aftermarket deserves higher multiple than OE.</x:v>
      </x:c>
      <x:c r="M26" s="40" t="str">
        <x:v>Program accounting, customer advances, pension, warranty, development capitalization, one-time contract charges.</x:v>
      </x:c>
      <x:c r="N26" s="40" t="str">
        <x:v>Selected current issuer check</x:v>
      </x:c>
      <x:c r="O26" s="40" t="str">
        <x:v>VSEC26</x:v>
      </x:c>
    </x:row>
    <x:row r="27" ht="98" customHeight="1">
      <x:c r="A27" s="40" t="str">
        <x:v>E022</x:v>
      </x:c>
      <x:c r="B27" s="40" t="str">
        <x:v>Industrials</x:v>
      </x:c>
      <x:c r="C27" s="40" t="str">
        <x:v>Aerospace &amp; Defense</x:v>
      </x:c>
      <x:c r="D27" s="40" t="str">
        <x:v>Defense programs and mission electronics</x:v>
      </x:c>
      <x:c r="E27" s="40" t="str">
        <x:v>Appropriation → award → production milestone → deployment</x:v>
      </x:c>
      <x:c r="F27" s="40" t="str">
        <x:v>Funded program revenue × execution margin less overruns</x:v>
      </x:c>
      <x:c r="G27" s="40" t="str">
        <x:v>Security/qualification and program tenure; appropriations differ from budgets</x:v>
      </x:c>
      <x:c r="H27" s="40" t="str">
        <x:v>Funded backlog and deliveries by contract type</x:v>
      </x:c>
      <x:c r="I27" s="40" t="str">
        <x:v>Unfunded authorization misread as order; fixed-price development loss</x:v>
      </x:c>
      <x:c r="J27" s="40" t="str">
        <x:v>LMT:Lockheed Martin;CW:Curtiss-Wright</x:v>
      </x:c>
      <x:c r="K27" s="40" t="str">
        <x:v>Both</x:v>
      </x:c>
      <x:c r="L27" s="40" t="str">
        <x:v>EV/EBITDA, P/E, FCF yield, sum-of-parts; aftermarket deserves higher multiple than OE.</x:v>
      </x:c>
      <x:c r="M27" s="40" t="str">
        <x:v>Program accounting, customer advances, pension, warranty, development capitalization, one-time contract charges.</x:v>
      </x:c>
      <x:c r="N27" s="40" t="str">
        <x:v>Economic framework only</x:v>
      </x:c>
      <x:c r="O27" s="40" t="str">
        <x:v>EDGAR</x:v>
      </x:c>
    </x:row>
    <x:row r="28" ht="98" customHeight="1">
      <x:c r="A28" s="40" t="str">
        <x:v>E023</x:v>
      </x:c>
      <x:c r="B28" s="40" t="str">
        <x:v>Industrials</x:v>
      </x:c>
      <x:c r="C28" s="40" t="str">
        <x:v>Building Products</x:v>
      </x:c>
      <x:c r="D28" s="40" t="str">
        <x:v>Repair products and contractor consumables</x:v>
      </x:c>
      <x:c r="E28" s="40" t="str">
        <x:v>Installed buildings → repair job → contractor/specifier → distributor</x:v>
      </x:c>
      <x:c r="F28" s="40" t="str">
        <x:v>Repair events × product content and price less channel/manufacturing cost</x:v>
      </x:c>
      <x:c r="G28" s="40" t="str">
        <x:v>Contractor preference, code and low product cost relative to labor</x:v>
      </x:c>
      <x:c r="H28" s="40" t="str">
        <x:v>Sell-through, repeat purchase and price-cost bridge</x:v>
      </x:c>
      <x:c r="I28" s="40" t="str">
        <x:v>Distributor inventory—not repairs—drives growth; rebates hide weak pricing</x:v>
      </x:c>
      <x:c r="J28" s="40" t="str">
        <x:v>CSW:CSW Industrials;AOS:A. O. Smith</x:v>
      </x:c>
      <x:c r="K28" s="40" t="str">
        <x:v>Compounder</x:v>
      </x:c>
      <x:c r="L28" s="40" t="str">
        <x:v>P/E, EV/EBITDA, FCF, through-cycle margins.</x:v>
      </x:c>
      <x:c r="M28" s="40" t="str">
        <x:v>Channel inventory, rebates, acquisition intangibles, warranty reserves, housing-cycle normalization.</x:v>
      </x:c>
      <x:c r="N28" s="40" t="str">
        <x:v>Selected current issuer check</x:v>
      </x:c>
      <x:c r="O28" s="40" t="str">
        <x:v>CSW26</x:v>
      </x:c>
    </x:row>
    <x:row r="29" ht="98" customHeight="1">
      <x:c r="A29" s="40" t="str">
        <x:v>E024</x:v>
      </x:c>
      <x:c r="B29" s="40" t="str">
        <x:v>Industrials</x:v>
      </x:c>
      <x:c r="C29" s="40" t="str">
        <x:v>Building Products</x:v>
      </x:c>
      <x:c r="D29" s="40" t="str">
        <x:v>HVAC equipment and data-center thermal systems</x:v>
      </x:c>
      <x:c r="E29" s="40" t="str">
        <x:v>Design specification → qualified cooling vendor → installation → service</x:v>
      </x:c>
      <x:c r="F29" s="40" t="str">
        <x:v>Cooling capacity shipped × gross margin plus service less factory/working-capital investment</x:v>
      </x:c>
      <x:c r="G29" s="40" t="str">
        <x:v>Engineering validation and production yield; distinguish air handling from liquid loops</x:v>
      </x:c>
      <x:c r="H29" s="40" t="str">
        <x:v>Funded orders, throughput and segment margin recovery</x:v>
      </x:c>
      <x:c r="I29" s="40" t="str">
        <x:v>Data-center demand strong but warranty, mix or buyer power prevents recovery</x:v>
      </x:c>
      <x:c r="J29" s="40" t="str">
        <x:v>MOD:Modine;AAON:AAON</x:v>
      </x:c>
      <x:c r="K29" s="40" t="str">
        <x:v>Both</x:v>
      </x:c>
      <x:c r="L29" s="40" t="str">
        <x:v>P/E, EV/EBITDA, FCF, through-cycle margins.</x:v>
      </x:c>
      <x:c r="M29" s="40" t="str">
        <x:v>Channel inventory, rebates, acquisition intangibles, warranty reserves, housing-cycle normalization.</x:v>
      </x:c>
      <x:c r="N29" s="40" t="str">
        <x:v>Selected current issuer check</x:v>
      </x:c>
      <x:c r="O29" s="40" t="str">
        <x:v>AAON26;MOD26</x:v>
      </x:c>
    </x:row>
    <x:row r="30" ht="98" customHeight="1">
      <x:c r="A30" s="40" t="str">
        <x:v>E025</x:v>
      </x:c>
      <x:c r="B30" s="40" t="str">
        <x:v>Industrials</x:v>
      </x:c>
      <x:c r="C30" s="40" t="str">
        <x:v>Construction &amp; Engineering</x:v>
      </x:c>
      <x:c r="D30" s="40" t="str">
        <x:v>Specialty electrical and mechanical contractors</x:v>
      </x:c>
      <x:c r="E30" s="40" t="str">
        <x:v>Financed project → labor/engineering mobilization → milestones → commissioning</x:v>
      </x:c>
      <x:c r="F30" s="40" t="str">
        <x:v>Labor productivity and contract margin less overruns and working capital</x:v>
      </x:c>
      <x:c r="G30" s="40" t="str">
        <x:v>Skilled crews and project management; LOI is not enforceable RPO</x:v>
      </x:c>
      <x:c r="H30" s="40" t="str">
        <x:v>RPO conversion, cash collection and earned gross margin</x:v>
      </x:c>
      <x:c r="I30" s="40" t="str">
        <x:v>Fixed-price overruns or customer financing delay absorb backlog gains</x:v>
      </x:c>
      <x:c r="J30" s="40" t="str">
        <x:v>IESC:IES Holdings;EME:EMCOR</x:v>
      </x:c>
      <x:c r="K30" s="40" t="str">
        <x:v>Both</x:v>
      </x:c>
      <x:c r="L30" s="40" t="str">
        <x:v>EV/EBITDA, FCF, backlog quality, P/E; avoid valuing pass-through revenue like value-add revenue.</x:v>
      </x:c>
      <x:c r="M30" s="40" t="str">
        <x:v>Percentage-of-completion estimates, claims, change orders, retainage, customer advances, JV liabilities.</x:v>
      </x:c>
      <x:c r="N30" s="40" t="str">
        <x:v>Selected current issuer check</x:v>
      </x:c>
      <x:c r="O30" s="40" t="str">
        <x:v>IESC26</x:v>
      </x:c>
    </x:row>
    <x:row r="31" ht="98" customHeight="1">
      <x:c r="A31" s="40" t="str">
        <x:v>E026</x:v>
      </x:c>
      <x:c r="B31" s="40" t="str">
        <x:v>Industrials</x:v>
      </x:c>
      <x:c r="C31" s="40" t="str">
        <x:v>Construction &amp; Engineering</x:v>
      </x:c>
      <x:c r="D31" s="40" t="str">
        <x:v>Engineering and infrastructure programs</x:v>
      </x:c>
      <x:c r="E31" s="40" t="str">
        <x:v>Public/private funding → design/engineering → construction oversight</x:v>
      </x:c>
      <x:c r="F31" s="40" t="str">
        <x:v>Billable hours/contract fees less delivery labor and risk retention</x:v>
      </x:c>
      <x:c r="G31" s="40" t="str">
        <x:v>Credentials and customer access; distinguish fee work from lump-sum construction</x:v>
      </x:c>
      <x:c r="H31" s="40" t="str">
        <x:v>Funded awards and labor utilization</x:v>
      </x:c>
      <x:c r="I31" s="40" t="str">
        <x:v>Low-quality backlog grows while claims and receivables rise</x:v>
      </x:c>
      <x:c r="J31" s="40" t="str">
        <x:v>ACM:AECOM;PWR:Quanta Services</x:v>
      </x:c>
      <x:c r="K31" s="40" t="str">
        <x:v>Both</x:v>
      </x:c>
      <x:c r="L31" s="40" t="str">
        <x:v>EV/EBITDA, FCF, backlog quality, P/E; avoid valuing pass-through revenue like value-add revenue.</x:v>
      </x:c>
      <x:c r="M31" s="40" t="str">
        <x:v>Percentage-of-completion estimates, claims, change orders, retainage, customer advances, JV liabilities.</x:v>
      </x:c>
      <x:c r="N31" s="40" t="str">
        <x:v>Economic framework only</x:v>
      </x:c>
      <x:c r="O31" s="40" t="str">
        <x:v>EDGAR</x:v>
      </x:c>
    </x:row>
    <x:row r="32" ht="98" customHeight="1">
      <x:c r="A32" s="40" t="str">
        <x:v>E027</x:v>
      </x:c>
      <x:c r="B32" s="40" t="str">
        <x:v>Industrials</x:v>
      </x:c>
      <x:c r="C32" s="40" t="str">
        <x:v>Electrical Equipment</x:v>
      </x:c>
      <x:c r="D32" s="40" t="str">
        <x:v>Transformers and switchgear</x:v>
      </x:c>
      <x:c r="E32" s="40" t="str">
        <x:v>Grid/data-center design → reserved production slot → equipment → energization</x:v>
      </x:c>
      <x:c r="F32" s="40" t="str">
        <x:v>Units × price/mix less metals, labor and testing; service adds lifetime economics</x:v>
      </x:c>
      <x:c r="G32" s="40" t="str">
        <x:v>Electrical testing, engineering skills and customer qualification; factory expansion is not qualified output</x:v>
      </x:c>
      <x:c r="H32" s="40" t="str">
        <x:v>Firm awards, lead times, throughput and margin by product</x:v>
      </x:c>
      <x:c r="I32" s="40" t="str">
        <x:v>Double ordering, cancellations or customer bargaining eliminate scarcity profit</x:v>
      </x:c>
      <x:c r="J32" s="40" t="str">
        <x:v>POWL:Powell Industries;HPS.A:CA:Hammond Power Solutions;ETN:Eaton</x:v>
      </x:c>
      <x:c r="K32" s="40" t="str">
        <x:v>Both</x:v>
      </x:c>
      <x:c r="L32" s="40" t="str">
        <x:v>EV/EBITDA, P/E, FCF; backlog-adjusted earnings and normalized margin sensitivity.</x:v>
      </x:c>
      <x:c r="M32" s="40" t="str">
        <x:v>Backlog definitions, advances, copper pass-through, project accounting, growth capex.</x:v>
      </x:c>
      <x:c r="N32" s="40" t="str">
        <x:v>Selected current issuer check</x:v>
      </x:c>
      <x:c r="O32" s="40" t="str">
        <x:v>HPS26;POWL26</x:v>
      </x:c>
    </x:row>
    <x:row r="33" ht="98" customHeight="1">
      <x:c r="A33" s="40" t="str">
        <x:v>E028</x:v>
      </x:c>
      <x:c r="B33" s="40" t="str">
        <x:v>Industrials</x:v>
      </x:c>
      <x:c r="C33" s="40" t="str">
        <x:v>Electrical Equipment</x:v>
      </x:c>
      <x:c r="D33" s="40" t="str">
        <x:v>Grid automation and power conversion</x:v>
      </x:c>
      <x:c r="E33" s="40" t="str">
        <x:v>Utility/industrial network → sensing/protection/control → installed system</x:v>
      </x:c>
      <x:c r="F33" s="40" t="str">
        <x:v>Protected connections × hardware/software/service profit</x:v>
      </x:c>
      <x:c r="G33" s="40" t="str">
        <x:v>Interoperability, reliability, installed base and standards</x:v>
      </x:c>
      <x:c r="H33" s="40" t="str">
        <x:v>Customer capex becoming commissioned endpoints</x:v>
      </x:c>
      <x:c r="I33" s="40" t="str">
        <x:v>Open architecture or insourcing commoditizes installed controls</x:v>
      </x:c>
      <x:c r="J33" s="40" t="str">
        <x:v>HUBB:Hubbell;NVT:nVent</x:v>
      </x:c>
      <x:c r="K33" s="40" t="str">
        <x:v>Compounder</x:v>
      </x:c>
      <x:c r="L33" s="40" t="str">
        <x:v>EV/EBITDA, P/E, FCF; backlog-adjusted earnings and normalized margin sensitivity.</x:v>
      </x:c>
      <x:c r="M33" s="40" t="str">
        <x:v>Backlog definitions, advances, copper pass-through, project accounting, growth capex.</x:v>
      </x:c>
      <x:c r="N33" s="40" t="str">
        <x:v>Economic framework only</x:v>
      </x:c>
      <x:c r="O33" s="40" t="str">
        <x:v>EDGAR</x:v>
      </x:c>
    </x:row>
    <x:row r="34" ht="98" customHeight="1">
      <x:c r="A34" s="40" t="str">
        <x:v>E029</x:v>
      </x:c>
      <x:c r="B34" s="40" t="str">
        <x:v>Industrials</x:v>
      </x:c>
      <x:c r="C34" s="40" t="str">
        <x:v>Machinery</x:v>
      </x:c>
      <x:c r="D34" s="40" t="str">
        <x:v>General and mobile machinery</x:v>
      </x:c>
      <x:c r="E34" s="40" t="str">
        <x:v>Customer capex → machine purchase → productive use → replacement/parts</x:v>
      </x:c>
      <x:c r="F34" s="40" t="str">
        <x:v>Machines × contribution margin plus installed-base parts/service</x:v>
      </x:c>
      <x:c r="G34" s="40" t="str">
        <x:v>Dealer/service density and product support; customer cyclicality persists</x:v>
      </x:c>
      <x:c r="H34" s="40" t="str">
        <x:v>Dealer sell-through versus factory shipments and orders</x:v>
      </x:c>
      <x:c r="I34" s="40" t="str">
        <x:v>Inventory restocking mistaken for sustainable demand</x:v>
      </x:c>
      <x:c r="J34" s="40" t="str">
        <x:v>CAT:Caterpillar;DE:Deere</x:v>
      </x:c>
      <x:c r="K34" s="40" t="str">
        <x:v>Both</x:v>
      </x:c>
      <x:c r="L34" s="40" t="str">
        <x:v>EV/EBITDA, P/E, FCF, normalized mid-cycle margins.</x:v>
      </x:c>
      <x:c r="M34" s="40" t="str">
        <x:v>Dealer financing, inventory, warranty, pension, restructuring, acquisition intangibles.</x:v>
      </x:c>
      <x:c r="N34" s="40" t="str">
        <x:v>Economic framework only</x:v>
      </x:c>
      <x:c r="O34" s="40" t="str">
        <x:v>EDGAR</x:v>
      </x:c>
    </x:row>
    <x:row r="35" ht="98" customHeight="1">
      <x:c r="A35" s="40" t="str">
        <x:v>E030</x:v>
      </x:c>
      <x:c r="B35" s="40" t="str">
        <x:v>Industrials</x:v>
      </x:c>
      <x:c r="C35" s="40" t="str">
        <x:v>Machinery</x:v>
      </x:c>
      <x:c r="D35" s="40" t="str">
        <x:v>Precision motion and industrial automation</x:v>
      </x:c>
      <x:c r="E35" s="40" t="str">
        <x:v>Factory redesign → component design-in → equipment cycles</x:v>
      </x:c>
      <x:c r="F35" s="40" t="str">
        <x:v>Automation endpoints × content plus service less engineering cost</x:v>
      </x:c>
      <x:c r="G35" s="40" t="str">
        <x:v>Reliability and application expertise; product cycles can reset sockets</x:v>
      </x:c>
      <x:c r="H35" s="40" t="str">
        <x:v>Machine-builder orders and validated new applications</x:v>
      </x:c>
      <x:c r="I35" s="40" t="str">
        <x:v>Customer postpones automation; low-cost alternatives qualify</x:v>
      </x:c>
      <x:c r="J35" s="40" t="str">
        <x:v>PH:Parker-Hannifin;ROK:Rockwell Automation</x:v>
      </x:c>
      <x:c r="K35" s="40" t="str">
        <x:v>Both</x:v>
      </x:c>
      <x:c r="L35" s="40" t="str">
        <x:v>EV/EBITDA, P/E, FCF, normalized mid-cycle margins.</x:v>
      </x:c>
      <x:c r="M35" s="40" t="str">
        <x:v>Dealer financing, inventory, warranty, pension, restructuring, acquisition intangibles.</x:v>
      </x:c>
      <x:c r="N35" s="40" t="str">
        <x:v>Economic framework only</x:v>
      </x:c>
      <x:c r="O35" s="40" t="str">
        <x:v>EDGAR</x:v>
      </x:c>
    </x:row>
    <x:row r="36" ht="98" customHeight="1">
      <x:c r="A36" s="40" t="str">
        <x:v>E031</x:v>
      </x:c>
      <x:c r="B36" s="40" t="str">
        <x:v>Industrials</x:v>
      </x:c>
      <x:c r="C36" s="40" t="str">
        <x:v>Machinery</x:v>
      </x:c>
      <x:c r="D36" s="40" t="str">
        <x:v>Pumps, flow and process instrumentation</x:v>
      </x:c>
      <x:c r="E36" s="40" t="str">
        <x:v>Process plant → installed equipment → fluids handled → repair/consumables</x:v>
      </x:c>
      <x:c r="F36" s="40" t="str">
        <x:v>Installed units × service/consumable profit plus replacement projects</x:v>
      </x:c>
      <x:c r="G36" s="40" t="str">
        <x:v>Process uptime and qualification; service network can outlast equipment cycle</x:v>
      </x:c>
      <x:c r="H36" s="40" t="str">
        <x:v>Aftermarket orders, installed-base growth and recurring attach</x:v>
      </x:c>
      <x:c r="I36" s="40" t="str">
        <x:v>Installed base grows with low aftermarket capture or heavy warranty cost</x:v>
      </x:c>
      <x:c r="J36" s="40" t="str">
        <x:v>ITT:ITT;IEX:IDEX;XYL:Xylem</x:v>
      </x:c>
      <x:c r="K36" s="40" t="str">
        <x:v>Compounder</x:v>
      </x:c>
      <x:c r="L36" s="40" t="str">
        <x:v>EV/EBITDA, P/E, FCF, normalized mid-cycle margins.</x:v>
      </x:c>
      <x:c r="M36" s="40" t="str">
        <x:v>Dealer financing, inventory, warranty, pension, restructuring, acquisition intangibles.</x:v>
      </x:c>
      <x:c r="N36" s="40" t="str">
        <x:v>Economic framework only</x:v>
      </x:c>
      <x:c r="O36" s="40" t="str">
        <x:v>EDGAR</x:v>
      </x:c>
    </x:row>
    <x:row r="37" ht="98" customHeight="1">
      <x:c r="A37" s="40" t="str">
        <x:v>E032</x:v>
      </x:c>
      <x:c r="B37" s="40" t="str">
        <x:v>Industrials</x:v>
      </x:c>
      <x:c r="C37" s="40" t="str">
        <x:v>Trading Companies &amp; Distributors</x:v>
      </x:c>
      <x:c r="D37" s="40" t="str">
        <x:v>Industrial maintenance distribution</x:v>
      </x:c>
      <x:c r="E37" s="40" t="str">
        <x:v>Customer breakdown/job → availability need → local distributor</x:v>
      </x:c>
      <x:c r="F37" s="40" t="str">
        <x:v>Sales × gross margin less branch/logistics cost and financing of inventory</x:v>
      </x:c>
      <x:c r="G37" s="40" t="str">
        <x:v>Availability, range and route/branch density; test manufacturer bypass</x:v>
      </x:c>
      <x:c r="H37" s="40" t="str">
        <x:v>Gross profit per branch, turns and organic customer growth</x:v>
      </x:c>
      <x:c r="I37" s="40" t="str">
        <x:v>Online/manufacturer channel undercuts without service disadvantage</x:v>
      </x:c>
      <x:c r="J37" s="40" t="str">
        <x:v>FAST:Fastenal;GWW:W. W. Grainger</x:v>
      </x:c>
      <x:c r="K37" s="40" t="str">
        <x:v>Compounder</x:v>
      </x:c>
      <x:c r="L37" s="40" t="str">
        <x:v>P/E, EV/EBITDA, FCF, ROIC; working-capital-normalized FCF.</x:v>
      </x:c>
      <x:c r="M37" s="40" t="str">
        <x:v>LIFO/FIFO, inventory gains, supplier rebates, acquisition add-backs, receivables.</x:v>
      </x:c>
      <x:c r="N37" s="40" t="str">
        <x:v>Economic framework only</x:v>
      </x:c>
      <x:c r="O37" s="40" t="str">
        <x:v>EDGAR</x:v>
      </x:c>
    </x:row>
    <x:row r="38" ht="98" customHeight="1">
      <x:c r="A38" s="40" t="str">
        <x:v>E033</x:v>
      </x:c>
      <x:c r="B38" s="40" t="str">
        <x:v>Industrials</x:v>
      </x:c>
      <x:c r="C38" s="40" t="str">
        <x:v>Trading Companies &amp; Distributors</x:v>
      </x:c>
      <x:c r="D38" s="40" t="str">
        <x:v>Specialty and building-system distribution</x:v>
      </x:c>
      <x:c r="E38" s="40" t="str">
        <x:v>Specification/job → distributor inventory → contractor delivery</x:v>
      </x:c>
      <x:c r="F38" s="40" t="str">
        <x:v>Volume × spread plus private-label/services less working capital</x:v>
      </x:c>
      <x:c r="G38" s="40" t="str">
        <x:v>Local availability and supplier/customer relationships</x:v>
      </x:c>
      <x:c r="H38" s="40" t="str">
        <x:v>Sell-through, branch productivity and incremental invested capital</x:v>
      </x:c>
      <x:c r="I38" s="40" t="str">
        <x:v>Acquired sales conceal organic weakness; inventory loses value</x:v>
      </x:c>
      <x:c r="J38" s="40" t="str">
        <x:v>WCC:WESCO;SITE:SiteOne Landscape Supply</x:v>
      </x:c>
      <x:c r="K38" s="40" t="str">
        <x:v>Both</x:v>
      </x:c>
      <x:c r="L38" s="40" t="str">
        <x:v>P/E, EV/EBITDA, FCF, ROIC; working-capital-normalized FCF.</x:v>
      </x:c>
      <x:c r="M38" s="40" t="str">
        <x:v>LIFO/FIFO, inventory gains, supplier rebates, acquisition add-backs, receivables.</x:v>
      </x:c>
      <x:c r="N38" s="40" t="str">
        <x:v>Economic framework only</x:v>
      </x:c>
      <x:c r="O38" s="40" t="str">
        <x:v>EDGAR</x:v>
      </x:c>
    </x:row>
    <x:row r="39" ht="98" customHeight="1">
      <x:c r="A39" s="40" t="str">
        <x:v>E034</x:v>
      </x:c>
      <x:c r="B39" s="40" t="str">
        <x:v>Industrials</x:v>
      </x:c>
      <x:c r="C39" s="40" t="str">
        <x:v>Industrial Conglomerates</x:v>
      </x:c>
      <x:c r="D39" s="40" t="str">
        <x:v>Decentralized industrial portfolios</x:v>
      </x:c>
      <x:c r="E39" s="40" t="str">
        <x:v>Subsidiary cash generation → capital allocation → organic/M&amp;A reinvestment</x:v>
      </x:c>
      <x:c r="F39" s="40" t="str">
        <x:v>Sum of segment economic profit less central cost and acquisition premium</x:v>
      </x:c>
      <x:c r="G39" s="40" t="str">
        <x:v>Operating system must create returns after full purchase price</x:v>
      </x:c>
      <x:c r="H39" s="40" t="str">
        <x:v>Organic returns and acquisition cohort cash yields</x:v>
      </x:c>
      <x:c r="I39" s="40" t="str">
        <x:v>Adjusted EPS rises while return on total acquisition spend falls</x:v>
      </x:c>
      <x:c r="J39" s="40" t="str">
        <x:v>DOV:Dover;ITW:Illinois Tool Works</x:v>
      </x:c>
      <x:c r="K39" s="40" t="str">
        <x:v>Compounder</x:v>
      </x:c>
      <x:c r="L39" s="40" t="str">
        <x:v>SOTP, FCF yield, EV/EBITDA, ROIC; compare implied segment multiples.</x:v>
      </x:c>
      <x:c r="M39" s="40" t="str">
        <x:v>Corporate allocations, pension, intercompany items, acquisition adjustments, stranded costs.</x:v>
      </x:c>
      <x:c r="N39" s="40" t="str">
        <x:v>Economic framework only</x:v>
      </x:c>
      <x:c r="O39" s="40" t="str">
        <x:v>EDGAR</x:v>
      </x:c>
    </x:row>
    <x:row r="40" ht="98" customHeight="1">
      <x:c r="A40" s="40" t="str">
        <x:v>E035</x:v>
      </x:c>
      <x:c r="B40" s="40" t="str">
        <x:v>Industrials</x:v>
      </x:c>
      <x:c r="C40" s="40" t="str">
        <x:v>Commercial Services &amp; Supplies</x:v>
      </x:c>
      <x:c r="D40" s="40" t="str">
        <x:v>Waste and environmental networks</x:v>
      </x:c>
      <x:c r="E40" s="40" t="str">
        <x:v>Waste generator → collection route → transfer → permitted disposal/recycling</x:v>
      </x:c>
      <x:c r="F40" s="40" t="str">
        <x:v>Stops/tons × realized fee less route labor, disposal and closure costs</x:v>
      </x:c>
      <x:c r="G40" s="40" t="str">
        <x:v>Route density and disposal permits; recycling economics are separate</x:v>
      </x:c>
      <x:c r="H40" s="40" t="str">
        <x:v>Price less cost inflation, churn, route density and disposal capacity</x:v>
      </x:c>
      <x:c r="I40" s="40" t="str">
        <x:v>Acquisition growth masks weak cash yields or environmental liabilities</x:v>
      </x:c>
      <x:c r="J40" s="40" t="str">
        <x:v>CWST:Casella Waste;WCN:Waste Connections</x:v>
      </x:c>
      <x:c r="K40" s="40" t="str">
        <x:v>Compounder</x:v>
      </x:c>
      <x:c r="L40" s="40" t="str">
        <x:v>P/E, EV/EBITDA, FCF yield, ROIC; route businesses often deserve DCF on local density economics.</x:v>
      </x:c>
      <x:c r="M40" s="40" t="str">
        <x:v>Acquisition adjustments, environmental reserves, landfill closure, lease classification, labor normalization.</x:v>
      </x:c>
      <x:c r="N40" s="40" t="str">
        <x:v>Economic framework only</x:v>
      </x:c>
      <x:c r="O40" s="40" t="str">
        <x:v>EDGAR</x:v>
      </x:c>
    </x:row>
    <x:row r="41" ht="98" customHeight="1">
      <x:c r="A41" s="40" t="str">
        <x:v>E036</x:v>
      </x:c>
      <x:c r="B41" s="40" t="str">
        <x:v>Industrials</x:v>
      </x:c>
      <x:c r="C41" s="40" t="str">
        <x:v>Commercial Services &amp; Supplies</x:v>
      </x:c>
      <x:c r="D41" s="40" t="str">
        <x:v>Facilities, uniforms and security services</x:v>
      </x:c>
      <x:c r="E41" s="40" t="str">
        <x:v>Customer locations → recurring service schedule → local delivery</x:v>
      </x:c>
      <x:c r="F41" s="40" t="str">
        <x:v>Accounts/stops × contribution less labor, equipment and churn replacement</x:v>
      </x:c>
      <x:c r="G41" s="40" t="str">
        <x:v>Route density, compliance and switching inconvenience</x:v>
      </x:c>
      <x:c r="H41" s="40" t="str">
        <x:v>Retention and revenue per route hour</x:v>
      </x:c>
      <x:c r="I41" s="40" t="str">
        <x:v>Contract wage reset lags costs; churn rises after pricing</x:v>
      </x:c>
      <x:c r="J41" s="40" t="str">
        <x:v>CTAS:Cintas;ABM:ABM Industries</x:v>
      </x:c>
      <x:c r="K41" s="40" t="str">
        <x:v>Compounder</x:v>
      </x:c>
      <x:c r="L41" s="40" t="str">
        <x:v>P/E, EV/EBITDA, FCF yield, ROIC; route businesses often deserve DCF on local density economics.</x:v>
      </x:c>
      <x:c r="M41" s="40" t="str">
        <x:v>Acquisition adjustments, environmental reserves, landfill closure, lease classification, labor normalization.</x:v>
      </x:c>
      <x:c r="N41" s="40" t="str">
        <x:v>Economic framework only</x:v>
      </x:c>
      <x:c r="O41" s="40" t="str">
        <x:v>EDGAR</x:v>
      </x:c>
    </x:row>
    <x:row r="42" ht="98" customHeight="1">
      <x:c r="A42" s="40" t="str">
        <x:v>E037</x:v>
      </x:c>
      <x:c r="B42" s="40" t="str">
        <x:v>Industrials</x:v>
      </x:c>
      <x:c r="C42" s="40" t="str">
        <x:v>Professional Services</x:v>
      </x:c>
      <x:c r="D42" s="40" t="str">
        <x:v>Staffing and consulting</x:v>
      </x:c>
      <x:c r="E42" s="40" t="str">
        <x:v>Client staffing/project budget → placement or billable hours</x:v>
      </x:c>
      <x:c r="F42" s="40" t="str">
        <x:v>Billable people × rate less compensation, bench and recruiting cost</x:v>
      </x:c>
      <x:c r="G42" s="40" t="str">
        <x:v>Specialization/reputation versus easily contestable labor supply</x:v>
      </x:c>
      <x:c r="H42" s="40" t="str">
        <x:v>Temporary hours, placement volume and utilization</x:v>
      </x:c>
      <x:c r="I42" s="40" t="str">
        <x:v>Permanent labor demand or AI substitution prevents utilization recovery</x:v>
      </x:c>
      <x:c r="J42" s="40" t="str">
        <x:v>RHI:Robert Half;KFY:Korn Ferry</x:v>
      </x:c>
      <x:c r="K42" s="40" t="str">
        <x:v>Inflection</x:v>
      </x:c>
      <x:c r="L42" s="40" t="str">
        <x:v>P/E, EV/EBITDA, FCF; revenue-per-employee and organic growth quality.</x:v>
      </x:c>
      <x:c r="M42" s="40" t="str">
        <x:v>Capitalized software, stock comp, acquisition earnouts, billable vs non-billable headcount.</x:v>
      </x:c>
      <x:c r="N42" s="40" t="str">
        <x:v>Economic framework only</x:v>
      </x:c>
      <x:c r="O42" s="40" t="str">
        <x:v>EDGAR</x:v>
      </x:c>
    </x:row>
    <x:row r="43" ht="98" customHeight="1">
      <x:c r="A43" s="40" t="str">
        <x:v>E038</x:v>
      </x:c>
      <x:c r="B43" s="40" t="str">
        <x:v>Industrials</x:v>
      </x:c>
      <x:c r="C43" s="40" t="str">
        <x:v>Professional Services</x:v>
      </x:c>
      <x:c r="D43" s="40" t="str">
        <x:v>Testing, certification and outsourced data/processes</x:v>
      </x:c>
      <x:c r="E43" s="40" t="str">
        <x:v>Compliance/workflow requirement → independent verification → recurring service</x:v>
      </x:c>
      <x:c r="F43" s="40" t="str">
        <x:v>Tests/transactions × fee less specialist labor and platform cost</x:v>
      </x:c>
      <x:c r="G43" s="40" t="str">
        <x:v>Accreditation, datasets and embedded process; do not assume all revenue recurring</x:v>
      </x:c>
      <x:c r="H43" s="40" t="str">
        <x:v>Renewals, tests per customer and automation productivity</x:v>
      </x:c>
      <x:c r="I43" s="40" t="str">
        <x:v>Customer internalizes process; accreditation loses relevance</x:v>
      </x:c>
      <x:c r="J43" s="40" t="str">
        <x:v>ULS:UL Solutions;EXPO:Exponent</x:v>
      </x:c>
      <x:c r="K43" s="40" t="str">
        <x:v>Compounder</x:v>
      </x:c>
      <x:c r="L43" s="40" t="str">
        <x:v>P/E, EV/EBITDA, FCF; revenue-per-employee and organic growth quality.</x:v>
      </x:c>
      <x:c r="M43" s="40" t="str">
        <x:v>Capitalized software, stock comp, acquisition earnouts, billable vs non-billable headcount.</x:v>
      </x:c>
      <x:c r="N43" s="40" t="str">
        <x:v>Economic framework only</x:v>
      </x:c>
      <x:c r="O43" s="40" t="str">
        <x:v>EDGAR</x:v>
      </x:c>
    </x:row>
    <x:row r="44" ht="98" customHeight="1">
      <x:c r="A44" s="40" t="str">
        <x:v>E039</x:v>
      </x:c>
      <x:c r="B44" s="40" t="str">
        <x:v>Industrials</x:v>
      </x:c>
      <x:c r="C44" s="40" t="str">
        <x:v>Air Freight &amp; Logistics</x:v>
      </x:c>
      <x:c r="D44" s="40" t="str">
        <x:v>Asset-light logistics brokerage</x:v>
      </x:c>
      <x:c r="E44" s="40" t="str">
        <x:v>Shipper tender → carrier purchase → shipment execution</x:v>
      </x:c>
      <x:c r="F44" s="40" t="str">
        <x:v>Shipments × net revenue per shipment less staff/technology</x:v>
      </x:c>
      <x:c r="G44" s="40" t="str">
        <x:v>Carrier network and customer integration; purchased-freight spread is cyclical</x:v>
      </x:c>
      <x:c r="H44" s="40" t="str">
        <x:v>Volumes and net spread independent of fuel surcharges</x:v>
      </x:c>
      <x:c r="I44" s="40" t="str">
        <x:v>Easy capacity changes compress spread despite growing gross revenue</x:v>
      </x:c>
      <x:c r="J44" s="40" t="str">
        <x:v>EXPD:Expeditors;CHRW:C. H. Robinson</x:v>
      </x:c>
      <x:c r="K44" s="40" t="str">
        <x:v>Both</x:v>
      </x:c>
      <x:c r="L44" s="40" t="str">
        <x:v>EV/EBITDA, P/E, FCF; mid-cycle margins.</x:v>
      </x:c>
      <x:c r="M44" s="40" t="str">
        <x:v>Fuel surcharges, purchased transportation gross vs net reporting, leases, pension.</x:v>
      </x:c>
      <x:c r="N44" s="40" t="str">
        <x:v>Economic framework only</x:v>
      </x:c>
      <x:c r="O44" s="40" t="str">
        <x:v>EDGAR</x:v>
      </x:c>
    </x:row>
    <x:row r="45" ht="98" customHeight="1">
      <x:c r="A45" s="40" t="str">
        <x:v>E040</x:v>
      </x:c>
      <x:c r="B45" s="40" t="str">
        <x:v>Industrials</x:v>
      </x:c>
      <x:c r="C45" s="40" t="str">
        <x:v>Air Freight &amp; Logistics</x:v>
      </x:c>
      <x:c r="D45" s="40" t="str">
        <x:v>Integrated parcel and air cargo</x:v>
      </x:c>
      <x:c r="E45" s="40" t="str">
        <x:v>Parcel pickup → sort hubs → linehaul → last mile</x:v>
      </x:c>
      <x:c r="F45" s="40" t="str">
        <x:v>Packages × yield less network labor, fuel and asset cost</x:v>
      </x:c>
      <x:c r="G45" s="40" t="str">
        <x:v>Network density; incremental package economics vary by route</x:v>
      </x:c>
      <x:c r="H45" s="40" t="str">
        <x:v>Packages per stop, yield and owned capacity utilization</x:v>
      </x:c>
      <x:c r="I45" s="40" t="str">
        <x:v>Unprofitable e-commerce mix or new entrants erode density advantage</x:v>
      </x:c>
      <x:c r="J45" s="40" t="str">
        <x:v>UPS:United Parcel Service;FDX:FedEx</x:v>
      </x:c>
      <x:c r="K45" s="40" t="str">
        <x:v>Inflection</x:v>
      </x:c>
      <x:c r="L45" s="40" t="str">
        <x:v>EV/EBITDA, P/E, FCF; mid-cycle margins.</x:v>
      </x:c>
      <x:c r="M45" s="40" t="str">
        <x:v>Fuel surcharges, purchased transportation gross vs net reporting, leases, pension.</x:v>
      </x:c>
      <x:c r="N45" s="40" t="str">
        <x:v>Economic framework only</x:v>
      </x:c>
      <x:c r="O45" s="40" t="str">
        <x:v>EDGAR</x:v>
      </x:c>
    </x:row>
    <x:row r="46" ht="98" customHeight="1">
      <x:c r="A46" s="40" t="str">
        <x:v>E041</x:v>
      </x:c>
      <x:c r="B46" s="40" t="str">
        <x:v>Industrials</x:v>
      </x:c>
      <x:c r="C46" s="40" t="str">
        <x:v>Passenger Airlines</x:v>
      </x:c>
      <x:c r="D46" s="40" t="str">
        <x:v>Passenger airline networks and loyalty</x:v>
      </x:c>
      <x:c r="E46" s="40" t="str">
        <x:v>Booked trip → seat inventory → flight plus loyalty partner payments</x:v>
      </x:c>
      <x:c r="F46" s="40" t="str">
        <x:v>Capacity × load factor × yield less fleet/labor/fuel and maintenance</x:v>
      </x:c>
      <x:c r="G46" s="40" t="str">
        <x:v>Hubs/slots and loyalty can help; carrier capacity discipline is not guaranteed</x:v>
      </x:c>
      <x:c r="H46" s="40" t="str">
        <x:v>Forward bookings versus scheduled industry seats</x:v>
      </x:c>
      <x:c r="I46" s="40" t="str">
        <x:v>Fares fall despite full aircraft; ownership and labor cost overwhelm revenue</x:v>
      </x:c>
      <x:c r="J46" s="40" t="str">
        <x:v>DAL:Delta Air Lines;UAL:United Airlines</x:v>
      </x:c>
      <x:c r="K46" s="40" t="str">
        <x:v>Inflection</x:v>
      </x:c>
      <x:c r="L46" s="40" t="str">
        <x:v>EV/EBITDAR, FCF, normalized EPS; value loyalty separately when material.</x:v>
      </x:c>
      <x:c r="M46" s="40" t="str">
        <x:v>Aircraft leases, loyalty deferred revenue, pension, special items, maintenance timing.</x:v>
      </x:c>
      <x:c r="N46" s="40" t="str">
        <x:v>Economic framework only</x:v>
      </x:c>
      <x:c r="O46" s="40" t="str">
        <x:v>EDGAR</x:v>
      </x:c>
    </x:row>
    <x:row r="47" ht="98" customHeight="1">
      <x:c r="A47" s="40" t="str">
        <x:v>E042</x:v>
      </x:c>
      <x:c r="B47" s="40" t="str">
        <x:v>Industrials</x:v>
      </x:c>
      <x:c r="C47" s="40" t="str">
        <x:v>Marine Transportation</x:v>
      </x:c>
      <x:c r="D47" s="40" t="str">
        <x:v>Bulk, tanker and container shipping</x:v>
      </x:c>
      <x:c r="E47" s="40" t="str">
        <x:v>Cargo demand → voyage/charter → available fleet</x:v>
      </x:c>
      <x:c r="F47" s="40" t="str">
        <x:v>Earning days × freight/day rate less ship operation and lifecycle capex</x:v>
      </x:c>
      <x:c r="G47" s="40" t="str">
        <x:v>Fleet deliveries, scrapping and ton-miles; routes alter effective supply</x:v>
      </x:c>
      <x:c r="H47" s="40" t="str">
        <x:v>Orderbook by vessel class and spot/term spread</x:v>
      </x:c>
      <x:c r="I47" s="40" t="str">
        <x:v>New vessel deliveries remove shortage before earnings repay purchase price</x:v>
      </x:c>
      <x:c r="J47" s="40" t="str">
        <x:v>STNG:Scorpio Tankers;MATX:Matson</x:v>
      </x:c>
      <x:c r="K47" s="40" t="str">
        <x:v>Inflection</x:v>
      </x:c>
      <x:c r="L47" s="40" t="str">
        <x:v>NAV, EV/EBITDA, FCF yield, fleet value.</x:v>
      </x:c>
      <x:c r="M47" s="40" t="str">
        <x:v>Vessel values, depreciation, charter accounting, drydock capex.</x:v>
      </x:c>
      <x:c r="N47" s="40" t="str">
        <x:v>Economic framework only</x:v>
      </x:c>
      <x:c r="O47" s="40" t="str">
        <x:v>EDGAR</x:v>
      </x:c>
    </x:row>
    <x:row r="48" ht="98" customHeight="1">
      <x:c r="A48" s="40" t="str">
        <x:v>E043</x:v>
      </x:c>
      <x:c r="B48" s="40" t="str">
        <x:v>Industrials</x:v>
      </x:c>
      <x:c r="C48" s="40" t="str">
        <x:v>Ground Transportation</x:v>
      </x:c>
      <x:c r="D48" s="40" t="str">
        <x:v>Rail networks</x:v>
      </x:c>
      <x:c r="E48" s="40" t="str">
        <x:v>Origin cargo → rail corridor → destination terminal</x:v>
      </x:c>
      <x:c r="F48" s="40" t="str">
        <x:v>Carloads × revenue per car less crews, fuel and network upkeep</x:v>
      </x:c>
      <x:c r="G48" s="40" t="str">
        <x:v>Rights-of-way and network density; service quality constrains volume</x:v>
      </x:c>
      <x:c r="H48" s="40" t="str">
        <x:v>Carloads, velocity, dwell and pricing above inflation</x:v>
      </x:c>
      <x:c r="I48" s="40" t="str">
        <x:v>Service cuts lose business; capex deferred rather than efficiency gained</x:v>
      </x:c>
      <x:c r="J48" s="40" t="str">
        <x:v>UNP:Union Pacific;CSX:CSX</x:v>
      </x:c>
      <x:c r="K48" s="40" t="str">
        <x:v>Compounder</x:v>
      </x:c>
      <x:c r="L48" s="40" t="str">
        <x:v>EV/EBITDA, P/E, FCF; rail normalized OR and capex.</x:v>
      </x:c>
      <x:c r="M48" s="40" t="str">
        <x:v>Equipment leases, fuel surcharges, pension, owner-operator classification.</x:v>
      </x:c>
      <x:c r="N48" s="40" t="str">
        <x:v>Economic framework only</x:v>
      </x:c>
      <x:c r="O48" s="40" t="str">
        <x:v>EDGAR</x:v>
      </x:c>
    </x:row>
    <x:row r="49" ht="98" customHeight="1">
      <x:c r="A49" s="40" t="str">
        <x:v>E044</x:v>
      </x:c>
      <x:c r="B49" s="40" t="str">
        <x:v>Industrials</x:v>
      </x:c>
      <x:c r="C49" s="40" t="str">
        <x:v>Ground Transportation</x:v>
      </x:c>
      <x:c r="D49" s="40" t="str">
        <x:v>Trucking and less-than-truckload</x:v>
      </x:c>
      <x:c r="E49" s="40" t="str">
        <x:v>Shipper freight → terminal/linehaul → delivery</x:v>
      </x:c>
      <x:c r="F49" s="40" t="str">
        <x:v>Loads/shipments × yield less purchased/owned transport and terminal costs</x:v>
      </x:c>
      <x:c r="G49" s="40" t="str">
        <x:v>LTL terminal density differs from easy-entry truckload supply</x:v>
      </x:c>
      <x:c r="H49" s="40" t="str">
        <x:v>Carrier exits, tender rejection, tonnage and yield</x:v>
      </x:c>
      <x:c r="I49" s="40" t="str">
        <x:v>Rate bounce comes from seasonality rather than sustained capacity removal</x:v>
      </x:c>
      <x:c r="J49" s="40" t="str">
        <x:v>ODFL:Old Dominion Freight Line;SAIA:Saia;KNX:Knight-Swift</x:v>
      </x:c>
      <x:c r="K49" s="40" t="str">
        <x:v>Both</x:v>
      </x:c>
      <x:c r="L49" s="40" t="str">
        <x:v>EV/EBITDA, P/E, FCF; rail normalized OR and capex.</x:v>
      </x:c>
      <x:c r="M49" s="40" t="str">
        <x:v>Equipment leases, fuel surcharges, pension, owner-operator classification.</x:v>
      </x:c>
      <x:c r="N49" s="40" t="str">
        <x:v>Economic framework only</x:v>
      </x:c>
      <x:c r="O49" s="40" t="str">
        <x:v>EDGAR</x:v>
      </x:c>
    </x:row>
    <x:row r="50" ht="98" customHeight="1">
      <x:c r="A50" s="40" t="str">
        <x:v>E045</x:v>
      </x:c>
      <x:c r="B50" s="40" t="str">
        <x:v>Industrials</x:v>
      </x:c>
      <x:c r="C50" s="40" t="str">
        <x:v>Transportation Infrastructure</x:v>
      </x:c>
      <x:c r="D50" s="40" t="str">
        <x:v>Ports, airports and toll concessions</x:v>
      </x:c>
      <x:c r="E50" s="40" t="str">
        <x:v>Traffic/cargo → scarce gateway → concession fees</x:v>
      </x:c>
      <x:c r="F50" s="40" t="str">
        <x:v>Throughput × regulated/commercial fees less upkeep and concession cost</x:v>
      </x:c>
      <x:c r="G50" s="40" t="str">
        <x:v>Location, concessions and tariff rules; government can limit economic rent</x:v>
      </x:c>
      <x:c r="H50" s="40" t="str">
        <x:v>Traffic recovery and authorized tariffs</x:v>
      </x:c>
      <x:c r="I50" s="40" t="str">
        <x:v>Concession expires, capex obligations rise or tariff resets confiscate upside</x:v>
      </x:c>
      <x:c r="J50" s="40" t="str">
        <x:v>ASR:Grupo Aeroportuario del Sureste;PAC:Grupo Aeroportuario del Pacifico</x:v>
      </x:c>
      <x:c r="K50" s="40" t="str">
        <x:v>Both</x:v>
      </x:c>
      <x:c r="L50" s="40" t="str">
        <x:v>DCF, EV/EBITDA, concession NAV, dividend yield.</x:v>
      </x:c>
      <x:c r="M50" s="40" t="str">
        <x:v>Concession liabilities, capitalized interest, regulatory assets, maintenance capex.</x:v>
      </x:c>
      <x:c r="N50" s="40" t="str">
        <x:v>Economic framework only</x:v>
      </x:c>
      <x:c r="O50" s="40" t="str">
        <x:v>EDGAR</x:v>
      </x:c>
    </x:row>
    <x:row r="51" ht="98" customHeight="1">
      <x:c r="A51" s="40" t="str">
        <x:v>E046</x:v>
      </x:c>
      <x:c r="B51" s="40" t="str">
        <x:v>Consumer Discretionary</x:v>
      </x:c>
      <x:c r="C51" s="40" t="str">
        <x:v>Automobile Components</x:v>
      </x:c>
      <x:c r="D51" s="40" t="str">
        <x:v>Safety and electronic vehicle content</x:v>
      </x:c>
      <x:c r="E51" s="40" t="str">
        <x:v>OEM platform design → supplier award → series production → replacement</x:v>
      </x:c>
      <x:c r="F51" s="40" t="str">
        <x:v>Vehicles on awarded platforms × content per vehicle less launch, warranty and annual price-downs</x:v>
      </x:c>
      <x:c r="G51" s="40" t="str">
        <x:v>Safety qualification and long design cycles; OEM purchasing remains powerful</x:v>
      </x:c>
      <x:c r="H51" s="40" t="str">
        <x:v>Content growth reconciled to platform production</x:v>
      </x:c>
      <x:c r="I51" s="40" t="str">
        <x:v>Content increases but price-downs, recall or launch losses consume returns</x:v>
      </x:c>
      <x:c r="J51" s="40" t="str">
        <x:v>ALV:Autoliv;APTV:Aptiv</x:v>
      </x:c>
      <x:c r="K51" s="40" t="str">
        <x:v>Both</x:v>
      </x:c>
      <x:c r="L51" s="40" t="str">
        <x:v>EV/EBITDA, P/E, FCF; normalize cycle and launch costs.</x:v>
      </x:c>
      <x:c r="M51" s="40" t="str">
        <x:v>Tooling reimbursements, warranty, restructuring, pension, program capitalized costs.</x:v>
      </x:c>
      <x:c r="N51" s="40" t="str">
        <x:v>Economic framework only</x:v>
      </x:c>
      <x:c r="O51" s="40" t="str">
        <x:v>CENSUS</x:v>
      </x:c>
    </x:row>
    <x:row r="52" ht="98" customHeight="1">
      <x:c r="A52" s="40" t="str">
        <x:v>E047</x:v>
      </x:c>
      <x:c r="B52" s="40" t="str">
        <x:v>Consumer Discretionary</x:v>
      </x:c>
      <x:c r="C52" s="40" t="str">
        <x:v>Automobile Components</x:v>
      </x:c>
      <x:c r="D52" s="40" t="str">
        <x:v>Mechanical components and aftermarket</x:v>
      </x:c>
      <x:c r="E52" s="40" t="str">
        <x:v>Installed vehicle fleet → repair/maintenance → replacement channel</x:v>
      </x:c>
      <x:c r="F52" s="40" t="str">
        <x:v>Vehicle miles/age × replacement incidence × supplier margin</x:v>
      </x:c>
      <x:c r="G52" s="40" t="str">
        <x:v>Brand, catalog coverage and distribution; electrification alters parts mix</x:v>
      </x:c>
      <x:c r="H52" s="40" t="str">
        <x:v>Repair demand and distributor sell-through</x:v>
      </x:c>
      <x:c r="I52" s="40" t="str">
        <x:v>Fleet technology removes profitable parts faster than new categories grow</x:v>
      </x:c>
      <x:c r="J52" s="40" t="str">
        <x:v>DORM:Dorman Products;BWA:BorgWarner</x:v>
      </x:c>
      <x:c r="K52" s="40" t="str">
        <x:v>Both</x:v>
      </x:c>
      <x:c r="L52" s="40" t="str">
        <x:v>EV/EBITDA, P/E, FCF; normalize cycle and launch costs.</x:v>
      </x:c>
      <x:c r="M52" s="40" t="str">
        <x:v>Tooling reimbursements, warranty, restructuring, pension, program capitalized costs.</x:v>
      </x:c>
      <x:c r="N52" s="40" t="str">
        <x:v>Economic framework only</x:v>
      </x:c>
      <x:c r="O52" s="40" t="str">
        <x:v>CENSUS</x:v>
      </x:c>
    </x:row>
    <x:row r="53" ht="98" customHeight="1">
      <x:c r="A53" s="40" t="str">
        <x:v>E048</x:v>
      </x:c>
      <x:c r="B53" s="40" t="str">
        <x:v>Consumer Discretionary</x:v>
      </x:c>
      <x:c r="C53" s="40" t="str">
        <x:v>Automobiles</x:v>
      </x:c>
      <x:c r="D53" s="40" t="str">
        <x:v>Mass-market automobile OEMs</x:v>
      </x:c>
      <x:c r="E53" s="40" t="str">
        <x:v>Consumer financing → vehicle order → factory → dealer</x:v>
      </x:c>
      <x:c r="F53" s="40" t="str">
        <x:v>Units × net price less manufacturing, incentives, warranty and sustaining tooling</x:v>
      </x:c>
      <x:c r="G53" s="40" t="str">
        <x:v>Scale and brand are insufficient without full-cycle capital returns</x:v>
      </x:c>
      <x:c r="H53" s="40" t="str">
        <x:v>Dealer inventory, incentives and factory utilization together</x:v>
      </x:c>
      <x:c r="I53" s="40" t="str">
        <x:v>Volume supported only by discounts and captive-finance risk</x:v>
      </x:c>
      <x:c r="J53" s="40" t="str">
        <x:v>GM:General Motors;F:Ford</x:v>
      </x:c>
      <x:c r="K53" s="40" t="str">
        <x:v>Inflection</x:v>
      </x:c>
      <x:c r="L53" s="40" t="str">
        <x:v>EV/EBITDA, P/E, FCF, sum-of-parts, enterprise value per unit/capacity.</x:v>
      </x:c>
      <x:c r="M53" s="40" t="str">
        <x:v>Lease residuals, warranty, captive finance credit, regulatory credits, capitalized development.</x:v>
      </x:c>
      <x:c r="N53" s="40" t="str">
        <x:v>Economic framework only</x:v>
      </x:c>
      <x:c r="O53" s="40" t="str">
        <x:v>CENSUS</x:v>
      </x:c>
    </x:row>
    <x:row r="54" ht="98" customHeight="1">
      <x:c r="A54" s="40" t="str">
        <x:v>E049</x:v>
      </x:c>
      <x:c r="B54" s="40" t="str">
        <x:v>Consumer Discretionary</x:v>
      </x:c>
      <x:c r="C54" s="40" t="str">
        <x:v>Automobiles</x:v>
      </x:c>
      <x:c r="D54" s="40" t="str">
        <x:v>Premium, electric and software-defined vehicles</x:v>
      </x:c>
      <x:c r="E54" s="40" t="str">
        <x:v>Brand/technology demand → product platform → production → service</x:v>
      </x:c>
      <x:c r="F54" s="40" t="str">
        <x:v>Contribution per delivered vehicle plus paid services less R&amp;D and platform capex</x:v>
      </x:c>
      <x:c r="G54" s="40" t="str">
        <x:v>Brand scarcity versus replicable features; charging/software adoption must monetize</x:v>
      </x:c>
      <x:c r="H54" s="40" t="str">
        <x:v>Price retention, order conversion and cash return per platform</x:v>
      </x:c>
      <x:c r="I54" s="40" t="str">
        <x:v>New capacity lowers realized prices; deferred services lack adoption</x:v>
      </x:c>
      <x:c r="J54" s="40" t="str">
        <x:v>RACE:Ferrari;TSLA:Tesla</x:v>
      </x:c>
      <x:c r="K54" s="40" t="str">
        <x:v>Both</x:v>
      </x:c>
      <x:c r="L54" s="40" t="str">
        <x:v>EV/EBITDA, P/E, FCF, sum-of-parts, enterprise value per unit/capacity.</x:v>
      </x:c>
      <x:c r="M54" s="40" t="str">
        <x:v>Lease residuals, warranty, captive finance credit, regulatory credits, capitalized development.</x:v>
      </x:c>
      <x:c r="N54" s="40" t="str">
        <x:v>Economic framework only</x:v>
      </x:c>
      <x:c r="O54" s="40" t="str">
        <x:v>CENSUS</x:v>
      </x:c>
    </x:row>
    <x:row r="55" ht="98" customHeight="1">
      <x:c r="A55" s="40" t="str">
        <x:v>E050</x:v>
      </x:c>
      <x:c r="B55" s="40" t="str">
        <x:v>Consumer Discretionary</x:v>
      </x:c>
      <x:c r="C55" s="40" t="str">
        <x:v>Household Durables</x:v>
      </x:c>
      <x:c r="D55" s="40" t="str">
        <x:v>Homebuilding and land development</x:v>
      </x:c>
      <x:c r="E55" s="40" t="str">
        <x:v>Land control → permits → starts → sales contract → closing</x:v>
      </x:c>
      <x:c r="F55" s="40" t="str">
        <x:v>Closed homes × margin less land carrying cost and financing</x:v>
      </x:c>
      <x:c r="G55" s="40" t="str">
        <x:v>Local land sourcing and turns; options can reduce but not remove land risk</x:v>
      </x:c>
      <x:c r="H55" s="40" t="str">
        <x:v>Net orders, cancellations, incentives and land commitments</x:v>
      </x:c>
      <x:c r="I55" s="40" t="str">
        <x:v>Reported margin ignores incentives or owned-land impairment</x:v>
      </x:c>
      <x:c r="J55" s="40" t="str">
        <x:v>NVR:NVR;DHI:D. R. Horton</x:v>
      </x:c>
      <x:c r="K55" s="40" t="str">
        <x:v>Both</x:v>
      </x:c>
      <x:c r="L55" s="40" t="str">
        <x:v>P/E, EV/EBITDA, P/B for builders, FCF; builders on normalized ROE/tangible book.</x:v>
      </x:c>
      <x:c r="M55" s="40" t="str">
        <x:v>Land impairments, incentives, inventory capitalization, warranty, channel stuffing.</x:v>
      </x:c>
      <x:c r="N55" s="40" t="str">
        <x:v>Economic framework only</x:v>
      </x:c>
      <x:c r="O55" s="40" t="str">
        <x:v>CENSUS</x:v>
      </x:c>
    </x:row>
    <x:row r="56" ht="98" customHeight="1">
      <x:c r="A56" s="40" t="str">
        <x:v>E051</x:v>
      </x:c>
      <x:c r="B56" s="40" t="str">
        <x:v>Consumer Discretionary</x:v>
      </x:c>
      <x:c r="C56" s="40" t="str">
        <x:v>Household Durables</x:v>
      </x:c>
      <x:c r="D56" s="40" t="str">
        <x:v>Appliances, furniture and home electronics</x:v>
      </x:c>
      <x:c r="E56" s="40" t="str">
        <x:v>Household formation/replacement → dealer → manufacturer</x:v>
      </x:c>
      <x:c r="F56" s="40" t="str">
        <x:v>End-market units × net contribution less promotion and warranty</x:v>
      </x:c>
      <x:c r="G56" s="40" t="str">
        <x:v>Brand/channel and installed replacement demand; easy substitution in some categories</x:v>
      </x:c>
      <x:c r="H56" s="40" t="str">
        <x:v>Retail sell-through before shipment recovery</x:v>
      </x:c>
      <x:c r="I56" s="40" t="str">
        <x:v>Channel refill is temporary; price competition returns</x:v>
      </x:c>
      <x:c r="J56" s="40" t="str">
        <x:v>WHR:Whirlpool;LZB:La-Z-Boy</x:v>
      </x:c>
      <x:c r="K56" s="40" t="str">
        <x:v>Inflection</x:v>
      </x:c>
      <x:c r="L56" s="40" t="str">
        <x:v>P/E, EV/EBITDA, P/B for builders, FCF; builders on normalized ROE/tangible book.</x:v>
      </x:c>
      <x:c r="M56" s="40" t="str">
        <x:v>Land impairments, incentives, inventory capitalization, warranty, channel stuffing.</x:v>
      </x:c>
      <x:c r="N56" s="40" t="str">
        <x:v>Economic framework only</x:v>
      </x:c>
      <x:c r="O56" s="40" t="str">
        <x:v>CENSUS</x:v>
      </x:c>
    </x:row>
    <x:row r="57" ht="98" customHeight="1">
      <x:c r="A57" s="40" t="str">
        <x:v>E052</x:v>
      </x:c>
      <x:c r="B57" s="40" t="str">
        <x:v>Consumer Discretionary</x:v>
      </x:c>
      <x:c r="C57" s="40" t="str">
        <x:v>Leisure Products</x:v>
      </x:c>
      <x:c r="D57" s="40" t="str">
        <x:v>Enthusiast recreation equipment</x:v>
      </x:c>
      <x:c r="E57" s="40" t="str">
        <x:v>Participation → equipment purchase → accessories/replacement</x:v>
      </x:c>
      <x:c r="F57" s="40" t="str">
        <x:v>Active participants × replacement/content profit less channel and marketing</x:v>
      </x:c>
      <x:c r="G57" s="40" t="str">
        <x:v>Community and dealer service; participation can be cyclical or fashionable</x:v>
      </x:c>
      <x:c r="H57" s="40" t="str">
        <x:v>Participation and repeat purchases versus dealer inventories</x:v>
      </x:c>
      <x:c r="I57" s="40" t="str">
        <x:v>Shipment growth outruns actual use; discounting damages brand</x:v>
      </x:c>
      <x:c r="J57" s="40" t="str">
        <x:v>BC:Brunswick;PII:Polaris</x:v>
      </x:c>
      <x:c r="K57" s="40" t="str">
        <x:v>Both</x:v>
      </x:c>
      <x:c r="L57" s="40" t="str">
        <x:v>P/E, EV/EBITDA, FCF; normalize pandemic-like demand spikes.</x:v>
      </x:c>
      <x:c r="M57" s="40" t="str">
        <x:v>Dealer inventory, returns, capitalized development, promotional allowances.</x:v>
      </x:c>
      <x:c r="N57" s="40" t="str">
        <x:v>Economic framework only</x:v>
      </x:c>
      <x:c r="O57" s="40" t="str">
        <x:v>CENSUS</x:v>
      </x:c>
    </x:row>
    <x:row r="58" ht="98" customHeight="1">
      <x:c r="A58" s="40" t="str">
        <x:v>E053</x:v>
      </x:c>
      <x:c r="B58" s="40" t="str">
        <x:v>Consumer Discretionary</x:v>
      </x:c>
      <x:c r="C58" s="40" t="str">
        <x:v>Leisure Products</x:v>
      </x:c>
      <x:c r="D58" s="40" t="str">
        <x:v>Toys, games and licensed products</x:v>
      </x:c>
      <x:c r="E58" s="40" t="str">
        <x:v>IP/brand → retail placement → consumer purchases</x:v>
      </x:c>
      <x:c r="F58" s="40" t="str">
        <x:v>Sell-through × royalty/product margin less content/marketing and returns</x:v>
      </x:c>
      <x:c r="G58" s="40" t="str">
        <x:v>IP ownership and community; hit dependence limits predictability</x:v>
      </x:c>
      <x:c r="H58" s="40" t="str">
        <x:v>Repeat franchises and retail inventory turns</x:v>
      </x:c>
      <x:c r="I58" s="40" t="str">
        <x:v>One hit extrapolated; license renewal or retailer terms erode economics</x:v>
      </x:c>
      <x:c r="J58" s="40" t="str">
        <x:v>HAS:Hasbro;MAT:Mattel</x:v>
      </x:c>
      <x:c r="K58" s="40" t="str">
        <x:v>Both</x:v>
      </x:c>
      <x:c r="L58" s="40" t="str">
        <x:v>P/E, EV/EBITDA, FCF; normalize pandemic-like demand spikes.</x:v>
      </x:c>
      <x:c r="M58" s="40" t="str">
        <x:v>Dealer inventory, returns, capitalized development, promotional allowances.</x:v>
      </x:c>
      <x:c r="N58" s="40" t="str">
        <x:v>Economic framework only</x:v>
      </x:c>
      <x:c r="O58" s="40" t="str">
        <x:v>CENSUS</x:v>
      </x:c>
    </x:row>
    <x:row r="59" ht="98" customHeight="1">
      <x:c r="A59" s="40" t="str">
        <x:v>E054</x:v>
      </x:c>
      <x:c r="B59" s="40" t="str">
        <x:v>Consumer Discretionary</x:v>
      </x:c>
      <x:c r="C59" s="40" t="str">
        <x:v>Textiles, Apparel &amp; Luxury Goods</x:v>
      </x:c>
      <x:c r="D59" s="40" t="str">
        <x:v>Luxury and scarcity brands</x:v>
      </x:c>
      <x:c r="E59" s="40" t="str">
        <x:v>Brand investment → controlled distribution → repeat client purchase</x:v>
      </x:c>
      <x:c r="F59" s="40" t="str">
        <x:v>Full-price units × margin less retail and brand maintenance</x:v>
      </x:c>
      <x:c r="G59" s="40" t="str">
        <x:v>Authenticity and distribution discipline; excessive expansion dilutes scarcity</x:v>
      </x:c>
      <x:c r="H59" s="40" t="str">
        <x:v>Full-price sell-through and client repeat rate</x:v>
      </x:c>
      <x:c r="I59" s="40" t="str">
        <x:v>Discounting increases or growth depends on unsustainable tourist/region mix</x:v>
      </x:c>
      <x:c r="J59" s="40" t="str">
        <x:v>RMS:FR:Hermes;LVMH:FR:LVMH</x:v>
      </x:c>
      <x:c r="K59" s="40" t="str">
        <x:v>Compounder</x:v>
      </x:c>
      <x:c r="L59" s="40" t="str">
        <x:v>P/E, EV/EBITDA, FCF; brand/IP DCF; watch inventory-adjusted margins.</x:v>
      </x:c>
      <x:c r="M59" s="40" t="str">
        <x:v>Inventory reserves, wholesale returns, lease liabilities, marketing capitalization narratives.</x:v>
      </x:c>
      <x:c r="N59" s="40" t="str">
        <x:v>Economic framework only</x:v>
      </x:c>
      <x:c r="O59" s="40" t="str">
        <x:v>CENSUS</x:v>
      </x:c>
    </x:row>
    <x:row r="60" ht="98" customHeight="1">
      <x:c r="A60" s="40" t="str">
        <x:v>E055</x:v>
      </x:c>
      <x:c r="B60" s="40" t="str">
        <x:v>Consumer Discretionary</x:v>
      </x:c>
      <x:c r="C60" s="40" t="str">
        <x:v>Textiles, Apparel &amp; Luxury Goods</x:v>
      </x:c>
      <x:c r="D60" s="40" t="str">
        <x:v>Performance and mainstream apparel</x:v>
      </x:c>
      <x:c r="E60" s="40" t="str">
        <x:v>Product design → sourcing → wholesale/DTC → repeat purchase</x:v>
      </x:c>
      <x:c r="F60" s="40" t="str">
        <x:v>Units × realized margin less customer acquisition, markdowns and fulfillment</x:v>
      </x:c>
      <x:c r="G60" s="40" t="str">
        <x:v>Brand and fit/performance; social attention alone is not a moat</x:v>
      </x:c>
      <x:c r="H60" s="40" t="str">
        <x:v>Inventory relative to sales, full-price sell-through and cohort repeat</x:v>
      </x:c>
      <x:c r="I60" s="40" t="str">
        <x:v>Growth purchased with promotions; wholesale channel takes excess inventory</x:v>
      </x:c>
      <x:c r="J60" s="40" t="str">
        <x:v>DECK:Deckers Outdoor;LULU:Lululemon</x:v>
      </x:c>
      <x:c r="K60" s="40" t="str">
        <x:v>Both</x:v>
      </x:c>
      <x:c r="L60" s="40" t="str">
        <x:v>P/E, EV/EBITDA, FCF; brand/IP DCF; watch inventory-adjusted margins.</x:v>
      </x:c>
      <x:c r="M60" s="40" t="str">
        <x:v>Inventory reserves, wholesale returns, lease liabilities, marketing capitalization narratives.</x:v>
      </x:c>
      <x:c r="N60" s="40" t="str">
        <x:v>Economic framework only</x:v>
      </x:c>
      <x:c r="O60" s="40" t="str">
        <x:v>CENSUS</x:v>
      </x:c>
    </x:row>
    <x:row r="61" ht="98" customHeight="1">
      <x:c r="A61" s="40" t="str">
        <x:v>E056</x:v>
      </x:c>
      <x:c r="B61" s="40" t="str">
        <x:v>Consumer Discretionary</x:v>
      </x:c>
      <x:c r="C61" s="40" t="str">
        <x:v>Hotels, Restaurants &amp; Leisure</x:v>
      </x:c>
      <x:c r="D61" s="40" t="str">
        <x:v>Restaurant franchisors</x:v>
      </x:c>
      <x:c r="E61" s="40" t="str">
        <x:v>Franchisee builds unit → customer visits → royalty/licensing income</x:v>
      </x:c>
      <x:c r="F61" s="40" t="str">
        <x:v>System sales × royalty less support cost and corporate reinvestment</x:v>
      </x:c>
      <x:c r="G61" s="40" t="str">
        <x:v>Brand and franchisee payback; monitor closures and remodel obligations</x:v>
      </x:c>
      <x:c r="H61" s="40" t="str">
        <x:v>Franchisee cash returns and net unit growth excluding transfers</x:v>
      </x:c>
      <x:c r="I61" s="40" t="str">
        <x:v>Renewals stay high only because of sunk costs; new units fail to earn hurdle</x:v>
      </x:c>
      <x:c r="J61" s="40" t="str">
        <x:v>MCD:McDonald's;WING:Wingstop</x:v>
      </x:c>
      <x:c r="K61" s="40" t="str">
        <x:v>Compounder</x:v>
      </x:c>
      <x:c r="L61" s="40" t="str">
        <x:v>P/E, EV/EBITDA, FCF; EV/room or unit economics where relevant.</x:v>
      </x:c>
      <x:c r="M61" s="40" t="str">
        <x:v>Franchise vs company-owned mix, pre-opening costs, loyalty liabilities, lease accounting.</x:v>
      </x:c>
      <x:c r="N61" s="40" t="str">
        <x:v>Economic framework only</x:v>
      </x:c>
      <x:c r="O61" s="40" t="str">
        <x:v>CENSUS</x:v>
      </x:c>
    </x:row>
    <x:row r="62" ht="98" customHeight="1">
      <x:c r="A62" s="40" t="str">
        <x:v>E057</x:v>
      </x:c>
      <x:c r="B62" s="40" t="str">
        <x:v>Consumer Discretionary</x:v>
      </x:c>
      <x:c r="C62" s="40" t="str">
        <x:v>Hotels, Restaurants &amp; Leisure</x:v>
      </x:c>
      <x:c r="D62" s="40" t="str">
        <x:v>Owned restaurant concepts</x:v>
      </x:c>
      <x:c r="E62" s="40" t="str">
        <x:v>Site opening → traffic/transactions → mature-store contribution</x:v>
      </x:c>
      <x:c r="F62" s="40" t="str">
        <x:v>Transactions × ticket less food, labor and occupancy; deduct full new-unit capital</x:v>
      </x:c>
      <x:c r="G62" s="40" t="str">
        <x:v>Site/brand economics and operating execution; growth can cannibalize</x:v>
      </x:c>
      <x:c r="H62" s="40" t="str">
        <x:v>Traffic and mature/new-unit cash payback</x:v>
      </x:c>
      <x:c r="I62" s="40" t="str">
        <x:v>Price masks traffic decline or newer cohorts dilute returns</x:v>
      </x:c>
      <x:c r="J62" s="40" t="str">
        <x:v>TXRH:Texas Roadhouse;CAVA:Cava</x:v>
      </x:c>
      <x:c r="K62" s="40" t="str">
        <x:v>Both</x:v>
      </x:c>
      <x:c r="L62" s="40" t="str">
        <x:v>P/E, EV/EBITDA, FCF; EV/room or unit economics where relevant.</x:v>
      </x:c>
      <x:c r="M62" s="40" t="str">
        <x:v>Franchise vs company-owned mix, pre-opening costs, loyalty liabilities, lease accounting.</x:v>
      </x:c>
      <x:c r="N62" s="40" t="str">
        <x:v>Economic framework only</x:v>
      </x:c>
      <x:c r="O62" s="40" t="str">
        <x:v>CENSUS</x:v>
      </x:c>
    </x:row>
    <x:row r="63" ht="98" customHeight="1">
      <x:c r="A63" s="40" t="str">
        <x:v>E058</x:v>
      </x:c>
      <x:c r="B63" s="40" t="str">
        <x:v>Consumer Discretionary</x:v>
      </x:c>
      <x:c r="C63" s="40" t="str">
        <x:v>Hotels, Restaurants &amp; Leisure</x:v>
      </x:c>
      <x:c r="D63" s="40" t="str">
        <x:v>Hotel brands and travel intermediaries</x:v>
      </x:c>
      <x:c r="E63" s="40" t="str">
        <x:v>Traveler demand → booking/channel → hotel → franchise/distribution fee</x:v>
      </x:c>
      <x:c r="F63" s="40" t="str">
        <x:v>Rooms/nights booked × fee/take rate less distribution and support</x:v>
      </x:c>
      <x:c r="G63" s="40" t="str">
        <x:v>Loyalty, brand and owned demand; compare gross booking value with net revenue</x:v>
      </x:c>
      <x:c r="H63" s="40" t="str">
        <x:v>Room additions, retention and fee growth not property capex</x:v>
      </x:c>
      <x:c r="I63" s="40" t="str">
        <x:v>Hotel owner returns deteriorate or platforms increase acquisition costs</x:v>
      </x:c>
      <x:c r="J63" s="40" t="str">
        <x:v>HLT:Hilton;BKNG:Booking Holdings</x:v>
      </x:c>
      <x:c r="K63" s="40" t="str">
        <x:v>Compounder</x:v>
      </x:c>
      <x:c r="L63" s="40" t="str">
        <x:v>P/E, EV/EBITDA, FCF; EV/room or unit economics where relevant.</x:v>
      </x:c>
      <x:c r="M63" s="40" t="str">
        <x:v>Franchise vs company-owned mix, pre-opening costs, loyalty liabilities, lease accounting.</x:v>
      </x:c>
      <x:c r="N63" s="40" t="str">
        <x:v>Economic framework only</x:v>
      </x:c>
      <x:c r="O63" s="40" t="str">
        <x:v>CENSUS</x:v>
      </x:c>
    </x:row>
    <x:row r="64" ht="98" customHeight="1">
      <x:c r="A64" s="40" t="str">
        <x:v>E059</x:v>
      </x:c>
      <x:c r="B64" s="40" t="str">
        <x:v>Consumer Discretionary</x:v>
      </x:c>
      <x:c r="C64" s="40" t="str">
        <x:v>Hotels, Restaurants &amp; Leisure</x:v>
      </x:c>
      <x:c r="D64" s="40" t="str">
        <x:v>Gaming, cruise and destination assets</x:v>
      </x:c>
      <x:c r="E64" s="40" t="str">
        <x:v>Customer booking/wager → limited-capacity asset → experience</x:v>
      </x:c>
      <x:c r="F64" s="40" t="str">
        <x:v>Capacity × utilization × net yield less labor, fuel and asset renewal</x:v>
      </x:c>
      <x:c r="G64" s="40" t="str">
        <x:v>Licenses and locations versus capital intensity and leverage</x:v>
      </x:c>
      <x:c r="H64" s="40" t="str">
        <x:v>Bookings and net yields after commissions and promotions</x:v>
      </x:c>
      <x:c r="I64" s="40" t="str">
        <x:v>Capacity additions depress yields or debt prevents surviving downturn</x:v>
      </x:c>
      <x:c r="J64" s="40" t="str">
        <x:v>RCL:Royal Caribbean;MGM:MGM Resorts</x:v>
      </x:c>
      <x:c r="K64" s="40" t="str">
        <x:v>Inflection</x:v>
      </x:c>
      <x:c r="L64" s="40" t="str">
        <x:v>P/E, EV/EBITDA, FCF; EV/room or unit economics where relevant.</x:v>
      </x:c>
      <x:c r="M64" s="40" t="str">
        <x:v>Franchise vs company-owned mix, pre-opening costs, loyalty liabilities, lease accounting.</x:v>
      </x:c>
      <x:c r="N64" s="40" t="str">
        <x:v>Economic framework only</x:v>
      </x:c>
      <x:c r="O64" s="40" t="str">
        <x:v>CENSUS</x:v>
      </x:c>
    </x:row>
    <x:row r="65" ht="98" customHeight="1">
      <x:c r="A65" s="40" t="str">
        <x:v>E060</x:v>
      </x:c>
      <x:c r="B65" s="40" t="str">
        <x:v>Consumer Discretionary</x:v>
      </x:c>
      <x:c r="C65" s="40" t="str">
        <x:v>Diversified Consumer Services</x:v>
      </x:c>
      <x:c r="D65" s="40" t="str">
        <x:v>Education, training and consumer services</x:v>
      </x:c>
      <x:c r="E65" s="40" t="str">
        <x:v>Customer outcomes need → enrollment/contract → delivered service</x:v>
      </x:c>
      <x:c r="F65" s="40" t="str">
        <x:v>Enrollments/members × contribution less acquisition and delivery cost</x:v>
      </x:c>
      <x:c r="G65" s="40" t="str">
        <x:v>Accreditation and measurable outcomes; regulatory approval is not customer value</x:v>
      </x:c>
      <x:c r="H65" s="40" t="str">
        <x:v>Completion, placement, renewal and acquisition payback</x:v>
      </x:c>
      <x:c r="I65" s="40" t="str">
        <x:v>Enrollment grows but outcomes worsen or reimbursement/regulation changes</x:v>
      </x:c>
      <x:c r="J65" s="40" t="str">
        <x:v>STRA:Strategic Education;LOPE:Grand Canyon Education</x:v>
      </x:c>
      <x:c r="K65" s="40" t="str">
        <x:v>Both</x:v>
      </x:c>
      <x:c r="L65" s="40" t="str">
        <x:v>P/E, EV/EBITDA, FCF; cohort/unit economics.</x:v>
      </x:c>
      <x:c r="M65" s="40" t="str">
        <x:v>Deferred revenue, student financing, regulatory reserves, acquisition costs.</x:v>
      </x:c>
      <x:c r="N65" s="40" t="str">
        <x:v>Economic framework only</x:v>
      </x:c>
      <x:c r="O65" s="40" t="str">
        <x:v>CENSUS</x:v>
      </x:c>
    </x:row>
    <x:row r="66" ht="98" customHeight="1">
      <x:c r="A66" s="40" t="str">
        <x:v>E061</x:v>
      </x:c>
      <x:c r="B66" s="40" t="str">
        <x:v>Consumer Discretionary</x:v>
      </x:c>
      <x:c r="C66" s="40" t="str">
        <x:v>Distributors</x:v>
      </x:c>
      <x:c r="D66" s="40" t="str">
        <x:v>Consumer wholesale distribution</x:v>
      </x:c>
      <x:c r="E66" s="40" t="str">
        <x:v>Supplier brand → wholesale availability → retailer/end user</x:v>
      </x:c>
      <x:c r="F66" s="40" t="str">
        <x:v>Volume × gross spread less logistics, inventory and credit losses</x:v>
      </x:c>
      <x:c r="G66" s="40" t="str">
        <x:v>Rights, assortment and local availability; supplier can bypass intermediary</x:v>
      </x:c>
      <x:c r="H66" s="40" t="str">
        <x:v>Customer retention, inventory turns and supplier concentration</x:v>
      </x:c>
      <x:c r="I66" s="40" t="str">
        <x:v>Sales grow only through credit extension or obsolete inventory</x:v>
      </x:c>
      <x:c r="J66" s="40" t="str">
        <x:v>GPC:Genuine Parts;POOL:Pool Corporation</x:v>
      </x:c>
      <x:c r="K66" s="40" t="str">
        <x:v>Both</x:v>
      </x:c>
      <x:c r="L66" s="40" t="str">
        <x:v>EV/EBITDA, P/E, FCF; working-capital normalized.</x:v>
      </x:c>
      <x:c r="M66" s="40" t="str">
        <x:v>Inventory, rebates, returns, supplier incentives.</x:v>
      </x:c>
      <x:c r="N66" s="40" t="str">
        <x:v>Economic framework only</x:v>
      </x:c>
      <x:c r="O66" s="40" t="str">
        <x:v>CENSUS</x:v>
      </x:c>
    </x:row>
    <x:row r="67" ht="98" customHeight="1">
      <x:c r="A67" s="40" t="str">
        <x:v>E062</x:v>
      </x:c>
      <x:c r="B67" s="40" t="str">
        <x:v>Consumer Discretionary</x:v>
      </x:c>
      <x:c r="C67" s="40" t="str">
        <x:v>Broadline Retail</x:v>
      </x:c>
      <x:c r="D67" s="40" t="str">
        <x:v>Broadline retailers and marketplaces</x:v>
      </x:c>
      <x:c r="E67" s="40" t="str">
        <x:v>Traffic → selection/availability → purchase → fulfillment</x:v>
      </x:c>
      <x:c r="F67" s="40" t="str">
        <x:v>Owned merchandise margin plus marketplace/ads fees less fulfillment and acquisition</x:v>
      </x:c>
      <x:c r="G67" s="40" t="str">
        <x:v>Scale, repeat traffic and logistics; gross sales differ from net revenue</x:v>
      </x:c>
      <x:c r="H67" s="40" t="str">
        <x:v>Traffic, conversion and contribution after fulfillment</x:v>
      </x:c>
      <x:c r="I67" s="40" t="str">
        <x:v>Ancillary monetization hurts customer value; promotions buy unprofitable growth</x:v>
      </x:c>
      <x:c r="J67" s="40" t="str">
        <x:v>AMZN:Amazon;TGT:Target</x:v>
      </x:c>
      <x:c r="K67" s="40" t="str">
        <x:v>Both</x:v>
      </x:c>
      <x:c r="L67" s="40" t="str">
        <x:v>P/E, EV/EBITDA, FCF, GMV-based unit economics where relevant.</x:v>
      </x:c>
      <x:c r="M67" s="40" t="str">
        <x:v>Third-party gross vs net revenue, inventory, lease liabilities, fulfillment capex.</x:v>
      </x:c>
      <x:c r="N67" s="40" t="str">
        <x:v>Economic framework only</x:v>
      </x:c>
      <x:c r="O67" s="40" t="str">
        <x:v>CENSUS</x:v>
      </x:c>
    </x:row>
    <x:row r="68" ht="98" customHeight="1">
      <x:c r="A68" s="40" t="str">
        <x:v>E063</x:v>
      </x:c>
      <x:c r="B68" s="40" t="str">
        <x:v>Consumer Discretionary</x:v>
      </x:c>
      <x:c r="C68" s="40" t="str">
        <x:v>Specialty Retail</x:v>
      </x:c>
      <x:c r="D68" s="40" t="str">
        <x:v>Category-specialist store networks</x:v>
      </x:c>
      <x:c r="E68" s="40" t="str">
        <x:v>Category need → local/online specialist → repeat transaction</x:v>
      </x:c>
      <x:c r="F68" s="40" t="str">
        <x:v>Stores × sales productivity × contribution less new-store/lease capital</x:v>
      </x:c>
      <x:c r="G68" s="40" t="str">
        <x:v>Advice, availability and private label; format rollout can saturate</x:v>
      </x:c>
      <x:c r="H68" s="40" t="str">
        <x:v>Comparable transactions, inventory and new-unit returns</x:v>
      </x:c>
      <x:c r="I68" s="40" t="str">
        <x:v>New stores cannibalize; price increases conceal volume weakness</x:v>
      </x:c>
      <x:c r="J68" s="40" t="str">
        <x:v>FND:Floor &amp; Decor;BOOT:Boot Barn</x:v>
      </x:c>
      <x:c r="K68" s="40" t="str">
        <x:v>Both</x:v>
      </x:c>
      <x:c r="L68" s="40" t="str">
        <x:v>P/E, EV/EBITDA, FCF; unit economics and lease-adjusted returns.</x:v>
      </x:c>
      <x:c r="M68" s="40" t="str">
        <x:v>Inventory reserves, leases, vendor allowances, loyalty liabilities.</x:v>
      </x:c>
      <x:c r="N68" s="40" t="str">
        <x:v>Selected current issuer check</x:v>
      </x:c>
      <x:c r="O68" s="40" t="str">
        <x:v>FND26</x:v>
      </x:c>
    </x:row>
    <x:row r="69" ht="98" customHeight="1">
      <x:c r="A69" s="40" t="str">
        <x:v>E064</x:v>
      </x:c>
      <x:c r="B69" s="40" t="str">
        <x:v>Consumer Discretionary</x:v>
      </x:c>
      <x:c r="C69" s="40" t="str">
        <x:v>Specialty Retail</x:v>
      </x:c>
      <x:c r="D69" s="40" t="str">
        <x:v>Resale franchising and service-led retail</x:v>
      </x:c>
      <x:c r="E69" s="40" t="str">
        <x:v>Consumer supplies used goods → local resale franchise → royalty system</x:v>
      </x:c>
      <x:c r="F69" s="40" t="str">
        <x:v>Franchise sales × royalty less franchisor support; franchisee net return is separate</x:v>
      </x:c>
      <x:c r="G69" s="40" t="str">
        <x:v>Sourcing/community and local execution; low corporate capital can hide franchisee burden</x:v>
      </x:c>
      <x:c r="H69" s="40" t="str">
        <x:v>Net openings, royalty growth and owner-adjusted unit profitability</x:v>
      </x:c>
      <x:c r="I69" s="40" t="str">
        <x:v>Gross merchandise margin fails to translate into franchisee cash returns</x:v>
      </x:c>
      <x:c r="J69" s="40" t="str">
        <x:v>WINA:Winmark;ORLY:O'Reilly Automotive</x:v>
      </x:c>
      <x:c r="K69" s="40" t="str">
        <x:v>Compounder</x:v>
      </x:c>
      <x:c r="L69" s="40" t="str">
        <x:v>P/E, EV/EBITDA, FCF; unit economics and lease-adjusted returns.</x:v>
      </x:c>
      <x:c r="M69" s="40" t="str">
        <x:v>Inventory reserves, leases, vendor allowances, loyalty liabilities.</x:v>
      </x:c>
      <x:c r="N69" s="40" t="str">
        <x:v>Selected current issuer check</x:v>
      </x:c>
      <x:c r="O69" s="40" t="str">
        <x:v>WINA26</x:v>
      </x:c>
    </x:row>
    <x:row r="70" ht="98" customHeight="1">
      <x:c r="A70" s="40" t="str">
        <x:v>E065</x:v>
      </x:c>
      <x:c r="B70" s="40" t="str">
        <x:v>Consumer Staples</x:v>
      </x:c>
      <x:c r="C70" s="40" t="str">
        <x:v>Consumer Staples Distribution &amp; Retail</x:v>
      </x:c>
      <x:c r="D70" s="40" t="str">
        <x:v>Grocery and membership warehouses</x:v>
      </x:c>
      <x:c r="E70" s="40" t="str">
        <x:v>Frequent household shopping → procurement/distribution → local store</x:v>
      </x:c>
      <x:c r="F70" s="40" t="str">
        <x:v>Transactions × basket × margin plus membership less labor/shrink/logistics</x:v>
      </x:c>
      <x:c r="G70" s="40" t="str">
        <x:v>Purchasing scale and density; stable demand does not imply high returns</x:v>
      </x:c>
      <x:c r="H70" s="40" t="str">
        <x:v>Traffic, membership renewals, unit volumes and shrink</x:v>
      </x:c>
      <x:c r="I70" s="40" t="str">
        <x:v>Price competition or wage inflation erodes thin margin</x:v>
      </x:c>
      <x:c r="J70" s="40" t="str">
        <x:v>COST:Costco;KR:Kroger</x:v>
      </x:c>
      <x:c r="K70" s="40" t="str">
        <x:v>Compounder</x:v>
      </x:c>
      <x:c r="L70" s="40" t="str">
        <x:v>P/E, EV/EBITDA, FCF, ROIC; inventory-turn adjusted.</x:v>
      </x:c>
      <x:c r="M70" s="40" t="str">
        <x:v>LIFO, supplier allowances, shrink reserves, leases.</x:v>
      </x:c>
      <x:c r="N70" s="40" t="str">
        <x:v>Economic framework only</x:v>
      </x:c>
      <x:c r="O70" s="40" t="str">
        <x:v>USDA</x:v>
      </x:c>
    </x:row>
    <x:row r="71" ht="98" customHeight="1">
      <x:c r="A71" s="40" t="str">
        <x:v>E066</x:v>
      </x:c>
      <x:c r="B71" s="40" t="str">
        <x:v>Consumer Staples</x:v>
      </x:c>
      <x:c r="C71" s="40" t="str">
        <x:v>Consumer Staples Distribution &amp; Retail</x:v>
      </x:c>
      <x:c r="D71" s="40" t="str">
        <x:v>Food and staple distribution</x:v>
      </x:c>
      <x:c r="E71" s="40" t="str">
        <x:v>Foodservice/retail demand → warehouse/route → delivery</x:v>
      </x:c>
      <x:c r="F71" s="40" t="str">
        <x:v>Cases × gross profit less route costs and working capital</x:v>
      </x:c>
      <x:c r="G71" s="40" t="str">
        <x:v>Route density and breadth; customer mix changes delivery cost</x:v>
      </x:c>
      <x:c r="H71" s="40" t="str">
        <x:v>Case growth, profit per case and routes per delivery</x:v>
      </x:c>
      <x:c r="I71" s="40" t="str">
        <x:v>Inflation boosts reported sales but real cases and margin fall</x:v>
      </x:c>
      <x:c r="J71" s="40" t="str">
        <x:v>SYY:Sysco;PFGC:Performance Food Group</x:v>
      </x:c>
      <x:c r="K71" s="40" t="str">
        <x:v>Both</x:v>
      </x:c>
      <x:c r="L71" s="40" t="str">
        <x:v>P/E, EV/EBITDA, FCF, ROIC; inventory-turn adjusted.</x:v>
      </x:c>
      <x:c r="M71" s="40" t="str">
        <x:v>LIFO, supplier allowances, shrink reserves, leases.</x:v>
      </x:c>
      <x:c r="N71" s="40" t="str">
        <x:v>Economic framework only</x:v>
      </x:c>
      <x:c r="O71" s="40" t="str">
        <x:v>USDA</x:v>
      </x:c>
    </x:row>
    <x:row r="72" ht="98" customHeight="1">
      <x:c r="A72" s="40" t="str">
        <x:v>E067</x:v>
      </x:c>
      <x:c r="B72" s="40" t="str">
        <x:v>Consumer Staples</x:v>
      </x:c>
      <x:c r="C72" s="40" t="str">
        <x:v>Beverages</x:v>
      </x:c>
      <x:c r="D72" s="40" t="str">
        <x:v>Nonalcoholic brands and concentrates</x:v>
      </x:c>
      <x:c r="E72" s="40" t="str">
        <x:v>Brand demand → bottler/distributor → outlet → repeat consumption</x:v>
      </x:c>
      <x:c r="F72" s="40" t="str">
        <x:v>Concentrate/finished units × margin less marketing and route-to-market</x:v>
      </x:c>
      <x:c r="G72" s="40" t="str">
        <x:v>Brand and shelf distribution; bottling assets alter capital intensity</x:v>
      </x:c>
      <x:c r="H72" s="40" t="str">
        <x:v>Unit share, mix and price elasticity</x:v>
      </x:c>
      <x:c r="I72" s="40" t="str">
        <x:v>Price raises drive sustained volume loss or channel inventory builds</x:v>
      </x:c>
      <x:c r="J72" s="40" t="str">
        <x:v>KO:Coca-Cola;MNST:Monster Beverage</x:v>
      </x:c>
      <x:c r="K72" s="40" t="str">
        <x:v>Compounder</x:v>
      </x:c>
      <x:c r="L72" s="40" t="str">
        <x:v>P/E, EV/EBITDA, FCF, ROIC.</x:v>
      </x:c>
      <x:c r="M72" s="40" t="str">
        <x:v>Bottler consolidation, FX, commodity hedges, marketing spend.</x:v>
      </x:c>
      <x:c r="N72" s="40" t="str">
        <x:v>Economic framework only</x:v>
      </x:c>
      <x:c r="O72" s="40" t="str">
        <x:v>USDA</x:v>
      </x:c>
    </x:row>
    <x:row r="73" ht="98" customHeight="1">
      <x:c r="A73" s="40" t="str">
        <x:v>E068</x:v>
      </x:c>
      <x:c r="B73" s="40" t="str">
        <x:v>Consumer Staples</x:v>
      </x:c>
      <x:c r="C73" s="40" t="str">
        <x:v>Beverages</x:v>
      </x:c>
      <x:c r="D73" s="40" t="str">
        <x:v>Beer, spirits and wine</x:v>
      </x:c>
      <x:c r="E73" s="40" t="str">
        <x:v>Agricultural inputs → fermentation/distillation → distribution → consumption</x:v>
      </x:c>
      <x:c r="F73" s="40" t="str">
        <x:v>Cases × realized net price less aging inventory, marketing and tax</x:v>
      </x:c>
      <x:c r="G73" s="40" t="str">
        <x:v>Brand plus distribution; aging stock ties up capital and magnifies forecast error</x:v>
      </x:c>
      <x:c r="H73" s="40" t="str">
        <x:v>Depletions rather than distributor shipments</x:v>
      </x:c>
      <x:c r="I73" s="40" t="str">
        <x:v>Premiumization reverses; distributor destocking reveals weak consumption</x:v>
      </x:c>
      <x:c r="J73" s="40" t="str">
        <x:v>STZ:Constellation Brands;DEO:Diageo</x:v>
      </x:c>
      <x:c r="K73" s="40" t="str">
        <x:v>Both</x:v>
      </x:c>
      <x:c r="L73" s="40" t="str">
        <x:v>P/E, EV/EBITDA, FCF, ROIC.</x:v>
      </x:c>
      <x:c r="M73" s="40" t="str">
        <x:v>Bottler consolidation, FX, commodity hedges, marketing spend.</x:v>
      </x:c>
      <x:c r="N73" s="40" t="str">
        <x:v>Economic framework only</x:v>
      </x:c>
      <x:c r="O73" s="40" t="str">
        <x:v>USDA</x:v>
      </x:c>
    </x:row>
    <x:row r="74" ht="98" customHeight="1">
      <x:c r="A74" s="40" t="str">
        <x:v>E069</x:v>
      </x:c>
      <x:c r="B74" s="40" t="str">
        <x:v>Consumer Staples</x:v>
      </x:c>
      <x:c r="C74" s="40" t="str">
        <x:v>Food Products</x:v>
      </x:c>
      <x:c r="D74" s="40" t="str">
        <x:v>Branded packaged foods</x:v>
      </x:c>
      <x:c r="E74" s="40" t="str">
        <x:v>Consumer habit → retailer distribution → replenishment</x:v>
      </x:c>
      <x:c r="F74" s="40" t="str">
        <x:v>Units × net price less ingredients, promotions and manufacturing</x:v>
      </x:c>
      <x:c r="G74" s="40" t="str">
        <x:v>Taste/habit and shelf placement; private label is a direct counterfactual</x:v>
      </x:c>
      <x:c r="H74" s="40" t="str">
        <x:v>Real volumes, household repeat and price-cost bridge</x:v>
      </x:c>
      <x:c r="I74" s="40" t="str">
        <x:v>Volume declines persist when inflation subsides</x:v>
      </x:c>
      <x:c r="J74" s="40" t="str">
        <x:v>GIS:General Mills;HSY:Hershey</x:v>
      </x:c>
      <x:c r="K74" s="40" t="str">
        <x:v>Both</x:v>
      </x:c>
      <x:c r="L74" s="40" t="str">
        <x:v>P/E, EV/EBITDA, FCF, ROIC.</x:v>
      </x:c>
      <x:c r="M74" s="40" t="str">
        <x:v>Commodity hedges, biological/ag inputs, restructuring, trade spend.</x:v>
      </x:c>
      <x:c r="N74" s="40" t="str">
        <x:v>Economic framework only</x:v>
      </x:c>
      <x:c r="O74" s="40" t="str">
        <x:v>USDA</x:v>
      </x:c>
    </x:row>
    <x:row r="75" ht="98" customHeight="1">
      <x:c r="A75" s="40" t="str">
        <x:v>E070</x:v>
      </x:c>
      <x:c r="B75" s="40" t="str">
        <x:v>Consumer Staples</x:v>
      </x:c>
      <x:c r="C75" s="40" t="str">
        <x:v>Food Products</x:v>
      </x:c>
      <x:c r="D75" s="40" t="str">
        <x:v>Agricultural, protein and differentiated fresh supply</x:v>
      </x:c>
      <x:c r="E75" s="40" t="str">
        <x:v>Farm inputs/biology → production → grading/processing → channel</x:v>
      </x:c>
      <x:c r="F75" s="40" t="str">
        <x:v>Usable output × realized price less biological loss and committed input costs</x:v>
      </x:c>
      <x:c r="G75" s="40" t="str">
        <x:v>Biological lead times and channel contracts; premium branding may not protect oversupply</x:v>
      </x:c>
      <x:c r="H75" s="40" t="str">
        <x:v>Supply commitments, yield, spoilage and sell-through by channel</x:v>
      </x:c>
      <x:c r="I75" s="40" t="str">
        <x:v>Excess production clears at low prices while farmer/input commitments stay high</x:v>
      </x:c>
      <x:c r="J75" s="40" t="str">
        <x:v>VITL:Vital Farms;TSN:Tyson Foods</x:v>
      </x:c>
      <x:c r="K75" s="40" t="str">
        <x:v>Inflection</x:v>
      </x:c>
      <x:c r="L75" s="40" t="str">
        <x:v>P/E, EV/EBITDA, FCF, ROIC.</x:v>
      </x:c>
      <x:c r="M75" s="40" t="str">
        <x:v>Commodity hedges, biological/ag inputs, restructuring, trade spend.</x:v>
      </x:c>
      <x:c r="N75" s="40" t="str">
        <x:v>Selected current issuer check</x:v>
      </x:c>
      <x:c r="O75" s="40" t="str">
        <x:v>VITL26</x:v>
      </x:c>
    </x:row>
    <x:row r="76" ht="98" customHeight="1">
      <x:c r="A76" s="40" t="str">
        <x:v>E071</x:v>
      </x:c>
      <x:c r="B76" s="40" t="str">
        <x:v>Consumer Staples</x:v>
      </x:c>
      <x:c r="C76" s="40" t="str">
        <x:v>Tobacco</x:v>
      </x:c>
      <x:c r="D76" s="40" t="str">
        <x:v>Combustible and alternative nicotine franchises</x:v>
      </x:c>
      <x:c r="E76" s="40" t="str">
        <x:v>Regulated product → distributor → adult consumer repeat</x:v>
      </x:c>
      <x:c r="F76" s="40" t="str">
        <x:v>Units × net-of-tax price less manufacturing, marketing and legal burden</x:v>
      </x:c>
      <x:c r="G76" s="40" t="str">
        <x:v>Licensing/brands versus structural decline; alternatives have their own economics</x:v>
      </x:c>
      <x:c r="H76" s="40" t="str">
        <x:v>Volume decline versus price, and profitable alternative-user retention</x:v>
      </x:c>
      <x:c r="I76" s="40" t="str">
        <x:v>Price cannot offset decline; regulation or substitution resets cash flow</x:v>
      </x:c>
      <x:c r="J76" s="40" t="str">
        <x:v>PM:Philip Morris International;MO:Altria</x:v>
      </x:c>
      <x:c r="K76" s="40" t="str">
        <x:v>Both</x:v>
      </x:c>
      <x:c r="L76" s="40" t="str">
        <x:v>P/E, FCF yield, dividend yield, DCF with declining volumes.</x:v>
      </x:c>
      <x:c r="M76" s="40" t="str">
        <x:v>Litigation reserves, excise taxes, pension, regulatory provisions.</x:v>
      </x:c>
      <x:c r="N76" s="40" t="str">
        <x:v>Economic framework only</x:v>
      </x:c>
      <x:c r="O76" s="40" t="str">
        <x:v>USDA</x:v>
      </x:c>
    </x:row>
    <x:row r="77" ht="98" customHeight="1">
      <x:c r="A77" s="40" t="str">
        <x:v>E072</x:v>
      </x:c>
      <x:c r="B77" s="40" t="str">
        <x:v>Consumer Staples</x:v>
      </x:c>
      <x:c r="C77" s="40" t="str">
        <x:v>Household Products</x:v>
      </x:c>
      <x:c r="D77" s="40" t="str">
        <x:v>Household cleaning and essential brands</x:v>
      </x:c>
      <x:c r="E77" s="40" t="str">
        <x:v>Recurring household use → retail restock → manufacturing</x:v>
      </x:c>
      <x:c r="F77" s="40" t="str">
        <x:v>Units × gross profit less brand support and working capital</x:v>
      </x:c>
      <x:c r="G77" s="40" t="str">
        <x:v>Habit, performance and shelf access; low switching costs for weak brands</x:v>
      </x:c>
      <x:c r="H77" s="40" t="str">
        <x:v>Volumes and share after input-cost normalization</x:v>
      </x:c>
      <x:c r="I77" s="40" t="str">
        <x:v>Private label wins despite continued advertising</x:v>
      </x:c>
      <x:c r="J77" s="40" t="str">
        <x:v>PG:Procter &amp; Gamble;CHD:Church &amp; Dwight</x:v>
      </x:c>
      <x:c r="K77" s="40" t="str">
        <x:v>Compounder</x:v>
      </x:c>
      <x:c r="L77" s="40" t="str">
        <x:v>P/E, EV/EBITDA, FCF, ROIC.</x:v>
      </x:c>
      <x:c r="M77" s="40" t="str">
        <x:v>Restructuring, trade spend, commodity hedges, FX.</x:v>
      </x:c>
      <x:c r="N77" s="40" t="str">
        <x:v>Economic framework only</x:v>
      </x:c>
      <x:c r="O77" s="40" t="str">
        <x:v>USDA</x:v>
      </x:c>
    </x:row>
    <x:row r="78" ht="98" customHeight="1">
      <x:c r="A78" s="40" t="str">
        <x:v>E073</x:v>
      </x:c>
      <x:c r="B78" s="40" t="str">
        <x:v>Consumer Staples</x:v>
      </x:c>
      <x:c r="C78" s="40" t="str">
        <x:v>Personal Care Products</x:v>
      </x:c>
      <x:c r="D78" s="40" t="str">
        <x:v>Beauty and personal-care brands</x:v>
      </x:c>
      <x:c r="E78" s="40" t="str">
        <x:v>Awareness → trial → repeat → new distribution</x:v>
      </x:c>
      <x:c r="F78" s="40" t="str">
        <x:v>Repeat customer contribution less marketing and retail economics</x:v>
      </x:c>
      <x:c r="G78" s="40" t="str">
        <x:v>Brand/community and formulation; test repeat purchase independent of paid media</x:v>
      </x:c>
      <x:c r="H78" s="40" t="str">
        <x:v>Retail sell-through, repeat cohorts and inventory</x:v>
      </x:c>
      <x:c r="I78" s="40" t="str">
        <x:v>Launch excitement fades or acquisition costs consume gross profit</x:v>
      </x:c>
      <x:c r="J78" s="40" t="str">
        <x:v>ELF:e.l.f. Beauty;EL:Estee Lauder</x:v>
      </x:c>
      <x:c r="K78" s="40" t="str">
        <x:v>Both</x:v>
      </x:c>
      <x:c r="L78" s="40" t="str">
        <x:v>P/E, EV/EBITDA, FCF; cohort economics for DTC-heavy names.</x:v>
      </x:c>
      <x:c r="M78" s="40" t="str">
        <x:v>Channel inventory, returns, marketing capitalization narratives, acquisition intangibles.</x:v>
      </x:c>
      <x:c r="N78" s="40" t="str">
        <x:v>Economic framework only</x:v>
      </x:c>
      <x:c r="O78" s="40" t="str">
        <x:v>USDA</x:v>
      </x:c>
    </x:row>
    <x:row r="79" ht="98" customHeight="1">
      <x:c r="A79" s="40" t="str">
        <x:v>E074</x:v>
      </x:c>
      <x:c r="B79" s="40" t="str">
        <x:v>Health Care</x:v>
      </x:c>
      <x:c r="C79" s="40" t="str">
        <x:v>Health Care Equipment &amp; Supplies</x:v>
      </x:c>
      <x:c r="D79" s="40" t="str">
        <x:v>Procedure-based implants and disposables</x:v>
      </x:c>
      <x:c r="E79" s="40" t="str">
        <x:v>Patient diagnosis → clinician adoption → procedure → replenishment</x:v>
      </x:c>
      <x:c r="F79" s="40" t="str">
        <x:v>Procedures × consumable/device gross profit less sales support and R&amp;D</x:v>
      </x:c>
      <x:c r="G79" s="40" t="str">
        <x:v>Clinical evidence, surgeon familiarity and qualification</x:v>
      </x:c>
      <x:c r="H79" s="40" t="str">
        <x:v>Procedure growth, share and reimbursement-adjusted pricing</x:v>
      </x:c>
      <x:c r="I79" s="40" t="str">
        <x:v>New technique removes procedure or procurement commoditizes product</x:v>
      </x:c>
      <x:c r="J79" s="40" t="str">
        <x:v>LMAT:LeMaitre Vascular;SYK:Stryker</x:v>
      </x:c>
      <x:c r="K79" s="40" t="str">
        <x:v>Compounder</x:v>
      </x:c>
      <x:c r="L79" s="40" t="str">
        <x:v>P/E, EV/EBITDA, DCF; installed-base plus consumables model.</x:v>
      </x:c>
      <x:c r="M79" s="40" t="str">
        <x:v>Capitalized R&amp;D/acquired IPR&amp;D, stock comp, contingent consideration, warranty.</x:v>
      </x:c>
      <x:c r="N79" s="40" t="str">
        <x:v>Selected current issuer check</x:v>
      </x:c>
      <x:c r="O79" s="40" t="str">
        <x:v>LMAT26</x:v>
      </x:c>
    </x:row>
    <x:row r="80" ht="98" customHeight="1">
      <x:c r="A80" s="40" t="str">
        <x:v>E075</x:v>
      </x:c>
      <x:c r="B80" s="40" t="str">
        <x:v>Health Care</x:v>
      </x:c>
      <x:c r="C80" s="40" t="str">
        <x:v>Health Care Equipment &amp; Supplies</x:v>
      </x:c>
      <x:c r="D80" s="40" t="str">
        <x:v>Capital equipment with captive consumables</x:v>
      </x:c>
      <x:c r="E80" s="40" t="str">
        <x:v>Hospital equipment placement → procedure use → consumable/service pull-through</x:v>
      </x:c>
      <x:c r="F80" s="40" t="str">
        <x:v>Active installed units × utilization × recurring contribution plus placements</x:v>
      </x:c>
      <x:c r="G80" s="40" t="str">
        <x:v>Workflow and compatible consumables; unused installations have little lifetime value</x:v>
      </x:c>
      <x:c r="H80" s="40" t="str">
        <x:v>Utilization per system and verified recurring attach</x:v>
      </x:c>
      <x:c r="I80" s="40" t="str">
        <x:v>Systems placed through discounts without profitable usage</x:v>
      </x:c>
      <x:c r="J80" s="40" t="str">
        <x:v>ISRG:Intuitive Surgical;ABT:Abbott</x:v>
      </x:c>
      <x:c r="K80" s="40" t="str">
        <x:v>Compounder</x:v>
      </x:c>
      <x:c r="L80" s="40" t="str">
        <x:v>P/E, EV/EBITDA, DCF; installed-base plus consumables model.</x:v>
      </x:c>
      <x:c r="M80" s="40" t="str">
        <x:v>Capitalized R&amp;D/acquired IPR&amp;D, stock comp, contingent consideration, warranty.</x:v>
      </x:c>
      <x:c r="N80" s="40" t="str">
        <x:v>Economic framework only</x:v>
      </x:c>
      <x:c r="O80" s="40" t="str">
        <x:v>FDA</x:v>
      </x:c>
    </x:row>
    <x:row r="81" ht="98" customHeight="1">
      <x:c r="A81" s="40" t="str">
        <x:v>E076</x:v>
      </x:c>
      <x:c r="B81" s="40" t="str">
        <x:v>Health Care</x:v>
      </x:c>
      <x:c r="C81" s="40" t="str">
        <x:v>Health Care Providers &amp; Services</x:v>
      </x:c>
      <x:c r="D81" s="40" t="str">
        <x:v>Hospitals and specialized providers</x:v>
      </x:c>
      <x:c r="E81" s="40" t="str">
        <x:v>Patient referral → staffed capacity → payer reimbursement</x:v>
      </x:c>
      <x:c r="F81" s="40" t="str">
        <x:v>Cases × net reimbursement less labor, supplies and maintenance</x:v>
      </x:c>
      <x:c r="G81" s="40" t="str">
        <x:v>Local access and specialist networks; staffing/reimbursement can dominate</x:v>
      </x:c>
      <x:c r="H81" s="40" t="str">
        <x:v>Staffed occupancy, payer mix and cash collections</x:v>
      </x:c>
      <x:c r="I81" s="40" t="str">
        <x:v>Rate increases lag labor or bad debt; reported beds not usable capacity</x:v>
      </x:c>
      <x:c r="J81" s="40" t="str">
        <x:v>HCA:HCA Healthcare;ADUS:Addus HomeCare</x:v>
      </x:c>
      <x:c r="K81" s="40" t="str">
        <x:v>Both</x:v>
      </x:c>
      <x:c r="L81" s="40" t="str">
        <x:v>EV/EBITDA, P/E, FCF; payors on P/E/tangible capital; facilities on leverage-adjusted FCF.</x:v>
      </x:c>
      <x:c r="M81" s="40" t="str">
        <x:v>Risk adjustment, medical reserves, provider receivables, leases, supplemental payments.</x:v>
      </x:c>
      <x:c r="N81" s="40" t="str">
        <x:v>Economic framework only</x:v>
      </x:c>
      <x:c r="O81" s="40" t="str">
        <x:v>FDA</x:v>
      </x:c>
    </x:row>
    <x:row r="82" ht="98" customHeight="1">
      <x:c r="A82" s="40" t="str">
        <x:v>E077</x:v>
      </x:c>
      <x:c r="B82" s="40" t="str">
        <x:v>Health Care</x:v>
      </x:c>
      <x:c r="C82" s="40" t="str">
        <x:v>Health Care Providers &amp; Services</x:v>
      </x:c>
      <x:c r="D82" s="40" t="str">
        <x:v>Managed care and risk-bearing services</x:v>
      </x:c>
      <x:c r="E82" s="40" t="str">
        <x:v>Premium/member → provider utilization → claims payment</x:v>
      </x:c>
      <x:c r="F82" s="40" t="str">
        <x:v>Members × premium less incurred medical cost, admin and capital</x:v>
      </x:c>
      <x:c r="G82" s="40" t="str">
        <x:v>Network contracting and underwriting; reserves can lag real utilization</x:v>
      </x:c>
      <x:c r="H82" s="40" t="str">
        <x:v>Medical cost ratio, claims development and pricing by contract year</x:v>
      </x:c>
      <x:c r="I82" s="40" t="str">
        <x:v>Membership growth expands losses; prior reserve releases hide deterioration</x:v>
      </x:c>
      <x:c r="J82" s="40" t="str">
        <x:v>UNH:UnitedHealth Group;ELV:Elevance Health</x:v>
      </x:c>
      <x:c r="K82" s="40" t="str">
        <x:v>Inflection</x:v>
      </x:c>
      <x:c r="L82" s="40" t="str">
        <x:v>EV/EBITDA, P/E, FCF; payors on P/E/tangible capital; facilities on leverage-adjusted FCF.</x:v>
      </x:c>
      <x:c r="M82" s="40" t="str">
        <x:v>Risk adjustment, medical reserves, provider receivables, leases, supplemental payments.</x:v>
      </x:c>
      <x:c r="N82" s="40" t="str">
        <x:v>Economic framework only</x:v>
      </x:c>
      <x:c r="O82" s="40" t="str">
        <x:v>FDA</x:v>
      </x:c>
    </x:row>
    <x:row r="83" ht="98" customHeight="1">
      <x:c r="A83" s="40" t="str">
        <x:v>E078</x:v>
      </x:c>
      <x:c r="B83" s="40" t="str">
        <x:v>Health Care</x:v>
      </x:c>
      <x:c r="C83" s="40" t="str">
        <x:v>Health Care Providers &amp; Services</x:v>
      </x:c>
      <x:c r="D83" s="40" t="str">
        <x:v>Drug distribution and specialty channels</x:v>
      </x:c>
      <x:c r="E83" s="40" t="str">
        <x:v>Manufacturer product → contracted distribution → pharmacy/provider</x:v>
      </x:c>
      <x:c r="F83" s="40" t="str">
        <x:v>Volume × net distribution margin plus services less credit and logistics</x:v>
      </x:c>
      <x:c r="G83" s="40" t="str">
        <x:v>Scale, compliance and service reach; high revenue often low value added</x:v>
      </x:c>
      <x:c r="H83" s="40" t="str">
        <x:v>Gross profit per script and specialty mix</x:v>
      </x:c>
      <x:c r="I83" s="40" t="str">
        <x:v>Contract renegotiation or policy changes remove spread</x:v>
      </x:c>
      <x:c r="J83" s="40" t="str">
        <x:v>MCK:McKesson;COR:Cencora</x:v>
      </x:c>
      <x:c r="K83" s="40" t="str">
        <x:v>Both</x:v>
      </x:c>
      <x:c r="L83" s="40" t="str">
        <x:v>EV/EBITDA, P/E, FCF; payors on P/E/tangible capital; facilities on leverage-adjusted FCF.</x:v>
      </x:c>
      <x:c r="M83" s="40" t="str">
        <x:v>Risk adjustment, medical reserves, provider receivables, leases, supplemental payments.</x:v>
      </x:c>
      <x:c r="N83" s="40" t="str">
        <x:v>Economic framework only</x:v>
      </x:c>
      <x:c r="O83" s="40" t="str">
        <x:v>FDA</x:v>
      </x:c>
    </x:row>
    <x:row r="84" ht="98" customHeight="1">
      <x:c r="A84" s="40" t="str">
        <x:v>E079</x:v>
      </x:c>
      <x:c r="B84" s="40" t="str">
        <x:v>Health Care</x:v>
      </x:c>
      <x:c r="C84" s="40" t="str">
        <x:v>Health Care Technology</x:v>
      </x:c>
      <x:c r="D84" s="40" t="str">
        <x:v>Clinical and administrative workflow software</x:v>
      </x:c>
      <x:c r="E84" s="40" t="str">
        <x:v>Provider/payor operations → installed workflow → modules/transactions</x:v>
      </x:c>
      <x:c r="F84" s="40" t="str">
        <x:v>Recurring users/transactions × contribution less implementation and support</x:v>
      </x:c>
      <x:c r="G84" s="40" t="str">
        <x:v>Switching cost and data integration; implementation burden can impede scaling</x:v>
      </x:c>
      <x:c r="H84" s="40" t="str">
        <x:v>Retention, go-live backlog and cash conversion</x:v>
      </x:c>
      <x:c r="I84" s="40" t="str">
        <x:v>Bookings require unprofitable implementations or AI bypasses workflow</x:v>
      </x:c>
      <x:c r="J84" s="40" t="str">
        <x:v>DOCS:Doximity;VEEV:Veeva Systems (cross-sector comparator) Health</x:v>
      </x:c>
      <x:c r="K84" s="40" t="str">
        <x:v>Both</x:v>
      </x:c>
      <x:c r="L84" s="40" t="str">
        <x:v>EV/ARR, EV/FCF, P/E for mature; Rule-of-40 style unit economics with caution.</x:v>
      </x:c>
      <x:c r="M84" s="40" t="str">
        <x:v>Capitalized implementation/software, stock comp, contract assets, acquisition intangibles.</x:v>
      </x:c>
      <x:c r="N84" s="40" t="str">
        <x:v>Economic framework only</x:v>
      </x:c>
      <x:c r="O84" s="40" t="str">
        <x:v>FDA</x:v>
      </x:c>
    </x:row>
    <x:row r="85" ht="98" customHeight="1">
      <x:c r="A85" s="40" t="str">
        <x:v>E080</x:v>
      </x:c>
      <x:c r="B85" s="40" t="str">
        <x:v>Health Care</x:v>
      </x:c>
      <x:c r="C85" s="40" t="str">
        <x:v>Biotechnology</x:v>
      </x:c>
      <x:c r="D85" s="40" t="str">
        <x:v>Single-asset clinical biotechnology</x:v>
      </x:c>
      <x:c r="E85" s="40" t="str">
        <x:v>Biology → staged trials → regulator → commercialization</x:v>
      </x:c>
      <x:c r="F85" s="40" t="str">
        <x:v>Probability-weighted future cash flows less stage-conditional development cost</x:v>
      </x:c>
      <x:c r="G85" s="40" t="str">
        <x:v>Evidence quality and IP; binary clinical/regulatory failure must be modeled</x:v>
      </x:c>
      <x:c r="H85" s="40" t="str">
        <x:v>Prespecified endpoints, safety and cash runway through readout</x:v>
      </x:c>
      <x:c r="I85" s="40" t="str">
        <x:v>Post-hoc subgroup narrative replaces failed endpoint; dilution needed before milestone</x:v>
      </x:c>
      <x:c r="J85" s="40" t="str">
        <x:v>CRSP:CRISPR Therapeutics;NTLA:Intellia Therapeutics</x:v>
      </x:c>
      <x:c r="K85" s="40" t="str">
        <x:v>Inflection</x:v>
      </x:c>
      <x:c r="L85" s="40" t="str">
        <x:v>rNPV, probability-adjusted DCF, EV/cash for preclinical context—not conventional P/E.</x:v>
      </x:c>
      <x:c r="M85" s="40" t="str">
        <x:v>R&amp;D capitalization narratives, milestone accounting, stock-based comp, warrant dilution.</x:v>
      </x:c>
      <x:c r="N85" s="40" t="str">
        <x:v>Economic framework only</x:v>
      </x:c>
      <x:c r="O85" s="40" t="str">
        <x:v>FDA</x:v>
      </x:c>
    </x:row>
    <x:row r="86" ht="98" customHeight="1">
      <x:c r="A86" s="40" t="str">
        <x:v>E081</x:v>
      </x:c>
      <x:c r="B86" s="40" t="str">
        <x:v>Health Care</x:v>
      </x:c>
      <x:c r="C86" s="40" t="str">
        <x:v>Biotechnology</x:v>
      </x:c>
      <x:c r="D86" s="40" t="str">
        <x:v>Commercial biotechnology platforms</x:v>
      </x:c>
      <x:c r="E86" s="40" t="str">
        <x:v>Validated mechanism → first product → indications/pipeline → cash-funded reinvestment</x:v>
      </x:c>
      <x:c r="F86" s="40" t="str">
        <x:v>Existing franchise cash plus risk-adjusted pipeline less replacement R&amp;D</x:v>
      </x:c>
      <x:c r="G86" s="40" t="str">
        <x:v>Repeated clinical validation, manufacturing and patent durability</x:v>
      </x:c>
      <x:c r="H86" s="40" t="str">
        <x:v>Launch cohorts and return on pipeline spend</x:v>
      </x:c>
      <x:c r="I86" s="40" t="str">
        <x:v>One product finances a pipeline with poor replicated success</x:v>
      </x:c>
      <x:c r="J86" s="40" t="str">
        <x:v>VRTX:Vertex Pharmaceuticals;REGN:Regeneron</x:v>
      </x:c>
      <x:c r="K86" s="40" t="str">
        <x:v>Both</x:v>
      </x:c>
      <x:c r="L86" s="40" t="str">
        <x:v>rNPV, probability-adjusted DCF, EV/cash for preclinical context—not conventional P/E.</x:v>
      </x:c>
      <x:c r="M86" s="40" t="str">
        <x:v>R&amp;D capitalization narratives, milestone accounting, stock-based comp, warrant dilution.</x:v>
      </x:c>
      <x:c r="N86" s="40" t="str">
        <x:v>Economic framework only</x:v>
      </x:c>
      <x:c r="O86" s="40" t="str">
        <x:v>FDA</x:v>
      </x:c>
    </x:row>
    <x:row r="87" ht="98" customHeight="1">
      <x:c r="A87" s="40" t="str">
        <x:v>E082</x:v>
      </x:c>
      <x:c r="B87" s="40" t="str">
        <x:v>Health Care</x:v>
      </x:c>
      <x:c r="C87" s="40" t="str">
        <x:v>Life Sciences Tools &amp; Services</x:v>
      </x:c>
      <x:c r="D87" s="40" t="str">
        <x:v>Bioprocess consumables and filtration</x:v>
      </x:c>
      <x:c r="E87" s="40" t="str">
        <x:v>Therapy development → manufacturing batches → single-use/filtration consumption</x:v>
      </x:c>
      <x:c r="F87" s="40" t="str">
        <x:v>Batches × consumable content less manufacturing and application support</x:v>
      </x:c>
      <x:c r="G87" s="40" t="str">
        <x:v>Process validation and switching risk; customer's inventory can distort demand</x:v>
      </x:c>
      <x:c r="H87" s="40" t="str">
        <x:v>Customer consumption, inventory and commercial-volume mix</x:v>
      </x:c>
      <x:c r="I87" s="40" t="str">
        <x:v>Orders rebound only for restocking; capacity oversupply lowers pricing</x:v>
      </x:c>
      <x:c r="J87" s="40" t="str">
        <x:v>RGEN:Repligen;DHR:Danaher</x:v>
      </x:c>
      <x:c r="K87" s="40" t="str">
        <x:v>Both</x:v>
      </x:c>
      <x:c r="L87" s="40" t="str">
        <x:v>P/E, EV/EBITDA, FCF, installed-base DCF.</x:v>
      </x:c>
      <x:c r="M87" s="40" t="str">
        <x:v>Channel inventory, COVID normalization, acquired intangibles, restructuring.</x:v>
      </x:c>
      <x:c r="N87" s="40" t="str">
        <x:v>Selected current issuer check</x:v>
      </x:c>
      <x:c r="O87" s="40" t="str">
        <x:v>RGEN26</x:v>
      </x:c>
    </x:row>
    <x:row r="88" ht="98" customHeight="1">
      <x:c r="A88" s="40" t="str">
        <x:v>E083</x:v>
      </x:c>
      <x:c r="B88" s="40" t="str">
        <x:v>Health Care</x:v>
      </x:c>
      <x:c r="C88" s="40" t="str">
        <x:v>Life Sciences Tools &amp; Services</x:v>
      </x:c>
      <x:c r="D88" s="40" t="str">
        <x:v>Laboratory instruments and research tools</x:v>
      </x:c>
      <x:c r="E88" s="40" t="str">
        <x:v>Funded lab → installed instrument → assays/reagents → upgrade</x:v>
      </x:c>
      <x:c r="F88" s="40" t="str">
        <x:v>Installed instruments × consumable/service use plus capital replacements</x:v>
      </x:c>
      <x:c r="G88" s="40" t="str">
        <x:v>Workflow protocols and analytical performance; grant funding drives timing</x:v>
      </x:c>
      <x:c r="H88" s="40" t="str">
        <x:v>Funded research, instrument utilization and consumable pull-through</x:v>
      </x:c>
      <x:c r="I88" s="40" t="str">
        <x:v>Placements stall or methods migrate to competing technology</x:v>
      </x:c>
      <x:c r="J88" s="40" t="str">
        <x:v>TMO:Thermo Fisher Scientific;A:Agilent</x:v>
      </x:c>
      <x:c r="K88" s="40" t="str">
        <x:v>Compounder</x:v>
      </x:c>
      <x:c r="L88" s="40" t="str">
        <x:v>P/E, EV/EBITDA, FCF, installed-base DCF.</x:v>
      </x:c>
      <x:c r="M88" s="40" t="str">
        <x:v>Channel inventory, COVID normalization, acquired intangibles, restructuring.</x:v>
      </x:c>
      <x:c r="N88" s="40" t="str">
        <x:v>Economic framework only</x:v>
      </x:c>
      <x:c r="O88" s="40" t="str">
        <x:v>FDA</x:v>
      </x:c>
    </x:row>
    <x:row r="89" ht="98" customHeight="1">
      <x:c r="A89" s="40" t="str">
        <x:v>E084</x:v>
      </x:c>
      <x:c r="B89" s="40" t="str">
        <x:v>Health Care</x:v>
      </x:c>
      <x:c r="C89" s="40" t="str">
        <x:v>Life Sciences Tools &amp; Services</x:v>
      </x:c>
      <x:c r="D89" s="40" t="str">
        <x:v>Clinical research outsourcing</x:v>
      </x:c>
      <x:c r="E89" s="40" t="str">
        <x:v>Funded sponsor pipeline → trial award → enrollment → milestones</x:v>
      </x:c>
      <x:c r="F89" s="40" t="str">
        <x:v>Net service backlog × conversion margin less clinical labor and cancellation cost</x:v>
      </x:c>
      <x:c r="G89" s="40" t="str">
        <x:v>Site networks and data quality; funding and cancellation clauses matter</x:v>
      </x:c>
      <x:c r="H89" s="40" t="str">
        <x:v>Net new awards after cancellations and funded sponsor runway</x:v>
      </x:c>
      <x:c r="I89" s="40" t="str">
        <x:v>Unfunded backlog and delayed enrollment masquerade as visibility</x:v>
      </x:c>
      <x:c r="J89" s="40" t="str">
        <x:v>IQV:IQVIA;MEDP:Medpace</x:v>
      </x:c>
      <x:c r="K89" s="40" t="str">
        <x:v>Both</x:v>
      </x:c>
      <x:c r="L89" s="40" t="str">
        <x:v>P/E, EV/EBITDA, FCF, installed-base DCF.</x:v>
      </x:c>
      <x:c r="M89" s="40" t="str">
        <x:v>Channel inventory, COVID normalization, acquired intangibles, restructuring.</x:v>
      </x:c>
      <x:c r="N89" s="40" t="str">
        <x:v>Economic framework only</x:v>
      </x:c>
      <x:c r="O89" s="40" t="str">
        <x:v>FDA</x:v>
      </x:c>
    </x:row>
    <x:row r="90" ht="98" customHeight="1">
      <x:c r="A90" s="40" t="str">
        <x:v>E085</x:v>
      </x:c>
      <x:c r="B90" s="40" t="str">
        <x:v>Health Care</x:v>
      </x:c>
      <x:c r="C90" s="40" t="str">
        <x:v>Pharmaceuticals</x:v>
      </x:c>
      <x:c r="D90" s="40" t="str">
        <x:v>Patent-protected pharmaceutical portfolios</x:v>
      </x:c>
      <x:c r="E90" s="40" t="str">
        <x:v>Clinical evidence → coverage → physician adoption → patent expiry</x:v>
      </x:c>
      <x:c r="F90" s="40" t="str">
        <x:v>Net prescriptions × price less rebates, commercialization and pipeline replacement</x:v>
      </x:c>
      <x:c r="G90" s="40" t="str">
        <x:v>Patents and differentiated outcomes; gross-to-net can erode economics</x:v>
      </x:c>
      <x:c r="H90" s="40" t="str">
        <x:v>New prescriptions, coverage and loss-of-exclusivity calendar</x:v>
      </x:c>
      <x:c r="I90" s="40" t="str">
        <x:v>Patent cliff arrives before replacement cash flow</x:v>
      </x:c>
      <x:c r="J90" s="40" t="str">
        <x:v>LLY:Eli Lilly;MRK:Merck</x:v>
      </x:c>
      <x:c r="K90" s="40" t="str">
        <x:v>Both</x:v>
      </x:c>
      <x:c r="L90" s="40" t="str">
        <x:v>P/E, EV/EBITDA, DCF by product, SOTP/rNPV.</x:v>
      </x:c>
      <x:c r="M90" s="40" t="str">
        <x:v>Gross-to-net accruals, acquired IPR&amp;D, milestone payments, restructuring.</x:v>
      </x:c>
      <x:c r="N90" s="40" t="str">
        <x:v>Economic framework only</x:v>
      </x:c>
      <x:c r="O90" s="40" t="str">
        <x:v>FDA</x:v>
      </x:c>
    </x:row>
    <x:row r="91" ht="98" customHeight="1">
      <x:c r="A91" s="40" t="str">
        <x:v>E086</x:v>
      </x:c>
      <x:c r="B91" s="40" t="str">
        <x:v>Health Care</x:v>
      </x:c>
      <x:c r="C91" s="40" t="str">
        <x:v>Pharmaceuticals</x:v>
      </x:c>
      <x:c r="D91" s="40" t="str">
        <x:v>Generics and specialty pharmaceuticals</x:v>
      </x:c>
      <x:c r="E91" s="40" t="str">
        <x:v>Patent expiry/niche approval → manufacturing → tender/channel</x:v>
      </x:c>
      <x:c r="F91" s="40" t="str">
        <x:v>Volume × net price less compliance, litigation and manufacturing</x:v>
      </x:c>
      <x:c r="G91" s="40" t="str">
        <x:v>Manufacturing reliability or niche market complexity; competition can reset price</x:v>
      </x:c>
      <x:c r="H91" s="40" t="str">
        <x:v>Competitor approvals and supply reliability</x:v>
      </x:c>
      <x:c r="I91" s="40" t="str">
        <x:v>New entrants drive price below full compliance and capital costs</x:v>
      </x:c>
      <x:c r="J91" s="40" t="str">
        <x:v>TEVA:Teva;SUPN:Supernus Pharmaceuticals</x:v>
      </x:c>
      <x:c r="K91" s="40" t="str">
        <x:v>Both</x:v>
      </x:c>
      <x:c r="L91" s="40" t="str">
        <x:v>P/E, EV/EBITDA, DCF by product, SOTP/rNPV.</x:v>
      </x:c>
      <x:c r="M91" s="40" t="str">
        <x:v>Gross-to-net accruals, acquired IPR&amp;D, milestone payments, restructuring.</x:v>
      </x:c>
      <x:c r="N91" s="40" t="str">
        <x:v>Economic framework only</x:v>
      </x:c>
      <x:c r="O91" s="40" t="str">
        <x:v>FDA</x:v>
      </x:c>
    </x:row>
    <x:row r="92" ht="98" customHeight="1">
      <x:c r="A92" s="40" t="str">
        <x:v>E087</x:v>
      </x:c>
      <x:c r="B92" s="40" t="str">
        <x:v>Financials</x:v>
      </x:c>
      <x:c r="C92" s="40" t="str">
        <x:v>Banks</x:v>
      </x:c>
      <x:c r="D92" s="40" t="str">
        <x:v>Relationship and niche deposit banks</x:v>
      </x:c>
      <x:c r="E92" s="40" t="str">
        <x:v>Depositors → funded loan book → credit underwriting → earnings/capital</x:v>
      </x:c>
      <x:c r="F92" s="40" t="str">
        <x:v>Earning assets × net interest margin plus fees less expected credit losses and expenses</x:v>
      </x:c>
      <x:c r="G92" s="40" t="str">
        <x:v>Low-cost sticky deposits, not nominal branch count; regulatory capital limits growth</x:v>
      </x:c>
      <x:c r="H92" s="40" t="str">
        <x:v>Deposit beta, uninsured concentration and vintage loan losses</x:v>
      </x:c>
      <x:c r="I92" s="40" t="str">
        <x:v>Cheap funding leaves or loan marks erase tangible equity</x:v>
      </x:c>
      <x:c r="J92" s="40" t="str">
        <x:v>CFR:Cullen/Frost Bankers;FFIN:First Financial Bankshares</x:v>
      </x:c>
      <x:c r="K92" s="40" t="str">
        <x:v>Compounder</x:v>
      </x:c>
      <x:c r="L92" s="40" t="str">
        <x:v>P/TBV, P/E, ROTCE, dividend discount.</x:v>
      </x:c>
      <x:c r="M92" s="40" t="str">
        <x:v>CECL reserves, AOCI, held-to-maturity marks, nonaccruals, deposit classification.</x:v>
      </x:c>
      <x:c r="N92" s="40" t="str">
        <x:v>Selected current issuer check</x:v>
      </x:c>
      <x:c r="O92" s="40" t="str">
        <x:v>PEBO26</x:v>
      </x:c>
    </x:row>
    <x:row r="93" ht="98" customHeight="1">
      <x:c r="A93" s="40" t="str">
        <x:v>E088</x:v>
      </x:c>
      <x:c r="B93" s="40" t="str">
        <x:v>Financials</x:v>
      </x:c>
      <x:c r="C93" s="40" t="str">
        <x:v>Banks</x:v>
      </x:c>
      <x:c r="D93" s="40" t="str">
        <x:v>Rate-sensitive regional banks</x:v>
      </x:c>
      <x:c r="E93" s="40" t="str">
        <x:v>Loan/securities repricing → funding repricing → margin/capital</x:v>
      </x:c>
      <x:c r="F93" s="40" t="str">
        <x:v>Asset yield less all-in deposit/wholesale cost; model credit and duration together</x:v>
      </x:c>
      <x:c r="G93" s="40" t="str">
        <x:v>Funding franchise and balance-sheet flexibility</x:v>
      </x:c>
      <x:c r="H93" s="40" t="str">
        <x:v>NIM stabilization with no deterioration in criticized loans or deposit mix</x:v>
      </x:c>
      <x:c r="I93" s="40" t="str">
        <x:v>Margin improves by taking more duration/credit risk</x:v>
      </x:c>
      <x:c r="J93" s="40" t="str">
        <x:v>WAL:Western Alliance;OZK:Bank OZK</x:v>
      </x:c>
      <x:c r="K93" s="40" t="str">
        <x:v>Inflection</x:v>
      </x:c>
      <x:c r="L93" s="40" t="str">
        <x:v>P/TBV, P/E, ROTCE, dividend discount.</x:v>
      </x:c>
      <x:c r="M93" s="40" t="str">
        <x:v>CECL reserves, AOCI, held-to-maturity marks, nonaccruals, deposit classification.</x:v>
      </x:c>
      <x:c r="N93" s="40" t="str">
        <x:v>Economic framework only</x:v>
      </x:c>
      <x:c r="O93" s="40" t="str">
        <x:v>FDIC</x:v>
      </x:c>
    </x:row>
    <x:row r="94" ht="98" customHeight="1">
      <x:c r="A94" s="40" t="str">
        <x:v>E089</x:v>
      </x:c>
      <x:c r="B94" s="40" t="str">
        <x:v>Financials</x:v>
      </x:c>
      <x:c r="C94" s="40" t="str">
        <x:v>Financial Services</x:v>
      </x:c>
      <x:c r="D94" s="40" t="str">
        <x:v>Payment networks and merchant processing</x:v>
      </x:c>
      <x:c r="E94" s="40" t="str">
        <x:v>Consumer purchase → merchant/acquirer → network → issuing bank</x:v>
      </x:c>
      <x:c r="F94" s="40" t="str">
        <x:v>Payment volume × retained net yield less incentives, fraud and processing</x:v>
      </x:c>
      <x:c r="G94" s="40" t="str">
        <x:v>Two-sided acceptance and data; networks differ from competitive merchant acquiring</x:v>
      </x:c>
      <x:c r="H94" s="40" t="str">
        <x:v>Transactions, cross-border mix, take rate and net retention</x:v>
      </x:c>
      <x:c r="I94" s="40" t="str">
        <x:v>Growth shifts to low-margin channels or incentive costs consume pricing</x:v>
      </x:c>
      <x:c r="J94" s="40" t="str">
        <x:v>V:Visa;MA:Mastercard;FOUR:Shift4 Payments</x:v>
      </x:c>
      <x:c r="K94" s="40" t="str">
        <x:v>Both</x:v>
      </x:c>
      <x:c r="L94" s="40" t="str">
        <x:v>P/E, P/TBV, EV/EBITDA for fee businesses, DCF/SOTP.</x:v>
      </x:c>
      <x:c r="M94" s="40" t="str">
        <x:v>Securitization, gain-on-sale, fair value, CECL, regulatory capital.</x:v>
      </x:c>
      <x:c r="N94" s="40" t="str">
        <x:v>Economic framework only</x:v>
      </x:c>
      <x:c r="O94" s="40" t="str">
        <x:v>FDIC</x:v>
      </x:c>
    </x:row>
    <x:row r="95" ht="98" customHeight="1">
      <x:c r="A95" s="40" t="str">
        <x:v>E090</x:v>
      </x:c>
      <x:c r="B95" s="40" t="str">
        <x:v>Financials</x:v>
      </x:c>
      <x:c r="C95" s="40" t="str">
        <x:v>Financial Services</x:v>
      </x:c>
      <x:c r="D95" s="40" t="str">
        <x:v>Financial holding companies and specialty finance</x:v>
      </x:c>
      <x:c r="E95" s="40" t="str">
        <x:v>Operating subsidiaries/assets → distributable cash → reinvestment</x:v>
      </x:c>
      <x:c r="F95" s="40" t="str">
        <x:v>Look-through recurring earnings plus changes in net asset value less holding costs</x:v>
      </x:c>
      <x:c r="G95" s="40" t="str">
        <x:v>Capital allocation and financing discipline rather than accounting complexity</x:v>
      </x:c>
      <x:c r="H95" s="40" t="str">
        <x:v>Per-share value created after full capital and financing cost</x:v>
      </x:c>
      <x:c r="I95" s="40" t="str">
        <x:v>Leverage or affiliated transactions turn NAV into inaccessible value</x:v>
      </x:c>
      <x:c r="J95" s="40" t="str">
        <x:v>BRK-B:Berkshire Hathaway;BN:Brookfield Corporation</x:v>
      </x:c>
      <x:c r="K95" s="40" t="str">
        <x:v>Compounder</x:v>
      </x:c>
      <x:c r="L95" s="40" t="str">
        <x:v>P/E, P/TBV, EV/EBITDA for fee businesses, DCF/SOTP.</x:v>
      </x:c>
      <x:c r="M95" s="40" t="str">
        <x:v>Securitization, gain-on-sale, fair value, CECL, regulatory capital.</x:v>
      </x:c>
      <x:c r="N95" s="40" t="str">
        <x:v>Economic framework only</x:v>
      </x:c>
      <x:c r="O95" s="40" t="str">
        <x:v>FDIC</x:v>
      </x:c>
    </x:row>
    <x:row r="96" ht="98" customHeight="1">
      <x:c r="A96" s="40" t="str">
        <x:v>E091</x:v>
      </x:c>
      <x:c r="B96" s="40" t="str">
        <x:v>Financials</x:v>
      </x:c>
      <x:c r="C96" s="40" t="str">
        <x:v>Consumer Finance</x:v>
      </x:c>
      <x:c r="D96" s="40" t="str">
        <x:v>Consumer installment, card and auto lenders</x:v>
      </x:c>
      <x:c r="E96" s="40" t="str">
        <x:v>Customer acquisition → origination → loan vintage → repayment/loss</x:v>
      </x:c>
      <x:c r="F96" s="40" t="str">
        <x:v>Vintage interest/fees less funding, acquisition, servicing and lifetime losses</x:v>
      </x:c>
      <x:c r="G96" s="40" t="str">
        <x:v>Underwriting data and low-cost distribution; fast growth delays observed losses</x:v>
      </x:c>
      <x:c r="H96" s="40" t="str">
        <x:v>Vintage delinquencies and recoveries versus origination pricing</x:v>
      </x:c>
      <x:c r="I96" s="40" t="str">
        <x:v>New vintages season worse than underwriting assumptions</x:v>
      </x:c>
      <x:c r="J96" s="40" t="str">
        <x:v>OMF:OneMain Holdings;SYF:Synchrony Financial</x:v>
      </x:c>
      <x:c r="K96" s="40" t="str">
        <x:v>Both</x:v>
      </x:c>
      <x:c r="L96" s="40" t="str">
        <x:v>P/E, P/TBV, ROE, excess capital DCF.</x:v>
      </x:c>
      <x:c r="M96" s="40" t="str">
        <x:v>CECL, gain-on-sale, securitization residuals, deferred acquisition costs.</x:v>
      </x:c>
      <x:c r="N96" s="40" t="str">
        <x:v>Economic framework only</x:v>
      </x:c>
      <x:c r="O96" s="40" t="str">
        <x:v>FDIC</x:v>
      </x:c>
    </x:row>
    <x:row r="97" ht="98" customHeight="1">
      <x:c r="A97" s="40" t="str">
        <x:v>E092</x:v>
      </x:c>
      <x:c r="B97" s="40" t="str">
        <x:v>Financials</x:v>
      </x:c>
      <x:c r="C97" s="40" t="str">
        <x:v>Capital Markets</x:v>
      </x:c>
      <x:c r="D97" s="40" t="str">
        <x:v>Exchanges and financial data</x:v>
      </x:c>
      <x:c r="E97" s="40" t="str">
        <x:v>Trading/benchmark activity → market liquidity/data → clearing/licensing</x:v>
      </x:c>
      <x:c r="F97" s="40" t="str">
        <x:v>Contracts and subscriptions × net fee less platform/compliance cost</x:v>
      </x:c>
      <x:c r="G97" s="40" t="str">
        <x:v>Liquidity network and proprietary benchmark/workflow integration</x:v>
      </x:c>
      <x:c r="H97" s="40" t="str">
        <x:v>Data retention, contract volume and pricing independent of asset inflation</x:v>
      </x:c>
      <x:c r="I97" s="40" t="str">
        <x:v>Alternative venue/data substitutes undermine fee capture</x:v>
      </x:c>
      <x:c r="J97" s="40" t="str">
        <x:v>CME:CME Group;ICE:Intercontinental Exchange;MKTX:MarketAxess</x:v>
      </x:c>
      <x:c r="K97" s="40" t="str">
        <x:v>Compounder</x:v>
      </x:c>
      <x:c r="L97" s="40" t="str">
        <x:v>P/E, EV/EBITDA, FCF; exchanges on recurring data/volume mix; asset managers on AUM/fees.</x:v>
      </x:c>
      <x:c r="M97" s="40" t="str">
        <x:v>Performance fees, seed investments, compensation accruals, fair-value marks.</x:v>
      </x:c>
      <x:c r="N97" s="40" t="str">
        <x:v>Economic framework only</x:v>
      </x:c>
      <x:c r="O97" s="40" t="str">
        <x:v>FDIC</x:v>
      </x:c>
    </x:row>
    <x:row r="98" ht="98" customHeight="1">
      <x:c r="A98" s="40" t="str">
        <x:v>E093</x:v>
      </x:c>
      <x:c r="B98" s="40" t="str">
        <x:v>Financials</x:v>
      </x:c>
      <x:c r="C98" s="40" t="str">
        <x:v>Capital Markets</x:v>
      </x:c>
      <x:c r="D98" s="40" t="str">
        <x:v>Asset managers and alternative platforms</x:v>
      </x:c>
      <x:c r="E98" s="40" t="str">
        <x:v>Capital commitments → managed assets → fees/performance → reinvestment</x:v>
      </x:c>
      <x:c r="F98" s="40" t="str">
        <x:v>Fee-earning assets × net fee rate plus uncertain carry less compensation</x:v>
      </x:c>
      <x:c r="G98" s="40" t="str">
        <x:v>Distribution, investment record and permanent capital</x:v>
      </x:c>
      <x:c r="H98" s="40" t="str">
        <x:v>Organic net flows and fee-related cash earnings excluding market uplift</x:v>
      </x:c>
      <x:c r="I98" s="40" t="str">
        <x:v>AUM growth purely asset inflation; redemptions or fee compression accelerate</x:v>
      </x:c>
      <x:c r="J98" s="40" t="str">
        <x:v>TROW:T. Rowe Price;APO:Apollo;AMG:Affiliated Managers Group</x:v>
      </x:c>
      <x:c r="K98" s="40" t="str">
        <x:v>Both</x:v>
      </x:c>
      <x:c r="L98" s="40" t="str">
        <x:v>P/E, EV/EBITDA, FCF; exchanges on recurring data/volume mix; asset managers on AUM/fees.</x:v>
      </x:c>
      <x:c r="M98" s="40" t="str">
        <x:v>Performance fees, seed investments, compensation accruals, fair-value marks.</x:v>
      </x:c>
      <x:c r="N98" s="40" t="str">
        <x:v>Economic framework only</x:v>
      </x:c>
      <x:c r="O98" s="40" t="str">
        <x:v>FDIC</x:v>
      </x:c>
    </x:row>
    <x:row r="99" ht="98" customHeight="1">
      <x:c r="A99" s="40" t="str">
        <x:v>E094</x:v>
      </x:c>
      <x:c r="B99" s="40" t="str">
        <x:v>Financials</x:v>
      </x:c>
      <x:c r="C99" s="40" t="str">
        <x:v>Capital Markets</x:v>
      </x:c>
      <x:c r="D99" s="40" t="str">
        <x:v>Brokers and capital-markets activity</x:v>
      </x:c>
      <x:c r="E99" s="40" t="str">
        <x:v>Client assets/transactions → execution/advice/financing → fees/spreads</x:v>
      </x:c>
      <x:c r="F99" s="40" t="str">
        <x:v>Trading/advisory activity and cash balances × retained economics</x:v>
      </x:c>
      <x:c r="G99" s="40" t="str">
        <x:v>Platform scale and client acquisition efficiency; rates add cyclicality</x:v>
      </x:c>
      <x:c r="H99" s="40" t="str">
        <x:v>Net new assets, deal volumes and interest sensitivity</x:v>
      </x:c>
      <x:c r="I99" s="40" t="str">
        <x:v>High current profit relies on idle cash rates or peak deal activity</x:v>
      </x:c>
      <x:c r="J99" s="40" t="str">
        <x:v>IBKR:Interactive Brokers;PIPR:Piper Sandler</x:v>
      </x:c>
      <x:c r="K99" s="40" t="str">
        <x:v>Both</x:v>
      </x:c>
      <x:c r="L99" s="40" t="str">
        <x:v>P/E, EV/EBITDA, FCF; exchanges on recurring data/volume mix; asset managers on AUM/fees.</x:v>
      </x:c>
      <x:c r="M99" s="40" t="str">
        <x:v>Performance fees, seed investments, compensation accruals, fair-value marks.</x:v>
      </x:c>
      <x:c r="N99" s="40" t="str">
        <x:v>Economic framework only</x:v>
      </x:c>
      <x:c r="O99" s="40" t="str">
        <x:v>FDIC</x:v>
      </x:c>
    </x:row>
    <x:row r="100" ht="98" customHeight="1">
      <x:c r="A100" s="40" t="str">
        <x:v>E095</x:v>
      </x:c>
      <x:c r="B100" s="40" t="str">
        <x:v>Financials</x:v>
      </x:c>
      <x:c r="C100" s="40" t="str">
        <x:v>Mortgage REITs</x:v>
      </x:c>
      <x:c r="D100" s="40" t="str">
        <x:v>Agency mortgage carry</x:v>
      </x:c>
      <x:c r="E100" s="40" t="str">
        <x:v>Mortgage assets → repo financing → hedging → distributable spread</x:v>
      </x:c>
      <x:c r="F100" s="40" t="str">
        <x:v>Leverage × mortgage spread less hedging, funding and operating cost</x:v>
      </x:c>
      <x:c r="G100" s="40" t="str">
        <x:v>Balance-sheet liquidity matters more than franchise; convexity changes with rates</x:v>
      </x:c>
      <x:c r="H100" s="40" t="str">
        <x:v>Economic book value stress, repo access and mortgage spreads</x:v>
      </x:c>
      <x:c r="I100" s="40" t="str">
        <x:v>Margin calls force sales before spread mean reversion</x:v>
      </x:c>
      <x:c r="J100" s="40" t="str">
        <x:v>AGNC:AGNC Investment;NLY:Annaly Capital</x:v>
      </x:c>
      <x:c r="K100" s="40" t="str">
        <x:v>Inflection</x:v>
      </x:c>
      <x:c r="L100" s="40" t="str">
        <x:v>P/B, dividend yield, ROE on book.</x:v>
      </x:c>
      <x:c r="M100" s="40" t="str">
        <x:v>Fair-value marks, hedge accounting, non-GAAP distributable earnings.</x:v>
      </x:c>
      <x:c r="N100" s="40" t="str">
        <x:v>Economic framework only</x:v>
      </x:c>
      <x:c r="O100" s="40" t="str">
        <x:v>FDIC</x:v>
      </x:c>
    </x:row>
    <x:row r="101" ht="98" customHeight="1">
      <x:c r="A101" s="40" t="str">
        <x:v>E096</x:v>
      </x:c>
      <x:c r="B101" s="40" t="str">
        <x:v>Financials</x:v>
      </x:c>
      <x:c r="C101" s="40" t="str">
        <x:v>Mortgage REITs</x:v>
      </x:c>
      <x:c r="D101" s="40" t="str">
        <x:v>Commercial mortgage credit</x:v>
      </x:c>
      <x:c r="E101" s="40" t="str">
        <x:v>Property cash flow → mortgage loan → funding/securitization</x:v>
      </x:c>
      <x:c r="F101" s="40" t="str">
        <x:v>Loan yield less funding and lifetime credit losses</x:v>
      </x:c>
      <x:c r="G101" s="40" t="str">
        <x:v>Collateral underwriting and maturity structure</x:v>
      </x:c>
      <x:c r="H101" s="40" t="str">
        <x:v>Debt-service coverage, extensions and economic collateral marks</x:v>
      </x:c>
      <x:c r="I101" s="40" t="str">
        <x:v>Appraised collateral and accrual income ignore refinancing impairment</x:v>
      </x:c>
      <x:c r="J101" s="40" t="str">
        <x:v>BXMT:Blackstone Mortgage Trust;STWD:Starwood Property Trust</x:v>
      </x:c>
      <x:c r="K101" s="40" t="str">
        <x:v>Inflection</x:v>
      </x:c>
      <x:c r="L101" s="40" t="str">
        <x:v>P/B, dividend yield, ROE on book.</x:v>
      </x:c>
      <x:c r="M101" s="40" t="str">
        <x:v>Fair-value marks, hedge accounting, non-GAAP distributable earnings.</x:v>
      </x:c>
      <x:c r="N101" s="40" t="str">
        <x:v>Economic framework only</x:v>
      </x:c>
      <x:c r="O101" s="40" t="str">
        <x:v>FDIC</x:v>
      </x:c>
    </x:row>
    <x:row r="102" ht="98" customHeight="1">
      <x:c r="A102" s="40" t="str">
        <x:v>E097</x:v>
      </x:c>
      <x:c r="B102" s="40" t="str">
        <x:v>Financials</x:v>
      </x:c>
      <x:c r="C102" s="40" t="str">
        <x:v>Insurance</x:v>
      </x:c>
      <x:c r="D102" s="40" t="str">
        <x:v>Specialty property and casualty underwriting</x:v>
      </x:c>
      <x:c r="E102" s="40" t="str">
        <x:v>Broker submission → risk selection → premium → claims development</x:v>
      </x:c>
      <x:c r="F102" s="40" t="str">
        <x:v>Earned premium × underwriting margin plus float income less capital cost</x:v>
      </x:c>
      <x:c r="G102" s="40" t="str">
        <x:v>Underwriting data, distribution and expense control</x:v>
      </x:c>
      <x:c r="H102" s="40" t="str">
        <x:v>Rate versus loss-cost by line; written premium before earned premium</x:v>
      </x:c>
      <x:c r="I102" s="40" t="str">
        <x:v>Reserve releases or benign catastrophes mask weakening current accident-year margin</x:v>
      </x:c>
      <x:c r="J102" s="40" t="str">
        <x:v>KNSL:Kinsale Capital;RLI:RLI</x:v>
      </x:c>
      <x:c r="K102" s="40" t="str">
        <x:v>Compounder</x:v>
      </x:c>
      <x:c r="L102" s="40" t="str">
        <x:v>P/B, P/E, ROE, tangible book growth; sum underwriting + investment income.</x:v>
      </x:c>
      <x:c r="M102" s="40" t="str">
        <x:v>Reserve releases, catastrophe normalization, unrealized investment marks, reinsurance recoverables.</x:v>
      </x:c>
      <x:c r="N102" s="40" t="str">
        <x:v>Selected current issuer check</x:v>
      </x:c>
      <x:c r="O102" s="40" t="str">
        <x:v>KNSL26</x:v>
      </x:c>
    </x:row>
    <x:row r="103" ht="98" customHeight="1">
      <x:c r="A103" s="40" t="str">
        <x:v>E098</x:v>
      </x:c>
      <x:c r="B103" s="40" t="str">
        <x:v>Financials</x:v>
      </x:c>
      <x:c r="C103" s="40" t="str">
        <x:v>Insurance</x:v>
      </x:c>
      <x:c r="D103" s="40" t="str">
        <x:v>Insurance brokers and distributors</x:v>
      </x:c>
      <x:c r="E103" s="40" t="str">
        <x:v>Client risk need → placement/service → renewal</x:v>
      </x:c>
      <x:c r="F103" s="40" t="str">
        <x:v>Retained premiums × commission plus fee services less producer compensation</x:v>
      </x:c>
      <x:c r="G103" s="40" t="str">
        <x:v>Client relationships and distribution; no underwriting risk is not no cyclicality</x:v>
      </x:c>
      <x:c r="H103" s="40" t="str">
        <x:v>Organic commission growth split into rate, exposure and new business</x:v>
      </x:c>
      <x:c r="I103" s="40" t="str">
        <x:v>Rate softening exposes poor new-client growth; acquisitions overpay</x:v>
      </x:c>
      <x:c r="J103" s="40" t="str">
        <x:v>BRO:Brown &amp; Brown;GSHD:Goosehead Insurance</x:v>
      </x:c>
      <x:c r="K103" s="40" t="str">
        <x:v>Compounder</x:v>
      </x:c>
      <x:c r="L103" s="40" t="str">
        <x:v>P/B, P/E, ROE, tangible book growth; sum underwriting + investment income.</x:v>
      </x:c>
      <x:c r="M103" s="40" t="str">
        <x:v>Reserve releases, catastrophe normalization, unrealized investment marks, reinsurance recoverables.</x:v>
      </x:c>
      <x:c r="N103" s="40" t="str">
        <x:v>Economic framework only</x:v>
      </x:c>
      <x:c r="O103" s="40" t="str">
        <x:v>FDIC</x:v>
      </x:c>
    </x:row>
    <x:row r="104" ht="98" customHeight="1">
      <x:c r="A104" s="40" t="str">
        <x:v>E099</x:v>
      </x:c>
      <x:c r="B104" s="40" t="str">
        <x:v>Financials</x:v>
      </x:c>
      <x:c r="C104" s="40" t="str">
        <x:v>Insurance</x:v>
      </x:c>
      <x:c r="D104" s="40" t="str">
        <x:v>Life, annuity and reinsurance balance sheets</x:v>
      </x:c>
      <x:c r="E104" s="40" t="str">
        <x:v>Policy/annuity premium → invested assets → claims/benefits</x:v>
      </x:c>
      <x:c r="F104" s="40" t="str">
        <x:v>Asset spread and mortality/longevity experience less guarantees and capital</x:v>
      </x:c>
      <x:c r="G104" s="40" t="str">
        <x:v>Liability management, distribution and investment discipline</x:v>
      </x:c>
      <x:c r="H104" s="40" t="str">
        <x:v>New-money spread, surrenders, reserve adequacy and counterparty exposure</x:v>
      </x:c>
      <x:c r="I104" s="40" t="str">
        <x:v>Asset losses or policyholder behavior invalidate liability assumptions</x:v>
      </x:c>
      <x:c r="J104" s="40" t="str">
        <x:v>MET:MetLife;RNR:RenaissanceRe</x:v>
      </x:c>
      <x:c r="K104" s="40" t="str">
        <x:v>Both</x:v>
      </x:c>
      <x:c r="L104" s="40" t="str">
        <x:v>P/B, P/E, ROE, tangible book growth; sum underwriting + investment income.</x:v>
      </x:c>
      <x:c r="M104" s="40" t="str">
        <x:v>Reserve releases, catastrophe normalization, unrealized investment marks, reinsurance recoverables.</x:v>
      </x:c>
      <x:c r="N104" s="40" t="str">
        <x:v>Economic framework only</x:v>
      </x:c>
      <x:c r="O104" s="40" t="str">
        <x:v>FDIC</x:v>
      </x:c>
    </x:row>
    <x:row r="105" ht="98" customHeight="1">
      <x:c r="A105" s="40" t="str">
        <x:v>E100</x:v>
      </x:c>
      <x:c r="B105" s="40" t="str">
        <x:v>Information Technology</x:v>
      </x:c>
      <x:c r="C105" s="40" t="str">
        <x:v>IT Services</x:v>
      </x:c>
      <x:c r="D105" s="40" t="str">
        <x:v>IT consulting and project delivery</x:v>
      </x:c>
      <x:c r="E105" s="40" t="str">
        <x:v>Enterprise modernization need → contracted team → project completion</x:v>
      </x:c>
      <x:c r="F105" s="40" t="str">
        <x:v>Billable hours × net rate less bench, labor and selling costs</x:v>
      </x:c>
      <x:c r="G105" s="40" t="str">
        <x:v>Domain expertise versus contestable hours; AI may change billing unit</x:v>
      </x:c>
      <x:c r="H105" s="40" t="str">
        <x:v>Utilization, deal duration and outcome-based pricing</x:v>
      </x:c>
      <x:c r="I105" s="40" t="str">
        <x:v>Automation reduces billable demand faster than delivery costs</x:v>
      </x:c>
      <x:c r="J105" s="40" t="str">
        <x:v>ACN:Accenture;EPAM:EPAM Systems</x:v>
      </x:c>
      <x:c r="K105" s="40" t="str">
        <x:v>Both</x:v>
      </x:c>
      <x:c r="L105" s="40" t="str">
        <x:v>P/E, EV/EBITDA, FCF; organic growth and margin quality.</x:v>
      </x:c>
      <x:c r="M105" s="40" t="str">
        <x:v>Capitalized software, restructuring, stock comp, pass-through cloud revenue.</x:v>
      </x:c>
      <x:c r="N105" s="40" t="str">
        <x:v>Economic framework only</x:v>
      </x:c>
      <x:c r="O105" s="40" t="str">
        <x:v>EDGAR</x:v>
      </x:c>
    </x:row>
    <x:row r="106" ht="98" customHeight="1">
      <x:c r="A106" s="40" t="str">
        <x:v>E101</x:v>
      </x:c>
      <x:c r="B106" s="40" t="str">
        <x:v>Information Technology</x:v>
      </x:c>
      <x:c r="C106" s="40" t="str">
        <x:v>IT Services</x:v>
      </x:c>
      <x:c r="D106" s="40" t="str">
        <x:v>Managed infrastructure and recurring IT services</x:v>
      </x:c>
      <x:c r="E106" s="40" t="str">
        <x:v>Installed enterprise systems → outsourced operations → recurring fees</x:v>
      </x:c>
      <x:c r="F106" s="40" t="str">
        <x:v>Managed workloads/contracts × margin less infrastructure and service personnel</x:v>
      </x:c>
      <x:c r="G106" s="40" t="str">
        <x:v>Migration complexity, reliability and integration</x:v>
      </x:c>
      <x:c r="H106" s="40" t="str">
        <x:v>Renewal rates, workload volumes and automation savings</x:v>
      </x:c>
      <x:c r="I106" s="40" t="str">
        <x:v>Client insources or cloud competition commoditizes service</x:v>
      </x:c>
      <x:c r="J106" s="40" t="str">
        <x:v>GIB:CGI;KD:Kyndryl</x:v>
      </x:c>
      <x:c r="K106" s="40" t="str">
        <x:v>Both</x:v>
      </x:c>
      <x:c r="L106" s="40" t="str">
        <x:v>P/E, EV/EBITDA, FCF; organic growth and margin quality.</x:v>
      </x:c>
      <x:c r="M106" s="40" t="str">
        <x:v>Capitalized software, restructuring, stock comp, pass-through cloud revenue.</x:v>
      </x:c>
      <x:c r="N106" s="40" t="str">
        <x:v>Economic framework only</x:v>
      </x:c>
      <x:c r="O106" s="40" t="str">
        <x:v>EDGAR</x:v>
      </x:c>
    </x:row>
    <x:row r="107" ht="98" customHeight="1">
      <x:c r="A107" s="40" t="str">
        <x:v>E102</x:v>
      </x:c>
      <x:c r="B107" s="40" t="str">
        <x:v>Information Technology</x:v>
      </x:c>
      <x:c r="C107" s="40" t="str">
        <x:v>Software</x:v>
      </x:c>
      <x:c r="D107" s="40" t="str">
        <x:v>Vertical workflow software</x:v>
      </x:c>
      <x:c r="E107" s="40" t="str">
        <x:v>Industry-specific workflow → subscription → modules/payments/data</x:v>
      </x:c>
      <x:c r="F107" s="40" t="str">
        <x:v>Retained customers × revenue/customer less support, development and acquisition</x:v>
      </x:c>
      <x:c r="G107" s="40" t="str">
        <x:v>Workflow integration and switching cost; adjacent payment revenue is not pure SaaS</x:v>
      </x:c>
      <x:c r="H107" s="40" t="str">
        <x:v>Gross retention, unit growth, module attach and per-share cash flow</x:v>
      </x:c>
      <x:c r="I107" s="40" t="str">
        <x:v>AI or consolidated platforms bypass workflow; payments inflate low-quality revenue</x:v>
      </x:c>
      <x:c r="J107" s="40" t="str">
        <x:v>APPF:AppFolio;TYL:Tyler Technologies;CSU:CA:Constellation Software</x:v>
      </x:c>
      <x:c r="K107" s="40" t="str">
        <x:v>Compounder</x:v>
      </x:c>
      <x:c r="L107" s="40" t="str">
        <x:v>EV/ARR, EV/FCF, P/E for mature, DCF; growth + FCF quality.</x:v>
      </x:c>
      <x:c r="M107" s="40" t="str">
        <x:v>SBC, capitalized commissions/R&amp;D, billings vs revenue, acquisition adjustments.</x:v>
      </x:c>
      <x:c r="N107" s="40" t="str">
        <x:v>Selected current issuer check</x:v>
      </x:c>
      <x:c r="O107" s="40" t="str">
        <x:v>APPF26</x:v>
      </x:c>
    </x:row>
    <x:row r="108" ht="98" customHeight="1">
      <x:c r="A108" s="40" t="str">
        <x:v>E103</x:v>
      </x:c>
      <x:c r="B108" s="40" t="str">
        <x:v>Information Technology</x:v>
      </x:c>
      <x:c r="C108" s="40" t="str">
        <x:v>Software</x:v>
      </x:c>
      <x:c r="D108" s="40" t="str">
        <x:v>Enterprise application software</x:v>
      </x:c>
      <x:c r="E108" s="40" t="str">
        <x:v>Enterprise function → users/workloads → recurring license/subscription</x:v>
      </x:c>
      <x:c r="F108" s="40" t="str">
        <x:v>Seats/usage × net price less sales, development and support</x:v>
      </x:c>
      <x:c r="G108" s="40" t="str">
        <x:v>System-of-record integration and ecosystem; seat and consumption models differ</x:v>
      </x:c>
      <x:c r="H108" s="40" t="str">
        <x:v>New commitments, renewal cohort expansion and selling efficiency</x:v>
      </x:c>
      <x:c r="I108" s="40" t="str">
        <x:v>Seat contraction or alternative AI workflow offsets pricing</x:v>
      </x:c>
      <x:c r="J108" s="40" t="str">
        <x:v>CRM:Salesforce;NOW:ServiceNow</x:v>
      </x:c>
      <x:c r="K108" s="40" t="str">
        <x:v>Both</x:v>
      </x:c>
      <x:c r="L108" s="40" t="str">
        <x:v>EV/ARR, EV/FCF, P/E for mature, DCF; growth + FCF quality.</x:v>
      </x:c>
      <x:c r="M108" s="40" t="str">
        <x:v>SBC, capitalized commissions/R&amp;D, billings vs revenue, acquisition adjustments.</x:v>
      </x:c>
      <x:c r="N108" s="40" t="str">
        <x:v>Economic framework only</x:v>
      </x:c>
      <x:c r="O108" s="40" t="str">
        <x:v>EDGAR</x:v>
      </x:c>
    </x:row>
    <x:row r="109" ht="98" customHeight="1">
      <x:c r="A109" s="40" t="str">
        <x:v>E104</x:v>
      </x:c>
      <x:c r="B109" s="40" t="str">
        <x:v>Information Technology</x:v>
      </x:c>
      <x:c r="C109" s="40" t="str">
        <x:v>Software</x:v>
      </x:c>
      <x:c r="D109" s="40" t="str">
        <x:v>Cybersecurity platforms</x:v>
      </x:c>
      <x:c r="E109" s="40" t="str">
        <x:v>Attack surface → prevention/detection controls → subscriptions</x:v>
      </x:c>
      <x:c r="F109" s="40" t="str">
        <x:v>Protected endpoints/workloads × retained gross profit less R&amp;D and go-to-market</x:v>
      </x:c>
      <x:c r="G109" s="40" t="str">
        <x:v>Telemetry, reliability and workflow breadth; suite bundling can compress niches</x:v>
      </x:c>
      <x:c r="H109" s="40" t="str">
        <x:v>Net new ARR, renewal cohorts and acquisition-adjusted growth</x:v>
      </x:c>
      <x:c r="I109" s="40" t="str">
        <x:v>Growth comes from purchased ARR or unsustainable discounts</x:v>
      </x:c>
      <x:c r="J109" s="40" t="str">
        <x:v>CRWD:CrowdStrike;PANW:Palo Alto Networks</x:v>
      </x:c>
      <x:c r="K109" s="40" t="str">
        <x:v>Both</x:v>
      </x:c>
      <x:c r="L109" s="40" t="str">
        <x:v>EV/ARR, EV/FCF, P/E for mature, DCF; growth + FCF quality.</x:v>
      </x:c>
      <x:c r="M109" s="40" t="str">
        <x:v>SBC, capitalized commissions/R&amp;D, billings vs revenue, acquisition adjustments.</x:v>
      </x:c>
      <x:c r="N109" s="40" t="str">
        <x:v>Economic framework only</x:v>
      </x:c>
      <x:c r="O109" s="40" t="str">
        <x:v>EDGAR</x:v>
      </x:c>
    </x:row>
    <x:row r="110" ht="98" customHeight="1">
      <x:c r="A110" s="40" t="str">
        <x:v>E105</x:v>
      </x:c>
      <x:c r="B110" s="40" t="str">
        <x:v>Information Technology</x:v>
      </x:c>
      <x:c r="C110" s="40" t="str">
        <x:v>Software</x:v>
      </x:c>
      <x:c r="D110" s="40" t="str">
        <x:v>Database, design and infrastructure software</x:v>
      </x:c>
      <x:c r="E110" s="40" t="str">
        <x:v>Developer/engineer workload → standard platform → compute/design consumption</x:v>
      </x:c>
      <x:c r="F110" s="40" t="str">
        <x:v>Workload/seat/license value less cloud delivery and R&amp;D</x:v>
      </x:c>
      <x:c r="G110" s="40" t="str">
        <x:v>Developer ecosystem and validated technical workflows</x:v>
      </x:c>
      <x:c r="H110" s="40" t="str">
        <x:v>Usage cohorts and contract conversion not bookings alone</x:v>
      </x:c>
      <x:c r="I110" s="40" t="str">
        <x:v>Open source or new architecture lowers willingness to pay</x:v>
      </x:c>
      <x:c r="J110" s="40" t="str">
        <x:v>SNOW:Snowflake;SNPS:Synopsys;CDNS:Cadence</x:v>
      </x:c>
      <x:c r="K110" s="40" t="str">
        <x:v>Both</x:v>
      </x:c>
      <x:c r="L110" s="40" t="str">
        <x:v>EV/ARR, EV/FCF, P/E for mature, DCF; growth + FCF quality.</x:v>
      </x:c>
      <x:c r="M110" s="40" t="str">
        <x:v>SBC, capitalized commissions/R&amp;D, billings vs revenue, acquisition adjustments.</x:v>
      </x:c>
      <x:c r="N110" s="40" t="str">
        <x:v>Economic framework only</x:v>
      </x:c>
      <x:c r="O110" s="40" t="str">
        <x:v>EDGAR</x:v>
      </x:c>
    </x:row>
    <x:row r="111" ht="98" customHeight="1">
      <x:c r="A111" s="40" t="str">
        <x:v>E106</x:v>
      </x:c>
      <x:c r="B111" s="40" t="str">
        <x:v>Information Technology</x:v>
      </x:c>
      <x:c r="C111" s="40" t="str">
        <x:v>Communications Equipment</x:v>
      </x:c>
      <x:c r="D111" s="40" t="str">
        <x:v>Network switching and routing</x:v>
      </x:c>
      <x:c r="E111" s="40" t="str">
        <x:v>Compute endpoints → scale-up/scale-out network → switch/router</x:v>
      </x:c>
      <x:c r="F111" s="40" t="str">
        <x:v>Ports × net contribution plus software/service less development</x:v>
      </x:c>
      <x:c r="G111" s="40" t="str">
        <x:v>Network operating software and qualification; hyperscaler insourcing is key</x:v>
      </x:c>
      <x:c r="H111" s="40" t="str">
        <x:v>Port speed transitions, customer capex and software attach</x:v>
      </x:c>
      <x:c r="I111" s="40" t="str">
        <x:v>Higher bandwidth lowers supplier profit per cluster or socket is insourced</x:v>
      </x:c>
      <x:c r="J111" s="40" t="str">
        <x:v>ANET:Arista Networks;CSCO:Cisco</x:v>
      </x:c>
      <x:c r="K111" s="40" t="str">
        <x:v>Both</x:v>
      </x:c>
      <x:c r="L111" s="40" t="str">
        <x:v>P/E, EV/EBITDA, FCF, SOTP recurring software/service.</x:v>
      </x:c>
      <x:c r="M111" s="40" t="str">
        <x:v>Deferred revenue, channel inventory, component purchase commitments, acquisitions.</x:v>
      </x:c>
      <x:c r="N111" s="40" t="str">
        <x:v>Economic framework only</x:v>
      </x:c>
      <x:c r="O111" s="40" t="str">
        <x:v>EDGAR</x:v>
      </x:c>
    </x:row>
    <x:row r="112" ht="98" customHeight="1">
      <x:c r="A112" s="40" t="str">
        <x:v>E107</x:v>
      </x:c>
      <x:c r="B112" s="40" t="str">
        <x:v>Information Technology</x:v>
      </x:c>
      <x:c r="C112" s="40" t="str">
        <x:v>Communications Equipment</x:v>
      </x:c>
      <x:c r="D112" s="40" t="str">
        <x:v>Optical transport systems</x:v>
      </x:c>
      <x:c r="E112" s="40" t="str">
        <x:v>Carrier/cloud traffic → optical link → deployment/service</x:v>
      </x:c>
      <x:c r="F112" s="40" t="str">
        <x:v>Lit capacity × equipment margin plus network-management service</x:v>
      </x:c>
      <x:c r="G112" s="40" t="str">
        <x:v>System qualification, performance and installed optical footprint</x:v>
      </x:c>
      <x:c r="H112" s="40" t="str">
        <x:v>Carrier/cloud awards and system deployment dates</x:v>
      </x:c>
      <x:c r="I112" s="40" t="str">
        <x:v>Bandwidth growth absorbed through existing assets without new purchases</x:v>
      </x:c>
      <x:c r="J112" s="40" t="str">
        <x:v>CIEN:Ciena;NOK:Nokia</x:v>
      </x:c>
      <x:c r="K112" s="40" t="str">
        <x:v>Inflection</x:v>
      </x:c>
      <x:c r="L112" s="40" t="str">
        <x:v>P/E, EV/EBITDA, FCF, SOTP recurring software/service.</x:v>
      </x:c>
      <x:c r="M112" s="40" t="str">
        <x:v>Deferred revenue, channel inventory, component purchase commitments, acquisitions.</x:v>
      </x:c>
      <x:c r="N112" s="40" t="str">
        <x:v>Economic framework only</x:v>
      </x:c>
      <x:c r="O112" s="40" t="str">
        <x:v>EDGAR</x:v>
      </x:c>
    </x:row>
    <x:row r="113" ht="98" customHeight="1">
      <x:c r="A113" s="40" t="str">
        <x:v>E108</x:v>
      </x:c>
      <x:c r="B113" s="40" t="str">
        <x:v>Information Technology</x:v>
      </x:c>
      <x:c r="C113" s="40" t="str">
        <x:v>Technology Hardware, Storage &amp; Peripherals</x:v>
      </x:c>
      <x:c r="D113" s="40" t="str">
        <x:v>Servers and enterprise compute hardware</x:v>
      </x:c>
      <x:c r="E113" s="40" t="str">
        <x:v>Enterprise/cloud workloads → configured system → support lifecycle</x:v>
      </x:c>
      <x:c r="F113" s="40" t="str">
        <x:v>Systems × gross profit plus support less working capital and warranty</x:v>
      </x:c>
      <x:c r="G113" s="40" t="str">
        <x:v>Configuration and services versus commodity assembly; component costs pass through unevenly</x:v>
      </x:c>
      <x:c r="H113" s="40" t="str">
        <x:v>Orders converted to cash and gross profit, not revenue alone</x:v>
      </x:c>
      <x:c r="I113" s="40" t="str">
        <x:v>Accelerator pass-through inflates revenue without improving cash return</x:v>
      </x:c>
      <x:c r="J113" s="40" t="str">
        <x:v>DELL:Dell Technologies;HPE:Hewlett Packard Enterprise</x:v>
      </x:c>
      <x:c r="K113" s="40" t="str">
        <x:v>Inflection</x:v>
      </x:c>
      <x:c r="L113" s="40" t="str">
        <x:v>P/E, EV/EBITDA, FCF; SOTP services.</x:v>
      </x:c>
      <x:c r="M113" s="40" t="str">
        <x:v>Channel inventory, warranty, supplier commitments, capitalized software.</x:v>
      </x:c>
      <x:c r="N113" s="40" t="str">
        <x:v>Economic framework only</x:v>
      </x:c>
      <x:c r="O113" s="40" t="str">
        <x:v>EDGAR</x:v>
      </x:c>
    </x:row>
    <x:row r="114" ht="98" customHeight="1">
      <x:c r="A114" s="40" t="str">
        <x:v>E109</x:v>
      </x:c>
      <x:c r="B114" s="40" t="str">
        <x:v>Information Technology</x:v>
      </x:c>
      <x:c r="C114" s="40" t="str">
        <x:v>Technology Hardware, Storage &amp; Peripherals</x:v>
      </x:c>
      <x:c r="D114" s="40" t="str">
        <x:v>Storage and personal-device ecosystems</x:v>
      </x:c>
      <x:c r="E114" s="40" t="str">
        <x:v>Installed device/workload base → capacity/refresh need → hardware/service</x:v>
      </x:c>
      <x:c r="F114" s="40" t="str">
        <x:v>Capacity/devices × margin plus ecosystem services</x:v>
      </x:c>
      <x:c r="G114" s="40" t="str">
        <x:v>Firmware/IP, qualification or brand ecosystem; component supply is cyclical</x:v>
      </x:c>
      <x:c r="H114" s="40" t="str">
        <x:v>Replacement demand, channel inventory and storage pricing</x:v>
      </x:c>
      <x:c r="I114" s="40" t="str">
        <x:v>Inventory rebound or input-price inflation mistaken for end-use growth</x:v>
      </x:c>
      <x:c r="J114" s="40" t="str">
        <x:v>STX:Seagate;AAPL:Apple</x:v>
      </x:c>
      <x:c r="K114" s="40" t="str">
        <x:v>Both</x:v>
      </x:c>
      <x:c r="L114" s="40" t="str">
        <x:v>P/E, EV/EBITDA, FCF; SOTP services.</x:v>
      </x:c>
      <x:c r="M114" s="40" t="str">
        <x:v>Channel inventory, warranty, supplier commitments, capitalized software.</x:v>
      </x:c>
      <x:c r="N114" s="40" t="str">
        <x:v>Economic framework only</x:v>
      </x:c>
      <x:c r="O114" s="40" t="str">
        <x:v>EDGAR</x:v>
      </x:c>
    </x:row>
    <x:row r="115" ht="98" customHeight="1">
      <x:c r="A115" s="40" t="str">
        <x:v>E110</x:v>
      </x:c>
      <x:c r="B115" s="40" t="str">
        <x:v>Information Technology</x:v>
      </x:c>
      <x:c r="C115" s="40" t="str">
        <x:v>Electronic Equipment, Instruments &amp; Components</x:v>
      </x:c>
      <x:c r="D115" s="40" t="str">
        <x:v>Optical modules, interconnect and components</x:v>
      </x:c>
      <x:c r="E115" s="40" t="str">
        <x:v>Switch/accelerator → optical/electrical connection → qualified module</x:v>
      </x:c>
      <x:c r="F115" s="40" t="str">
        <x:v>Links × content × gross profit less yield loss, warranty and capacity cost</x:v>
      </x:c>
      <x:c r="G115" s="40" t="str">
        <x:v>Component performance and customer qualification; generation ASP erosion</x:v>
      </x:c>
      <x:c r="H115" s="40" t="str">
        <x:v>Qualified design wins → purchase orders → yield/cash conversion</x:v>
      </x:c>
      <x:c r="I115" s="40" t="str">
        <x:v>Orders are nonbinding or new technology removes profitable content</x:v>
      </x:c>
      <x:c r="J115" s="40" t="str">
        <x:v>AAOI:Applied Optoelectronics;COHR:Coherent;APH:Amphenol</x:v>
      </x:c>
      <x:c r="K115" s="40" t="str">
        <x:v>Both</x:v>
      </x:c>
      <x:c r="L115" s="40" t="str">
        <x:v>P/E, EV/EBITDA, FCF; design-win pipeline and normalized margins.</x:v>
      </x:c>
      <x:c r="M115" s="40" t="str">
        <x:v>Distributor gross vs net, inventory reserves, customer-owned tooling, acquisition intangibles.</x:v>
      </x:c>
      <x:c r="N115" s="40" t="str">
        <x:v>Selected current issuer check</x:v>
      </x:c>
      <x:c r="O115" s="40" t="str">
        <x:v>AAOI26</x:v>
      </x:c>
    </x:row>
    <x:row r="116" ht="98" customHeight="1">
      <x:c r="A116" s="40" t="str">
        <x:v>E111</x:v>
      </x:c>
      <x:c r="B116" s="40" t="str">
        <x:v>Information Technology</x:v>
      </x:c>
      <x:c r="C116" s="40" t="str">
        <x:v>Electronic Equipment, Instruments &amp; Components</x:v>
      </x:c>
      <x:c r="D116" s="40" t="str">
        <x:v>Precision sensing, test and water instrumentation</x:v>
      </x:c>
      <x:c r="E116" s="40" t="str">
        <x:v>Physical process → measured parameter → control/analytics response</x:v>
      </x:c>
      <x:c r="F116" s="40" t="str">
        <x:v>Installed measurement endpoints × hardware plus recurring data/service margin</x:v>
      </x:c>
      <x:c r="G116" s="40" t="str">
        <x:v>Accuracy, qualification and process integration</x:v>
      </x:c>
      <x:c r="H116" s="40" t="str">
        <x:v>New endpoint adoption, utilization and software/connectivity attach</x:v>
      </x:c>
      <x:c r="I116" s="40" t="str">
        <x:v>Data has low customer value or sensors commoditize</x:v>
      </x:c>
      <x:c r="J116" s="40" t="str">
        <x:v>BMI:Badger Meter;KEYS:Keysight Technologies</x:v>
      </x:c>
      <x:c r="K116" s="40" t="str">
        <x:v>Compounder</x:v>
      </x:c>
      <x:c r="L116" s="40" t="str">
        <x:v>P/E, EV/EBITDA, FCF; design-win pipeline and normalized margins.</x:v>
      </x:c>
      <x:c r="M116" s="40" t="str">
        <x:v>Distributor gross vs net, inventory reserves, customer-owned tooling, acquisition intangibles.</x:v>
      </x:c>
      <x:c r="N116" s="40" t="str">
        <x:v>Selected current issuer check</x:v>
      </x:c>
      <x:c r="O116" s="40" t="str">
        <x:v>BMI26</x:v>
      </x:c>
    </x:row>
    <x:row r="117" ht="98" customHeight="1">
      <x:c r="A117" s="40" t="str">
        <x:v>E112</x:v>
      </x:c>
      <x:c r="B117" s="40" t="str">
        <x:v>Information Technology</x:v>
      </x:c>
      <x:c r="C117" s="40" t="str">
        <x:v>Electronic Equipment, Instruments &amp; Components</x:v>
      </x:c>
      <x:c r="D117" s="40" t="str">
        <x:v>Electronic manufacturing and distribution</x:v>
      </x:c>
      <x:c r="E117" s="40" t="str">
        <x:v>OEM design → component procurement → assembly/test → delivery</x:v>
      </x:c>
      <x:c r="F117" s="40" t="str">
        <x:v>Value-added services and working-capital return, not gross bill of materials</x:v>
      </x:c>
      <x:c r="G117" s="40" t="str">
        <x:v>Execution, footprint and customer integration</x:v>
      </x:c>
      <x:c r="H117" s="40" t="str">
        <x:v>Program ramps, working-capital turns and customer concentration</x:v>
      </x:c>
      <x:c r="I117" s="40" t="str">
        <x:v>Fast sales growth requires disproportionate inventory financing</x:v>
      </x:c>
      <x:c r="J117" s="40" t="str">
        <x:v>CLS:Celestica;JBL:Jabil;AVT:Avnet</x:v>
      </x:c>
      <x:c r="K117" s="40" t="str">
        <x:v>Both</x:v>
      </x:c>
      <x:c r="L117" s="40" t="str">
        <x:v>P/E, EV/EBITDA, FCF; design-win pipeline and normalized margins.</x:v>
      </x:c>
      <x:c r="M117" s="40" t="str">
        <x:v>Distributor gross vs net, inventory reserves, customer-owned tooling, acquisition intangibles.</x:v>
      </x:c>
      <x:c r="N117" s="40" t="str">
        <x:v>Economic framework only</x:v>
      </x:c>
      <x:c r="O117" s="40" t="str">
        <x:v>EDGAR</x:v>
      </x:c>
    </x:row>
    <x:row r="118" ht="98" customHeight="1">
      <x:c r="A118" s="40" t="str">
        <x:v>E113</x:v>
      </x:c>
      <x:c r="B118" s="40" t="str">
        <x:v>Information Technology</x:v>
      </x:c>
      <x:c r="C118" s="40" t="str">
        <x:v>Semiconductors &amp; Semiconductor Equipment</x:v>
      </x:c>
      <x:c r="D118" s="40" t="str">
        <x:v>Memory: DRAM, NAND and HBM</x:v>
      </x:c>
      <x:c r="E118" s="40" t="str">
        <x:v>Compute/storage architecture → bit/stack demand → wafer/packaging supply</x:v>
      </x:c>
      <x:c r="F118" s="40" t="str">
        <x:v>Saleable bits/stacks × ASP less wafer, yield and sustaining fab cost</x:v>
      </x:c>
      <x:c r="G118" s="40" t="str">
        <x:v>Technology/yield learning and qualification; HBM wafer consumption differs from commodity bits</x:v>
      </x:c>
      <x:c r="H118" s="40" t="str">
        <x:v>Contract prices, customer inventory, bits supplied and qualified HBM capacity</x:v>
      </x:c>
      <x:c r="I118" s="40" t="str">
        <x:v>New capacity or architecture reduces scarcity before cash is recovered</x:v>
      </x:c>
      <x:c r="J118" s="40" t="str">
        <x:v>MU:Micron;SNDK:Sandisk</x:v>
      </x:c>
      <x:c r="K118" s="40" t="str">
        <x:v>Inflection</x:v>
      </x:c>
      <x:c r="L118" s="40" t="str">
        <x:v>P/E, EV/EBITDA, FCF, replacement cost; normalized mid-cycle plus secular content model.</x:v>
      </x:c>
      <x:c r="M118" s="40" t="str">
        <x:v>Inventory, capital intensity, depreciation, stock comp, customer prepayments, export controls.</x:v>
      </x:c>
      <x:c r="N118" s="40" t="str">
        <x:v>Economic framework only</x:v>
      </x:c>
      <x:c r="O118" s="40" t="str">
        <x:v>EDGAR</x:v>
      </x:c>
    </x:row>
    <x:row r="119" ht="98" customHeight="1">
      <x:c r="A119" s="40" t="str">
        <x:v>E114</x:v>
      </x:c>
      <x:c r="B119" s="40" t="str">
        <x:v>Information Technology</x:v>
      </x:c>
      <x:c r="C119" s="40" t="str">
        <x:v>Semiconductors &amp; Semiconductor Equipment</x:v>
      </x:c>
      <x:c r="D119" s="40" t="str">
        <x:v>Fabless compute and connectivity silicon</x:v>
      </x:c>
      <x:c r="E119" s="40" t="str">
        <x:v>Workload need → architecture/design → foundry/package → system adoption</x:v>
      </x:c>
      <x:c r="F119" s="40" t="str">
        <x:v>Design sockets × unit gross profit less R&amp;D and supply commitments</x:v>
      </x:c>
      <x:c r="G119" s="40" t="str">
        <x:v>Software ecosystem, architecture and qualification; design wins can be generation-specific</x:v>
      </x:c>
      <x:c r="H119" s="40" t="str">
        <x:v>Customer deployment budgets, socket share and content per workload</x:v>
      </x:c>
      <x:c r="I119" s="40" t="str">
        <x:v>Custom silicon or competitors capture next generation</x:v>
      </x:c>
      <x:c r="J119" s="40" t="str">
        <x:v>NVDA:NVIDIA;AMD:AMD;MRVL:Marvell;CRDO:Credo</x:v>
      </x:c>
      <x:c r="K119" s="40" t="str">
        <x:v>Both</x:v>
      </x:c>
      <x:c r="L119" s="40" t="str">
        <x:v>P/E, EV/EBITDA, FCF, replacement cost; normalized mid-cycle plus secular content model.</x:v>
      </x:c>
      <x:c r="M119" s="40" t="str">
        <x:v>Inventory, capital intensity, depreciation, stock comp, customer prepayments, export controls.</x:v>
      </x:c>
      <x:c r="N119" s="40" t="str">
        <x:v>Economic framework only</x:v>
      </x:c>
      <x:c r="O119" s="40" t="str">
        <x:v>EDGAR</x:v>
      </x:c>
    </x:row>
    <x:row r="120" ht="98" customHeight="1">
      <x:c r="A120" s="40" t="str">
        <x:v>E115</x:v>
      </x:c>
      <x:c r="B120" s="40" t="str">
        <x:v>Information Technology</x:v>
      </x:c>
      <x:c r="C120" s="40" t="str">
        <x:v>Semiconductors &amp; Semiconductor Equipment</x:v>
      </x:c>
      <x:c r="D120" s="40" t="str">
        <x:v>Analog, power and embedded semiconductors</x:v>
      </x:c>
      <x:c r="E120" s="40" t="str">
        <x:v>Industrial/auto/electronics design → qualified socket → long product lifecycle</x:v>
      </x:c>
      <x:c r="F120" s="40" t="str">
        <x:v>Sockets × content and contribution less fabs, support and inventory</x:v>
      </x:c>
      <x:c r="G120" s="40" t="str">
        <x:v>Long design lives and broad catalogs; channel inventory distorts cycles</x:v>
      </x:c>
      <x:c r="H120" s="40" t="str">
        <x:v>Distributor inventory, book-to-bill and industrial design activity</x:v>
      </x:c>
      <x:c r="I120" s="40" t="str">
        <x:v>Internal capacity expansion worsens utilization through recovery</x:v>
      </x:c>
      <x:c r="J120" s="40" t="str">
        <x:v>TXN:Texas Instruments;ADI:Analog Devices;ON:onsemi</x:v>
      </x:c>
      <x:c r="K120" s="40" t="str">
        <x:v>Both</x:v>
      </x:c>
      <x:c r="L120" s="40" t="str">
        <x:v>P/E, EV/EBITDA, FCF, replacement cost; normalized mid-cycle plus secular content model.</x:v>
      </x:c>
      <x:c r="M120" s="40" t="str">
        <x:v>Inventory, capital intensity, depreciation, stock comp, customer prepayments, export controls.</x:v>
      </x:c>
      <x:c r="N120" s="40" t="str">
        <x:v>Economic framework only</x:v>
      </x:c>
      <x:c r="O120" s="40" t="str">
        <x:v>EDGAR</x:v>
      </x:c>
    </x:row>
    <x:row r="121" ht="98" customHeight="1">
      <x:c r="A121" s="40" t="str">
        <x:v>E116</x:v>
      </x:c>
      <x:c r="B121" s="40" t="str">
        <x:v>Information Technology</x:v>
      </x:c>
      <x:c r="C121" s="40" t="str">
        <x:v>Semiconductors &amp; Semiconductor Equipment</x:v>
      </x:c>
      <x:c r="D121" s="40" t="str">
        <x:v>Foundry and manufacturing services</x:v>
      </x:c>
      <x:c r="E121" s="40" t="str">
        <x:v>Fabless design → process qualification → wafer production</x:v>
      </x:c>
      <x:c r="F121" s="40" t="str">
        <x:v>Qualified wafers × price less yield, depreciation and maintenance capex</x:v>
      </x:c>
      <x:c r="G121" s="40" t="str">
        <x:v>Process execution, ecosystems and capital scale</x:v>
      </x:c>
      <x:c r="H121" s="40" t="str">
        <x:v>Utilization by node, customer prepayments and return on new fabs</x:v>
      </x:c>
      <x:c r="I121" s="40" t="str">
        <x:v>Leading-node capex earns inadequate return or customer concentration rises</x:v>
      </x:c>
      <x:c r="J121" s="40" t="str">
        <x:v>TSM:Taiwan Semiconductor Manufacturing;GFS:GlobalFoundries</x:v>
      </x:c>
      <x:c r="K121" s="40" t="str">
        <x:v>Both</x:v>
      </x:c>
      <x:c r="L121" s="40" t="str">
        <x:v>P/E, EV/EBITDA, FCF, replacement cost; normalized mid-cycle plus secular content model.</x:v>
      </x:c>
      <x:c r="M121" s="40" t="str">
        <x:v>Inventory, capital intensity, depreciation, stock comp, customer prepayments, export controls.</x:v>
      </x:c>
      <x:c r="N121" s="40" t="str">
        <x:v>Economic framework only</x:v>
      </x:c>
      <x:c r="O121" s="40" t="str">
        <x:v>EDGAR</x:v>
      </x:c>
    </x:row>
    <x:row r="122" ht="98" customHeight="1">
      <x:c r="A122" s="40" t="str">
        <x:v>E117</x:v>
      </x:c>
      <x:c r="B122" s="40" t="str">
        <x:v>Information Technology</x:v>
      </x:c>
      <x:c r="C122" s="40" t="str">
        <x:v>Semiconductors &amp; Semiconductor Equipment</x:v>
      </x:c>
      <x:c r="D122" s="40" t="str">
        <x:v>Wafer fabrication equipment</x:v>
      </x:c>
      <x:c r="E122" s="40" t="str">
        <x:v>Fab technology/capacity plan → tool qualification → shipment → service</x:v>
      </x:c>
      <x:c r="F122" s="40" t="str">
        <x:v>Tools × value per process step plus installed-base support</x:v>
      </x:c>
      <x:c r="G122" s="40" t="str">
        <x:v>Physics/IP and process qualification; demand follows customer capex not unit sales directly</x:v>
      </x:c>
      <x:c r="H122" s="40" t="str">
        <x:v>Funded fab starts, process intensity and tool utilization</x:v>
      </x:c>
      <x:c r="I122" s="40" t="str">
        <x:v>Customers double order then cancel as fab utilization falls</x:v>
      </x:c>
      <x:c r="J122" s="40" t="str">
        <x:v>AMAT:Applied Materials;LRCX:Lam Research;ASML:ASML</x:v>
      </x:c>
      <x:c r="K122" s="40" t="str">
        <x:v>Both</x:v>
      </x:c>
      <x:c r="L122" s="40" t="str">
        <x:v>P/E, EV/EBITDA, FCF, replacement cost; normalized mid-cycle plus secular content model.</x:v>
      </x:c>
      <x:c r="M122" s="40" t="str">
        <x:v>Inventory, capital intensity, depreciation, stock comp, customer prepayments, export controls.</x:v>
      </x:c>
      <x:c r="N122" s="40" t="str">
        <x:v>Economic framework only</x:v>
      </x:c>
      <x:c r="O122" s="40" t="str">
        <x:v>EDGAR</x:v>
      </x:c>
    </x:row>
    <x:row r="123" ht="98" customHeight="1">
      <x:c r="A123" s="40" t="str">
        <x:v>E118</x:v>
      </x:c>
      <x:c r="B123" s="40" t="str">
        <x:v>Information Technology</x:v>
      </x:c>
      <x:c r="C123" s="40" t="str">
        <x:v>Semiconductors &amp; Semiconductor Equipment</x:v>
      </x:c>
      <x:c r="D123" s="40" t="str">
        <x:v>Advanced packaging, inspection and test</x:v>
      </x:c>
      <x:c r="E123" s="40" t="str">
        <x:v>Known-good die → stacking/interconnect → inspection/test → qualified package</x:v>
      </x:c>
      <x:c r="F123" s="40" t="str">
        <x:v>Packages × inspection/test steps × supplier content less yield/support cost</x:v>
      </x:c>
      <x:c r="G123" s="40" t="str">
        <x:v>Measurement accuracy, thermal handling and production qualification</x:v>
      </x:c>
      <x:c r="H123" s="40" t="str">
        <x:v>Steps per package, utilization and pipeline-to-order conversion</x:v>
      </x:c>
      <x:c r="I123" s="40" t="str">
        <x:v>Customer internalizes inspection or more efficient tools reduce content</x:v>
      </x:c>
      <x:c r="J123" s="40" t="str">
        <x:v>COHU:Cohu;CAMT:Camtek;ONTO:Onto Innovation;KLAC:KLA</x:v>
      </x:c>
      <x:c r="K123" s="40" t="str">
        <x:v>Both</x:v>
      </x:c>
      <x:c r="L123" s="40" t="str">
        <x:v>P/E, EV/EBITDA, FCF, replacement cost; normalized mid-cycle plus secular content model.</x:v>
      </x:c>
      <x:c r="M123" s="40" t="str">
        <x:v>Inventory, capital intensity, depreciation, stock comp, customer prepayments, export controls.</x:v>
      </x:c>
      <x:c r="N123" s="40" t="str">
        <x:v>Selected current issuer check</x:v>
      </x:c>
      <x:c r="O123" s="40" t="str">
        <x:v>CAMT26;COHU26</x:v>
      </x:c>
    </x:row>
    <x:row r="124" ht="98" customHeight="1">
      <x:c r="A124" s="40" t="str">
        <x:v>E119</x:v>
      </x:c>
      <x:c r="B124" s="40" t="str">
        <x:v>Communication Services</x:v>
      </x:c>
      <x:c r="C124" s="40" t="str">
        <x:v>Diversified Telecommunication Services</x:v>
      </x:c>
      <x:c r="D124" s="40" t="str">
        <x:v>Fixed broadband and fiber access</x:v>
      </x:c>
      <x:c r="E124" s="40" t="str">
        <x:v>Premises passed → customer connection → recurring broadband service</x:v>
      </x:c>
      <x:c r="F124" s="40" t="str">
        <x:v>Connected premises × contribution less acquisition, network maintenance and build capex</x:v>
      </x:c>
      <x:c r="G124" s="40" t="str">
        <x:v>Local density and rights-of-way; fiber overlap limits price power</x:v>
      </x:c>
      <x:c r="H124" s="40" t="str">
        <x:v>Penetration by build cohort and maintenance versus expansion capex</x:v>
      </x:c>
      <x:c r="I124" s="40" t="str">
        <x:v>Passing counts grow without profitable take-up; overbuild forces promotions</x:v>
      </x:c>
      <x:c r="J124" s="40" t="str">
        <x:v>CMCSA:Comcast;T:AT&amp;T</x:v>
      </x:c>
      <x:c r="K124" s="40" t="str">
        <x:v>Both</x:v>
      </x:c>
      <x:c r="L124" s="40" t="str">
        <x:v>EV/EBITDA, FCF yield, sum-of-parts, subscriber/household metrics.</x:v>
      </x:c>
      <x:c r="M124" s="40" t="str">
        <x:v>Leases, spectrum capitalization, pension, restructuring, handset financing.</x:v>
      </x:c>
      <x:c r="N124" s="40" t="str">
        <x:v>Economic framework only</x:v>
      </x:c>
      <x:c r="O124" s="40" t="str">
        <x:v>FCC</x:v>
      </x:c>
    </x:row>
    <x:row r="125" ht="98" customHeight="1">
      <x:c r="A125" s="40" t="str">
        <x:v>E120</x:v>
      </x:c>
      <x:c r="B125" s="40" t="str">
        <x:v>Communication Services</x:v>
      </x:c>
      <x:c r="C125" s="40" t="str">
        <x:v>Diversified Telecommunication Services</x:v>
      </x:c>
      <x:c r="D125" s="40" t="str">
        <x:v>Integrated telecom services</x:v>
      </x:c>
      <x:c r="E125" s="40" t="str">
        <x:v>Fixed/mobile network → enterprise/consumer contracts → renewals</x:v>
      </x:c>
      <x:c r="F125" s="40" t="str">
        <x:v>Service revenue less network operations and full lifecycle investment</x:v>
      </x:c>
      <x:c r="G125" s="40" t="str">
        <x:v>Bundling and network reach; legacy cash erosion can subsidize weak growth</x:v>
      </x:c>
      <x:c r="H125" s="40" t="str">
        <x:v>Churn, ARPU and cash after spectrum/network requirements</x:v>
      </x:c>
      <x:c r="I125" s="40" t="str">
        <x:v>Apparent FCF relies on underinvestment or declining service quality</x:v>
      </x:c>
      <x:c r="J125" s="40" t="str">
        <x:v>T:AT&amp;T;VZ:Verizon</x:v>
      </x:c>
      <x:c r="K125" s="40" t="str">
        <x:v>Inflection</x:v>
      </x:c>
      <x:c r="L125" s="40" t="str">
        <x:v>EV/EBITDA, FCF yield, sum-of-parts, subscriber/household metrics.</x:v>
      </x:c>
      <x:c r="M125" s="40" t="str">
        <x:v>Leases, spectrum capitalization, pension, restructuring, handset financing.</x:v>
      </x:c>
      <x:c r="N125" s="40" t="str">
        <x:v>Economic framework only</x:v>
      </x:c>
      <x:c r="O125" s="40" t="str">
        <x:v>FCC</x:v>
      </x:c>
    </x:row>
    <x:row r="126" ht="98" customHeight="1">
      <x:c r="A126" s="40" t="str">
        <x:v>E121</x:v>
      </x:c>
      <x:c r="B126" s="40" t="str">
        <x:v>Communication Services</x:v>
      </x:c>
      <x:c r="C126" s="40" t="str">
        <x:v>Wireless Telecommunication Services</x:v>
      </x:c>
      <x:c r="D126" s="40" t="str">
        <x:v>Wireless operators</x:v>
      </x:c>
      <x:c r="E126" s="40" t="str">
        <x:v>Spectrum → network deployment → subscriber service</x:v>
      </x:c>
      <x:c r="F126" s="40" t="str">
        <x:v>Subscribers × service ARPU less acquisition, network/spectrum and retention cost</x:v>
      </x:c>
      <x:c r="G126" s="40" t="str">
        <x:v>Spectrum and coverage; prepaid versus postpaid economics differ</x:v>
      </x:c>
      <x:c r="H126" s="40" t="str">
        <x:v>Net adds excluding low-value connections; churn and promotion expense</x:v>
      </x:c>
      <x:c r="I126" s="40" t="str">
        <x:v>Subscriber gains bought at poor lifetime economics</x:v>
      </x:c>
      <x:c r="J126" s="40" t="str">
        <x:v>TMUS:T-Mobile US;SKM:SK Telecom</x:v>
      </x:c>
      <x:c r="K126" s="40" t="str">
        <x:v>Both</x:v>
      </x:c>
      <x:c r="L126" s="40" t="str">
        <x:v>EV/EBITDA, FCF yield, subscriber value.</x:v>
      </x:c>
      <x:c r="M126" s="40" t="str">
        <x:v>Spectrum amortization, leases, handset receivables, tower contracts.</x:v>
      </x:c>
      <x:c r="N126" s="40" t="str">
        <x:v>Economic framework only</x:v>
      </x:c>
      <x:c r="O126" s="40" t="str">
        <x:v>FCC</x:v>
      </x:c>
    </x:row>
    <x:row r="127" ht="98" customHeight="1">
      <x:c r="A127" s="40" t="str">
        <x:v>E122</x:v>
      </x:c>
      <x:c r="B127" s="40" t="str">
        <x:v>Communication Services</x:v>
      </x:c>
      <x:c r="C127" s="40" t="str">
        <x:v>Media</x:v>
      </x:c>
      <x:c r="D127" s="40" t="str">
        <x:v>Advertising-supported publishing and broadcast</x:v>
      </x:c>
      <x:c r="E127" s="40" t="str">
        <x:v>Audience attention → advertising inventory → advertiser return</x:v>
      </x:c>
      <x:c r="F127" s="40" t="str">
        <x:v>Reach × monetization less content, distribution and acquisition costs</x:v>
      </x:c>
      <x:c r="G127" s="40" t="str">
        <x:v>Owned audience versus platform referrals; local licenses can protect niches</x:v>
      </x:c>
      <x:c r="H127" s="40" t="str">
        <x:v>Direct traffic, ad pricing and profit excluding election cycles</x:v>
      </x:c>
      <x:c r="I127" s="40" t="str">
        <x:v>Search/AI platforms bypass content; paid traffic replaces organic audience</x:v>
      </x:c>
      <x:c r="J127" s="40" t="str">
        <x:v>ZD:Ziff Davis;NXST:Nexstar Media</x:v>
      </x:c>
      <x:c r="K127" s="40" t="str">
        <x:v>Inflection</x:v>
      </x:c>
      <x:c r="L127" s="40" t="str">
        <x:v>P/E, EV/EBITDA, FCF, SOTP; subscriber LTV where relevant.</x:v>
      </x:c>
      <x:c r="M127" s="40" t="str">
        <x:v>Content amortization, retransmission, political ad normalization, goodwill.</x:v>
      </x:c>
      <x:c r="N127" s="40" t="str">
        <x:v>Selected current issuer check</x:v>
      </x:c>
      <x:c r="O127" s="40" t="str">
        <x:v>ZD26</x:v>
      </x:c>
    </x:row>
    <x:row r="128" ht="98" customHeight="1">
      <x:c r="A128" s="40" t="str">
        <x:v>E123</x:v>
      </x:c>
      <x:c r="B128" s="40" t="str">
        <x:v>Communication Services</x:v>
      </x:c>
      <x:c r="C128" s="40" t="str">
        <x:v>Media</x:v>
      </x:c>
      <x:c r="D128" s="40" t="str">
        <x:v>Subscription information and cable media</x:v>
      </x:c>
      <x:c r="E128" s="40" t="str">
        <x:v>Valuable information/programming → subscriber/distributor contracts</x:v>
      </x:c>
      <x:c r="F128" s="40" t="str">
        <x:v>Retained subscriptions/affiliates × fee less content and distribution</x:v>
      </x:c>
      <x:c r="G128" s="40" t="str">
        <x:v>Proprietary information or scarce rights; subscriber erosion can overwhelm pricing</x:v>
      </x:c>
      <x:c r="H128" s="40" t="str">
        <x:v>Retention by product and content return on investment</x:v>
      </x:c>
      <x:c r="I128" s="40" t="str">
        <x:v>Affiliate price increases cannot offset falling distribution footprint</x:v>
      </x:c>
      <x:c r="J128" s="40" t="str">
        <x:v>NWSA:News Corporation;NYT:New York Times</x:v>
      </x:c>
      <x:c r="K128" s="40" t="str">
        <x:v>Both</x:v>
      </x:c>
      <x:c r="L128" s="40" t="str">
        <x:v>P/E, EV/EBITDA, FCF, SOTP; subscriber LTV where relevant.</x:v>
      </x:c>
      <x:c r="M128" s="40" t="str">
        <x:v>Content amortization, retransmission, political ad normalization, goodwill.</x:v>
      </x:c>
      <x:c r="N128" s="40" t="str">
        <x:v>Economic framework only</x:v>
      </x:c>
      <x:c r="O128" s="40" t="str">
        <x:v>FCC</x:v>
      </x:c>
    </x:row>
    <x:row r="129" ht="98" customHeight="1">
      <x:c r="A129" s="40" t="str">
        <x:v>E124</x:v>
      </x:c>
      <x:c r="B129" s="40" t="str">
        <x:v>Communication Services</x:v>
      </x:c>
      <x:c r="C129" s="40" t="str">
        <x:v>Entertainment</x:v>
      </x:c>
      <x:c r="D129" s="40" t="str">
        <x:v>Streaming and filmed entertainment</x:v>
      </x:c>
      <x:c r="E129" s="40" t="str">
        <x:v>Content investment → audience acquisition → recurring viewing/payments</x:v>
      </x:c>
      <x:c r="F129" s="40" t="str">
        <x:v>Subscribers × contribution less cash content creation and marketing</x:v>
      </x:c>
      <x:c r="G129" s="40" t="str">
        <x:v>Franchise IP and viewing habit; content cash cost differs from amortization</x:v>
      </x:c>
      <x:c r="H129" s="40" t="str">
        <x:v>Paid conversion, churn and cash content spending per retained viewer</x:v>
      </x:c>
      <x:c r="I129" s="40" t="str">
        <x:v>Engagement bought with uneconomic content; churn rises after price increases</x:v>
      </x:c>
      <x:c r="J129" s="40" t="str">
        <x:v>NFLX:Netflix;DIS:Walt Disney</x:v>
      </x:c>
      <x:c r="K129" s="40" t="str">
        <x:v>Both</x:v>
      </x:c>
      <x:c r="L129" s="40" t="str">
        <x:v>P/E, EV/EBITDA, FCF, franchise SOTP; game bookings-based models.</x:v>
      </x:c>
      <x:c r="M129" s="40" t="str">
        <x:v>Content capitalization/amortization, deferred revenue, participations, impairment.</x:v>
      </x:c>
      <x:c r="N129" s="40" t="str">
        <x:v>Economic framework only</x:v>
      </x:c>
      <x:c r="O129" s="40" t="str">
        <x:v>FCC</x:v>
      </x:c>
    </x:row>
    <x:row r="130" ht="98" customHeight="1">
      <x:c r="A130" s="40" t="str">
        <x:v>E125</x:v>
      </x:c>
      <x:c r="B130" s="40" t="str">
        <x:v>Communication Services</x:v>
      </x:c>
      <x:c r="C130" s="40" t="str">
        <x:v>Entertainment</x:v>
      </x:c>
      <x:c r="D130" s="40" t="str">
        <x:v>Video games and live entertainment</x:v>
      </x:c>
      <x:c r="E130" s="40" t="str">
        <x:v>IP/artist/franchise → release/event → player/fan engagement</x:v>
      </x:c>
      <x:c r="F130" s="40" t="str">
        <x:v>Bookings/tickets × contribution less development, talent and acquisition</x:v>
      </x:c>
      <x:c r="G130" s="40" t="str">
        <x:v>Community and scarce experiences; repeat franchise versus one-off hit</x:v>
      </x:c>
      <x:c r="H130" s="40" t="str">
        <x:v>Repeat cohorts, deferred bookings and development milestones</x:v>
      </x:c>
      <x:c r="I130" s="40" t="str">
        <x:v>Live-service engagement or ticket demand fails after launch spend</x:v>
      </x:c>
      <x:c r="J130" s="40" t="str">
        <x:v>TTWO:Take-Two Interactive;LYV:Live Nation</x:v>
      </x:c>
      <x:c r="K130" s="40" t="str">
        <x:v>Both</x:v>
      </x:c>
      <x:c r="L130" s="40" t="str">
        <x:v>P/E, EV/EBITDA, FCF, franchise SOTP; game bookings-based models.</x:v>
      </x:c>
      <x:c r="M130" s="40" t="str">
        <x:v>Content capitalization/amortization, deferred revenue, participations, impairment.</x:v>
      </x:c>
      <x:c r="N130" s="40" t="str">
        <x:v>Economic framework only</x:v>
      </x:c>
      <x:c r="O130" s="40" t="str">
        <x:v>FCC</x:v>
      </x:c>
    </x:row>
    <x:row r="131" ht="98" customHeight="1">
      <x:c r="A131" s="40" t="str">
        <x:v>E126</x:v>
      </x:c>
      <x:c r="B131" s="40" t="str">
        <x:v>Communication Services</x:v>
      </x:c>
      <x:c r="C131" s="40" t="str">
        <x:v>Interactive Media &amp; Services</x:v>
      </x:c>
      <x:c r="D131" s="40" t="str">
        <x:v>Social, search and digital marketplaces</x:v>
      </x:c>
      <x:c r="E131" s="40" t="str">
        <x:v>Users/creators → engagement/intent → ads or transaction monetization</x:v>
      </x:c>
      <x:c r="F131" s="40" t="str">
        <x:v>Useful interactions × net monetization less infrastructure, acquisition and moderation</x:v>
      </x:c>
      <x:c r="G131" s="40" t="str">
        <x:v>Network/data effects; AI can change search and discovery economics</x:v>
      </x:c>
      <x:c r="H131" s="40" t="str">
        <x:v>Engagement quality and conversion per ad, not users alone</x:v>
      </x:c>
      <x:c r="I131" s="40" t="str">
        <x:v>New interface disintermediates intent or increases traffic acquisition cost</x:v>
      </x:c>
      <x:c r="J131" s="40" t="str">
        <x:v>META:Meta Platforms;GOOGL:Alphabet;PINS:Pinterest</x:v>
      </x:c>
      <x:c r="K131" s="40" t="str">
        <x:v>Both</x:v>
      </x:c>
      <x:c r="L131" s="40" t="str">
        <x:v>P/E, EV/FCF, DCF; user economics and ad load.</x:v>
      </x:c>
      <x:c r="M131" s="40" t="str">
        <x:v>SBC, traffic acquisition costs, capex, gross vs net ad/commerce revenue.</x:v>
      </x:c>
      <x:c r="N131" s="40" t="str">
        <x:v>Economic framework only</x:v>
      </x:c>
      <x:c r="O131" s="40" t="str">
        <x:v>FCC</x:v>
      </x:c>
    </x:row>
    <x:row r="132" ht="98" customHeight="1">
      <x:c r="A132" s="40" t="str">
        <x:v>E127</x:v>
      </x:c>
      <x:c r="B132" s="40" t="str">
        <x:v>Utilities</x:v>
      </x:c>
      <x:c r="C132" s="40" t="str">
        <x:v>Electric Utilities</x:v>
      </x:c>
      <x:c r="D132" s="40" t="str">
        <x:v>Regulated electric transmission and distribution</x:v>
      </x:c>
      <x:c r="E132" s="40" t="str">
        <x:v>Approved capital plan → constructed assets → rate base → customer bills</x:v>
      </x:c>
      <x:c r="F132" s="40" t="str">
        <x:v>Equity earnings approximately rate base × allowed equity fraction × allowed ROE, adjusted for earned return</x:v>
      </x:c>
      <x:c r="G132" s="40" t="str">
        <x:v>Service territory and regulatory compact; funding and bill affordability bind growth</x:v>
      </x:c>
      <x:c r="H132" s="40" t="str">
        <x:v>Approved versus requested capex; earned ROE and funded load</x:v>
      </x:c>
      <x:c r="I132" s="40" t="str">
        <x:v>Regulator disallows investment or financing dilution offsets asset growth</x:v>
      </x:c>
      <x:c r="J132" s="40" t="str">
        <x:v>AEP:American Electric Power;D: Dominion Energy</x:v>
      </x:c>
      <x:c r="K132" s="40" t="str">
        <x:v>Both</x:v>
      </x:c>
      <x:c r="L132" s="40" t="str">
        <x:v>P/E, P/B, dividend yield, DCF on rate base.</x:v>
      </x:c>
      <x:c r="M132" s="40" t="str">
        <x:v>Regulatory assets/liabilities, storm costs, pension, nuclear decommissioning.</x:v>
      </x:c>
      <x:c r="N132" s="40" t="str">
        <x:v>Economic framework only</x:v>
      </x:c>
      <x:c r="O132" s="40" t="str">
        <x:v>FERC</x:v>
      </x:c>
    </x:row>
    <x:row r="133" ht="98" customHeight="1">
      <x:c r="A133" s="40" t="str">
        <x:v>E128</x:v>
      </x:c>
      <x:c r="B133" s="40" t="str">
        <x:v>Utilities</x:v>
      </x:c>
      <x:c r="C133" s="40" t="str">
        <x:v>Electric Utilities</x:v>
      </x:c>
      <x:c r="D133" s="40" t="str">
        <x:v>Integrated regulated electric generation</x:v>
      </x:c>
      <x:c r="E133" s="40" t="str">
        <x:v>Generation mix → reliable service → regulated cost recovery</x:v>
      </x:c>
      <x:c r="F133" s="40" t="str">
        <x:v>Regulated operating return less financing and unrecovered operating/project costs</x:v>
      </x:c>
      <x:c r="G133" s="40" t="str">
        <x:v>Fuel/resource planning and constructive regulation</x:v>
      </x:c>
      <x:c r="H133" s="40" t="str">
        <x:v>Rate cases, fuel recovery and project execution</x:v>
      </x:c>
      <x:c r="I133" s="40" t="str">
        <x:v>Cost overruns, wildfire or nuclear liabilities exceed recoverable value</x:v>
      </x:c>
      <x:c r="J133" s="40" t="str">
        <x:v>SO:Southern Company;DUK:Duke Energy</x:v>
      </x:c>
      <x:c r="K133" s="40" t="str">
        <x:v>Both</x:v>
      </x:c>
      <x:c r="L133" s="40" t="str">
        <x:v>P/E, P/B, dividend yield, DCF on rate base.</x:v>
      </x:c>
      <x:c r="M133" s="40" t="str">
        <x:v>Regulatory assets/liabilities, storm costs, pension, nuclear decommissioning.</x:v>
      </x:c>
      <x:c r="N133" s="40" t="str">
        <x:v>Economic framework only</x:v>
      </x:c>
      <x:c r="O133" s="40" t="str">
        <x:v>FERC</x:v>
      </x:c>
    </x:row>
    <x:row r="134" ht="98" customHeight="1">
      <x:c r="A134" s="40" t="str">
        <x:v>E129</x:v>
      </x:c>
      <x:c r="B134" s="40" t="str">
        <x:v>Utilities</x:v>
      </x:c>
      <x:c r="C134" s="40" t="str">
        <x:v>Gas Utilities</x:v>
      </x:c>
      <x:c r="D134" s="40" t="str">
        <x:v>Regulated gas distribution</x:v>
      </x:c>
      <x:c r="E134" s="40" t="str">
        <x:v>Gas supply → local pipe network → customers → regulated tariff</x:v>
      </x:c>
      <x:c r="F134" s="40" t="str">
        <x:v>Allowed return on rate base less unrecovered operating/financing costs</x:v>
      </x:c>
      <x:c r="G134" s="40" t="str">
        <x:v>Local franchise and safety obligations; policy affects asset lives</x:v>
      </x:c>
      <x:c r="H134" s="40" t="str">
        <x:v>Pipe replacement recovery and customer/bill growth</x:v>
      </x:c>
      <x:c r="I134" s="40" t="str">
        <x:v>Replacement capex receives poor recovery or demand transitions away</x:v>
      </x:c>
      <x:c r="J134" s="40" t="str">
        <x:v>ATO:Atmos Energy;OGS:ONE Gas</x:v>
      </x:c>
      <x:c r="K134" s="40" t="str">
        <x:v>Compounder</x:v>
      </x:c>
      <x:c r="L134" s="40" t="str">
        <x:v>P/E, P/B, dividend yield.</x:v>
      </x:c>
      <x:c r="M134" s="40" t="str">
        <x:v>Regulatory assets, pension, environmental obligations.</x:v>
      </x:c>
      <x:c r="N134" s="40" t="str">
        <x:v>Economic framework only</x:v>
      </x:c>
      <x:c r="O134" s="40" t="str">
        <x:v>FERC</x:v>
      </x:c>
    </x:row>
    <x:row r="135" ht="98" customHeight="1">
      <x:c r="A135" s="40" t="str">
        <x:v>E130</x:v>
      </x:c>
      <x:c r="B135" s="40" t="str">
        <x:v>Utilities</x:v>
      </x:c>
      <x:c r="C135" s="40" t="str">
        <x:v>Multi-Utilities</x:v>
      </x:c>
      <x:c r="D135" s="40" t="str">
        <x:v>Multiservice regulated portfolios</x:v>
      </x:c>
      <x:c r="E135" s="40" t="str">
        <x:v>Jurisdiction assets → electric/gas/water tariffs → parent capital allocation</x:v>
      </x:c>
      <x:c r="F135" s="40" t="str">
        <x:v>Sum of allowed/earned segment returns less holding financing</x:v>
      </x:c>
      <x:c r="G135" s="40" t="str">
        <x:v>Jurisdiction diversification does not fix a bad marginal project</x:v>
      </x:c>
      <x:c r="H135" s="40" t="str">
        <x:v>Capital allocation by jurisdiction and rate-case lag</x:v>
      </x:c>
      <x:c r="I135" s="40" t="str">
        <x:v>Capital shifts into weaker regulatory or merchant exposure</x:v>
      </x:c>
      <x:c r="J135" s="40" t="str">
        <x:v>SRE:Sempra;DTE:DTE Energy</x:v>
      </x:c>
      <x:c r="K135" s="40" t="str">
        <x:v>Both</x:v>
      </x:c>
      <x:c r="L135" s="40" t="str">
        <x:v>P/E, P/B, DCF/SOTP.</x:v>
      </x:c>
      <x:c r="M135" s="40" t="str">
        <x:v>Regulatory assets, pension, segment allocations.</x:v>
      </x:c>
      <x:c r="N135" s="40" t="str">
        <x:v>Economic framework only</x:v>
      </x:c>
      <x:c r="O135" s="40" t="str">
        <x:v>FERC</x:v>
      </x:c>
    </x:row>
    <x:row r="136" ht="98" customHeight="1">
      <x:c r="A136" s="40" t="str">
        <x:v>E131</x:v>
      </x:c>
      <x:c r="B136" s="40" t="str">
        <x:v>Utilities</x:v>
      </x:c>
      <x:c r="C136" s="40" t="str">
        <x:v>Water Utilities</x:v>
      </x:c>
      <x:c r="D136" s="40" t="str">
        <x:v>Regulated water and wastewater</x:v>
      </x:c>
      <x:c r="E136" s="40" t="str">
        <x:v>Source/treatment → distribution → metered consumption → tariff</x:v>
      </x:c>
      <x:c r="F136" s="40" t="str">
        <x:v>Approved rate-base return plus customers less operating/financing burden</x:v>
      </x:c>
      <x:c r="G136" s="40" t="str">
        <x:v>Local network, rights and compliance; acquisition premiums require recovery</x:v>
      </x:c>
      <x:c r="H136" s="40" t="str">
        <x:v>Customer additions, approved infrastructure surcharges and leakage</x:v>
      </x:c>
      <x:c r="I136" s="40" t="str">
        <x:v>Affordability blocks rate recovery or contamination creates liability</x:v>
      </x:c>
      <x:c r="J136" s="40" t="str">
        <x:v>AWK:American Water Works;WTRG:Essential Utilities</x:v>
      </x:c>
      <x:c r="K136" s="40" t="str">
        <x:v>Compounder</x:v>
      </x:c>
      <x:c r="L136" s="40" t="str">
        <x:v>P/E, EV/EBITDA, dividend yield, rate-base DCF.</x:v>
      </x:c>
      <x:c r="M136" s="40" t="str">
        <x:v>Regulatory assets, acquisition premiums, infrastructure surcharge accounting.</x:v>
      </x:c>
      <x:c r="N136" s="40" t="str">
        <x:v>Economic framework only</x:v>
      </x:c>
      <x:c r="O136" s="40" t="str">
        <x:v>FERC</x:v>
      </x:c>
    </x:row>
    <x:row r="137" ht="98" customHeight="1">
      <x:c r="A137" s="40" t="str">
        <x:v>E132</x:v>
      </x:c>
      <x:c r="B137" s="40" t="str">
        <x:v>Utilities</x:v>
      </x:c>
      <x:c r="C137" s="40" t="str">
        <x:v>Independent Power and Renewable Electricity Producers</x:v>
      </x:c>
      <x:c r="D137" s="40" t="str">
        <x:v>Merchant generation and retail power</x:v>
      </x:c>
      <x:c r="E137" s="40" t="str">
        <x:v>Fuel/power capacity → wholesale dispatch/auction → retail/contract demand</x:v>
      </x:c>
      <x:c r="F137" s="40" t="str">
        <x:v>Hedged generation/retail spread plus capacity revenue less fuel, collateral and outages</x:v>
      </x:c>
      <x:c r="G137" s="40" t="str">
        <x:v>Location and dispatchable capacity; hedge book changes commodity exposure</x:v>
      </x:c>
      <x:c r="H137" s="40" t="str">
        <x:v>Contracted pricing, hedge expiries and reliable capacity</x:v>
      </x:c>
      <x:c r="I137" s="40" t="str">
        <x:v>Mark-to-market gains mistaken for cash; shortages disappear as supply enters</x:v>
      </x:c>
      <x:c r="J137" s="40" t="str">
        <x:v>NRG:NRG Energy;VST:Vistra</x:v>
      </x:c>
      <x:c r="K137" s="40" t="str">
        <x:v>Inflection</x:v>
      </x:c>
      <x:c r="L137" s="40" t="str">
        <x:v>DCF by asset/PPA, EV/MW, EV/EBITDA, CAFD yield.</x:v>
      </x:c>
      <x:c r="M137" s="40" t="str">
        <x:v>Tax equity, project finance, derivative marks, development pipeline probabilities.</x:v>
      </x:c>
      <x:c r="N137" s="40" t="str">
        <x:v>Selected current issuer check</x:v>
      </x:c>
      <x:c r="O137" s="40" t="str">
        <x:v>NRG26</x:v>
      </x:c>
    </x:row>
    <x:row r="138" ht="98" customHeight="1">
      <x:c r="A138" s="40" t="str">
        <x:v>E133</x:v>
      </x:c>
      <x:c r="B138" s="40" t="str">
        <x:v>Utilities</x:v>
      </x:c>
      <x:c r="C138" s="40" t="str">
        <x:v>Independent Power and Renewable Electricity Producers</x:v>
      </x:c>
      <x:c r="D138" s="40" t="str">
        <x:v>Renewable and contracted power developers</x:v>
      </x:c>
      <x:c r="E138" s="40" t="str">
        <x:v>Site → interconnection → offtake → financing → construction → generation</x:v>
      </x:c>
      <x:c r="F138" s="40" t="str">
        <x:v>Asset cash flow under PPA less full development, upkeep and funding cost</x:v>
      </x:c>
      <x:c r="G138" s="40" t="str">
        <x:v>Power access, permits and capital; megawatt pipeline is not buildable supply</x:v>
      </x:c>
      <x:c r="H138" s="40" t="str">
        <x:v>Interconnected funded projects and yield versus all-in capital cost</x:v>
      </x:c>
      <x:c r="I138" s="40" t="str">
        <x:v>Curtailment, interconnection delays or financing erase project spread</x:v>
      </x:c>
      <x:c r="J138" s="40" t="str">
        <x:v>BEP:Brookfield Renewable;CWEN:Clearway Energy</x:v>
      </x:c>
      <x:c r="K138" s="40" t="str">
        <x:v>Both</x:v>
      </x:c>
      <x:c r="L138" s="40" t="str">
        <x:v>DCF by asset/PPA, EV/MW, EV/EBITDA, CAFD yield.</x:v>
      </x:c>
      <x:c r="M138" s="40" t="str">
        <x:v>Tax equity, project finance, derivative marks, development pipeline probabilities.</x:v>
      </x:c>
      <x:c r="N138" s="40" t="str">
        <x:v>Economic framework only</x:v>
      </x:c>
      <x:c r="O138" s="40" t="str">
        <x:v>FERC</x:v>
      </x:c>
    </x:row>
    <x:row r="139" ht="98" customHeight="1">
      <x:c r="A139" s="40" t="str">
        <x:v>E134</x:v>
      </x:c>
      <x:c r="B139" s="40" t="str">
        <x:v>Real Estate</x:v>
      </x:c>
      <x:c r="C139" s="40" t="str">
        <x:v>Diversified REITs</x:v>
      </x:c>
      <x:c r="D139" s="40" t="str">
        <x:v>Diversified property portfolios</x:v>
      </x:c>
      <x:c r="E139" s="40" t="str">
        <x:v>Property cash flow → capital recycling → shareholder distributions</x:v>
      </x:c>
      <x:c r="F139" s="40" t="str">
        <x:v>Property NOI less recurring capex, financing and central cost</x:v>
      </x:c>
      <x:c r="G139" s="40" t="str">
        <x:v>Allocator skill and asset quality; diversification alone is not an edge</x:v>
      </x:c>
      <x:c r="H139" s="40" t="str">
        <x:v>Asset sales relative to realistic NAV and reinvestment yield</x:v>
      </x:c>
      <x:c r="I139" s="40" t="str">
        <x:v>Reported NAV cannot be realized after capex and transaction costs</x:v>
      </x:c>
      <x:c r="J139" s="40" t="str">
        <x:v>BNL:Broadstone Net Lease;AAT:American Assets Trust</x:v>
      </x:c>
      <x:c r="K139" s="40" t="str">
        <x:v>Both</x:v>
      </x:c>
      <x:c r="L139" s="40" t="str">
        <x:v>P/NAV, P/AFFO, implied cap rate, DCF.</x:v>
      </x:c>
      <x:c r="M139" s="40" t="str">
        <x:v>AFFO adjustments, straight-line rent, recurring capex, JV accounting.</x:v>
      </x:c>
      <x:c r="N139" s="40" t="str">
        <x:v>Economic framework only</x:v>
      </x:c>
      <x:c r="O139" s="40" t="str">
        <x:v>CENSUS</x:v>
      </x:c>
    </x:row>
    <x:row r="140" ht="98" customHeight="1">
      <x:c r="A140" s="40" t="str">
        <x:v>E135</x:v>
      </x:c>
      <x:c r="B140" s="40" t="str">
        <x:v>Real Estate</x:v>
      </x:c>
      <x:c r="C140" s="40" t="str">
        <x:v>Industrial REITs</x:v>
      </x:c>
      <x:c r="D140" s="40" t="str">
        <x:v>Logistics and industrial property</x:v>
      </x:c>
      <x:c r="E140" s="40" t="str">
        <x:v>Supply-chain activity → warehouse leasing → rent reset/development</x:v>
      </x:c>
      <x:c r="F140" s="40" t="str">
        <x:v>Area × effective rent × occupancy less property costs and recurring capex</x:v>
      </x:c>
      <x:c r="G140" s="40" t="str">
        <x:v>Infill location, land and tenant networks; local delivery supply matters</x:v>
      </x:c>
      <x:c r="H140" s="40" t="str">
        <x:v>Net absorption, tenant renewals and cash rent spreads</x:v>
      </x:c>
      <x:c r="I140" s="40" t="str">
        <x:v>New supply exceeds demand or rents are offset by concessions</x:v>
      </x:c>
      <x:c r="J140" s="40" t="str">
        <x:v>PLD:Prologis;EGP:EastGroup Properties</x:v>
      </x:c>
      <x:c r="K140" s="40" t="str">
        <x:v>Compounder</x:v>
      </x:c>
      <x:c r="L140" s="40" t="str">
        <x:v>P/NAV, P/AFFO, implied cap rate, development NAV.</x:v>
      </x:c>
      <x:c r="M140" s="40" t="str">
        <x:v>Straight-line rent, tenant improvements, recurring capex, JV development.</x:v>
      </x:c>
      <x:c r="N140" s="40" t="str">
        <x:v>Economic framework only</x:v>
      </x:c>
      <x:c r="O140" s="40" t="str">
        <x:v>CENSUS</x:v>
      </x:c>
    </x:row>
    <x:row r="141" ht="98" customHeight="1">
      <x:c r="A141" s="40" t="str">
        <x:v>E136</x:v>
      </x:c>
      <x:c r="B141" s="40" t="str">
        <x:v>Real Estate</x:v>
      </x:c>
      <x:c r="C141" s="40" t="str">
        <x:v>Hotel &amp; Resort REITs</x:v>
      </x:c>
      <x:c r="D141" s="40" t="str">
        <x:v>Hotel and resort property ownership</x:v>
      </x:c>
      <x:c r="E141" s="40" t="str">
        <x:v>Travel demand → nightly occupancy → room/ancillary spending</x:v>
      </x:c>
      <x:c r="F141" s="40" t="str">
        <x:v>Rooms × occupancy × net rate less hotel opex, renewal capex and interest</x:v>
      </x:c>
      <x:c r="G141" s="40" t="str">
        <x:v>Scarce locations but no contracted occupancy; major renovation burdens</x:v>
      </x:c>
      <x:c r="H141" s="40" t="str">
        <x:v>Bookings, net RevPAR and labor per occupied room</x:v>
      </x:c>
      <x:c r="I141" s="40" t="str">
        <x:v>RevPAR growth is consumed by labor or property reinvestment</x:v>
      </x:c>
      <x:c r="J141" s="40" t="str">
        <x:v>HST:Host Hotels &amp; Resorts;PEB:Pebblebrook Hotel Trust</x:v>
      </x:c>
      <x:c r="K141" s="40" t="str">
        <x:v>Inflection</x:v>
      </x:c>
      <x:c r="L141" s="40" t="str">
        <x:v>P/NAV, EV/EBITDA, FFO/AFFO, value per key.</x:v>
      </x:c>
      <x:c r="M141" s="40" t="str">
        <x:v>FF&amp;E reserves, management fees, renovations, seasonality.</x:v>
      </x:c>
      <x:c r="N141" s="40" t="str">
        <x:v>Economic framework only</x:v>
      </x:c>
      <x:c r="O141" s="40" t="str">
        <x:v>CENSUS</x:v>
      </x:c>
    </x:row>
    <x:row r="142" ht="98" customHeight="1">
      <x:c r="A142" s="40" t="str">
        <x:v>E137</x:v>
      </x:c>
      <x:c r="B142" s="40" t="str">
        <x:v>Real Estate</x:v>
      </x:c>
      <x:c r="C142" s="40" t="str">
        <x:v>Office REITs</x:v>
      </x:c>
      <x:c r="D142" s="40" t="str">
        <x:v>Office and specialized workplace assets</x:v>
      </x:c>
      <x:c r="E142" s="40" t="str">
        <x:v>Employers' workspace needs → lease negotiation → occupancy</x:v>
      </x:c>
      <x:c r="F142" s="40" t="str">
        <x:v>Effective rent less concessions, tenant improvements, commissions and property costs</x:v>
      </x:c>
      <x:c r="G142" s="40" t="str">
        <x:v>Trophy locations may differ from obsolete assets; economic vacancy matters</x:v>
      </x:c>
      <x:c r="H142" s="40" t="str">
        <x:v>Executed leases, tenant credit and all-in releasing cost</x:v>
      </x:c>
      <x:c r="I142" s="40" t="str">
        <x:v>Headline occupancy hides free rent and expensive tenant concessions</x:v>
      </x:c>
      <x:c r="J142" s="40" t="str">
        <x:v>BXP:BXP;SLG:SL Green Realty</x:v>
      </x:c>
      <x:c r="K142" s="40" t="str">
        <x:v>Inflection</x:v>
      </x:c>
      <x:c r="L142" s="40" t="str">
        <x:v>P/NAV, implied cap rate, FFO adjusted for TI/LC.</x:v>
      </x:c>
      <x:c r="M142" s="40" t="str">
        <x:v>Straight-line rent, concessions, tenant improvements, capex capitalization.</x:v>
      </x:c>
      <x:c r="N142" s="40" t="str">
        <x:v>Economic framework only</x:v>
      </x:c>
      <x:c r="O142" s="40" t="str">
        <x:v>CENSUS</x:v>
      </x:c>
    </x:row>
    <x:row r="143" ht="98" customHeight="1">
      <x:c r="A143" s="40" t="str">
        <x:v>E138</x:v>
      </x:c>
      <x:c r="B143" s="40" t="str">
        <x:v>Real Estate</x:v>
      </x:c>
      <x:c r="C143" s="40" t="str">
        <x:v>Health Care REITs</x:v>
      </x:c>
      <x:c r="D143" s="40" t="str">
        <x:v>Senior housing and health-care property</x:v>
      </x:c>
      <x:c r="E143" s="40" t="str">
        <x:v>Resident/patient need → operator economics → rent/NOI</x:v>
      </x:c>
      <x:c r="F143" s="40" t="str">
        <x:v>Occupied beds/space × operator cash margin or rent less upkeep and finance</x:v>
      </x:c>
      <x:c r="G143" s="40" t="str">
        <x:v>Demographics are not enough; operator staffing and reimbursement govern rent cover</x:v>
      </x:c>
      <x:c r="H143" s="40" t="str">
        <x:v>Occupancy and tenant coverage after market labor costs</x:v>
      </x:c>
      <x:c r="I143" s="40" t="str">
        <x:v>Operator cannot pay rent without assistance or deferred maintenance</x:v>
      </x:c>
      <x:c r="J143" s="40" t="str">
        <x:v>WELL:Welltower;VTR:Ventas</x:v>
      </x:c>
      <x:c r="K143" s="40" t="str">
        <x:v>Both</x:v>
      </x:c>
      <x:c r="L143" s="40" t="str">
        <x:v>P/NAV, P/AFFO, implied cap rate.</x:v>
      </x:c>
      <x:c r="M143" s="40" t="str">
        <x:v>Operator loans, straight-line rent, development, recurring capex.</x:v>
      </x:c>
      <x:c r="N143" s="40" t="str">
        <x:v>Economic framework only</x:v>
      </x:c>
      <x:c r="O143" s="40" t="str">
        <x:v>CENSUS</x:v>
      </x:c>
    </x:row>
    <x:row r="144" ht="98" customHeight="1">
      <x:c r="A144" s="40" t="str">
        <x:v>E139</x:v>
      </x:c>
      <x:c r="B144" s="40" t="str">
        <x:v>Real Estate</x:v>
      </x:c>
      <x:c r="C144" s="40" t="str">
        <x:v>Residential REITs</x:v>
      </x:c>
      <x:c r="D144" s="40" t="str">
        <x:v>Multifamily residential property</x:v>
      </x:c>
      <x:c r="E144" s="40" t="str">
        <x:v>Household formation → local apartment supply → lease/renewal</x:v>
      </x:c>
      <x:c r="F144" s="40" t="str">
        <x:v>Units × effective rent × occupancy less property cost and recurring capex</x:v>
      </x:c>
      <x:c r="G144" s="40" t="str">
        <x:v>Location and operating scale; construction pipeline determines marginal supply</x:v>
      </x:c>
      <x:c r="H144" s="40" t="str">
        <x:v>New versus renewal lease spreads and concessions by local market</x:v>
      </x:c>
      <x:c r="I144" s="40" t="str">
        <x:v>Supply peak is delayed or income/rent regulation limits pricing</x:v>
      </x:c>
      <x:c r="J144" s="40" t="str">
        <x:v>IRT:Independence Realty Trust;MAA:Mid-America Apartment Communities</x:v>
      </x:c>
      <x:c r="K144" s="40" t="str">
        <x:v>Both</x:v>
      </x:c>
      <x:c r="L144" s="40" t="str">
        <x:v>P/NAV, P/AFFO, implied cap rate.</x:v>
      </x:c>
      <x:c r="M144" s="40" t="str">
        <x:v>Concessions, capitalized renovations, same-store definitions.</x:v>
      </x:c>
      <x:c r="N144" s="40" t="str">
        <x:v>Selected current issuer check</x:v>
      </x:c>
      <x:c r="O144" s="40" t="str">
        <x:v>IRT26</x:v>
      </x:c>
    </x:row>
    <x:row r="145" ht="98" customHeight="1">
      <x:c r="A145" s="40" t="str">
        <x:v>E140</x:v>
      </x:c>
      <x:c r="B145" s="40" t="str">
        <x:v>Real Estate</x:v>
      </x:c>
      <x:c r="C145" s="40" t="str">
        <x:v>Residential REITs</x:v>
      </x:c>
      <x:c r="D145" s="40" t="str">
        <x:v>Single-family and manufactured housing rentals</x:v>
      </x:c>
      <x:c r="E145" s="40" t="str">
        <x:v>Housing affordability → household lease → recurring rent/service</x:v>
      </x:c>
      <x:c r="F145" s="40" t="str">
        <x:v>Occupied homes/sites × contribution less maintenance and turnover</x:v>
      </x:c>
      <x:c r="G145" s="40" t="str">
        <x:v>Land/community scarcity and local operations; capex differs materially by format</x:v>
      </x:c>
      <x:c r="H145" s="40" t="str">
        <x:v>Turnover-adjusted rent growth and maintenance per unit</x:v>
      </x:c>
      <x:c r="I145" s="40" t="str">
        <x:v>Maintenance escalation or regulation eliminates apparent yield</x:v>
      </x:c>
      <x:c r="J145" s="40" t="str">
        <x:v>INVH:Invitation Homes;ELS:Equity LifeStyle Properties</x:v>
      </x:c>
      <x:c r="K145" s="40" t="str">
        <x:v>Compounder</x:v>
      </x:c>
      <x:c r="L145" s="40" t="str">
        <x:v>P/NAV, P/AFFO, implied cap rate.</x:v>
      </x:c>
      <x:c r="M145" s="40" t="str">
        <x:v>Concessions, capitalized renovations, same-store definitions.</x:v>
      </x:c>
      <x:c r="N145" s="40" t="str">
        <x:v>Economic framework only</x:v>
      </x:c>
      <x:c r="O145" s="40" t="str">
        <x:v>CENSUS</x:v>
      </x:c>
    </x:row>
    <x:row r="146" ht="98" customHeight="1">
      <x:c r="A146" s="40" t="str">
        <x:v>E141</x:v>
      </x:c>
      <x:c r="B146" s="40" t="str">
        <x:v>Real Estate</x:v>
      </x:c>
      <x:c r="C146" s="40" t="str">
        <x:v>Retail REITs</x:v>
      </x:c>
      <x:c r="D146" s="40" t="str">
        <x:v>Grocery-anchored and open-air retail property</x:v>
      </x:c>
      <x:c r="E146" s="40" t="str">
        <x:v>Local household spending → tenant sales → supported rent</x:v>
      </x:c>
      <x:c r="F146" s="40" t="str">
        <x:v>Occupied space × sustainable rent less property and tenant capital</x:v>
      </x:c>
      <x:c r="G146" s="40" t="str">
        <x:v>Location and tenant mix; retail demand must support rent increases</x:v>
      </x:c>
      <x:c r="H146" s="40" t="str">
        <x:v>Tenant sales productivity, occupancy and releasing spreads</x:v>
      </x:c>
      <x:c r="I146" s="40" t="str">
        <x:v>Tenant churn or concessions make nominal rent increases uneconomic</x:v>
      </x:c>
      <x:c r="J146" s="40" t="str">
        <x:v>KIM:Kimco Realty;REG:Regency Centers</x:v>
      </x:c>
      <x:c r="K146" s="40" t="str">
        <x:v>Compounder</x:v>
      </x:c>
      <x:c r="L146" s="40" t="str">
        <x:v>P/NAV, P/AFFO, implied cap rate.</x:v>
      </x:c>
      <x:c r="M146" s="40" t="str">
        <x:v>Straight-line rent, redevelopment capitalization, tenant allowances.</x:v>
      </x:c>
      <x:c r="N146" s="40" t="str">
        <x:v>Economic framework only</x:v>
      </x:c>
      <x:c r="O146" s="40" t="str">
        <x:v>CENSUS</x:v>
      </x:c>
    </x:row>
    <x:row r="147" ht="98" customHeight="1">
      <x:c r="A147" s="40" t="str">
        <x:v>E142</x:v>
      </x:c>
      <x:c r="B147" s="40" t="str">
        <x:v>Real Estate</x:v>
      </x:c>
      <x:c r="C147" s="40" t="str">
        <x:v>Retail REITs</x:v>
      </x:c>
      <x:c r="D147" s="40" t="str">
        <x:v>Malls and experiential retail assets</x:v>
      </x:c>
      <x:c r="E147" s="40" t="str">
        <x:v>Regional destination demand → tenant sales → lease/participation income</x:v>
      </x:c>
      <x:c r="F147" s="40" t="str">
        <x:v>Tenant sales-supported rent less redevelopment and financing</x:v>
      </x:c>
      <x:c r="G147" s="40" t="str">
        <x:v>Prime assets differ from low-productivity malls; asset-specific underwriting required</x:v>
      </x:c>
      <x:c r="H147" s="40" t="str">
        <x:v>Tenant sales, occupancy and redevelopment preleasing</x:v>
      </x:c>
      <x:c r="I147" s="40" t="str">
        <x:v>Recurring redevelopment disguises maintenance needed to prevent obsolescence</x:v>
      </x:c>
      <x:c r="J147" s="40" t="str">
        <x:v>SPG:Simon Property Group;MAC:Macerich</x:v>
      </x:c>
      <x:c r="K147" s="40" t="str">
        <x:v>Both</x:v>
      </x:c>
      <x:c r="L147" s="40" t="str">
        <x:v>P/NAV, P/AFFO, implied cap rate.</x:v>
      </x:c>
      <x:c r="M147" s="40" t="str">
        <x:v>Straight-line rent, redevelopment capitalization, tenant allowances.</x:v>
      </x:c>
      <x:c r="N147" s="40" t="str">
        <x:v>Economic framework only</x:v>
      </x:c>
      <x:c r="O147" s="40" t="str">
        <x:v>CENSUS</x:v>
      </x:c>
    </x:row>
    <x:row r="148" ht="98" customHeight="1">
      <x:c r="A148" s="40" t="str">
        <x:v>E143</x:v>
      </x:c>
      <x:c r="B148" s="40" t="str">
        <x:v>Real Estate</x:v>
      </x:c>
      <x:c r="C148" s="40" t="str">
        <x:v>Specialized REITs</x:v>
      </x:c>
      <x:c r="D148" s="40" t="str">
        <x:v>Data-center real estate</x:v>
      </x:c>
      <x:c r="E148" s="40" t="str">
        <x:v>Power/fiber secured → facility construction → IT load lease</x:v>
      </x:c>
      <x:c r="F148" s="40" t="str">
        <x:v>Contracted powered capacity × net rent less power infrastructure, cooling and renewal capex</x:v>
      </x:c>
      <x:c r="G148" s="40" t="str">
        <x:v>Deliverable power, fiber and customer density; installed IT is customer's asset</x:v>
      </x:c>
      <x:c r="H148" s="40" t="str">
        <x:v>Signed energized leases, power availability and development yield</x:v>
      </x:c>
      <x:c r="I148" s="40" t="str">
        <x:v>Reserved demand lacks committed power/customer credit; capex outruns rent</x:v>
      </x:c>
      <x:c r="J148" s="40" t="str">
        <x:v>EQIX:Equinix;DLR:Digital Realty</x:v>
      </x:c>
      <x:c r="K148" s="40" t="str">
        <x:v>Both</x:v>
      </x:c>
      <x:c r="L148" s="40" t="str">
        <x:v>P/NAV, P/AFFO, EV/EBITDA, asset-specific DCF.</x:v>
      </x:c>
      <x:c r="M148" s="40" t="str">
        <x:v>Development capex, straight-line rent, power pass-through, customer concentration.</x:v>
      </x:c>
      <x:c r="N148" s="40" t="str">
        <x:v>Economic framework only</x:v>
      </x:c>
      <x:c r="O148" s="40" t="str">
        <x:v>CENSUS</x:v>
      </x:c>
    </x:row>
    <x:row r="149" ht="98" customHeight="1">
      <x:c r="A149" s="40" t="str">
        <x:v>E144</x:v>
      </x:c>
      <x:c r="B149" s="40" t="str">
        <x:v>Real Estate</x:v>
      </x:c>
      <x:c r="C149" s="40" t="str">
        <x:v>Specialized REITs</x:v>
      </x:c>
      <x:c r="D149" s="40" t="str">
        <x:v>Communications towers</x:v>
      </x:c>
      <x:c r="E149" s="40" t="str">
        <x:v>Wireless coverage/capacity need → tower lease/amendment → recurring rent</x:v>
      </x:c>
      <x:c r="F149" s="40" t="str">
        <x:v>Sites × tenants/amendments × rent less land, maintenance and finance</x:v>
      </x:c>
      <x:c r="G149" s="40" t="str">
        <x:v>Zoning/location and colocation; tenant consolidation can reduce revenue</x:v>
      </x:c>
      <x:c r="H149" s="40" t="str">
        <x:v>Amendment activity, churn and escalators after carrier mergers</x:v>
      </x:c>
      <x:c r="I149" s="40" t="str">
        <x:v>Equipment decommissioning or carrier consolidation exceeds new leasing</x:v>
      </x:c>
      <x:c r="J149" s="40" t="str">
        <x:v>AMT:American Tower;SBAC:SBA Communications</x:v>
      </x:c>
      <x:c r="K149" s="40" t="str">
        <x:v>Compounder</x:v>
      </x:c>
      <x:c r="L149" s="40" t="str">
        <x:v>P/NAV, P/AFFO, EV/EBITDA, asset-specific DCF.</x:v>
      </x:c>
      <x:c r="M149" s="40" t="str">
        <x:v>Development capex, straight-line rent, power pass-through, customer concentration.</x:v>
      </x:c>
      <x:c r="N149" s="40" t="str">
        <x:v>Economic framework only</x:v>
      </x:c>
      <x:c r="O149" s="40" t="str">
        <x:v>CENSUS</x:v>
      </x:c>
    </x:row>
    <x:row r="150" ht="98" customHeight="1">
      <x:c r="A150" s="40" t="str">
        <x:v>E145</x:v>
      </x:c>
      <x:c r="B150" s="40" t="str">
        <x:v>Real Estate</x:v>
      </x:c>
      <x:c r="C150" s="40" t="str">
        <x:v>Specialized REITs</x:v>
      </x:c>
      <x:c r="D150" s="40" t="str">
        <x:v>Self-storage property</x:v>
      </x:c>
      <x:c r="E150" s="40" t="str">
        <x:v>Household moves/disruption → storage demand → monthly leases</x:v>
      </x:c>
      <x:c r="F150" s="40" t="str">
        <x:v>Units × realized rent × occupancy less local opex and renewal capex</x:v>
      </x:c>
      <x:c r="G150" s="40" t="str">
        <x:v>Local density and data pricing; new supply can enter selected markets</x:v>
      </x:c>
      <x:c r="H150" s="40" t="str">
        <x:v>Move-ins, street rates, existing-customer increases and occupancy</x:v>
      </x:c>
      <x:c r="I150" s="40" t="str">
        <x:v>Legacy rent hikes conceal poor new-customer economics</x:v>
      </x:c>
      <x:c r="J150" s="40" t="str">
        <x:v>PSA:Public Storage;EXR:Extra Space Storage</x:v>
      </x:c>
      <x:c r="K150" s="40" t="str">
        <x:v>Both</x:v>
      </x:c>
      <x:c r="L150" s="40" t="str">
        <x:v>P/NAV, P/AFFO, EV/EBITDA, asset-specific DCF.</x:v>
      </x:c>
      <x:c r="M150" s="40" t="str">
        <x:v>Development capex, straight-line rent, power pass-through, customer concentration.</x:v>
      </x:c>
      <x:c r="N150" s="40" t="str">
        <x:v>Economic framework only</x:v>
      </x:c>
      <x:c r="O150" s="40" t="str">
        <x:v>CENSUS</x:v>
      </x:c>
    </x:row>
    <x:row r="151" ht="98" customHeight="1">
      <x:c r="A151" s="40" t="str">
        <x:v>E146</x:v>
      </x:c>
      <x:c r="B151" s="40" t="str">
        <x:v>Real Estate</x:v>
      </x:c>
      <x:c r="C151" s="40" t="str">
        <x:v>Specialized REITs</x:v>
      </x:c>
      <x:c r="D151" s="40" t="str">
        <x:v>Timber and alternative specialized leases</x:v>
      </x:c>
      <x:c r="E151" s="40" t="str">
        <x:v>Biological/resource or specialized tenant asset → contracted/local cash generation</x:v>
      </x:c>
      <x:c r="F151" s="40" t="str">
        <x:v>Harvest/rental cash less depletion, upkeep and financing</x:v>
      </x:c>
      <x:c r="G151" s="40" t="str">
        <x:v>Asset-specific scarcity and tenant credit; not comparable to data centers</x:v>
      </x:c>
      <x:c r="H151" s="40" t="str">
        <x:v>Timber cost curves or tenant coverage, depending on asset</x:v>
      </x:c>
      <x:c r="I151" s="40" t="str">
        <x:v>Specialized asset loses alternative use; weak tenant captures lease economics</x:v>
      </x:c>
      <x:c r="J151" s="40" t="str">
        <x:v>WY:Weyerhaeuser;VICI:VICI Properties</x:v>
      </x:c>
      <x:c r="K151" s="40" t="str">
        <x:v>Both</x:v>
      </x:c>
      <x:c r="L151" s="40" t="str">
        <x:v>P/NAV, P/AFFO, EV/EBITDA, asset-specific DCF.</x:v>
      </x:c>
      <x:c r="M151" s="40" t="str">
        <x:v>Development capex, straight-line rent, power pass-through, customer concentration.</x:v>
      </x:c>
      <x:c r="N151" s="40" t="str">
        <x:v>Economic framework only</x:v>
      </x:c>
      <x:c r="O151" s="40" t="str">
        <x:v>CENSUS</x:v>
      </x:c>
    </x:row>
    <x:row r="152" ht="98" customHeight="1">
      <x:c r="A152" s="40" t="str">
        <x:v>E147</x:v>
      </x:c>
      <x:c r="B152" s="40" t="str">
        <x:v>Real Estate</x:v>
      </x:c>
      <x:c r="C152" s="40" t="str">
        <x:v>Real Estate Management &amp; Development</x:v>
      </x:c>
      <x:c r="D152" s="40" t="str">
        <x:v>Property services and asset management</x:v>
      </x:c>
      <x:c r="E152" s="40" t="str">
        <x:v>Owners/investors → leasing/transactions/management → service fees</x:v>
      </x:c>
      <x:c r="F152" s="40" t="str">
        <x:v>Managed area/AUM and transactions × retained fee less specialist labor</x:v>
      </x:c>
      <x:c r="G152" s="40" t="str">
        <x:v>Local relationships, data and recurring contracts</x:v>
      </x:c>
      <x:c r="H152" s="40" t="str">
        <x:v>Recurring management versus cyclical transaction revenues</x:v>
      </x:c>
      <x:c r="I152" s="40" t="str">
        <x:v>Transaction recovery assumed before financing reopens; fee pressure persists</x:v>
      </x:c>
      <x:c r="J152" s="40" t="str">
        <x:v>CBRE:CBRE;JLL:Jones Lang LaSalle</x:v>
      </x:c>
      <x:c r="K152" s="40" t="str">
        <x:v>Both</x:v>
      </x:c>
      <x:c r="L152" s="40" t="str">
        <x:v>NAV/SOTP, P/E for fee businesses, P/B for developers.</x:v>
      </x:c>
      <x:c r="M152" s="40" t="str">
        <x:v>Land valuation, capitalized interest, JV/off-balance-sheet debt, percentage-of-completion.</x:v>
      </x:c>
      <x:c r="N152" s="40" t="str">
        <x:v>Economic framework only</x:v>
      </x:c>
      <x:c r="O152" s="40" t="str">
        <x:v>CENSUS</x:v>
      </x:c>
    </x:row>
    <x:row r="153" ht="98" customHeight="1">
      <x:c r="A153" s="40" t="str">
        <x:v>E148</x:v>
      </x:c>
      <x:c r="B153" s="40" t="str">
        <x:v>Real Estate</x:v>
      </x:c>
      <x:c r="C153" s="40" t="str">
        <x:v>Real Estate Management &amp; Development</x:v>
      </x:c>
      <x:c r="D153" s="40" t="str">
        <x:v>Property development and land ownership</x:v>
      </x:c>
      <x:c r="E153" s="40" t="str">
        <x:v>Land acquisition → entitlement → finance/build → sale/lease</x:v>
      </x:c>
      <x:c r="F153" s="40" t="str">
        <x:v>Realized development spread less full land holding and capital costs</x:v>
      </x:c>
      <x:c r="G153" s="40" t="str">
        <x:v>Local entitlements, land basis and balance-sheet endurance</x:v>
      </x:c>
      <x:c r="H153" s="40" t="str">
        <x:v>Presales, financing and construction cost versus achievable rent/price</x:v>
      </x:c>
      <x:c r="I153" s="40" t="str">
        <x:v>Paper NAV supported by unrealistic exit values or refinancing</x:v>
      </x:c>
      <x:c r="J153" s="40" t="str">
        <x:v>HHH:Howard Hughes Holdings Holdings;JOE:St. Joe</x:v>
      </x:c>
      <x:c r="K153" s="40" t="str">
        <x:v>Inflection</x:v>
      </x:c>
      <x:c r="L153" s="40" t="str">
        <x:v>NAV/SOTP, P/E for fee businesses, P/B for developers.</x:v>
      </x:c>
      <x:c r="M153" s="40" t="str">
        <x:v>Land valuation, capitalized interest, JV/off-balance-sheet debt, percentage-of-completion.</x:v>
      </x:c>
      <x:c r="N153" s="40" t="str">
        <x:v>Economic framework only</x:v>
      </x:c>
      <x:c r="O153" s="40" t="str">
        <x:v>CENSUS</x:v>
      </x:c>
    </x:row>
    <x:row r="154" ht="98" customHeight="1">
      <x:c r="A154" s="40" t="str">
        <x:v>E149</x:v>
      </x:c>
      <x:c r="B154" s="40" t="str">
        <x:v>Industrials</x:v>
      </x:c>
      <x:c r="C154" s="40" t="str">
        <x:v>Machinery</x:v>
      </x:c>
      <x:c r="D154" s="40" t="str">
        <x:v>Industrial corrosion protection and coil coating</x:v>
      </x:c>
      <x:c r="E154" s="40" t="str">
        <x:v>Fabricated steel or coil → surface treatment plant → infrastructure or building customer</x:v>
      </x:c>
      <x:c r="F154" s="40" t="str">
        <x:v>Tons processed × service spread less zinc, paint, energy, labor and maintenance</x:v>
      </x:c>
      <x:c r="G154" s="40" t="str">
        <x:v>Transport radius and permits may protect local plants; coil coating competes under different utilization economics</x:v>
      </x:c>
      <x:c r="H154" s="40" t="str">
        <x:v>Separate galvanizing price/tons, coil coating volumes and plant utilization</x:v>
      </x:c>
      <x:c r="I154" s="40" t="str">
        <x:v>Margins depend on input timing rather than durable service pricing; new capacity weakens local economics</x:v>
      </x:c>
      <x:c r="J154" s="40" t="str">
        <x:v>AZZ:AZZ</x:v>
      </x:c>
      <x:c r="K154" s="40" t="str">
        <x:v>Both</x:v>
      </x:c>
      <x:c r="L154" s="40" t="str">
        <x:v>EV/EBITDA, P/E, FCF, normalized mid-cycle margins.</x:v>
      </x:c>
      <x:c r="M154" s="40" t="str">
        <x:v>Dealer financing, inventory, warranty, pension, restructuring, acquisition intangibles.</x:v>
      </x:c>
      <x:c r="N154" s="40" t="str">
        <x:v>Selected current issuer check</x:v>
      </x:c>
      <x:c r="O154" s="40" t="str">
        <x:v>AZZ26</x:v>
      </x:c>
    </x:row>
    <x:row r="155" ht="98" customHeight="1">
      <x:c r="A155" s="40" t="str">
        <x:v>E150</x:v>
      </x:c>
      <x:c r="B155" s="40" t="str">
        <x:v>Information Technology</x:v>
      </x:c>
      <x:c r="C155" s="40" t="str">
        <x:v>Electronic Equipment, Instruments &amp; Components</x:v>
      </x:c>
      <x:c r="D155" s="40" t="str">
        <x:v>Security communicators and recurring connectivity</x:v>
      </x:c>
      <x:c r="E155" s="40" t="str">
        <x:v>Installer or dealer → alarm hardware → activated communications account → monitoring destination</x:v>
      </x:c>
      <x:c r="F155" s="40" t="str">
        <x:v>Active accounts × monthly connectivity price less carrier/platform costs, plus hardware contribution</x:v>
      </x:c>
      <x:c r="G155" s="40" t="str">
        <x:v>Dealer relationships and installed devices may be sticky; switching costs and true disconnect rates must be measured</x:v>
      </x:c>
      <x:c r="H155" s="40" t="str">
        <x:v>Gross activations, disconnects, ARPU and recurring gross profit grow without uneconomic hardware subsidy</x:v>
      </x:c>
      <x:c r="I155" s="40" t="str">
        <x:v>Connectivity churn rises, dealer bargaining captures margin or refunds disguise normalized profitability</x:v>
      </x:c>
      <x:c r="J155" s="40" t="str">
        <x:v>NSSC:NAPCO Security Technologies;ALRM:Alarm.com</x:v>
      </x:c>
      <x:c r="K155" s="40" t="str">
        <x:v>Compounder</x:v>
      </x:c>
      <x:c r="L155" s="40" t="str">
        <x:v>P/E, EV/EBITDA, FCF; design-win pipeline and normalized margins.</x:v>
      </x:c>
      <x:c r="M155" s="40" t="str">
        <x:v>Distributor gross vs net, inventory reserves, customer-owned tooling, acquisition intangibles.</x:v>
      </x:c>
      <x:c r="N155" s="40" t="str">
        <x:v>Selected current issuer check</x:v>
      </x:c>
      <x:c r="O155" s="40" t="str">
        <x:v>NSSC26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4dc1010b837346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5" hidden="0" customWidth="1"/>
    <x:col min="4" max="4" width="16" hidden="0" customWidth="1"/>
    <x:col min="5" max="5" width="24" hidden="0" customWidth="1"/>
    <x:col min="6" max="6" width="28" hidden="0" customWidth="1"/>
    <x:col min="7" max="7" width="20" hidden="0" customWidth="1"/>
    <x:col min="8" max="8" width="30" hidden="0" customWidth="1"/>
    <x:col min="9" max="9" width="38" hidden="0" customWidth="1"/>
    <x:col min="10" max="10" width="38" hidden="0" customWidth="1"/>
    <x:col min="11" max="11" width="38" hidden="0" customWidth="1"/>
    <x:col min="12" max="12" width="18" hidden="0" customWidth="1"/>
    <x:col min="13" max="13" width="16" hidden="0" customWidth="1"/>
    <x:col min="14" max="14" width="14" hidden="0" customWidth="1"/>
  </x:cols>
  <x:sheetData>
    <x:row r="1">
      <x:c r="A1" s="24" t="str">
        <x:v>316-company discovery universe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US-led with selected international comparators. Seeds are not all verified active listings, small caps or fully screened investments.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Company ID</x:v>
      </x:c>
      <x:c r="B5" s="34" t="str">
        <x:v>Company</x:v>
      </x:c>
      <x:c r="C5" s="34" t="str">
        <x:v>Ticker seed</x:v>
      </x:c>
      <x:c r="D5" s="34" t="str">
        <x:v>Market hint</x:v>
      </x:c>
      <x:c r="E5" s="34" t="str">
        <x:v>Primary economic sector</x:v>
      </x:c>
      <x:c r="F5" s="34" t="str">
        <x:v>All economic sectors</x:v>
      </x:c>
      <x:c r="G5" s="34" t="str">
        <x:v>Node IDs</x:v>
      </x:c>
      <x:c r="H5" s="34" t="str">
        <x:v>Role</x:v>
      </x:c>
      <x:c r="I5" s="34" t="str">
        <x:v>Evidence status</x:v>
      </x:c>
      <x:c r="J5" s="34" t="str">
        <x:v>Listing / security status</x:v>
      </x:c>
      <x:c r="K5" s="34" t="str">
        <x:v>Eligibility gate</x:v>
      </x:c>
      <x:c r="L5" s="34" t="str">
        <x:v>Source IDs</x:v>
      </x:c>
      <x:c r="M5" s="34" t="str">
        <x:v>Market cap</x:v>
      </x:c>
      <x:c r="N5" s="34" t="str">
        <x:v>Price</x:v>
      </x:c>
    </x:row>
    <x:row r="6" ht="75" customHeight="1">
      <x:c r="A6" s="40" t="str">
        <x:v>A</x:v>
      </x:c>
      <x:c r="B6" s="40" t="str">
        <x:v>Agilent</x:v>
      </x:c>
      <x:c r="C6" s="40" t="str">
        <x:v>A</x:v>
      </x:c>
      <x:c r="D6" s="40" t="str">
        <x:v>US/ADR</x:v>
      </x:c>
      <x:c r="E6" s="40" t="str">
        <x:v>Health Care</x:v>
      </x:c>
      <x:c r="F6" s="40" t="str">
        <x:v>Health Care</x:v>
      </x:c>
      <x:c r="G6" s="40" t="str">
        <x:v>E083</x:v>
      </x:c>
      <x:c r="H6" s="40" t="str">
        <x:v>Industry comparator / discovery seed</x:v>
      </x:c>
      <x:c r="I6" s="40" t="str">
        <x:v>Not individually underwritten</x:v>
      </x:c>
      <x:c r="J6" s="40" t="str">
        <x:v>Not refreshed; verify exchange, corporate actions, float and tradability</x:v>
      </x:c>
      <x:c r="K6" s="40" t="str">
        <x:v>OPEN: listing; security identity; float; liquidity; size; corporate actions</x:v>
      </x:c>
      <x:c r="L6" s="40" t="str"/>
      <x:c r="M6" s="40"/>
      <x:c r="N6" s="40"/>
    </x:row>
    <x:row r="7" ht="75" customHeight="1">
      <x:c r="A7" s="40" t="str">
        <x:v>AA</x:v>
      </x:c>
      <x:c r="B7" s="40" t="str">
        <x:v>Alcoa</x:v>
      </x:c>
      <x:c r="C7" s="40" t="str">
        <x:v>AA</x:v>
      </x:c>
      <x:c r="D7" s="40" t="str">
        <x:v>US/ADR</x:v>
      </x:c>
      <x:c r="E7" s="40" t="str">
        <x:v>Materials</x:v>
      </x:c>
      <x:c r="F7" s="40" t="str">
        <x:v>Materials</x:v>
      </x:c>
      <x:c r="G7" s="40" t="str">
        <x:v>E015</x:v>
      </x:c>
      <x:c r="H7" s="40" t="str">
        <x:v>Industry comparator / discovery seed</x:v>
      </x:c>
      <x:c r="I7" s="40" t="str">
        <x:v>Not individually underwritten</x:v>
      </x:c>
      <x:c r="J7" s="40" t="str">
        <x:v>Not refreshed; verify exchange, corporate actions, float and tradability</x:v>
      </x:c>
      <x:c r="K7" s="40" t="str">
        <x:v>OPEN: listing; security identity; float; liquidity; size; corporate actions</x:v>
      </x:c>
      <x:c r="L7" s="40" t="str"/>
      <x:c r="M7" s="40"/>
      <x:c r="N7" s="40"/>
    </x:row>
    <x:row r="8" ht="75" customHeight="1">
      <x:c r="A8" s="40" t="str">
        <x:v>AAOI</x:v>
      </x:c>
      <x:c r="B8" s="40" t="str">
        <x:v>Applied Optoelectronics</x:v>
      </x:c>
      <x:c r="C8" s="40" t="str">
        <x:v>AAOI</x:v>
      </x:c>
      <x:c r="D8" s="40" t="str">
        <x:v>US/ADR</x:v>
      </x:c>
      <x:c r="E8" s="40" t="str">
        <x:v>Information Technology</x:v>
      </x:c>
      <x:c r="F8" s="40" t="str">
        <x:v>Information Technology</x:v>
      </x:c>
      <x:c r="G8" s="40" t="str">
        <x:v>E110</x:v>
      </x:c>
      <x:c r="H8" s="40" t="str">
        <x:v>Current-report research candidate</x:v>
      </x:c>
      <x:c r="I8" s="40" t="str">
        <x:v>Selected current-report facts checked; full underwriting incomplete</x:v>
      </x:c>
      <x:c r="J8" s="40" t="str">
        <x:v>Ticker in issuer materials; exchange, corporate actions, liquidity and eligibility still require refresh</x:v>
      </x:c>
      <x:c r="K8" s="40" t="str">
        <x:v>OPEN: listing; security identity; float; liquidity; size; corporate actions</x:v>
      </x:c>
      <x:c r="L8" s="40" t="str">
        <x:v>AAOI26</x:v>
      </x:c>
      <x:c r="M8" s="40"/>
      <x:c r="N8" s="40"/>
    </x:row>
    <x:row r="9" ht="75" customHeight="1">
      <x:c r="A9" s="40" t="str">
        <x:v>AAON</x:v>
      </x:c>
      <x:c r="B9" s="40" t="str">
        <x:v>AAON</x:v>
      </x:c>
      <x:c r="C9" s="40" t="str">
        <x:v>AAON</x:v>
      </x:c>
      <x:c r="D9" s="40" t="str">
        <x:v>US/ADR</x:v>
      </x:c>
      <x:c r="E9" s="40" t="str">
        <x:v>Industrials</x:v>
      </x:c>
      <x:c r="F9" s="40" t="str">
        <x:v>Industrials</x:v>
      </x:c>
      <x:c r="G9" s="40" t="str">
        <x:v>E024</x:v>
      </x:c>
      <x:c r="H9" s="40" t="str">
        <x:v>Current-report research candidate</x:v>
      </x:c>
      <x:c r="I9" s="40" t="str">
        <x:v>Selected current-report facts checked; full underwriting incomplete</x:v>
      </x:c>
      <x:c r="J9" s="40" t="str">
        <x:v>Ticker in issuer materials; exchange, corporate actions, liquidity and eligibility still require refresh</x:v>
      </x:c>
      <x:c r="K9" s="40" t="str">
        <x:v>OPEN: listing; security identity; float; liquidity; size; corporate actions</x:v>
      </x:c>
      <x:c r="L9" s="40" t="str">
        <x:v>AAON26</x:v>
      </x:c>
      <x:c r="M9" s="40"/>
      <x:c r="N9" s="40"/>
    </x:row>
    <x:row r="10" ht="75" customHeight="1">
      <x:c r="A10" s="40" t="str">
        <x:v>AAPL</x:v>
      </x:c>
      <x:c r="B10" s="40" t="str">
        <x:v>Apple</x:v>
      </x:c>
      <x:c r="C10" s="40" t="str">
        <x:v>AAPL</x:v>
      </x:c>
      <x:c r="D10" s="40" t="str">
        <x:v>US/ADR</x:v>
      </x:c>
      <x:c r="E10" s="40" t="str">
        <x:v>Information Technology</x:v>
      </x:c>
      <x:c r="F10" s="40" t="str">
        <x:v>Information Technology</x:v>
      </x:c>
      <x:c r="G10" s="40" t="str">
        <x:v>E109</x:v>
      </x:c>
      <x:c r="H10" s="40" t="str">
        <x:v>Industry comparator / discovery seed</x:v>
      </x:c>
      <x:c r="I10" s="40" t="str">
        <x:v>Not individually underwritten</x:v>
      </x:c>
      <x:c r="J10" s="40" t="str">
        <x:v>Not refreshed; verify exchange, corporate actions, float and tradability</x:v>
      </x:c>
      <x:c r="K10" s="40" t="str">
        <x:v>OPEN: listing; security identity; float; liquidity; size; corporate actions</x:v>
      </x:c>
      <x:c r="L10" s="40" t="str"/>
      <x:c r="M10" s="40"/>
      <x:c r="N10" s="40"/>
    </x:row>
    <x:row r="11" ht="75" customHeight="1">
      <x:c r="A11" s="40" t="str">
        <x:v>AAT</x:v>
      </x:c>
      <x:c r="B11" s="40" t="str">
        <x:v>American Assets Trust</x:v>
      </x:c>
      <x:c r="C11" s="40" t="str">
        <x:v>AAT</x:v>
      </x:c>
      <x:c r="D11" s="40" t="str">
        <x:v>US/ADR</x:v>
      </x:c>
      <x:c r="E11" s="40" t="str">
        <x:v>Real Estate</x:v>
      </x:c>
      <x:c r="F11" s="40" t="str">
        <x:v>Real Estate</x:v>
      </x:c>
      <x:c r="G11" s="40" t="str">
        <x:v>E134</x:v>
      </x:c>
      <x:c r="H11" s="40" t="str">
        <x:v>Industry comparator / discovery seed</x:v>
      </x:c>
      <x:c r="I11" s="40" t="str">
        <x:v>Not individually underwritten</x:v>
      </x:c>
      <x:c r="J11" s="40" t="str">
        <x:v>Not refreshed; verify exchange, corporate actions, float and tradability</x:v>
      </x:c>
      <x:c r="K11" s="40" t="str">
        <x:v>OPEN: listing; security identity; float; liquidity; size; corporate actions</x:v>
      </x:c>
      <x:c r="L11" s="40" t="str"/>
      <x:c r="M11" s="40"/>
      <x:c r="N11" s="40"/>
    </x:row>
    <x:row r="12" ht="75" customHeight="1">
      <x:c r="A12" s="40" t="str">
        <x:v>ABM</x:v>
      </x:c>
      <x:c r="B12" s="40" t="str">
        <x:v>ABM Industries</x:v>
      </x:c>
      <x:c r="C12" s="40" t="str">
        <x:v>ABM</x:v>
      </x:c>
      <x:c r="D12" s="40" t="str">
        <x:v>US/ADR</x:v>
      </x:c>
      <x:c r="E12" s="40" t="str">
        <x:v>Industrials</x:v>
      </x:c>
      <x:c r="F12" s="40" t="str">
        <x:v>Industrials</x:v>
      </x:c>
      <x:c r="G12" s="40" t="str">
        <x:v>E036</x:v>
      </x:c>
      <x:c r="H12" s="40" t="str">
        <x:v>Industry comparator / discovery seed</x:v>
      </x:c>
      <x:c r="I12" s="40" t="str">
        <x:v>Not individually underwritten</x:v>
      </x:c>
      <x:c r="J12" s="40" t="str">
        <x:v>Not refreshed; verify exchange, corporate actions, float and tradability</x:v>
      </x:c>
      <x:c r="K12" s="40" t="str">
        <x:v>OPEN: listing; security identity; float; liquidity; size; corporate actions</x:v>
      </x:c>
      <x:c r="L12" s="40" t="str"/>
      <x:c r="M12" s="40"/>
      <x:c r="N12" s="40"/>
    </x:row>
    <x:row r="13" ht="75" customHeight="1">
      <x:c r="A13" s="40" t="str">
        <x:v>ABT</x:v>
      </x:c>
      <x:c r="B13" s="40" t="str">
        <x:v>Abbott</x:v>
      </x:c>
      <x:c r="C13" s="40" t="str">
        <x:v>ABT</x:v>
      </x:c>
      <x:c r="D13" s="40" t="str">
        <x:v>US/ADR</x:v>
      </x:c>
      <x:c r="E13" s="40" t="str">
        <x:v>Health Care</x:v>
      </x:c>
      <x:c r="F13" s="40" t="str">
        <x:v>Health Care</x:v>
      </x:c>
      <x:c r="G13" s="40" t="str">
        <x:v>E075</x:v>
      </x:c>
      <x:c r="H13" s="40" t="str">
        <x:v>Industry comparator / discovery seed</x:v>
      </x:c>
      <x:c r="I13" s="40" t="str">
        <x:v>Not individually underwritten</x:v>
      </x:c>
      <x:c r="J13" s="40" t="str">
        <x:v>Not refreshed; verify exchange, corporate actions, float and tradability</x:v>
      </x:c>
      <x:c r="K13" s="40" t="str">
        <x:v>OPEN: listing; security identity; float; liquidity; size; corporate actions</x:v>
      </x:c>
      <x:c r="L13" s="40" t="str"/>
      <x:c r="M13" s="40"/>
      <x:c r="N13" s="40"/>
    </x:row>
    <x:row r="14" ht="75" customHeight="1">
      <x:c r="A14" s="40" t="str">
        <x:v>ACM</x:v>
      </x:c>
      <x:c r="B14" s="40" t="str">
        <x:v>AECOM</x:v>
      </x:c>
      <x:c r="C14" s="40" t="str">
        <x:v>ACM</x:v>
      </x:c>
      <x:c r="D14" s="40" t="str">
        <x:v>US/ADR</x:v>
      </x:c>
      <x:c r="E14" s="40" t="str">
        <x:v>Industrials</x:v>
      </x:c>
      <x:c r="F14" s="40" t="str">
        <x:v>Industrials</x:v>
      </x:c>
      <x:c r="G14" s="40" t="str">
        <x:v>E026</x:v>
      </x:c>
      <x:c r="H14" s="40" t="str">
        <x:v>Industry comparator / discovery seed</x:v>
      </x:c>
      <x:c r="I14" s="40" t="str">
        <x:v>Not individually underwritten</x:v>
      </x:c>
      <x:c r="J14" s="40" t="str">
        <x:v>Not refreshed; verify exchange, corporate actions, float and tradability</x:v>
      </x:c>
      <x:c r="K14" s="40" t="str">
        <x:v>OPEN: listing; security identity; float; liquidity; size; corporate actions</x:v>
      </x:c>
      <x:c r="L14" s="40" t="str"/>
      <x:c r="M14" s="40"/>
      <x:c r="N14" s="40"/>
    </x:row>
    <x:row r="15" ht="75" customHeight="1">
      <x:c r="A15" s="40" t="str">
        <x:v>ACN</x:v>
      </x:c>
      <x:c r="B15" s="40" t="str">
        <x:v>Accenture</x:v>
      </x:c>
      <x:c r="C15" s="40" t="str">
        <x:v>ACN</x:v>
      </x:c>
      <x:c r="D15" s="40" t="str">
        <x:v>US/ADR</x:v>
      </x:c>
      <x:c r="E15" s="40" t="str">
        <x:v>Information Technology</x:v>
      </x:c>
      <x:c r="F15" s="40" t="str">
        <x:v>Information Technology</x:v>
      </x:c>
      <x:c r="G15" s="40" t="str">
        <x:v>E100</x:v>
      </x:c>
      <x:c r="H15" s="40" t="str">
        <x:v>Industry comparator / discovery seed</x:v>
      </x:c>
      <x:c r="I15" s="40" t="str">
        <x:v>Not individually underwritten</x:v>
      </x:c>
      <x:c r="J15" s="40" t="str">
        <x:v>Not refreshed; verify exchange, corporate actions, float and tradability</x:v>
      </x:c>
      <x:c r="K15" s="40" t="str">
        <x:v>OPEN: listing; security identity; float; liquidity; size; corporate actions</x:v>
      </x:c>
      <x:c r="L15" s="40" t="str"/>
      <x:c r="M15" s="40"/>
      <x:c r="N15" s="40"/>
    </x:row>
    <x:row r="16" ht="75" customHeight="1">
      <x:c r="A16" s="40" t="str">
        <x:v>ADI</x:v>
      </x:c>
      <x:c r="B16" s="40" t="str">
        <x:v>Analog Devices</x:v>
      </x:c>
      <x:c r="C16" s="40" t="str">
        <x:v>ADI</x:v>
      </x:c>
      <x:c r="D16" s="40" t="str">
        <x:v>US/ADR</x:v>
      </x:c>
      <x:c r="E16" s="40" t="str">
        <x:v>Information Technology</x:v>
      </x:c>
      <x:c r="F16" s="40" t="str">
        <x:v>Information Technology</x:v>
      </x:c>
      <x:c r="G16" s="40" t="str">
        <x:v>E115</x:v>
      </x:c>
      <x:c r="H16" s="40" t="str">
        <x:v>Industry comparator / discovery seed</x:v>
      </x:c>
      <x:c r="I16" s="40" t="str">
        <x:v>Not individually underwritten</x:v>
      </x:c>
      <x:c r="J16" s="40" t="str">
        <x:v>Not refreshed; verify exchange, corporate actions, float and tradability</x:v>
      </x:c>
      <x:c r="K16" s="40" t="str">
        <x:v>OPEN: listing; security identity; float; liquidity; size; corporate actions</x:v>
      </x:c>
      <x:c r="L16" s="40" t="str"/>
      <x:c r="M16" s="40"/>
      <x:c r="N16" s="40"/>
    </x:row>
    <x:row r="17" ht="75" customHeight="1">
      <x:c r="A17" s="40" t="str">
        <x:v>ADUS</x:v>
      </x:c>
      <x:c r="B17" s="40" t="str">
        <x:v>Addus HomeCare</x:v>
      </x:c>
      <x:c r="C17" s="40" t="str">
        <x:v>ADUS</x:v>
      </x:c>
      <x:c r="D17" s="40" t="str">
        <x:v>US/ADR</x:v>
      </x:c>
      <x:c r="E17" s="40" t="str">
        <x:v>Health Care</x:v>
      </x:c>
      <x:c r="F17" s="40" t="str">
        <x:v>Health Care</x:v>
      </x:c>
      <x:c r="G17" s="40" t="str">
        <x:v>E076</x:v>
      </x:c>
      <x:c r="H17" s="40" t="str">
        <x:v>Industry comparator / discovery seed</x:v>
      </x:c>
      <x:c r="I17" s="40" t="str">
        <x:v>Not individually underwritten</x:v>
      </x:c>
      <x:c r="J17" s="40" t="str">
        <x:v>Not refreshed; verify exchange, corporate actions, float and tradability</x:v>
      </x:c>
      <x:c r="K17" s="40" t="str">
        <x:v>OPEN: listing; security identity; float; liquidity; size; corporate actions</x:v>
      </x:c>
      <x:c r="L17" s="40" t="str"/>
      <x:c r="M17" s="40"/>
      <x:c r="N17" s="40"/>
    </x:row>
    <x:row r="18" ht="75" customHeight="1">
      <x:c r="A18" s="40" t="str">
        <x:v>AEM</x:v>
      </x:c>
      <x:c r="B18" s="40" t="str">
        <x:v>Agnico Eagle</x:v>
      </x:c>
      <x:c r="C18" s="40" t="str">
        <x:v>AEM</x:v>
      </x:c>
      <x:c r="D18" s="40" t="str">
        <x:v>US/ADR</x:v>
      </x:c>
      <x:c r="E18" s="40" t="str">
        <x:v>Materials</x:v>
      </x:c>
      <x:c r="F18" s="40" t="str">
        <x:v>Materials</x:v>
      </x:c>
      <x:c r="G18" s="40" t="str">
        <x:v>E016</x:v>
      </x:c>
      <x:c r="H18" s="40" t="str">
        <x:v>Industry comparator / discovery seed</x:v>
      </x:c>
      <x:c r="I18" s="40" t="str">
        <x:v>Not individually underwritten</x:v>
      </x:c>
      <x:c r="J18" s="40" t="str">
        <x:v>Not refreshed; verify exchange, corporate actions, float and tradability</x:v>
      </x:c>
      <x:c r="K18" s="40" t="str">
        <x:v>OPEN: listing; security identity; float; liquidity; size; corporate actions</x:v>
      </x:c>
      <x:c r="L18" s="40" t="str"/>
      <x:c r="M18" s="40"/>
      <x:c r="N18" s="40"/>
    </x:row>
    <x:row r="19" ht="75" customHeight="1">
      <x:c r="A19" s="40" t="str">
        <x:v>AEP</x:v>
      </x:c>
      <x:c r="B19" s="40" t="str">
        <x:v>American Electric Power</x:v>
      </x:c>
      <x:c r="C19" s="40" t="str">
        <x:v>AEP</x:v>
      </x:c>
      <x:c r="D19" s="40" t="str">
        <x:v>US/ADR</x:v>
      </x:c>
      <x:c r="E19" s="40" t="str">
        <x:v>Utilities</x:v>
      </x:c>
      <x:c r="F19" s="40" t="str">
        <x:v>Utilities</x:v>
      </x:c>
      <x:c r="G19" s="40" t="str">
        <x:v>E127</x:v>
      </x:c>
      <x:c r="H19" s="40" t="str">
        <x:v>Industry comparator / discovery seed</x:v>
      </x:c>
      <x:c r="I19" s="40" t="str">
        <x:v>Not individually underwritten</x:v>
      </x:c>
      <x:c r="J19" s="40" t="str">
        <x:v>Not refreshed; verify exchange, corporate actions, float and tradability</x:v>
      </x:c>
      <x:c r="K19" s="40" t="str">
        <x:v>OPEN: listing; security identity; float; liquidity; size; corporate actions</x:v>
      </x:c>
      <x:c r="L19" s="40" t="str"/>
      <x:c r="M19" s="40"/>
      <x:c r="N19" s="40"/>
    </x:row>
    <x:row r="20" ht="75" customHeight="1">
      <x:c r="A20" s="40" t="str">
        <x:v>AGNC</x:v>
      </x:c>
      <x:c r="B20" s="40" t="str">
        <x:v>AGNC Investment</x:v>
      </x:c>
      <x:c r="C20" s="40" t="str">
        <x:v>AGNC</x:v>
      </x:c>
      <x:c r="D20" s="40" t="str">
        <x:v>US/ADR</x:v>
      </x:c>
      <x:c r="E20" s="40" t="str">
        <x:v>Financials</x:v>
      </x:c>
      <x:c r="F20" s="40" t="str">
        <x:v>Financials</x:v>
      </x:c>
      <x:c r="G20" s="40" t="str">
        <x:v>E095</x:v>
      </x:c>
      <x:c r="H20" s="40" t="str">
        <x:v>Industry comparator / discovery seed</x:v>
      </x:c>
      <x:c r="I20" s="40" t="str">
        <x:v>Not individually underwritten</x:v>
      </x:c>
      <x:c r="J20" s="40" t="str">
        <x:v>Not refreshed; verify exchange, corporate actions, float and tradability</x:v>
      </x:c>
      <x:c r="K20" s="40" t="str">
        <x:v>OPEN: listing; security identity; float; liquidity; size; corporate actions</x:v>
      </x:c>
      <x:c r="L20" s="40" t="str"/>
      <x:c r="M20" s="40"/>
      <x:c r="N20" s="40"/>
    </x:row>
    <x:row r="21" ht="75" customHeight="1">
      <x:c r="A21" s="40" t="str">
        <x:v>ALRM</x:v>
      </x:c>
      <x:c r="B21" s="40" t="str">
        <x:v>Alarm.com</x:v>
      </x:c>
      <x:c r="C21" s="40" t="str">
        <x:v>ALRM</x:v>
      </x:c>
      <x:c r="D21" s="40" t="str">
        <x:v>US/ADR</x:v>
      </x:c>
      <x:c r="E21" s="40" t="str">
        <x:v>Information Technology</x:v>
      </x:c>
      <x:c r="F21" s="40" t="str">
        <x:v>Information Technology</x:v>
      </x:c>
      <x:c r="G21" s="40" t="str">
        <x:v>E150</x:v>
      </x:c>
      <x:c r="H21" s="40" t="str">
        <x:v>Industry comparator / discovery seed</x:v>
      </x:c>
      <x:c r="I21" s="40" t="str">
        <x:v>Not individually underwritten</x:v>
      </x:c>
      <x:c r="J21" s="40" t="str">
        <x:v>Not refreshed; verify exchange, corporate actions, float and tradability</x:v>
      </x:c>
      <x:c r="K21" s="40" t="str">
        <x:v>OPEN: listing; security identity; float; liquidity; size; corporate actions</x:v>
      </x:c>
      <x:c r="L21" s="40" t="str"/>
      <x:c r="M21" s="40"/>
      <x:c r="N21" s="40"/>
    </x:row>
    <x:row r="22" ht="75" customHeight="1">
      <x:c r="A22" s="40" t="str">
        <x:v>ALV</x:v>
      </x:c>
      <x:c r="B22" s="40" t="str">
        <x:v>Autoliv</x:v>
      </x:c>
      <x:c r="C22" s="40" t="str">
        <x:v>ALV</x:v>
      </x:c>
      <x:c r="D22" s="40" t="str">
        <x:v>US/ADR</x:v>
      </x:c>
      <x:c r="E22" s="40" t="str">
        <x:v>Consumer Discretionary</x:v>
      </x:c>
      <x:c r="F22" s="40" t="str">
        <x:v>Consumer Discretionary</x:v>
      </x:c>
      <x:c r="G22" s="40" t="str">
        <x:v>E046</x:v>
      </x:c>
      <x:c r="H22" s="40" t="str">
        <x:v>Industry comparator / discovery seed</x:v>
      </x:c>
      <x:c r="I22" s="40" t="str">
        <x:v>Not individually underwritten</x:v>
      </x:c>
      <x:c r="J22" s="40" t="str">
        <x:v>Not refreshed; verify exchange, corporate actions, float and tradability</x:v>
      </x:c>
      <x:c r="K22" s="40" t="str">
        <x:v>OPEN: listing; security identity; float; liquidity; size; corporate actions</x:v>
      </x:c>
      <x:c r="L22" s="40" t="str"/>
      <x:c r="M22" s="40"/>
      <x:c r="N22" s="40"/>
    </x:row>
    <x:row r="23" ht="75" customHeight="1">
      <x:c r="A23" s="40" t="str">
        <x:v>AMAT</x:v>
      </x:c>
      <x:c r="B23" s="40" t="str">
        <x:v>Applied Materials</x:v>
      </x:c>
      <x:c r="C23" s="40" t="str">
        <x:v>AMAT</x:v>
      </x:c>
      <x:c r="D23" s="40" t="str">
        <x:v>US/ADR</x:v>
      </x:c>
      <x:c r="E23" s="40" t="str">
        <x:v>Information Technology</x:v>
      </x:c>
      <x:c r="F23" s="40" t="str">
        <x:v>Information Technology</x:v>
      </x:c>
      <x:c r="G23" s="40" t="str">
        <x:v>E117</x:v>
      </x:c>
      <x:c r="H23" s="40" t="str">
        <x:v>Industry comparator / discovery seed</x:v>
      </x:c>
      <x:c r="I23" s="40" t="str">
        <x:v>Not individually underwritten</x:v>
      </x:c>
      <x:c r="J23" s="40" t="str">
        <x:v>Not refreshed; verify exchange, corporate actions, float and tradability</x:v>
      </x:c>
      <x:c r="K23" s="40" t="str">
        <x:v>OPEN: listing; security identity; float; liquidity; size; corporate actions</x:v>
      </x:c>
      <x:c r="L23" s="40" t="str"/>
      <x:c r="M23" s="40"/>
      <x:c r="N23" s="40"/>
    </x:row>
    <x:row r="24" ht="75" customHeight="1">
      <x:c r="A24" s="40" t="str">
        <x:v>AMD</x:v>
      </x:c>
      <x:c r="B24" s="40" t="str">
        <x:v>AMD</x:v>
      </x:c>
      <x:c r="C24" s="40" t="str">
        <x:v>AMD</x:v>
      </x:c>
      <x:c r="D24" s="40" t="str">
        <x:v>US/ADR</x:v>
      </x:c>
      <x:c r="E24" s="40" t="str">
        <x:v>Information Technology</x:v>
      </x:c>
      <x:c r="F24" s="40" t="str">
        <x:v>Information Technology</x:v>
      </x:c>
      <x:c r="G24" s="40" t="str">
        <x:v>E114</x:v>
      </x:c>
      <x:c r="H24" s="40" t="str">
        <x:v>Industry comparator / discovery seed</x:v>
      </x:c>
      <x:c r="I24" s="40" t="str">
        <x:v>Not individually underwritten</x:v>
      </x:c>
      <x:c r="J24" s="40" t="str">
        <x:v>Not refreshed; verify exchange, corporate actions, float and tradability</x:v>
      </x:c>
      <x:c r="K24" s="40" t="str">
        <x:v>OPEN: listing; security identity; float; liquidity; size; corporate actions</x:v>
      </x:c>
      <x:c r="L24" s="40" t="str"/>
      <x:c r="M24" s="40"/>
      <x:c r="N24" s="40"/>
    </x:row>
    <x:row r="25" ht="75" customHeight="1">
      <x:c r="A25" s="40" t="str">
        <x:v>AMG</x:v>
      </x:c>
      <x:c r="B25" s="40" t="str">
        <x:v>Affiliated Managers Group</x:v>
      </x:c>
      <x:c r="C25" s="40" t="str">
        <x:v>AMG</x:v>
      </x:c>
      <x:c r="D25" s="40" t="str">
        <x:v>US/ADR</x:v>
      </x:c>
      <x:c r="E25" s="40" t="str">
        <x:v>Financials</x:v>
      </x:c>
      <x:c r="F25" s="40" t="str">
        <x:v>Financials</x:v>
      </x:c>
      <x:c r="G25" s="40" t="str">
        <x:v>E093</x:v>
      </x:c>
      <x:c r="H25" s="40" t="str">
        <x:v>Industry comparator / discovery seed</x:v>
      </x:c>
      <x:c r="I25" s="40" t="str">
        <x:v>Not individually underwritten</x:v>
      </x:c>
      <x:c r="J25" s="40" t="str">
        <x:v>Not refreshed; verify exchange, corporate actions, float and tradability</x:v>
      </x:c>
      <x:c r="K25" s="40" t="str">
        <x:v>OPEN: listing; security identity; float; liquidity; size; corporate actions</x:v>
      </x:c>
      <x:c r="L25" s="40" t="str"/>
      <x:c r="M25" s="40"/>
      <x:c r="N25" s="40"/>
    </x:row>
    <x:row r="26" ht="75" customHeight="1">
      <x:c r="A26" s="40" t="str">
        <x:v>AMT</x:v>
      </x:c>
      <x:c r="B26" s="40" t="str">
        <x:v>American Tower</x:v>
      </x:c>
      <x:c r="C26" s="40" t="str">
        <x:v>AMT</x:v>
      </x:c>
      <x:c r="D26" s="40" t="str">
        <x:v>US/ADR</x:v>
      </x:c>
      <x:c r="E26" s="40" t="str">
        <x:v>Real Estate</x:v>
      </x:c>
      <x:c r="F26" s="40" t="str">
        <x:v>Real Estate</x:v>
      </x:c>
      <x:c r="G26" s="40" t="str">
        <x:v>E144</x:v>
      </x:c>
      <x:c r="H26" s="40" t="str">
        <x:v>Industry comparator / discovery seed</x:v>
      </x:c>
      <x:c r="I26" s="40" t="str">
        <x:v>Not individually underwritten</x:v>
      </x:c>
      <x:c r="J26" s="40" t="str">
        <x:v>Not refreshed; verify exchange, corporate actions, float and tradability</x:v>
      </x:c>
      <x:c r="K26" s="40" t="str">
        <x:v>OPEN: listing; security identity; float; liquidity; size; corporate actions</x:v>
      </x:c>
      <x:c r="L26" s="40" t="str"/>
      <x:c r="M26" s="40"/>
      <x:c r="N26" s="40"/>
    </x:row>
    <x:row r="27" ht="75" customHeight="1">
      <x:c r="A27" s="40" t="str">
        <x:v>AMZN</x:v>
      </x:c>
      <x:c r="B27" s="40" t="str">
        <x:v>Amazon</x:v>
      </x:c>
      <x:c r="C27" s="40" t="str">
        <x:v>AMZN</x:v>
      </x:c>
      <x:c r="D27" s="40" t="str">
        <x:v>US/ADR</x:v>
      </x:c>
      <x:c r="E27" s="40" t="str">
        <x:v>Consumer Discretionary</x:v>
      </x:c>
      <x:c r="F27" s="40" t="str">
        <x:v>Consumer Discretionary</x:v>
      </x:c>
      <x:c r="G27" s="40" t="str">
        <x:v>E062</x:v>
      </x:c>
      <x:c r="H27" s="40" t="str">
        <x:v>Industry comparator / discovery seed</x:v>
      </x:c>
      <x:c r="I27" s="40" t="str">
        <x:v>Not individually underwritten</x:v>
      </x:c>
      <x:c r="J27" s="40" t="str">
        <x:v>Not refreshed; verify exchange, corporate actions, float and tradability</x:v>
      </x:c>
      <x:c r="K27" s="40" t="str">
        <x:v>OPEN: listing; security identity; float; liquidity; size; corporate actions</x:v>
      </x:c>
      <x:c r="L27" s="40" t="str"/>
      <x:c r="M27" s="40"/>
      <x:c r="N27" s="40"/>
    </x:row>
    <x:row r="28" ht="75" customHeight="1">
      <x:c r="A28" s="40" t="str">
        <x:v>ANET</x:v>
      </x:c>
      <x:c r="B28" s="40" t="str">
        <x:v>Arista Networks</x:v>
      </x:c>
      <x:c r="C28" s="40" t="str">
        <x:v>ANET</x:v>
      </x:c>
      <x:c r="D28" s="40" t="str">
        <x:v>US/ADR</x:v>
      </x:c>
      <x:c r="E28" s="40" t="str">
        <x:v>Information Technology</x:v>
      </x:c>
      <x:c r="F28" s="40" t="str">
        <x:v>Information Technology</x:v>
      </x:c>
      <x:c r="G28" s="40" t="str">
        <x:v>E106</x:v>
      </x:c>
      <x:c r="H28" s="40" t="str">
        <x:v>Industry comparator / discovery seed</x:v>
      </x:c>
      <x:c r="I28" s="40" t="str">
        <x:v>Not individually underwritten</x:v>
      </x:c>
      <x:c r="J28" s="40" t="str">
        <x:v>Not refreshed; verify exchange, corporate actions, float and tradability</x:v>
      </x:c>
      <x:c r="K28" s="40" t="str">
        <x:v>OPEN: listing; security identity; float; liquidity; size; corporate actions</x:v>
      </x:c>
      <x:c r="L28" s="40" t="str"/>
      <x:c r="M28" s="40"/>
      <x:c r="N28" s="40"/>
    </x:row>
    <x:row r="29" ht="75" customHeight="1">
      <x:c r="A29" s="40" t="str">
        <x:v>AOS</x:v>
      </x:c>
      <x:c r="B29" s="40" t="str">
        <x:v>A. O. Smith</x:v>
      </x:c>
      <x:c r="C29" s="40" t="str">
        <x:v>AOS</x:v>
      </x:c>
      <x:c r="D29" s="40" t="str">
        <x:v>US/ADR</x:v>
      </x:c>
      <x:c r="E29" s="40" t="str">
        <x:v>Industrials</x:v>
      </x:c>
      <x:c r="F29" s="40" t="str">
        <x:v>Industrials</x:v>
      </x:c>
      <x:c r="G29" s="40" t="str">
        <x:v>E023</x:v>
      </x:c>
      <x:c r="H29" s="40" t="str">
        <x:v>Industry comparator / discovery seed</x:v>
      </x:c>
      <x:c r="I29" s="40" t="str">
        <x:v>Not individually underwritten</x:v>
      </x:c>
      <x:c r="J29" s="40" t="str">
        <x:v>Not refreshed; verify exchange, corporate actions, float and tradability</x:v>
      </x:c>
      <x:c r="K29" s="40" t="str">
        <x:v>OPEN: listing; security identity; float; liquidity; size; corporate actions</x:v>
      </x:c>
      <x:c r="L29" s="40" t="str"/>
      <x:c r="M29" s="40"/>
      <x:c r="N29" s="40"/>
    </x:row>
    <x:row r="30" ht="75" customHeight="1">
      <x:c r="A30" s="40" t="str">
        <x:v>APD</x:v>
      </x:c>
      <x:c r="B30" s="40" t="str">
        <x:v>Air Products</x:v>
      </x:c>
      <x:c r="C30" s="40" t="str">
        <x:v>APD</x:v>
      </x:c>
      <x:c r="D30" s="40" t="str">
        <x:v>US/ADR</x:v>
      </x:c>
      <x:c r="E30" s="40" t="str">
        <x:v>Materials</x:v>
      </x:c>
      <x:c r="F30" s="40" t="str">
        <x:v>Materials</x:v>
      </x:c>
      <x:c r="G30" s="40" t="str">
        <x:v>E010</x:v>
      </x:c>
      <x:c r="H30" s="40" t="str">
        <x:v>Industry comparator / discovery seed</x:v>
      </x:c>
      <x:c r="I30" s="40" t="str">
        <x:v>Not individually underwritten</x:v>
      </x:c>
      <x:c r="J30" s="40" t="str">
        <x:v>Not refreshed; verify exchange, corporate actions, float and tradability</x:v>
      </x:c>
      <x:c r="K30" s="40" t="str">
        <x:v>OPEN: listing; security identity; float; liquidity; size; corporate actions</x:v>
      </x:c>
      <x:c r="L30" s="40" t="str"/>
      <x:c r="M30" s="40"/>
      <x:c r="N30" s="40"/>
    </x:row>
    <x:row r="31" ht="75" customHeight="1">
      <x:c r="A31" s="40" t="str">
        <x:v>APH</x:v>
      </x:c>
      <x:c r="B31" s="40" t="str">
        <x:v>Amphenol</x:v>
      </x:c>
      <x:c r="C31" s="40" t="str">
        <x:v>APH</x:v>
      </x:c>
      <x:c r="D31" s="40" t="str">
        <x:v>US/ADR</x:v>
      </x:c>
      <x:c r="E31" s="40" t="str">
        <x:v>Information Technology</x:v>
      </x:c>
      <x:c r="F31" s="40" t="str">
        <x:v>Information Technology</x:v>
      </x:c>
      <x:c r="G31" s="40" t="str">
        <x:v>E110</x:v>
      </x:c>
      <x:c r="H31" s="40" t="str">
        <x:v>Industry comparator / discovery seed</x:v>
      </x:c>
      <x:c r="I31" s="40" t="str">
        <x:v>Not individually underwritten</x:v>
      </x:c>
      <x:c r="J31" s="40" t="str">
        <x:v>Not refreshed; verify exchange, corporate actions, float and tradability</x:v>
      </x:c>
      <x:c r="K31" s="40" t="str">
        <x:v>OPEN: listing; security identity; float; liquidity; size; corporate actions</x:v>
      </x:c>
      <x:c r="L31" s="40" t="str"/>
      <x:c r="M31" s="40"/>
      <x:c r="N31" s="40"/>
    </x:row>
    <x:row r="32" ht="75" customHeight="1">
      <x:c r="A32" s="40" t="str">
        <x:v>APO</x:v>
      </x:c>
      <x:c r="B32" s="40" t="str">
        <x:v>Apollo</x:v>
      </x:c>
      <x:c r="C32" s="40" t="str">
        <x:v>APO</x:v>
      </x:c>
      <x:c r="D32" s="40" t="str">
        <x:v>US/ADR</x:v>
      </x:c>
      <x:c r="E32" s="40" t="str">
        <x:v>Financials</x:v>
      </x:c>
      <x:c r="F32" s="40" t="str">
        <x:v>Financials</x:v>
      </x:c>
      <x:c r="G32" s="40" t="str">
        <x:v>E093</x:v>
      </x:c>
      <x:c r="H32" s="40" t="str">
        <x:v>Industry comparator / discovery seed</x:v>
      </x:c>
      <x:c r="I32" s="40" t="str">
        <x:v>Not individually underwritten</x:v>
      </x:c>
      <x:c r="J32" s="40" t="str">
        <x:v>Not refreshed; verify exchange, corporate actions, float and tradability</x:v>
      </x:c>
      <x:c r="K32" s="40" t="str">
        <x:v>OPEN: listing; security identity; float; liquidity; size; corporate actions</x:v>
      </x:c>
      <x:c r="L32" s="40" t="str"/>
      <x:c r="M32" s="40"/>
      <x:c r="N32" s="40"/>
    </x:row>
    <x:row r="33" ht="75" customHeight="1">
      <x:c r="A33" s="40" t="str">
        <x:v>APPF</x:v>
      </x:c>
      <x:c r="B33" s="40" t="str">
        <x:v>AppFolio</x:v>
      </x:c>
      <x:c r="C33" s="40" t="str">
        <x:v>APPF</x:v>
      </x:c>
      <x:c r="D33" s="40" t="str">
        <x:v>US/ADR</x:v>
      </x:c>
      <x:c r="E33" s="40" t="str">
        <x:v>Information Technology</x:v>
      </x:c>
      <x:c r="F33" s="40" t="str">
        <x:v>Information Technology</x:v>
      </x:c>
      <x:c r="G33" s="40" t="str">
        <x:v>E102</x:v>
      </x:c>
      <x:c r="H33" s="40" t="str">
        <x:v>Current-report research candidate</x:v>
      </x:c>
      <x:c r="I33" s="40" t="str">
        <x:v>Selected current-report facts checked; full underwriting incomplete</x:v>
      </x:c>
      <x:c r="J33" s="40" t="str">
        <x:v>Ticker in issuer materials; exchange, corporate actions, liquidity and eligibility still require refresh</x:v>
      </x:c>
      <x:c r="K33" s="40" t="str">
        <x:v>OPEN: listing; security identity; float; liquidity; size; corporate actions</x:v>
      </x:c>
      <x:c r="L33" s="40" t="str">
        <x:v>APPF26</x:v>
      </x:c>
      <x:c r="M33" s="40"/>
      <x:c r="N33" s="40"/>
    </x:row>
    <x:row r="34" ht="75" customHeight="1">
      <x:c r="A34" s="40" t="str">
        <x:v>APTV</x:v>
      </x:c>
      <x:c r="B34" s="40" t="str">
        <x:v>Aptiv</x:v>
      </x:c>
      <x:c r="C34" s="40" t="str">
        <x:v>APTV</x:v>
      </x:c>
      <x:c r="D34" s="40" t="str">
        <x:v>US/ADR</x:v>
      </x:c>
      <x:c r="E34" s="40" t="str">
        <x:v>Consumer Discretionary</x:v>
      </x:c>
      <x:c r="F34" s="40" t="str">
        <x:v>Consumer Discretionary</x:v>
      </x:c>
      <x:c r="G34" s="40" t="str">
        <x:v>E046</x:v>
      </x:c>
      <x:c r="H34" s="40" t="str">
        <x:v>Industry comparator / discovery seed</x:v>
      </x:c>
      <x:c r="I34" s="40" t="str">
        <x:v>Not individually underwritten</x:v>
      </x:c>
      <x:c r="J34" s="40" t="str">
        <x:v>Not refreshed; verify exchange, corporate actions, float and tradability</x:v>
      </x:c>
      <x:c r="K34" s="40" t="str">
        <x:v>OPEN: listing; security identity; float; liquidity; size; corporate actions</x:v>
      </x:c>
      <x:c r="L34" s="40" t="str"/>
      <x:c r="M34" s="40"/>
      <x:c r="N34" s="40"/>
    </x:row>
    <x:row r="35" ht="75" customHeight="1">
      <x:c r="A35" s="40" t="str">
        <x:v>AROC</x:v>
      </x:c>
      <x:c r="B35" s="40" t="str">
        <x:v>Archrock</x:v>
      </x:c>
      <x:c r="C35" s="40" t="str">
        <x:v>AROC</x:v>
      </x:c>
      <x:c r="D35" s="40" t="str">
        <x:v>US/ADR</x:v>
      </x:c>
      <x:c r="E35" s="40" t="str">
        <x:v>Energy</x:v>
      </x:c>
      <x:c r="F35" s="40" t="str">
        <x:v>Energy</x:v>
      </x:c>
      <x:c r="G35" s="40" t="str">
        <x:v>E003</x:v>
      </x:c>
      <x:c r="H35" s="40" t="str">
        <x:v>Current-report research candidate</x:v>
      </x:c>
      <x:c r="I35" s="40" t="str">
        <x:v>Selected current-report facts checked; full underwriting incomplete</x:v>
      </x:c>
      <x:c r="J35" s="40" t="str">
        <x:v>Ticker in issuer materials; exchange, corporate actions, liquidity and eligibility still require refresh</x:v>
      </x:c>
      <x:c r="K35" s="40" t="str">
        <x:v>OPEN: listing; security identity; float; liquidity; size; corporate actions</x:v>
      </x:c>
      <x:c r="L35" s="40" t="str">
        <x:v>AROC26</x:v>
      </x:c>
      <x:c r="M35" s="40"/>
      <x:c r="N35" s="40"/>
    </x:row>
    <x:row r="36" ht="75" customHeight="1">
      <x:c r="A36" s="40" t="str">
        <x:v>ASML</x:v>
      </x:c>
      <x:c r="B36" s="40" t="str">
        <x:v>ASML</x:v>
      </x:c>
      <x:c r="C36" s="40" t="str">
        <x:v>ASML</x:v>
      </x:c>
      <x:c r="D36" s="40" t="str">
        <x:v>US/ADR</x:v>
      </x:c>
      <x:c r="E36" s="40" t="str">
        <x:v>Information Technology</x:v>
      </x:c>
      <x:c r="F36" s="40" t="str">
        <x:v>Information Technology</x:v>
      </x:c>
      <x:c r="G36" s="40" t="str">
        <x:v>E117</x:v>
      </x:c>
      <x:c r="H36" s="40" t="str">
        <x:v>Industry comparator / discovery seed</x:v>
      </x:c>
      <x:c r="I36" s="40" t="str">
        <x:v>Not individually underwritten</x:v>
      </x:c>
      <x:c r="J36" s="40" t="str">
        <x:v>Not refreshed; verify exchange, corporate actions, float and tradability</x:v>
      </x:c>
      <x:c r="K36" s="40" t="str">
        <x:v>OPEN: listing; security identity; float; liquidity; size; corporate actions</x:v>
      </x:c>
      <x:c r="L36" s="40" t="str"/>
      <x:c r="M36" s="40"/>
      <x:c r="N36" s="40"/>
    </x:row>
    <x:row r="37" ht="75" customHeight="1">
      <x:c r="A37" s="40" t="str">
        <x:v>ASR</x:v>
      </x:c>
      <x:c r="B37" s="40" t="str">
        <x:v>Grupo Aeroportuario del Sureste</x:v>
      </x:c>
      <x:c r="C37" s="40" t="str">
        <x:v>ASR</x:v>
      </x:c>
      <x:c r="D37" s="40" t="str">
        <x:v>US/ADR</x:v>
      </x:c>
      <x:c r="E37" s="40" t="str">
        <x:v>Industrials</x:v>
      </x:c>
      <x:c r="F37" s="40" t="str">
        <x:v>Industrials</x:v>
      </x:c>
      <x:c r="G37" s="40" t="str">
        <x:v>E045</x:v>
      </x:c>
      <x:c r="H37" s="40" t="str">
        <x:v>Industry comparator / discovery seed</x:v>
      </x:c>
      <x:c r="I37" s="40" t="str">
        <x:v>Not individually underwritten</x:v>
      </x:c>
      <x:c r="J37" s="40" t="str">
        <x:v>Not refreshed; verify exchange, corporate actions, float and tradability</x:v>
      </x:c>
      <x:c r="K37" s="40" t="str">
        <x:v>OPEN: listing; security identity; float; liquidity; size; corporate actions</x:v>
      </x:c>
      <x:c r="L37" s="40" t="str"/>
      <x:c r="M37" s="40"/>
      <x:c r="N37" s="40"/>
    </x:row>
    <x:row r="38" ht="75" customHeight="1">
      <x:c r="A38" s="40" t="str">
        <x:v>ATO</x:v>
      </x:c>
      <x:c r="B38" s="40" t="str">
        <x:v>Atmos Energy</x:v>
      </x:c>
      <x:c r="C38" s="40" t="str">
        <x:v>ATO</x:v>
      </x:c>
      <x:c r="D38" s="40" t="str">
        <x:v>US/ADR</x:v>
      </x:c>
      <x:c r="E38" s="40" t="str">
        <x:v>Utilities</x:v>
      </x:c>
      <x:c r="F38" s="40" t="str">
        <x:v>Utilities</x:v>
      </x:c>
      <x:c r="G38" s="40" t="str">
        <x:v>E129</x:v>
      </x:c>
      <x:c r="H38" s="40" t="str">
        <x:v>Industry comparator / discovery seed</x:v>
      </x:c>
      <x:c r="I38" s="40" t="str">
        <x:v>Not individually underwritten</x:v>
      </x:c>
      <x:c r="J38" s="40" t="str">
        <x:v>Not refreshed; verify exchange, corporate actions, float and tradability</x:v>
      </x:c>
      <x:c r="K38" s="40" t="str">
        <x:v>OPEN: listing; security identity; float; liquidity; size; corporate actions</x:v>
      </x:c>
      <x:c r="L38" s="40" t="str"/>
      <x:c r="M38" s="40"/>
      <x:c r="N38" s="40"/>
    </x:row>
    <x:row r="39" ht="75" customHeight="1">
      <x:c r="A39" s="40" t="str">
        <x:v>AVT</x:v>
      </x:c>
      <x:c r="B39" s="40" t="str">
        <x:v>Avnet</x:v>
      </x:c>
      <x:c r="C39" s="40" t="str">
        <x:v>AVT</x:v>
      </x:c>
      <x:c r="D39" s="40" t="str">
        <x:v>US/ADR</x:v>
      </x:c>
      <x:c r="E39" s="40" t="str">
        <x:v>Information Technology</x:v>
      </x:c>
      <x:c r="F39" s="40" t="str">
        <x:v>Information Technology</x:v>
      </x:c>
      <x:c r="G39" s="40" t="str">
        <x:v>E112</x:v>
      </x:c>
      <x:c r="H39" s="40" t="str">
        <x:v>Industry comparator / discovery seed</x:v>
      </x:c>
      <x:c r="I39" s="40" t="str">
        <x:v>Not individually underwritten</x:v>
      </x:c>
      <x:c r="J39" s="40" t="str">
        <x:v>Not refreshed; verify exchange, corporate actions, float and tradability</x:v>
      </x:c>
      <x:c r="K39" s="40" t="str">
        <x:v>OPEN: listing; security identity; float; liquidity; size; corporate actions</x:v>
      </x:c>
      <x:c r="L39" s="40" t="str"/>
      <x:c r="M39" s="40"/>
      <x:c r="N39" s="40"/>
    </x:row>
    <x:row r="40" ht="75" customHeight="1">
      <x:c r="A40" s="40" t="str">
        <x:v>AWK</x:v>
      </x:c>
      <x:c r="B40" s="40" t="str">
        <x:v>American Water Works</x:v>
      </x:c>
      <x:c r="C40" s="40" t="str">
        <x:v>AWK</x:v>
      </x:c>
      <x:c r="D40" s="40" t="str">
        <x:v>US/ADR</x:v>
      </x:c>
      <x:c r="E40" s="40" t="str">
        <x:v>Utilities</x:v>
      </x:c>
      <x:c r="F40" s="40" t="str">
        <x:v>Utilities</x:v>
      </x:c>
      <x:c r="G40" s="40" t="str">
        <x:v>E131</x:v>
      </x:c>
      <x:c r="H40" s="40" t="str">
        <x:v>Industry comparator / discovery seed</x:v>
      </x:c>
      <x:c r="I40" s="40" t="str">
        <x:v>Not individually underwritten</x:v>
      </x:c>
      <x:c r="J40" s="40" t="str">
        <x:v>Not refreshed; verify exchange, corporate actions, float and tradability</x:v>
      </x:c>
      <x:c r="K40" s="40" t="str">
        <x:v>OPEN: listing; security identity; float; liquidity; size; corporate actions</x:v>
      </x:c>
      <x:c r="L40" s="40" t="str"/>
      <x:c r="M40" s="40"/>
      <x:c r="N40" s="40"/>
    </x:row>
    <x:row r="41" ht="75" customHeight="1">
      <x:c r="A41" s="40" t="str">
        <x:v>AZZ</x:v>
      </x:c>
      <x:c r="B41" s="40" t="str">
        <x:v>AZZ</x:v>
      </x:c>
      <x:c r="C41" s="40" t="str">
        <x:v>AZZ</x:v>
      </x:c>
      <x:c r="D41" s="40" t="str">
        <x:v>US/ADR</x:v>
      </x:c>
      <x:c r="E41" s="40" t="str">
        <x:v>Industrials</x:v>
      </x:c>
      <x:c r="F41" s="40" t="str">
        <x:v>Industrials</x:v>
      </x:c>
      <x:c r="G41" s="40" t="str">
        <x:v>E149</x:v>
      </x:c>
      <x:c r="H41" s="40" t="str">
        <x:v>Current-report research candidate</x:v>
      </x:c>
      <x:c r="I41" s="40" t="str">
        <x:v>Selected current-report facts checked; full underwriting incomplete</x:v>
      </x:c>
      <x:c r="J41" s="40" t="str">
        <x:v>Ticker in issuer materials; exchange, corporate actions, liquidity and eligibility still require refresh</x:v>
      </x:c>
      <x:c r="K41" s="40" t="str">
        <x:v>OPEN: listing; security identity; float; liquidity; size; corporate actions</x:v>
      </x:c>
      <x:c r="L41" s="40" t="str">
        <x:v>AZZ26</x:v>
      </x:c>
      <x:c r="M41" s="40"/>
      <x:c r="N41" s="40"/>
    </x:row>
    <x:row r="42" ht="75" customHeight="1">
      <x:c r="A42" s="40" t="str">
        <x:v>BALL</x:v>
      </x:c>
      <x:c r="B42" s="40" t="str">
        <x:v>Ball</x:v>
      </x:c>
      <x:c r="C42" s="40" t="str">
        <x:v>BALL</x:v>
      </x:c>
      <x:c r="D42" s="40" t="str">
        <x:v>US/ADR</x:v>
      </x:c>
      <x:c r="E42" s="40" t="str">
        <x:v>Materials</x:v>
      </x:c>
      <x:c r="F42" s="40" t="str">
        <x:v>Materials</x:v>
      </x:c>
      <x:c r="G42" s="40" t="str">
        <x:v>E013</x:v>
      </x:c>
      <x:c r="H42" s="40" t="str">
        <x:v>Industry comparator / discovery seed</x:v>
      </x:c>
      <x:c r="I42" s="40" t="str">
        <x:v>Not individually underwritten</x:v>
      </x:c>
      <x:c r="J42" s="40" t="str">
        <x:v>Not refreshed; verify exchange, corporate actions, float and tradability</x:v>
      </x:c>
      <x:c r="K42" s="40" t="str">
        <x:v>OPEN: listing; security identity; float; liquidity; size; corporate actions</x:v>
      </x:c>
      <x:c r="L42" s="40" t="str"/>
      <x:c r="M42" s="40"/>
      <x:c r="N42" s="40"/>
    </x:row>
    <x:row r="43" ht="75" customHeight="1">
      <x:c r="A43" s="40" t="str">
        <x:v>BC</x:v>
      </x:c>
      <x:c r="B43" s="40" t="str">
        <x:v>Brunswick</x:v>
      </x:c>
      <x:c r="C43" s="40" t="str">
        <x:v>BC</x:v>
      </x:c>
      <x:c r="D43" s="40" t="str">
        <x:v>US/ADR</x:v>
      </x:c>
      <x:c r="E43" s="40" t="str">
        <x:v>Consumer Discretionary</x:v>
      </x:c>
      <x:c r="F43" s="40" t="str">
        <x:v>Consumer Discretionary</x:v>
      </x:c>
      <x:c r="G43" s="40" t="str">
        <x:v>E052</x:v>
      </x:c>
      <x:c r="H43" s="40" t="str">
        <x:v>Industry comparator / discovery seed</x:v>
      </x:c>
      <x:c r="I43" s="40" t="str">
        <x:v>Not individually underwritten</x:v>
      </x:c>
      <x:c r="J43" s="40" t="str">
        <x:v>Not refreshed; verify exchange, corporate actions, float and tradability</x:v>
      </x:c>
      <x:c r="K43" s="40" t="str">
        <x:v>OPEN: listing; security identity; float; liquidity; size; corporate actions</x:v>
      </x:c>
      <x:c r="L43" s="40" t="str"/>
      <x:c r="M43" s="40"/>
      <x:c r="N43" s="40"/>
    </x:row>
    <x:row r="44" ht="75" customHeight="1">
      <x:c r="A44" s="40" t="str">
        <x:v>BEP</x:v>
      </x:c>
      <x:c r="B44" s="40" t="str">
        <x:v>Brookfield Renewable</x:v>
      </x:c>
      <x:c r="C44" s="40" t="str">
        <x:v>BEP</x:v>
      </x:c>
      <x:c r="D44" s="40" t="str">
        <x:v>US/ADR</x:v>
      </x:c>
      <x:c r="E44" s="40" t="str">
        <x:v>Utilities</x:v>
      </x:c>
      <x:c r="F44" s="40" t="str">
        <x:v>Utilities</x:v>
      </x:c>
      <x:c r="G44" s="40" t="str">
        <x:v>E133</x:v>
      </x:c>
      <x:c r="H44" s="40" t="str">
        <x:v>Industry comparator / discovery seed</x:v>
      </x:c>
      <x:c r="I44" s="40" t="str">
        <x:v>Not individually underwritten</x:v>
      </x:c>
      <x:c r="J44" s="40" t="str">
        <x:v>Not refreshed; verify exchange, corporate actions, float and tradability</x:v>
      </x:c>
      <x:c r="K44" s="40" t="str">
        <x:v>OPEN: listing; security identity; float; liquidity; size; corporate actions</x:v>
      </x:c>
      <x:c r="L44" s="40" t="str"/>
      <x:c r="M44" s="40"/>
      <x:c r="N44" s="40"/>
    </x:row>
    <x:row r="45" ht="75" customHeight="1">
      <x:c r="A45" s="40" t="str">
        <x:v>BKNG</x:v>
      </x:c>
      <x:c r="B45" s="40" t="str">
        <x:v>Booking Holdings</x:v>
      </x:c>
      <x:c r="C45" s="40" t="str">
        <x:v>BKNG</x:v>
      </x:c>
      <x:c r="D45" s="40" t="str">
        <x:v>US/ADR</x:v>
      </x:c>
      <x:c r="E45" s="40" t="str">
        <x:v>Consumer Discretionary</x:v>
      </x:c>
      <x:c r="F45" s="40" t="str">
        <x:v>Consumer Discretionary</x:v>
      </x:c>
      <x:c r="G45" s="40" t="str">
        <x:v>E058</x:v>
      </x:c>
      <x:c r="H45" s="40" t="str">
        <x:v>Industry comparator / discovery seed</x:v>
      </x:c>
      <x:c r="I45" s="40" t="str">
        <x:v>Not individually underwritten</x:v>
      </x:c>
      <x:c r="J45" s="40" t="str">
        <x:v>Not refreshed; verify exchange, corporate actions, float and tradability</x:v>
      </x:c>
      <x:c r="K45" s="40" t="str">
        <x:v>OPEN: listing; security identity; float; liquidity; size; corporate actions</x:v>
      </x:c>
      <x:c r="L45" s="40" t="str"/>
      <x:c r="M45" s="40"/>
      <x:c r="N45" s="40"/>
    </x:row>
    <x:row r="46" ht="75" customHeight="1">
      <x:c r="A46" s="40" t="str">
        <x:v>BMI</x:v>
      </x:c>
      <x:c r="B46" s="40" t="str">
        <x:v>Badger Meter</x:v>
      </x:c>
      <x:c r="C46" s="40" t="str">
        <x:v>BMI</x:v>
      </x:c>
      <x:c r="D46" s="40" t="str">
        <x:v>US/ADR</x:v>
      </x:c>
      <x:c r="E46" s="40" t="str">
        <x:v>Information Technology</x:v>
      </x:c>
      <x:c r="F46" s="40" t="str">
        <x:v>Information Technology</x:v>
      </x:c>
      <x:c r="G46" s="40" t="str">
        <x:v>E111</x:v>
      </x:c>
      <x:c r="H46" s="40" t="str">
        <x:v>Current-report research candidate</x:v>
      </x:c>
      <x:c r="I46" s="40" t="str">
        <x:v>Selected current-report facts checked; full underwriting incomplete</x:v>
      </x:c>
      <x:c r="J46" s="40" t="str">
        <x:v>Ticker in issuer materials; exchange, corporate actions, liquidity and eligibility still require refresh</x:v>
      </x:c>
      <x:c r="K46" s="40" t="str">
        <x:v>OPEN: listing; security identity; float; liquidity; size; corporate actions</x:v>
      </x:c>
      <x:c r="L46" s="40" t="str">
        <x:v>BMI26</x:v>
      </x:c>
      <x:c r="M46" s="40"/>
      <x:c r="N46" s="40"/>
    </x:row>
    <x:row r="47" ht="75" customHeight="1">
      <x:c r="A47" s="40" t="str">
        <x:v>BN</x:v>
      </x:c>
      <x:c r="B47" s="40" t="str">
        <x:v>Brookfield Corporation</x:v>
      </x:c>
      <x:c r="C47" s="40" t="str">
        <x:v>BN</x:v>
      </x:c>
      <x:c r="D47" s="40" t="str">
        <x:v>US/ADR</x:v>
      </x:c>
      <x:c r="E47" s="40" t="str">
        <x:v>Financials</x:v>
      </x:c>
      <x:c r="F47" s="40" t="str">
        <x:v>Financials</x:v>
      </x:c>
      <x:c r="G47" s="40" t="str">
        <x:v>E090</x:v>
      </x:c>
      <x:c r="H47" s="40" t="str">
        <x:v>Industry comparator / discovery seed</x:v>
      </x:c>
      <x:c r="I47" s="40" t="str">
        <x:v>Not individually underwritten</x:v>
      </x:c>
      <x:c r="J47" s="40" t="str">
        <x:v>Not refreshed; verify exchange, corporate actions, float and tradability</x:v>
      </x:c>
      <x:c r="K47" s="40" t="str">
        <x:v>OPEN: listing; security identity; float; liquidity; size; corporate actions</x:v>
      </x:c>
      <x:c r="L47" s="40" t="str"/>
      <x:c r="M47" s="40"/>
      <x:c r="N47" s="40"/>
    </x:row>
    <x:row r="48" ht="75" customHeight="1">
      <x:c r="A48" s="40" t="str">
        <x:v>BNL</x:v>
      </x:c>
      <x:c r="B48" s="40" t="str">
        <x:v>Broadstone Net Lease</x:v>
      </x:c>
      <x:c r="C48" s="40" t="str">
        <x:v>BNL</x:v>
      </x:c>
      <x:c r="D48" s="40" t="str">
        <x:v>US/ADR</x:v>
      </x:c>
      <x:c r="E48" s="40" t="str">
        <x:v>Real Estate</x:v>
      </x:c>
      <x:c r="F48" s="40" t="str">
        <x:v>Real Estate</x:v>
      </x:c>
      <x:c r="G48" s="40" t="str">
        <x:v>E134</x:v>
      </x:c>
      <x:c r="H48" s="40" t="str">
        <x:v>Industry comparator / discovery seed</x:v>
      </x:c>
      <x:c r="I48" s="40" t="str">
        <x:v>Not individually underwritten</x:v>
      </x:c>
      <x:c r="J48" s="40" t="str">
        <x:v>Not refreshed; verify exchange, corporate actions, float and tradability</x:v>
      </x:c>
      <x:c r="K48" s="40" t="str">
        <x:v>OPEN: listing; security identity; float; liquidity; size; corporate actions</x:v>
      </x:c>
      <x:c r="L48" s="40" t="str"/>
      <x:c r="M48" s="40"/>
      <x:c r="N48" s="40"/>
    </x:row>
    <x:row r="49" ht="75" customHeight="1">
      <x:c r="A49" s="40" t="str">
        <x:v>BOOT</x:v>
      </x:c>
      <x:c r="B49" s="40" t="str">
        <x:v>Boot Barn</x:v>
      </x:c>
      <x:c r="C49" s="40" t="str">
        <x:v>BOOT</x:v>
      </x:c>
      <x:c r="D49" s="40" t="str">
        <x:v>US/ADR</x:v>
      </x:c>
      <x:c r="E49" s="40" t="str">
        <x:v>Consumer Discretionary</x:v>
      </x:c>
      <x:c r="F49" s="40" t="str">
        <x:v>Consumer Discretionary</x:v>
      </x:c>
      <x:c r="G49" s="40" t="str">
        <x:v>E063</x:v>
      </x:c>
      <x:c r="H49" s="40" t="str">
        <x:v>Industry comparator / discovery seed</x:v>
      </x:c>
      <x:c r="I49" s="40" t="str">
        <x:v>Not individually underwritten</x:v>
      </x:c>
      <x:c r="J49" s="40" t="str">
        <x:v>Not refreshed; verify exchange, corporate actions, float and tradability</x:v>
      </x:c>
      <x:c r="K49" s="40" t="str">
        <x:v>OPEN: listing; security identity; float; liquidity; size; corporate actions</x:v>
      </x:c>
      <x:c r="L49" s="40" t="str"/>
      <x:c r="M49" s="40"/>
      <x:c r="N49" s="40"/>
    </x:row>
    <x:row r="50" ht="75" customHeight="1">
      <x:c r="A50" s="40" t="str">
        <x:v>BRK-B</x:v>
      </x:c>
      <x:c r="B50" s="40" t="str">
        <x:v>Berkshire Hathaway</x:v>
      </x:c>
      <x:c r="C50" s="40" t="str">
        <x:v>BRK-B</x:v>
      </x:c>
      <x:c r="D50" s="40" t="str">
        <x:v>US/ADR</x:v>
      </x:c>
      <x:c r="E50" s="40" t="str">
        <x:v>Financials</x:v>
      </x:c>
      <x:c r="F50" s="40" t="str">
        <x:v>Financials</x:v>
      </x:c>
      <x:c r="G50" s="40" t="str">
        <x:v>E090</x:v>
      </x:c>
      <x:c r="H50" s="40" t="str">
        <x:v>Industry comparator / discovery seed</x:v>
      </x:c>
      <x:c r="I50" s="40" t="str">
        <x:v>Not individually underwritten</x:v>
      </x:c>
      <x:c r="J50" s="40" t="str">
        <x:v>Not refreshed; verify exchange, corporate actions, float and tradability</x:v>
      </x:c>
      <x:c r="K50" s="40" t="str">
        <x:v>OPEN: listing; security identity; float; liquidity; size; corporate actions</x:v>
      </x:c>
      <x:c r="L50" s="40" t="str"/>
      <x:c r="M50" s="40"/>
      <x:c r="N50" s="40"/>
    </x:row>
    <x:row r="51" ht="75" customHeight="1">
      <x:c r="A51" s="40" t="str">
        <x:v>BRO</x:v>
      </x:c>
      <x:c r="B51" s="40" t="str">
        <x:v>Brown &amp; Brown</x:v>
      </x:c>
      <x:c r="C51" s="40" t="str">
        <x:v>BRO</x:v>
      </x:c>
      <x:c r="D51" s="40" t="str">
        <x:v>US/ADR</x:v>
      </x:c>
      <x:c r="E51" s="40" t="str">
        <x:v>Financials</x:v>
      </x:c>
      <x:c r="F51" s="40" t="str">
        <x:v>Financials</x:v>
      </x:c>
      <x:c r="G51" s="40" t="str">
        <x:v>E098</x:v>
      </x:c>
      <x:c r="H51" s="40" t="str">
        <x:v>Industry comparator / discovery seed</x:v>
      </x:c>
      <x:c r="I51" s="40" t="str">
        <x:v>Not individually underwritten</x:v>
      </x:c>
      <x:c r="J51" s="40" t="str">
        <x:v>Not refreshed; verify exchange, corporate actions, float and tradability</x:v>
      </x:c>
      <x:c r="K51" s="40" t="str">
        <x:v>OPEN: listing; security identity; float; liquidity; size; corporate actions</x:v>
      </x:c>
      <x:c r="L51" s="40" t="str"/>
      <x:c r="M51" s="40"/>
      <x:c r="N51" s="40"/>
    </x:row>
    <x:row r="52" ht="75" customHeight="1">
      <x:c r="A52" s="40" t="str">
        <x:v>BTU</x:v>
      </x:c>
      <x:c r="B52" s="40" t="str">
        <x:v>Peabody Energy</x:v>
      </x:c>
      <x:c r="C52" s="40" t="str">
        <x:v>BTU</x:v>
      </x:c>
      <x:c r="D52" s="40" t="str">
        <x:v>US/ADR</x:v>
      </x:c>
      <x:c r="E52" s="40" t="str">
        <x:v>Energy</x:v>
      </x:c>
      <x:c r="F52" s="40" t="str">
        <x:v>Energy</x:v>
      </x:c>
      <x:c r="G52" s="40" t="str">
        <x:v>E007</x:v>
      </x:c>
      <x:c r="H52" s="40" t="str">
        <x:v>Industry comparator / discovery seed</x:v>
      </x:c>
      <x:c r="I52" s="40" t="str">
        <x:v>Not individually underwritten</x:v>
      </x:c>
      <x:c r="J52" s="40" t="str">
        <x:v>Not refreshed; verify exchange, corporate actions, float and tradability</x:v>
      </x:c>
      <x:c r="K52" s="40" t="str">
        <x:v>OPEN: listing; security identity; float; liquidity; size; corporate actions</x:v>
      </x:c>
      <x:c r="L52" s="40" t="str"/>
      <x:c r="M52" s="40"/>
      <x:c r="N52" s="40"/>
    </x:row>
    <x:row r="53" ht="75" customHeight="1">
      <x:c r="A53" s="40" t="str">
        <x:v>BWA</x:v>
      </x:c>
      <x:c r="B53" s="40" t="str">
        <x:v>BorgWarner</x:v>
      </x:c>
      <x:c r="C53" s="40" t="str">
        <x:v>BWA</x:v>
      </x:c>
      <x:c r="D53" s="40" t="str">
        <x:v>US/ADR</x:v>
      </x:c>
      <x:c r="E53" s="40" t="str">
        <x:v>Consumer Discretionary</x:v>
      </x:c>
      <x:c r="F53" s="40" t="str">
        <x:v>Consumer Discretionary</x:v>
      </x:c>
      <x:c r="G53" s="40" t="str">
        <x:v>E047</x:v>
      </x:c>
      <x:c r="H53" s="40" t="str">
        <x:v>Industry comparator / discovery seed</x:v>
      </x:c>
      <x:c r="I53" s="40" t="str">
        <x:v>Not individually underwritten</x:v>
      </x:c>
      <x:c r="J53" s="40" t="str">
        <x:v>Not refreshed; verify exchange, corporate actions, float and tradability</x:v>
      </x:c>
      <x:c r="K53" s="40" t="str">
        <x:v>OPEN: listing; security identity; float; liquidity; size; corporate actions</x:v>
      </x:c>
      <x:c r="L53" s="40" t="str"/>
      <x:c r="M53" s="40"/>
      <x:c r="N53" s="40"/>
    </x:row>
    <x:row r="54" ht="75" customHeight="1">
      <x:c r="A54" s="40" t="str">
        <x:v>BXMT</x:v>
      </x:c>
      <x:c r="B54" s="40" t="str">
        <x:v>Blackstone Mortgage Trust</x:v>
      </x:c>
      <x:c r="C54" s="40" t="str">
        <x:v>BXMT</x:v>
      </x:c>
      <x:c r="D54" s="40" t="str">
        <x:v>US/ADR</x:v>
      </x:c>
      <x:c r="E54" s="40" t="str">
        <x:v>Financials</x:v>
      </x:c>
      <x:c r="F54" s="40" t="str">
        <x:v>Financials</x:v>
      </x:c>
      <x:c r="G54" s="40" t="str">
        <x:v>E096</x:v>
      </x:c>
      <x:c r="H54" s="40" t="str">
        <x:v>Industry comparator / discovery seed</x:v>
      </x:c>
      <x:c r="I54" s="40" t="str">
        <x:v>Not individually underwritten</x:v>
      </x:c>
      <x:c r="J54" s="40" t="str">
        <x:v>Not refreshed; verify exchange, corporate actions, float and tradability</x:v>
      </x:c>
      <x:c r="K54" s="40" t="str">
        <x:v>OPEN: listing; security identity; float; liquidity; size; corporate actions</x:v>
      </x:c>
      <x:c r="L54" s="40" t="str"/>
      <x:c r="M54" s="40"/>
      <x:c r="N54" s="40"/>
    </x:row>
    <x:row r="55" ht="75" customHeight="1">
      <x:c r="A55" s="40" t="str">
        <x:v>BXP</x:v>
      </x:c>
      <x:c r="B55" s="40" t="str">
        <x:v>BXP</x:v>
      </x:c>
      <x:c r="C55" s="40" t="str">
        <x:v>BXP</x:v>
      </x:c>
      <x:c r="D55" s="40" t="str">
        <x:v>US/ADR</x:v>
      </x:c>
      <x:c r="E55" s="40" t="str">
        <x:v>Real Estate</x:v>
      </x:c>
      <x:c r="F55" s="40" t="str">
        <x:v>Real Estate</x:v>
      </x:c>
      <x:c r="G55" s="40" t="str">
        <x:v>E137</x:v>
      </x:c>
      <x:c r="H55" s="40" t="str">
        <x:v>Industry comparator / discovery seed</x:v>
      </x:c>
      <x:c r="I55" s="40" t="str">
        <x:v>Not individually underwritten</x:v>
      </x:c>
      <x:c r="J55" s="40" t="str">
        <x:v>Not refreshed; verify exchange, corporate actions, float and tradability</x:v>
      </x:c>
      <x:c r="K55" s="40" t="str">
        <x:v>OPEN: listing; security identity; float; liquidity; size; corporate actions</x:v>
      </x:c>
      <x:c r="L55" s="40" t="str"/>
      <x:c r="M55" s="40"/>
      <x:c r="N55" s="40"/>
    </x:row>
    <x:row r="56" ht="75" customHeight="1">
      <x:c r="A56" s="40" t="str">
        <x:v>CAMT</x:v>
      </x:c>
      <x:c r="B56" s="40" t="str">
        <x:v>Camtek</x:v>
      </x:c>
      <x:c r="C56" s="40" t="str">
        <x:v>CAMT</x:v>
      </x:c>
      <x:c r="D56" s="40" t="str">
        <x:v>US/ADR</x:v>
      </x:c>
      <x:c r="E56" s="40" t="str">
        <x:v>Information Technology</x:v>
      </x:c>
      <x:c r="F56" s="40" t="str">
        <x:v>Information Technology</x:v>
      </x:c>
      <x:c r="G56" s="40" t="str">
        <x:v>E118</x:v>
      </x:c>
      <x:c r="H56" s="40" t="str">
        <x:v>Current-report research candidate</x:v>
      </x:c>
      <x:c r="I56" s="40" t="str">
        <x:v>Selected current-report facts checked; full underwriting incomplete</x:v>
      </x:c>
      <x:c r="J56" s="40" t="str">
        <x:v>Ticker in issuer materials; exchange, corporate actions, liquidity and eligibility still require refresh</x:v>
      </x:c>
      <x:c r="K56" s="40" t="str">
        <x:v>OPEN: listing; security identity; float; liquidity; size; corporate actions</x:v>
      </x:c>
      <x:c r="L56" s="40" t="str">
        <x:v>CAMT26</x:v>
      </x:c>
      <x:c r="M56" s="40"/>
      <x:c r="N56" s="40"/>
    </x:row>
    <x:row r="57" ht="75" customHeight="1">
      <x:c r="A57" s="40" t="str">
        <x:v>CAT</x:v>
      </x:c>
      <x:c r="B57" s="40" t="str">
        <x:v>Caterpillar</x:v>
      </x:c>
      <x:c r="C57" s="40" t="str">
        <x:v>CAT</x:v>
      </x:c>
      <x:c r="D57" s="40" t="str">
        <x:v>US/ADR</x:v>
      </x:c>
      <x:c r="E57" s="40" t="str">
        <x:v>Industrials</x:v>
      </x:c>
      <x:c r="F57" s="40" t="str">
        <x:v>Industrials</x:v>
      </x:c>
      <x:c r="G57" s="40" t="str">
        <x:v>E029</x:v>
      </x:c>
      <x:c r="H57" s="40" t="str">
        <x:v>Industry comparator / discovery seed</x:v>
      </x:c>
      <x:c r="I57" s="40" t="str">
        <x:v>Not individually underwritten</x:v>
      </x:c>
      <x:c r="J57" s="40" t="str">
        <x:v>Not refreshed; verify exchange, corporate actions, float and tradability</x:v>
      </x:c>
      <x:c r="K57" s="40" t="str">
        <x:v>OPEN: listing; security identity; float; liquidity; size; corporate actions</x:v>
      </x:c>
      <x:c r="L57" s="40" t="str"/>
      <x:c r="M57" s="40"/>
      <x:c r="N57" s="40"/>
    </x:row>
    <x:row r="58" ht="75" customHeight="1">
      <x:c r="A58" s="40" t="str">
        <x:v>CAVA</x:v>
      </x:c>
      <x:c r="B58" s="40" t="str">
        <x:v>Cava</x:v>
      </x:c>
      <x:c r="C58" s="40" t="str">
        <x:v>CAVA</x:v>
      </x:c>
      <x:c r="D58" s="40" t="str">
        <x:v>US/ADR</x:v>
      </x:c>
      <x:c r="E58" s="40" t="str">
        <x:v>Consumer Discretionary</x:v>
      </x:c>
      <x:c r="F58" s="40" t="str">
        <x:v>Consumer Discretionary</x:v>
      </x:c>
      <x:c r="G58" s="40" t="str">
        <x:v>E057</x:v>
      </x:c>
      <x:c r="H58" s="40" t="str">
        <x:v>Industry comparator / discovery seed</x:v>
      </x:c>
      <x:c r="I58" s="40" t="str">
        <x:v>Not individually underwritten</x:v>
      </x:c>
      <x:c r="J58" s="40" t="str">
        <x:v>Not refreshed; verify exchange, corporate actions, float and tradability</x:v>
      </x:c>
      <x:c r="K58" s="40" t="str">
        <x:v>OPEN: listing; security identity; float; liquidity; size; corporate actions</x:v>
      </x:c>
      <x:c r="L58" s="40" t="str"/>
      <x:c r="M58" s="40"/>
      <x:c r="N58" s="40"/>
    </x:row>
    <x:row r="59" ht="75" customHeight="1">
      <x:c r="A59" s="40" t="str">
        <x:v>CBRE</x:v>
      </x:c>
      <x:c r="B59" s="40" t="str">
        <x:v>CBRE</x:v>
      </x:c>
      <x:c r="C59" s="40" t="str">
        <x:v>CBRE</x:v>
      </x:c>
      <x:c r="D59" s="40" t="str">
        <x:v>US/ADR</x:v>
      </x:c>
      <x:c r="E59" s="40" t="str">
        <x:v>Real Estate</x:v>
      </x:c>
      <x:c r="F59" s="40" t="str">
        <x:v>Real Estate</x:v>
      </x:c>
      <x:c r="G59" s="40" t="str">
        <x:v>E147</x:v>
      </x:c>
      <x:c r="H59" s="40" t="str">
        <x:v>Industry comparator / discovery seed</x:v>
      </x:c>
      <x:c r="I59" s="40" t="str">
        <x:v>Not individually underwritten</x:v>
      </x:c>
      <x:c r="J59" s="40" t="str">
        <x:v>Not refreshed; verify exchange, corporate actions, float and tradability</x:v>
      </x:c>
      <x:c r="K59" s="40" t="str">
        <x:v>OPEN: listing; security identity; float; liquidity; size; corporate actions</x:v>
      </x:c>
      <x:c r="L59" s="40" t="str"/>
      <x:c r="M59" s="40"/>
      <x:c r="N59" s="40"/>
    </x:row>
    <x:row r="60" ht="75" customHeight="1">
      <x:c r="A60" s="40" t="str">
        <x:v>CCJ</x:v>
      </x:c>
      <x:c r="B60" s="40" t="str">
        <x:v>Cameco</x:v>
      </x:c>
      <x:c r="C60" s="40" t="str">
        <x:v>CCJ</x:v>
      </x:c>
      <x:c r="D60" s="40" t="str">
        <x:v>US/ADR</x:v>
      </x:c>
      <x:c r="E60" s="40" t="str">
        <x:v>Energy</x:v>
      </x:c>
      <x:c r="F60" s="40" t="str">
        <x:v>Energy</x:v>
      </x:c>
      <x:c r="G60" s="40" t="str">
        <x:v>E007</x:v>
      </x:c>
      <x:c r="H60" s="40" t="str">
        <x:v>Industry comparator / discovery seed</x:v>
      </x:c>
      <x:c r="I60" s="40" t="str">
        <x:v>Not individually underwritten</x:v>
      </x:c>
      <x:c r="J60" s="40" t="str">
        <x:v>Not refreshed; verify exchange, corporate actions, float and tradability</x:v>
      </x:c>
      <x:c r="K60" s="40" t="str">
        <x:v>OPEN: listing; security identity; float; liquidity; size; corporate actions</x:v>
      </x:c>
      <x:c r="L60" s="40" t="str"/>
      <x:c r="M60" s="40"/>
      <x:c r="N60" s="40"/>
    </x:row>
    <x:row r="61" ht="75" customHeight="1">
      <x:c r="A61" s="40" t="str">
        <x:v>CCK</x:v>
      </x:c>
      <x:c r="B61" s="40" t="str">
        <x:v>Crown Holdings</x:v>
      </x:c>
      <x:c r="C61" s="40" t="str">
        <x:v>CCK</x:v>
      </x:c>
      <x:c r="D61" s="40" t="str">
        <x:v>US/ADR</x:v>
      </x:c>
      <x:c r="E61" s="40" t="str">
        <x:v>Materials</x:v>
      </x:c>
      <x:c r="F61" s="40" t="str">
        <x:v>Materials</x:v>
      </x:c>
      <x:c r="G61" s="40" t="str">
        <x:v>E013</x:v>
      </x:c>
      <x:c r="H61" s="40" t="str">
        <x:v>Industry comparator / discovery seed</x:v>
      </x:c>
      <x:c r="I61" s="40" t="str">
        <x:v>Not individually underwritten</x:v>
      </x:c>
      <x:c r="J61" s="40" t="str">
        <x:v>Not refreshed; verify exchange, corporate actions, float and tradability</x:v>
      </x:c>
      <x:c r="K61" s="40" t="str">
        <x:v>OPEN: listing; security identity; float; liquidity; size; corporate actions</x:v>
      </x:c>
      <x:c r="L61" s="40" t="str"/>
      <x:c r="M61" s="40"/>
      <x:c r="N61" s="40"/>
    </x:row>
    <x:row r="62" ht="75" customHeight="1">
      <x:c r="A62" s="40" t="str">
        <x:v>CDNS</x:v>
      </x:c>
      <x:c r="B62" s="40" t="str">
        <x:v>Cadence</x:v>
      </x:c>
      <x:c r="C62" s="40" t="str">
        <x:v>CDNS</x:v>
      </x:c>
      <x:c r="D62" s="40" t="str">
        <x:v>US/ADR</x:v>
      </x:c>
      <x:c r="E62" s="40" t="str">
        <x:v>Information Technology</x:v>
      </x:c>
      <x:c r="F62" s="40" t="str">
        <x:v>Information Technology</x:v>
      </x:c>
      <x:c r="G62" s="40" t="str">
        <x:v>E105</x:v>
      </x:c>
      <x:c r="H62" s="40" t="str">
        <x:v>Industry comparator / discovery seed</x:v>
      </x:c>
      <x:c r="I62" s="40" t="str">
        <x:v>Not individually underwritten</x:v>
      </x:c>
      <x:c r="J62" s="40" t="str">
        <x:v>Not refreshed; verify exchange, corporate actions, float and tradability</x:v>
      </x:c>
      <x:c r="K62" s="40" t="str">
        <x:v>OPEN: listing; security identity; float; liquidity; size; corporate actions</x:v>
      </x:c>
      <x:c r="L62" s="40" t="str"/>
      <x:c r="M62" s="40"/>
      <x:c r="N62" s="40"/>
    </x:row>
    <x:row r="63" ht="75" customHeight="1">
      <x:c r="A63" s="40" t="str">
        <x:v>CF</x:v>
      </x:c>
      <x:c r="B63" s="40" t="str">
        <x:v>CF Industries</x:v>
      </x:c>
      <x:c r="C63" s="40" t="str">
        <x:v>CF</x:v>
      </x:c>
      <x:c r="D63" s="40" t="str">
        <x:v>US/ADR</x:v>
      </x:c>
      <x:c r="E63" s="40" t="str">
        <x:v>Materials</x:v>
      </x:c>
      <x:c r="F63" s="40" t="str">
        <x:v>Materials</x:v>
      </x:c>
      <x:c r="G63" s="40" t="str">
        <x:v>E011</x:v>
      </x:c>
      <x:c r="H63" s="40" t="str">
        <x:v>Industry comparator / discovery seed</x:v>
      </x:c>
      <x:c r="I63" s="40" t="str">
        <x:v>Not individually underwritten</x:v>
      </x:c>
      <x:c r="J63" s="40" t="str">
        <x:v>Not refreshed; verify exchange, corporate actions, float and tradability</x:v>
      </x:c>
      <x:c r="K63" s="40" t="str">
        <x:v>OPEN: listing; security identity; float; liquidity; size; corporate actions</x:v>
      </x:c>
      <x:c r="L63" s="40" t="str"/>
      <x:c r="M63" s="40"/>
      <x:c r="N63" s="40"/>
    </x:row>
    <x:row r="64" ht="75" customHeight="1">
      <x:c r="A64" s="40" t="str">
        <x:v>CFR</x:v>
      </x:c>
      <x:c r="B64" s="40" t="str">
        <x:v>Cullen/Frost Bankers</x:v>
      </x:c>
      <x:c r="C64" s="40" t="str">
        <x:v>CFR</x:v>
      </x:c>
      <x:c r="D64" s="40" t="str">
        <x:v>US/ADR</x:v>
      </x:c>
      <x:c r="E64" s="40" t="str">
        <x:v>Financials</x:v>
      </x:c>
      <x:c r="F64" s="40" t="str">
        <x:v>Financials</x:v>
      </x:c>
      <x:c r="G64" s="40" t="str">
        <x:v>E087</x:v>
      </x:c>
      <x:c r="H64" s="40" t="str">
        <x:v>Industry comparator / discovery seed</x:v>
      </x:c>
      <x:c r="I64" s="40" t="str">
        <x:v>Not individually underwritten</x:v>
      </x:c>
      <x:c r="J64" s="40" t="str">
        <x:v>Not refreshed; verify exchange, corporate actions, float and tradability</x:v>
      </x:c>
      <x:c r="K64" s="40" t="str">
        <x:v>OPEN: listing; security identity; float; liquidity; size; corporate actions</x:v>
      </x:c>
      <x:c r="L64" s="40" t="str"/>
      <x:c r="M64" s="40"/>
      <x:c r="N64" s="40"/>
    </x:row>
    <x:row r="65" ht="75" customHeight="1">
      <x:c r="A65" s="40" t="str">
        <x:v>CHD</x:v>
      </x:c>
      <x:c r="B65" s="40" t="str">
        <x:v>Church &amp; Dwight</x:v>
      </x:c>
      <x:c r="C65" s="40" t="str">
        <x:v>CHD</x:v>
      </x:c>
      <x:c r="D65" s="40" t="str">
        <x:v>US/ADR</x:v>
      </x:c>
      <x:c r="E65" s="40" t="str">
        <x:v>Consumer Staples</x:v>
      </x:c>
      <x:c r="F65" s="40" t="str">
        <x:v>Consumer Staples</x:v>
      </x:c>
      <x:c r="G65" s="40" t="str">
        <x:v>E072</x:v>
      </x:c>
      <x:c r="H65" s="40" t="str">
        <x:v>Industry comparator / discovery seed</x:v>
      </x:c>
      <x:c r="I65" s="40" t="str">
        <x:v>Not individually underwritten</x:v>
      </x:c>
      <x:c r="J65" s="40" t="str">
        <x:v>Not refreshed; verify exchange, corporate actions, float and tradability</x:v>
      </x:c>
      <x:c r="K65" s="40" t="str">
        <x:v>OPEN: listing; security identity; float; liquidity; size; corporate actions</x:v>
      </x:c>
      <x:c r="L65" s="40" t="str"/>
      <x:c r="M65" s="40"/>
      <x:c r="N65" s="40"/>
    </x:row>
    <x:row r="66" ht="75" customHeight="1">
      <x:c r="A66" s="40" t="str">
        <x:v>CHRW</x:v>
      </x:c>
      <x:c r="B66" s="40" t="str">
        <x:v>C. H. Robinson</x:v>
      </x:c>
      <x:c r="C66" s="40" t="str">
        <x:v>CHRW</x:v>
      </x:c>
      <x:c r="D66" s="40" t="str">
        <x:v>US/ADR</x:v>
      </x:c>
      <x:c r="E66" s="40" t="str">
        <x:v>Industrials</x:v>
      </x:c>
      <x:c r="F66" s="40" t="str">
        <x:v>Industrials</x:v>
      </x:c>
      <x:c r="G66" s="40" t="str">
        <x:v>E039</x:v>
      </x:c>
      <x:c r="H66" s="40" t="str">
        <x:v>Industry comparator / discovery seed</x:v>
      </x:c>
      <x:c r="I66" s="40" t="str">
        <x:v>Not individually underwritten</x:v>
      </x:c>
      <x:c r="J66" s="40" t="str">
        <x:v>Not refreshed; verify exchange, corporate actions, float and tradability</x:v>
      </x:c>
      <x:c r="K66" s="40" t="str">
        <x:v>OPEN: listing; security identity; float; liquidity; size; corporate actions</x:v>
      </x:c>
      <x:c r="L66" s="40" t="str"/>
      <x:c r="M66" s="40"/>
      <x:c r="N66" s="40"/>
    </x:row>
    <x:row r="67" ht="75" customHeight="1">
      <x:c r="A67" s="40" t="str">
        <x:v>CIEN</x:v>
      </x:c>
      <x:c r="B67" s="40" t="str">
        <x:v>Ciena</x:v>
      </x:c>
      <x:c r="C67" s="40" t="str">
        <x:v>CIEN</x:v>
      </x:c>
      <x:c r="D67" s="40" t="str">
        <x:v>US/ADR</x:v>
      </x:c>
      <x:c r="E67" s="40" t="str">
        <x:v>Information Technology</x:v>
      </x:c>
      <x:c r="F67" s="40" t="str">
        <x:v>Information Technology</x:v>
      </x:c>
      <x:c r="G67" s="40" t="str">
        <x:v>E107</x:v>
      </x:c>
      <x:c r="H67" s="40" t="str">
        <x:v>Industry comparator / discovery seed</x:v>
      </x:c>
      <x:c r="I67" s="40" t="str">
        <x:v>Not individually underwritten</x:v>
      </x:c>
      <x:c r="J67" s="40" t="str">
        <x:v>Not refreshed; verify exchange, corporate actions, float and tradability</x:v>
      </x:c>
      <x:c r="K67" s="40" t="str">
        <x:v>OPEN: listing; security identity; float; liquidity; size; corporate actions</x:v>
      </x:c>
      <x:c r="L67" s="40" t="str"/>
      <x:c r="M67" s="40"/>
      <x:c r="N67" s="40"/>
    </x:row>
    <x:row r="68" ht="75" customHeight="1">
      <x:c r="A68" s="40" t="str">
        <x:v>CLS</x:v>
      </x:c>
      <x:c r="B68" s="40" t="str">
        <x:v>Celestica</x:v>
      </x:c>
      <x:c r="C68" s="40" t="str">
        <x:v>CLS</x:v>
      </x:c>
      <x:c r="D68" s="40" t="str">
        <x:v>US/ADR</x:v>
      </x:c>
      <x:c r="E68" s="40" t="str">
        <x:v>Information Technology</x:v>
      </x:c>
      <x:c r="F68" s="40" t="str">
        <x:v>Information Technology</x:v>
      </x:c>
      <x:c r="G68" s="40" t="str">
        <x:v>E112</x:v>
      </x:c>
      <x:c r="H68" s="40" t="str">
        <x:v>Industry comparator / discovery seed</x:v>
      </x:c>
      <x:c r="I68" s="40" t="str">
        <x:v>Not individually underwritten</x:v>
      </x:c>
      <x:c r="J68" s="40" t="str">
        <x:v>Not refreshed; verify exchange, corporate actions, float and tradability</x:v>
      </x:c>
      <x:c r="K68" s="40" t="str">
        <x:v>OPEN: listing; security identity; float; liquidity; size; corporate actions</x:v>
      </x:c>
      <x:c r="L68" s="40" t="str"/>
      <x:c r="M68" s="40"/>
      <x:c r="N68" s="40"/>
    </x:row>
    <x:row r="69" ht="75" customHeight="1">
      <x:c r="A69" s="40" t="str">
        <x:v>CLW</x:v>
      </x:c>
      <x:c r="B69" s="40" t="str">
        <x:v>Clearwater Paper</x:v>
      </x:c>
      <x:c r="C69" s="40" t="str">
        <x:v>CLW</x:v>
      </x:c>
      <x:c r="D69" s="40" t="str">
        <x:v>US/ADR</x:v>
      </x:c>
      <x:c r="E69" s="40" t="str">
        <x:v>Materials</x:v>
      </x:c>
      <x:c r="F69" s="40" t="str">
        <x:v>Materials</x:v>
      </x:c>
      <x:c r="G69" s="40" t="str">
        <x:v>E019</x:v>
      </x:c>
      <x:c r="H69" s="40" t="str">
        <x:v>Industry comparator / discovery seed</x:v>
      </x:c>
      <x:c r="I69" s="40" t="str">
        <x:v>Not individually underwritten</x:v>
      </x:c>
      <x:c r="J69" s="40" t="str">
        <x:v>Not refreshed; verify exchange, corporate actions, float and tradability</x:v>
      </x:c>
      <x:c r="K69" s="40" t="str">
        <x:v>OPEN: listing; security identity; float; liquidity; size; corporate actions</x:v>
      </x:c>
      <x:c r="L69" s="40" t="str"/>
      <x:c r="M69" s="40"/>
      <x:c r="N69" s="40"/>
    </x:row>
    <x:row r="70" ht="75" customHeight="1">
      <x:c r="A70" s="40" t="str">
        <x:v>CMCSA</x:v>
      </x:c>
      <x:c r="B70" s="40" t="str">
        <x:v>Comcast</x:v>
      </x:c>
      <x:c r="C70" s="40" t="str">
        <x:v>CMCSA</x:v>
      </x:c>
      <x:c r="D70" s="40" t="str">
        <x:v>US/ADR</x:v>
      </x:c>
      <x:c r="E70" s="40" t="str">
        <x:v>Communication Services</x:v>
      </x:c>
      <x:c r="F70" s="40" t="str">
        <x:v>Communication Services</x:v>
      </x:c>
      <x:c r="G70" s="40" t="str">
        <x:v>E119</x:v>
      </x:c>
      <x:c r="H70" s="40" t="str">
        <x:v>Industry comparator / discovery seed</x:v>
      </x:c>
      <x:c r="I70" s="40" t="str">
        <x:v>Not individually underwritten</x:v>
      </x:c>
      <x:c r="J70" s="40" t="str">
        <x:v>Not refreshed; verify exchange, corporate actions, float and tradability</x:v>
      </x:c>
      <x:c r="K70" s="40" t="str">
        <x:v>OPEN: listing; security identity; float; liquidity; size; corporate actions</x:v>
      </x:c>
      <x:c r="L70" s="40" t="str"/>
      <x:c r="M70" s="40"/>
      <x:c r="N70" s="40"/>
    </x:row>
    <x:row r="71" ht="75" customHeight="1">
      <x:c r="A71" s="40" t="str">
        <x:v>CME</x:v>
      </x:c>
      <x:c r="B71" s="40" t="str">
        <x:v>CME Group</x:v>
      </x:c>
      <x:c r="C71" s="40" t="str">
        <x:v>CME</x:v>
      </x:c>
      <x:c r="D71" s="40" t="str">
        <x:v>US/ADR</x:v>
      </x:c>
      <x:c r="E71" s="40" t="str">
        <x:v>Financials</x:v>
      </x:c>
      <x:c r="F71" s="40" t="str">
        <x:v>Financials</x:v>
      </x:c>
      <x:c r="G71" s="40" t="str">
        <x:v>E092</x:v>
      </x:c>
      <x:c r="H71" s="40" t="str">
        <x:v>Industry comparator / discovery seed</x:v>
      </x:c>
      <x:c r="I71" s="40" t="str">
        <x:v>Not individually underwritten</x:v>
      </x:c>
      <x:c r="J71" s="40" t="str">
        <x:v>Not refreshed; verify exchange, corporate actions, float and tradability</x:v>
      </x:c>
      <x:c r="K71" s="40" t="str">
        <x:v>OPEN: listing; security identity; float; liquidity; size; corporate actions</x:v>
      </x:c>
      <x:c r="L71" s="40" t="str"/>
      <x:c r="M71" s="40"/>
      <x:c r="N71" s="40"/>
    </x:row>
    <x:row r="72" ht="75" customHeight="1">
      <x:c r="A72" s="40" t="str">
        <x:v>COHR</x:v>
      </x:c>
      <x:c r="B72" s="40" t="str">
        <x:v>Coherent</x:v>
      </x:c>
      <x:c r="C72" s="40" t="str">
        <x:v>COHR</x:v>
      </x:c>
      <x:c r="D72" s="40" t="str">
        <x:v>US/ADR</x:v>
      </x:c>
      <x:c r="E72" s="40" t="str">
        <x:v>Information Technology</x:v>
      </x:c>
      <x:c r="F72" s="40" t="str">
        <x:v>Information Technology</x:v>
      </x:c>
      <x:c r="G72" s="40" t="str">
        <x:v>E110</x:v>
      </x:c>
      <x:c r="H72" s="40" t="str">
        <x:v>Industry comparator / discovery seed</x:v>
      </x:c>
      <x:c r="I72" s="40" t="str">
        <x:v>Not individually underwritten</x:v>
      </x:c>
      <x:c r="J72" s="40" t="str">
        <x:v>Not refreshed; verify exchange, corporate actions, float and tradability</x:v>
      </x:c>
      <x:c r="K72" s="40" t="str">
        <x:v>OPEN: listing; security identity; float; liquidity; size; corporate actions</x:v>
      </x:c>
      <x:c r="L72" s="40" t="str"/>
      <x:c r="M72" s="40"/>
      <x:c r="N72" s="40"/>
    </x:row>
    <x:row r="73" ht="75" customHeight="1">
      <x:c r="A73" s="40" t="str">
        <x:v>COHU</x:v>
      </x:c>
      <x:c r="B73" s="40" t="str">
        <x:v>Cohu</x:v>
      </x:c>
      <x:c r="C73" s="40" t="str">
        <x:v>COHU</x:v>
      </x:c>
      <x:c r="D73" s="40" t="str">
        <x:v>US/ADR</x:v>
      </x:c>
      <x:c r="E73" s="40" t="str">
        <x:v>Information Technology</x:v>
      </x:c>
      <x:c r="F73" s="40" t="str">
        <x:v>Information Technology</x:v>
      </x:c>
      <x:c r="G73" s="40" t="str">
        <x:v>E118</x:v>
      </x:c>
      <x:c r="H73" s="40" t="str">
        <x:v>Current-report research candidate</x:v>
      </x:c>
      <x:c r="I73" s="40" t="str">
        <x:v>Selected current-report facts checked; full underwriting incomplete</x:v>
      </x:c>
      <x:c r="J73" s="40" t="str">
        <x:v>Ticker in issuer materials; exchange, corporate actions, liquidity and eligibility still require refresh</x:v>
      </x:c>
      <x:c r="K73" s="40" t="str">
        <x:v>OPEN: listing; security identity; float; liquidity; size; corporate actions</x:v>
      </x:c>
      <x:c r="L73" s="40" t="str">
        <x:v>COHU26</x:v>
      </x:c>
      <x:c r="M73" s="40"/>
      <x:c r="N73" s="40"/>
    </x:row>
    <x:row r="74" ht="75" customHeight="1">
      <x:c r="A74" s="40" t="str">
        <x:v>COP</x:v>
      </x:c>
      <x:c r="B74" s="40" t="str">
        <x:v>ConocoPhillips</x:v>
      </x:c>
      <x:c r="C74" s="40" t="str">
        <x:v>COP</x:v>
      </x:c>
      <x:c r="D74" s="40" t="str">
        <x:v>US/ADR</x:v>
      </x:c>
      <x:c r="E74" s="40" t="str">
        <x:v>Energy</x:v>
      </x:c>
      <x:c r="F74" s="40" t="str">
        <x:v>Energy</x:v>
      </x:c>
      <x:c r="G74" s="40" t="str">
        <x:v>E004</x:v>
      </x:c>
      <x:c r="H74" s="40" t="str">
        <x:v>Industry comparator / discovery seed</x:v>
      </x:c>
      <x:c r="I74" s="40" t="str">
        <x:v>Not individually underwritten</x:v>
      </x:c>
      <x:c r="J74" s="40" t="str">
        <x:v>Not refreshed; verify exchange, corporate actions, float and tradability</x:v>
      </x:c>
      <x:c r="K74" s="40" t="str">
        <x:v>OPEN: listing; security identity; float; liquidity; size; corporate actions</x:v>
      </x:c>
      <x:c r="L74" s="40" t="str"/>
      <x:c r="M74" s="40"/>
      <x:c r="N74" s="40"/>
    </x:row>
    <x:row r="75" ht="75" customHeight="1">
      <x:c r="A75" s="40" t="str">
        <x:v>COR</x:v>
      </x:c>
      <x:c r="B75" s="40" t="str">
        <x:v>Cencora</x:v>
      </x:c>
      <x:c r="C75" s="40" t="str">
        <x:v>COR</x:v>
      </x:c>
      <x:c r="D75" s="40" t="str">
        <x:v>US/ADR</x:v>
      </x:c>
      <x:c r="E75" s="40" t="str">
        <x:v>Health Care</x:v>
      </x:c>
      <x:c r="F75" s="40" t="str">
        <x:v>Health Care</x:v>
      </x:c>
      <x:c r="G75" s="40" t="str">
        <x:v>E078</x:v>
      </x:c>
      <x:c r="H75" s="40" t="str">
        <x:v>Industry comparator / discovery seed</x:v>
      </x:c>
      <x:c r="I75" s="40" t="str">
        <x:v>Not individually underwritten</x:v>
      </x:c>
      <x:c r="J75" s="40" t="str">
        <x:v>Not refreshed; verify exchange, corporate actions, float and tradability</x:v>
      </x:c>
      <x:c r="K75" s="40" t="str">
        <x:v>OPEN: listing; security identity; float; liquidity; size; corporate actions</x:v>
      </x:c>
      <x:c r="L75" s="40" t="str"/>
      <x:c r="M75" s="40"/>
      <x:c r="N75" s="40"/>
    </x:row>
    <x:row r="76" ht="75" customHeight="1">
      <x:c r="A76" s="40" t="str">
        <x:v>COST</x:v>
      </x:c>
      <x:c r="B76" s="40" t="str">
        <x:v>Costco</x:v>
      </x:c>
      <x:c r="C76" s="40" t="str">
        <x:v>COST</x:v>
      </x:c>
      <x:c r="D76" s="40" t="str">
        <x:v>US/ADR</x:v>
      </x:c>
      <x:c r="E76" s="40" t="str">
        <x:v>Consumer Staples</x:v>
      </x:c>
      <x:c r="F76" s="40" t="str">
        <x:v>Consumer Staples</x:v>
      </x:c>
      <x:c r="G76" s="40" t="str">
        <x:v>E065</x:v>
      </x:c>
      <x:c r="H76" s="40" t="str">
        <x:v>Industry comparator / discovery seed</x:v>
      </x:c>
      <x:c r="I76" s="40" t="str">
        <x:v>Not individually underwritten</x:v>
      </x:c>
      <x:c r="J76" s="40" t="str">
        <x:v>Not refreshed; verify exchange, corporate actions, float and tradability</x:v>
      </x:c>
      <x:c r="K76" s="40" t="str">
        <x:v>OPEN: listing; security identity; float; liquidity; size; corporate actions</x:v>
      </x:c>
      <x:c r="L76" s="40" t="str"/>
      <x:c r="M76" s="40"/>
      <x:c r="N76" s="40"/>
    </x:row>
    <x:row r="77" ht="75" customHeight="1">
      <x:c r="A77" s="40" t="str">
        <x:v>CRDO</x:v>
      </x:c>
      <x:c r="B77" s="40" t="str">
        <x:v>Credo</x:v>
      </x:c>
      <x:c r="C77" s="40" t="str">
        <x:v>CRDO</x:v>
      </x:c>
      <x:c r="D77" s="40" t="str">
        <x:v>US/ADR</x:v>
      </x:c>
      <x:c r="E77" s="40" t="str">
        <x:v>Information Technology</x:v>
      </x:c>
      <x:c r="F77" s="40" t="str">
        <x:v>Information Technology</x:v>
      </x:c>
      <x:c r="G77" s="40" t="str">
        <x:v>E114</x:v>
      </x:c>
      <x:c r="H77" s="40" t="str">
        <x:v>Industry comparator / discovery seed</x:v>
      </x:c>
      <x:c r="I77" s="40" t="str">
        <x:v>Not individually underwritten</x:v>
      </x:c>
      <x:c r="J77" s="40" t="str">
        <x:v>Not refreshed; verify exchange, corporate actions, float and tradability</x:v>
      </x:c>
      <x:c r="K77" s="40" t="str">
        <x:v>OPEN: listing; security identity; float; liquidity; size; corporate actions</x:v>
      </x:c>
      <x:c r="L77" s="40" t="str"/>
      <x:c r="M77" s="40"/>
      <x:c r="N77" s="40"/>
    </x:row>
    <x:row r="78" ht="75" customHeight="1">
      <x:c r="A78" s="40" t="str">
        <x:v>CRM</x:v>
      </x:c>
      <x:c r="B78" s="40" t="str">
        <x:v>Salesforce</x:v>
      </x:c>
      <x:c r="C78" s="40" t="str">
        <x:v>CRM</x:v>
      </x:c>
      <x:c r="D78" s="40" t="str">
        <x:v>US/ADR</x:v>
      </x:c>
      <x:c r="E78" s="40" t="str">
        <x:v>Information Technology</x:v>
      </x:c>
      <x:c r="F78" s="40" t="str">
        <x:v>Information Technology</x:v>
      </x:c>
      <x:c r="G78" s="40" t="str">
        <x:v>E103</x:v>
      </x:c>
      <x:c r="H78" s="40" t="str">
        <x:v>Industry comparator / discovery seed</x:v>
      </x:c>
      <x:c r="I78" s="40" t="str">
        <x:v>Not individually underwritten</x:v>
      </x:c>
      <x:c r="J78" s="40" t="str">
        <x:v>Not refreshed; verify exchange, corporate actions, float and tradability</x:v>
      </x:c>
      <x:c r="K78" s="40" t="str">
        <x:v>OPEN: listing; security identity; float; liquidity; size; corporate actions</x:v>
      </x:c>
      <x:c r="L78" s="40" t="str"/>
      <x:c r="M78" s="40"/>
      <x:c r="N78" s="40"/>
    </x:row>
    <x:row r="79" ht="75" customHeight="1">
      <x:c r="A79" s="40" t="str">
        <x:v>CRSP</x:v>
      </x:c>
      <x:c r="B79" s="40" t="str">
        <x:v>CRISPR Therapeutics</x:v>
      </x:c>
      <x:c r="C79" s="40" t="str">
        <x:v>CRSP</x:v>
      </x:c>
      <x:c r="D79" s="40" t="str">
        <x:v>US/ADR</x:v>
      </x:c>
      <x:c r="E79" s="40" t="str">
        <x:v>Health Care</x:v>
      </x:c>
      <x:c r="F79" s="40" t="str">
        <x:v>Health Care</x:v>
      </x:c>
      <x:c r="G79" s="40" t="str">
        <x:v>E080</x:v>
      </x:c>
      <x:c r="H79" s="40" t="str">
        <x:v>Industry comparator / discovery seed</x:v>
      </x:c>
      <x:c r="I79" s="40" t="str">
        <x:v>Not individually underwritten</x:v>
      </x:c>
      <x:c r="J79" s="40" t="str">
        <x:v>Not refreshed; verify exchange, corporate actions, float and tradability</x:v>
      </x:c>
      <x:c r="K79" s="40" t="str">
        <x:v>OPEN: listing; security identity; float; liquidity; size; corporate actions</x:v>
      </x:c>
      <x:c r="L79" s="40" t="str"/>
      <x:c r="M79" s="40"/>
      <x:c r="N79" s="40"/>
    </x:row>
    <x:row r="80" ht="75" customHeight="1">
      <x:c r="A80" s="40" t="str">
        <x:v>CRWD</x:v>
      </x:c>
      <x:c r="B80" s="40" t="str">
        <x:v>CrowdStrike</x:v>
      </x:c>
      <x:c r="C80" s="40" t="str">
        <x:v>CRWD</x:v>
      </x:c>
      <x:c r="D80" s="40" t="str">
        <x:v>US/ADR</x:v>
      </x:c>
      <x:c r="E80" s="40" t="str">
        <x:v>Information Technology</x:v>
      </x:c>
      <x:c r="F80" s="40" t="str">
        <x:v>Information Technology</x:v>
      </x:c>
      <x:c r="G80" s="40" t="str">
        <x:v>E104</x:v>
      </x:c>
      <x:c r="H80" s="40" t="str">
        <x:v>Industry comparator / discovery seed</x:v>
      </x:c>
      <x:c r="I80" s="40" t="str">
        <x:v>Not individually underwritten</x:v>
      </x:c>
      <x:c r="J80" s="40" t="str">
        <x:v>Not refreshed; verify exchange, corporate actions, float and tradability</x:v>
      </x:c>
      <x:c r="K80" s="40" t="str">
        <x:v>OPEN: listing; security identity; float; liquidity; size; corporate actions</x:v>
      </x:c>
      <x:c r="L80" s="40" t="str"/>
      <x:c r="M80" s="40"/>
      <x:c r="N80" s="40"/>
    </x:row>
    <x:row r="81" ht="75" customHeight="1">
      <x:c r="A81" s="40" t="str">
        <x:v>CSCO</x:v>
      </x:c>
      <x:c r="B81" s="40" t="str">
        <x:v>Cisco</x:v>
      </x:c>
      <x:c r="C81" s="40" t="str">
        <x:v>CSCO</x:v>
      </x:c>
      <x:c r="D81" s="40" t="str">
        <x:v>US/ADR</x:v>
      </x:c>
      <x:c r="E81" s="40" t="str">
        <x:v>Information Technology</x:v>
      </x:c>
      <x:c r="F81" s="40" t="str">
        <x:v>Information Technology</x:v>
      </x:c>
      <x:c r="G81" s="40" t="str">
        <x:v>E106</x:v>
      </x:c>
      <x:c r="H81" s="40" t="str">
        <x:v>Industry comparator / discovery seed</x:v>
      </x:c>
      <x:c r="I81" s="40" t="str">
        <x:v>Not individually underwritten</x:v>
      </x:c>
      <x:c r="J81" s="40" t="str">
        <x:v>Not refreshed; verify exchange, corporate actions, float and tradability</x:v>
      </x:c>
      <x:c r="K81" s="40" t="str">
        <x:v>OPEN: listing; security identity; float; liquidity; size; corporate actions</x:v>
      </x:c>
      <x:c r="L81" s="40" t="str"/>
      <x:c r="M81" s="40"/>
      <x:c r="N81" s="40"/>
    </x:row>
    <x:row r="82" ht="75" customHeight="1">
      <x:c r="A82" s="40" t="str">
        <x:v>CSU@CA</x:v>
      </x:c>
      <x:c r="B82" s="40" t="str">
        <x:v>Constellation Software</x:v>
      </x:c>
      <x:c r="C82" s="40" t="str">
        <x:v>CSU</x:v>
      </x:c>
      <x:c r="D82" s="40" t="str">
        <x:v>CA</x:v>
      </x:c>
      <x:c r="E82" s="40" t="str">
        <x:v>Information Technology</x:v>
      </x:c>
      <x:c r="F82" s="40" t="str">
        <x:v>Information Technology</x:v>
      </x:c>
      <x:c r="G82" s="40" t="str">
        <x:v>E102</x:v>
      </x:c>
      <x:c r="H82" s="40" t="str">
        <x:v>Industry comparator / discovery seed</x:v>
      </x:c>
      <x:c r="I82" s="40" t="str">
        <x:v>Not individually underwritten</x:v>
      </x:c>
      <x:c r="J82" s="40" t="str">
        <x:v>Not refreshed; verify exchange, corporate actions, float and tradability</x:v>
      </x:c>
      <x:c r="K82" s="40" t="str">
        <x:v>OPEN: listing; security identity; float; liquidity; size; corporate actions</x:v>
      </x:c>
      <x:c r="L82" s="40" t="str"/>
      <x:c r="M82" s="40"/>
      <x:c r="N82" s="40"/>
    </x:row>
    <x:row r="83" ht="75" customHeight="1">
      <x:c r="A83" s="40" t="str">
        <x:v>CSW</x:v>
      </x:c>
      <x:c r="B83" s="40" t="str">
        <x:v>CSW Industrials</x:v>
      </x:c>
      <x:c r="C83" s="40" t="str">
        <x:v>CSW</x:v>
      </x:c>
      <x:c r="D83" s="40" t="str">
        <x:v>US/ADR</x:v>
      </x:c>
      <x:c r="E83" s="40" t="str">
        <x:v>Industrials</x:v>
      </x:c>
      <x:c r="F83" s="40" t="str">
        <x:v>Industrials</x:v>
      </x:c>
      <x:c r="G83" s="40" t="str">
        <x:v>E023</x:v>
      </x:c>
      <x:c r="H83" s="40" t="str">
        <x:v>Current-report research candidate</x:v>
      </x:c>
      <x:c r="I83" s="40" t="str">
        <x:v>Selected current-report facts checked; full underwriting incomplete</x:v>
      </x:c>
      <x:c r="J83" s="40" t="str">
        <x:v>Ticker in issuer materials; exchange, corporate actions, liquidity and eligibility still require refresh</x:v>
      </x:c>
      <x:c r="K83" s="40" t="str">
        <x:v>OPEN: listing; security identity; float; liquidity; size; corporate actions</x:v>
      </x:c>
      <x:c r="L83" s="40" t="str">
        <x:v>CSW26</x:v>
      </x:c>
      <x:c r="M83" s="40"/>
      <x:c r="N83" s="40"/>
    </x:row>
    <x:row r="84" ht="75" customHeight="1">
      <x:c r="A84" s="40" t="str">
        <x:v>CSX</x:v>
      </x:c>
      <x:c r="B84" s="40" t="str">
        <x:v>CSX</x:v>
      </x:c>
      <x:c r="C84" s="40" t="str">
        <x:v>CSX</x:v>
      </x:c>
      <x:c r="D84" s="40" t="str">
        <x:v>US/ADR</x:v>
      </x:c>
      <x:c r="E84" s="40" t="str">
        <x:v>Industrials</x:v>
      </x:c>
      <x:c r="F84" s="40" t="str">
        <x:v>Industrials</x:v>
      </x:c>
      <x:c r="G84" s="40" t="str">
        <x:v>E043</x:v>
      </x:c>
      <x:c r="H84" s="40" t="str">
        <x:v>Industry comparator / discovery seed</x:v>
      </x:c>
      <x:c r="I84" s="40" t="str">
        <x:v>Not individually underwritten</x:v>
      </x:c>
      <x:c r="J84" s="40" t="str">
        <x:v>Not refreshed; verify exchange, corporate actions, float and tradability</x:v>
      </x:c>
      <x:c r="K84" s="40" t="str">
        <x:v>OPEN: listing; security identity; float; liquidity; size; corporate actions</x:v>
      </x:c>
      <x:c r="L84" s="40" t="str"/>
      <x:c r="M84" s="40"/>
      <x:c r="N84" s="40"/>
    </x:row>
    <x:row r="85" ht="75" customHeight="1">
      <x:c r="A85" s="40" t="str">
        <x:v>CTAS</x:v>
      </x:c>
      <x:c r="B85" s="40" t="str">
        <x:v>Cintas</x:v>
      </x:c>
      <x:c r="C85" s="40" t="str">
        <x:v>CTAS</x:v>
      </x:c>
      <x:c r="D85" s="40" t="str">
        <x:v>US/ADR</x:v>
      </x:c>
      <x:c r="E85" s="40" t="str">
        <x:v>Industrials</x:v>
      </x:c>
      <x:c r="F85" s="40" t="str">
        <x:v>Industrials</x:v>
      </x:c>
      <x:c r="G85" s="40" t="str">
        <x:v>E036</x:v>
      </x:c>
      <x:c r="H85" s="40" t="str">
        <x:v>Industry comparator / discovery seed</x:v>
      </x:c>
      <x:c r="I85" s="40" t="str">
        <x:v>Not individually underwritten</x:v>
      </x:c>
      <x:c r="J85" s="40" t="str">
        <x:v>Not refreshed; verify exchange, corporate actions, float and tradability</x:v>
      </x:c>
      <x:c r="K85" s="40" t="str">
        <x:v>OPEN: listing; security identity; float; liquidity; size; corporate actions</x:v>
      </x:c>
      <x:c r="L85" s="40" t="str"/>
      <x:c r="M85" s="40"/>
      <x:c r="N85" s="40"/>
    </x:row>
    <x:row r="86" ht="75" customHeight="1">
      <x:c r="A86" s="40" t="str">
        <x:v>CTVA</x:v>
      </x:c>
      <x:c r="B86" s="40" t="str">
        <x:v>Corteva</x:v>
      </x:c>
      <x:c r="C86" s="40" t="str">
        <x:v>CTVA</x:v>
      </x:c>
      <x:c r="D86" s="40" t="str">
        <x:v>US/ADR</x:v>
      </x:c>
      <x:c r="E86" s="40" t="str">
        <x:v>Materials</x:v>
      </x:c>
      <x:c r="F86" s="40" t="str">
        <x:v>Materials</x:v>
      </x:c>
      <x:c r="G86" s="40" t="str">
        <x:v>E011</x:v>
      </x:c>
      <x:c r="H86" s="40" t="str">
        <x:v>Industry comparator / discovery seed</x:v>
      </x:c>
      <x:c r="I86" s="40" t="str">
        <x:v>Not individually underwritten</x:v>
      </x:c>
      <x:c r="J86" s="40" t="str">
        <x:v>Not refreshed; verify exchange, corporate actions, float and tradability</x:v>
      </x:c>
      <x:c r="K86" s="40" t="str">
        <x:v>OPEN: listing; security identity; float; liquidity; size; corporate actions</x:v>
      </x:c>
      <x:c r="L86" s="40" t="str"/>
      <x:c r="M86" s="40"/>
      <x:c r="N86" s="40"/>
    </x:row>
    <x:row r="87" ht="75" customHeight="1">
      <x:c r="A87" s="40" t="str">
        <x:v>CW</x:v>
      </x:c>
      <x:c r="B87" s="40" t="str">
        <x:v>Curtiss-Wright</x:v>
      </x:c>
      <x:c r="C87" s="40" t="str">
        <x:v>CW</x:v>
      </x:c>
      <x:c r="D87" s="40" t="str">
        <x:v>US/ADR</x:v>
      </x:c>
      <x:c r="E87" s="40" t="str">
        <x:v>Industrials</x:v>
      </x:c>
      <x:c r="F87" s="40" t="str">
        <x:v>Industrials</x:v>
      </x:c>
      <x:c r="G87" s="40" t="str">
        <x:v>E022</x:v>
      </x:c>
      <x:c r="H87" s="40" t="str">
        <x:v>Industry comparator / discovery seed</x:v>
      </x:c>
      <x:c r="I87" s="40" t="str">
        <x:v>Not individually underwritten</x:v>
      </x:c>
      <x:c r="J87" s="40" t="str">
        <x:v>Not refreshed; verify exchange, corporate actions, float and tradability</x:v>
      </x:c>
      <x:c r="K87" s="40" t="str">
        <x:v>OPEN: listing; security identity; float; liquidity; size; corporate actions</x:v>
      </x:c>
      <x:c r="L87" s="40" t="str"/>
      <x:c r="M87" s="40"/>
      <x:c r="N87" s="40"/>
    </x:row>
    <x:row r="88" ht="75" customHeight="1">
      <x:c r="A88" s="40" t="str">
        <x:v>CWEN</x:v>
      </x:c>
      <x:c r="B88" s="40" t="str">
        <x:v>Clearway Energy</x:v>
      </x:c>
      <x:c r="C88" s="40" t="str">
        <x:v>CWEN</x:v>
      </x:c>
      <x:c r="D88" s="40" t="str">
        <x:v>US/ADR</x:v>
      </x:c>
      <x:c r="E88" s="40" t="str">
        <x:v>Utilities</x:v>
      </x:c>
      <x:c r="F88" s="40" t="str">
        <x:v>Utilities</x:v>
      </x:c>
      <x:c r="G88" s="40" t="str">
        <x:v>E133</x:v>
      </x:c>
      <x:c r="H88" s="40" t="str">
        <x:v>Industry comparator / discovery seed</x:v>
      </x:c>
      <x:c r="I88" s="40" t="str">
        <x:v>Not individually underwritten</x:v>
      </x:c>
      <x:c r="J88" s="40" t="str">
        <x:v>Not refreshed; verify exchange, corporate actions, float and tradability</x:v>
      </x:c>
      <x:c r="K88" s="40" t="str">
        <x:v>OPEN: listing; security identity; float; liquidity; size; corporate actions</x:v>
      </x:c>
      <x:c r="L88" s="40" t="str"/>
      <x:c r="M88" s="40"/>
      <x:c r="N88" s="40"/>
    </x:row>
    <x:row r="89" ht="75" customHeight="1">
      <x:c r="A89" s="40" t="str">
        <x:v>CWST</x:v>
      </x:c>
      <x:c r="B89" s="40" t="str">
        <x:v>Casella Waste</x:v>
      </x:c>
      <x:c r="C89" s="40" t="str">
        <x:v>CWST</x:v>
      </x:c>
      <x:c r="D89" s="40" t="str">
        <x:v>US/ADR</x:v>
      </x:c>
      <x:c r="E89" s="40" t="str">
        <x:v>Industrials</x:v>
      </x:c>
      <x:c r="F89" s="40" t="str">
        <x:v>Industrials</x:v>
      </x:c>
      <x:c r="G89" s="40" t="str">
        <x:v>E035</x:v>
      </x:c>
      <x:c r="H89" s="40" t="str">
        <x:v>Industry comparator / discovery seed</x:v>
      </x:c>
      <x:c r="I89" s="40" t="str">
        <x:v>Not individually underwritten</x:v>
      </x:c>
      <x:c r="J89" s="40" t="str">
        <x:v>Not refreshed; verify exchange, corporate actions, float and tradability</x:v>
      </x:c>
      <x:c r="K89" s="40" t="str">
        <x:v>OPEN: listing; security identity; float; liquidity; size; corporate actions</x:v>
      </x:c>
      <x:c r="L89" s="40" t="str"/>
      <x:c r="M89" s="40"/>
      <x:c r="N89" s="40"/>
    </x:row>
    <x:row r="90" ht="75" customHeight="1">
      <x:c r="A90" s="40" t="str">
        <x:v>D</x:v>
      </x:c>
      <x:c r="B90" s="40" t="str">
        <x:v>Dominion Energy</x:v>
      </x:c>
      <x:c r="C90" s="40" t="str">
        <x:v>D</x:v>
      </x:c>
      <x:c r="D90" s="40" t="str">
        <x:v>US/ADR</x:v>
      </x:c>
      <x:c r="E90" s="40" t="str">
        <x:v>Utilities</x:v>
      </x:c>
      <x:c r="F90" s="40" t="str">
        <x:v>Utilities</x:v>
      </x:c>
      <x:c r="G90" s="40" t="str">
        <x:v>E127</x:v>
      </x:c>
      <x:c r="H90" s="40" t="str">
        <x:v>Industry comparator / discovery seed</x:v>
      </x:c>
      <x:c r="I90" s="40" t="str">
        <x:v>Not individually underwritten</x:v>
      </x:c>
      <x:c r="J90" s="40" t="str">
        <x:v>Not refreshed; verify exchange, corporate actions, float and tradability</x:v>
      </x:c>
      <x:c r="K90" s="40" t="str">
        <x:v>OPEN: listing; security identity; float; liquidity; size; corporate actions</x:v>
      </x:c>
      <x:c r="L90" s="40" t="str"/>
      <x:c r="M90" s="40"/>
      <x:c r="N90" s="40"/>
    </x:row>
    <x:row r="91" ht="75" customHeight="1">
      <x:c r="A91" s="40" t="str">
        <x:v>DAL</x:v>
      </x:c>
      <x:c r="B91" s="40" t="str">
        <x:v>Delta Air Lines</x:v>
      </x:c>
      <x:c r="C91" s="40" t="str">
        <x:v>DAL</x:v>
      </x:c>
      <x:c r="D91" s="40" t="str">
        <x:v>US/ADR</x:v>
      </x:c>
      <x:c r="E91" s="40" t="str">
        <x:v>Industrials</x:v>
      </x:c>
      <x:c r="F91" s="40" t="str">
        <x:v>Industrials</x:v>
      </x:c>
      <x:c r="G91" s="40" t="str">
        <x:v>E041</x:v>
      </x:c>
      <x:c r="H91" s="40" t="str">
        <x:v>Industry comparator / discovery seed</x:v>
      </x:c>
      <x:c r="I91" s="40" t="str">
        <x:v>Not individually underwritten</x:v>
      </x:c>
      <x:c r="J91" s="40" t="str">
        <x:v>Not refreshed; verify exchange, corporate actions, float and tradability</x:v>
      </x:c>
      <x:c r="K91" s="40" t="str">
        <x:v>OPEN: listing; security identity; float; liquidity; size; corporate actions</x:v>
      </x:c>
      <x:c r="L91" s="40" t="str"/>
      <x:c r="M91" s="40"/>
      <x:c r="N91" s="40"/>
    </x:row>
    <x:row r="92" ht="75" customHeight="1">
      <x:c r="A92" s="40" t="str">
        <x:v>DE</x:v>
      </x:c>
      <x:c r="B92" s="40" t="str">
        <x:v>Deere</x:v>
      </x:c>
      <x:c r="C92" s="40" t="str">
        <x:v>DE</x:v>
      </x:c>
      <x:c r="D92" s="40" t="str">
        <x:v>US/ADR</x:v>
      </x:c>
      <x:c r="E92" s="40" t="str">
        <x:v>Industrials</x:v>
      </x:c>
      <x:c r="F92" s="40" t="str">
        <x:v>Industrials</x:v>
      </x:c>
      <x:c r="G92" s="40" t="str">
        <x:v>E029</x:v>
      </x:c>
      <x:c r="H92" s="40" t="str">
        <x:v>Industry comparator / discovery seed</x:v>
      </x:c>
      <x:c r="I92" s="40" t="str">
        <x:v>Not individually underwritten</x:v>
      </x:c>
      <x:c r="J92" s="40" t="str">
        <x:v>Not refreshed; verify exchange, corporate actions, float and tradability</x:v>
      </x:c>
      <x:c r="K92" s="40" t="str">
        <x:v>OPEN: listing; security identity; float; liquidity; size; corporate actions</x:v>
      </x:c>
      <x:c r="L92" s="40" t="str"/>
      <x:c r="M92" s="40"/>
      <x:c r="N92" s="40"/>
    </x:row>
    <x:row r="93" ht="75" customHeight="1">
      <x:c r="A93" s="40" t="str">
        <x:v>DECK</x:v>
      </x:c>
      <x:c r="B93" s="40" t="str">
        <x:v>Deckers Outdoor</x:v>
      </x:c>
      <x:c r="C93" s="40" t="str">
        <x:v>DECK</x:v>
      </x:c>
      <x:c r="D93" s="40" t="str">
        <x:v>US/ADR</x:v>
      </x:c>
      <x:c r="E93" s="40" t="str">
        <x:v>Consumer Discretionary</x:v>
      </x:c>
      <x:c r="F93" s="40" t="str">
        <x:v>Consumer Discretionary</x:v>
      </x:c>
      <x:c r="G93" s="40" t="str">
        <x:v>E055</x:v>
      </x:c>
      <x:c r="H93" s="40" t="str">
        <x:v>Industry comparator / discovery seed</x:v>
      </x:c>
      <x:c r="I93" s="40" t="str">
        <x:v>Not individually underwritten</x:v>
      </x:c>
      <x:c r="J93" s="40" t="str">
        <x:v>Not refreshed; verify exchange, corporate actions, float and tradability</x:v>
      </x:c>
      <x:c r="K93" s="40" t="str">
        <x:v>OPEN: listing; security identity; float; liquidity; size; corporate actions</x:v>
      </x:c>
      <x:c r="L93" s="40" t="str"/>
      <x:c r="M93" s="40"/>
      <x:c r="N93" s="40"/>
    </x:row>
    <x:row r="94" ht="75" customHeight="1">
      <x:c r="A94" s="40" t="str">
        <x:v>DELL</x:v>
      </x:c>
      <x:c r="B94" s="40" t="str">
        <x:v>Dell Technologies</x:v>
      </x:c>
      <x:c r="C94" s="40" t="str">
        <x:v>DELL</x:v>
      </x:c>
      <x:c r="D94" s="40" t="str">
        <x:v>US/ADR</x:v>
      </x:c>
      <x:c r="E94" s="40" t="str">
        <x:v>Information Technology</x:v>
      </x:c>
      <x:c r="F94" s="40" t="str">
        <x:v>Information Technology</x:v>
      </x:c>
      <x:c r="G94" s="40" t="str">
        <x:v>E108</x:v>
      </x:c>
      <x:c r="H94" s="40" t="str">
        <x:v>Industry comparator / discovery seed</x:v>
      </x:c>
      <x:c r="I94" s="40" t="str">
        <x:v>Not individually underwritten</x:v>
      </x:c>
      <x:c r="J94" s="40" t="str">
        <x:v>Not refreshed; verify exchange, corporate actions, float and tradability</x:v>
      </x:c>
      <x:c r="K94" s="40" t="str">
        <x:v>OPEN: listing; security identity; float; liquidity; size; corporate actions</x:v>
      </x:c>
      <x:c r="L94" s="40" t="str"/>
      <x:c r="M94" s="40"/>
      <x:c r="N94" s="40"/>
    </x:row>
    <x:row r="95" ht="75" customHeight="1">
      <x:c r="A95" s="40" t="str">
        <x:v>DEO</x:v>
      </x:c>
      <x:c r="B95" s="40" t="str">
        <x:v>Diageo</x:v>
      </x:c>
      <x:c r="C95" s="40" t="str">
        <x:v>DEO</x:v>
      </x:c>
      <x:c r="D95" s="40" t="str">
        <x:v>US/ADR</x:v>
      </x:c>
      <x:c r="E95" s="40" t="str">
        <x:v>Consumer Staples</x:v>
      </x:c>
      <x:c r="F95" s="40" t="str">
        <x:v>Consumer Staples</x:v>
      </x:c>
      <x:c r="G95" s="40" t="str">
        <x:v>E068</x:v>
      </x:c>
      <x:c r="H95" s="40" t="str">
        <x:v>Industry comparator / discovery seed</x:v>
      </x:c>
      <x:c r="I95" s="40" t="str">
        <x:v>Not individually underwritten</x:v>
      </x:c>
      <x:c r="J95" s="40" t="str">
        <x:v>Not refreshed; verify exchange, corporate actions, float and tradability</x:v>
      </x:c>
      <x:c r="K95" s="40" t="str">
        <x:v>OPEN: listing; security identity; float; liquidity; size; corporate actions</x:v>
      </x:c>
      <x:c r="L95" s="40" t="str"/>
      <x:c r="M95" s="40"/>
      <x:c r="N95" s="40"/>
    </x:row>
    <x:row r="96" ht="75" customHeight="1">
      <x:c r="A96" s="40" t="str">
        <x:v>DHI</x:v>
      </x:c>
      <x:c r="B96" s="40" t="str">
        <x:v>D. R. Horton</x:v>
      </x:c>
      <x:c r="C96" s="40" t="str">
        <x:v>DHI</x:v>
      </x:c>
      <x:c r="D96" s="40" t="str">
        <x:v>US/ADR</x:v>
      </x:c>
      <x:c r="E96" s="40" t="str">
        <x:v>Consumer Discretionary</x:v>
      </x:c>
      <x:c r="F96" s="40" t="str">
        <x:v>Consumer Discretionary</x:v>
      </x:c>
      <x:c r="G96" s="40" t="str">
        <x:v>E050</x:v>
      </x:c>
      <x:c r="H96" s="40" t="str">
        <x:v>Industry comparator / discovery seed</x:v>
      </x:c>
      <x:c r="I96" s="40" t="str">
        <x:v>Not individually underwritten</x:v>
      </x:c>
      <x:c r="J96" s="40" t="str">
        <x:v>Not refreshed; verify exchange, corporate actions, float and tradability</x:v>
      </x:c>
      <x:c r="K96" s="40" t="str">
        <x:v>OPEN: listing; security identity; float; liquidity; size; corporate actions</x:v>
      </x:c>
      <x:c r="L96" s="40" t="str"/>
      <x:c r="M96" s="40"/>
      <x:c r="N96" s="40"/>
    </x:row>
    <x:row r="97" ht="75" customHeight="1">
      <x:c r="A97" s="40" t="str">
        <x:v>DHR</x:v>
      </x:c>
      <x:c r="B97" s="40" t="str">
        <x:v>Danaher</x:v>
      </x:c>
      <x:c r="C97" s="40" t="str">
        <x:v>DHR</x:v>
      </x:c>
      <x:c r="D97" s="40" t="str">
        <x:v>US/ADR</x:v>
      </x:c>
      <x:c r="E97" s="40" t="str">
        <x:v>Health Care</x:v>
      </x:c>
      <x:c r="F97" s="40" t="str">
        <x:v>Health Care</x:v>
      </x:c>
      <x:c r="G97" s="40" t="str">
        <x:v>E082</x:v>
      </x:c>
      <x:c r="H97" s="40" t="str">
        <x:v>Industry comparator / discovery seed</x:v>
      </x:c>
      <x:c r="I97" s="40" t="str">
        <x:v>Not individually underwritten</x:v>
      </x:c>
      <x:c r="J97" s="40" t="str">
        <x:v>Not refreshed; verify exchange, corporate actions, float and tradability</x:v>
      </x:c>
      <x:c r="K97" s="40" t="str">
        <x:v>OPEN: listing; security identity; float; liquidity; size; corporate actions</x:v>
      </x:c>
      <x:c r="L97" s="40" t="str"/>
      <x:c r="M97" s="40"/>
      <x:c r="N97" s="40"/>
    </x:row>
    <x:row r="98" ht="75" customHeight="1">
      <x:c r="A98" s="40" t="str">
        <x:v>DIS</x:v>
      </x:c>
      <x:c r="B98" s="40" t="str">
        <x:v>Walt Disney</x:v>
      </x:c>
      <x:c r="C98" s="40" t="str">
        <x:v>DIS</x:v>
      </x:c>
      <x:c r="D98" s="40" t="str">
        <x:v>US/ADR</x:v>
      </x:c>
      <x:c r="E98" s="40" t="str">
        <x:v>Communication Services</x:v>
      </x:c>
      <x:c r="F98" s="40" t="str">
        <x:v>Communication Services</x:v>
      </x:c>
      <x:c r="G98" s="40" t="str">
        <x:v>E124</x:v>
      </x:c>
      <x:c r="H98" s="40" t="str">
        <x:v>Industry comparator / discovery seed</x:v>
      </x:c>
      <x:c r="I98" s="40" t="str">
        <x:v>Not individually underwritten</x:v>
      </x:c>
      <x:c r="J98" s="40" t="str">
        <x:v>Not refreshed; verify exchange, corporate actions, float and tradability</x:v>
      </x:c>
      <x:c r="K98" s="40" t="str">
        <x:v>OPEN: listing; security identity; float; liquidity; size; corporate actions</x:v>
      </x:c>
      <x:c r="L98" s="40" t="str"/>
      <x:c r="M98" s="40"/>
      <x:c r="N98" s="40"/>
    </x:row>
    <x:row r="99" ht="75" customHeight="1">
      <x:c r="A99" s="40" t="str">
        <x:v>DLR</x:v>
      </x:c>
      <x:c r="B99" s="40" t="str">
        <x:v>Digital Realty</x:v>
      </x:c>
      <x:c r="C99" s="40" t="str">
        <x:v>DLR</x:v>
      </x:c>
      <x:c r="D99" s="40" t="str">
        <x:v>US/ADR</x:v>
      </x:c>
      <x:c r="E99" s="40" t="str">
        <x:v>Real Estate</x:v>
      </x:c>
      <x:c r="F99" s="40" t="str">
        <x:v>Real Estate</x:v>
      </x:c>
      <x:c r="G99" s="40" t="str">
        <x:v>E143</x:v>
      </x:c>
      <x:c r="H99" s="40" t="str">
        <x:v>Industry comparator / discovery seed</x:v>
      </x:c>
      <x:c r="I99" s="40" t="str">
        <x:v>Not individually underwritten</x:v>
      </x:c>
      <x:c r="J99" s="40" t="str">
        <x:v>Not refreshed; verify exchange, corporate actions, float and tradability</x:v>
      </x:c>
      <x:c r="K99" s="40" t="str">
        <x:v>OPEN: listing; security identity; float; liquidity; size; corporate actions</x:v>
      </x:c>
      <x:c r="L99" s="40" t="str"/>
      <x:c r="M99" s="40"/>
      <x:c r="N99" s="40"/>
    </x:row>
    <x:row r="100" ht="75" customHeight="1">
      <x:c r="A100" s="40" t="str">
        <x:v>DOCS</x:v>
      </x:c>
      <x:c r="B100" s="40" t="str">
        <x:v>Doximity</x:v>
      </x:c>
      <x:c r="C100" s="40" t="str">
        <x:v>DOCS</x:v>
      </x:c>
      <x:c r="D100" s="40" t="str">
        <x:v>US/ADR</x:v>
      </x:c>
      <x:c r="E100" s="40" t="str">
        <x:v>Health Care</x:v>
      </x:c>
      <x:c r="F100" s="40" t="str">
        <x:v>Health Care</x:v>
      </x:c>
      <x:c r="G100" s="40" t="str">
        <x:v>E079</x:v>
      </x:c>
      <x:c r="H100" s="40" t="str">
        <x:v>Industry comparator / discovery seed</x:v>
      </x:c>
      <x:c r="I100" s="40" t="str">
        <x:v>Not individually underwritten</x:v>
      </x:c>
      <x:c r="J100" s="40" t="str">
        <x:v>Not refreshed; verify exchange, corporate actions, float and tradability</x:v>
      </x:c>
      <x:c r="K100" s="40" t="str">
        <x:v>OPEN: listing; security identity; float; liquidity; size; corporate actions</x:v>
      </x:c>
      <x:c r="L100" s="40" t="str"/>
      <x:c r="M100" s="40"/>
      <x:c r="N100" s="40"/>
    </x:row>
    <x:row r="101" ht="75" customHeight="1">
      <x:c r="A101" s="40" t="str">
        <x:v>DORM</x:v>
      </x:c>
      <x:c r="B101" s="40" t="str">
        <x:v>Dorman Products</x:v>
      </x:c>
      <x:c r="C101" s="40" t="str">
        <x:v>DORM</x:v>
      </x:c>
      <x:c r="D101" s="40" t="str">
        <x:v>US/ADR</x:v>
      </x:c>
      <x:c r="E101" s="40" t="str">
        <x:v>Consumer Discretionary</x:v>
      </x:c>
      <x:c r="F101" s="40" t="str">
        <x:v>Consumer Discretionary</x:v>
      </x:c>
      <x:c r="G101" s="40" t="str">
        <x:v>E047</x:v>
      </x:c>
      <x:c r="H101" s="40" t="str">
        <x:v>Industry comparator / discovery seed</x:v>
      </x:c>
      <x:c r="I101" s="40" t="str">
        <x:v>Not individually underwritten</x:v>
      </x:c>
      <x:c r="J101" s="40" t="str">
        <x:v>Not refreshed; verify exchange, corporate actions, float and tradability</x:v>
      </x:c>
      <x:c r="K101" s="40" t="str">
        <x:v>OPEN: listing; security identity; float; liquidity; size; corporate actions</x:v>
      </x:c>
      <x:c r="L101" s="40" t="str"/>
      <x:c r="M101" s="40"/>
      <x:c r="N101" s="40"/>
    </x:row>
    <x:row r="102" ht="75" customHeight="1">
      <x:c r="A102" s="40" t="str">
        <x:v>DOV</x:v>
      </x:c>
      <x:c r="B102" s="40" t="str">
        <x:v>Dover</x:v>
      </x:c>
      <x:c r="C102" s="40" t="str">
        <x:v>DOV</x:v>
      </x:c>
      <x:c r="D102" s="40" t="str">
        <x:v>US/ADR</x:v>
      </x:c>
      <x:c r="E102" s="40" t="str">
        <x:v>Industrials</x:v>
      </x:c>
      <x:c r="F102" s="40" t="str">
        <x:v>Industrials</x:v>
      </x:c>
      <x:c r="G102" s="40" t="str">
        <x:v>E034</x:v>
      </x:c>
      <x:c r="H102" s="40" t="str">
        <x:v>Industry comparator / discovery seed</x:v>
      </x:c>
      <x:c r="I102" s="40" t="str">
        <x:v>Not individually underwritten</x:v>
      </x:c>
      <x:c r="J102" s="40" t="str">
        <x:v>Not refreshed; verify exchange, corporate actions, float and tradability</x:v>
      </x:c>
      <x:c r="K102" s="40" t="str">
        <x:v>OPEN: listing; security identity; float; liquidity; size; corporate actions</x:v>
      </x:c>
      <x:c r="L102" s="40" t="str"/>
      <x:c r="M102" s="40"/>
      <x:c r="N102" s="40"/>
    </x:row>
    <x:row r="103" ht="75" customHeight="1">
      <x:c r="A103" s="40" t="str">
        <x:v>DOW</x:v>
      </x:c>
      <x:c r="B103" s="40" t="str">
        <x:v>Dow</x:v>
      </x:c>
      <x:c r="C103" s="40" t="str">
        <x:v>DOW</x:v>
      </x:c>
      <x:c r="D103" s="40" t="str">
        <x:v>US/ADR</x:v>
      </x:c>
      <x:c r="E103" s="40" t="str">
        <x:v>Materials</x:v>
      </x:c>
      <x:c r="F103" s="40" t="str">
        <x:v>Materials</x:v>
      </x:c>
      <x:c r="G103" s="40" t="str">
        <x:v>E008</x:v>
      </x:c>
      <x:c r="H103" s="40" t="str">
        <x:v>Industry comparator / discovery seed</x:v>
      </x:c>
      <x:c r="I103" s="40" t="str">
        <x:v>Not individually underwritten</x:v>
      </x:c>
      <x:c r="J103" s="40" t="str">
        <x:v>Not refreshed; verify exchange, corporate actions, float and tradability</x:v>
      </x:c>
      <x:c r="K103" s="40" t="str">
        <x:v>OPEN: listing; security identity; float; liquidity; size; corporate actions</x:v>
      </x:c>
      <x:c r="L103" s="40" t="str"/>
      <x:c r="M103" s="40"/>
      <x:c r="N103" s="40"/>
    </x:row>
    <x:row r="104" ht="75" customHeight="1">
      <x:c r="A104" s="40" t="str">
        <x:v>DTE</x:v>
      </x:c>
      <x:c r="B104" s="40" t="str">
        <x:v>DTE Energy</x:v>
      </x:c>
      <x:c r="C104" s="40" t="str">
        <x:v>DTE</x:v>
      </x:c>
      <x:c r="D104" s="40" t="str">
        <x:v>US/ADR</x:v>
      </x:c>
      <x:c r="E104" s="40" t="str">
        <x:v>Utilities</x:v>
      </x:c>
      <x:c r="F104" s="40" t="str">
        <x:v>Utilities</x:v>
      </x:c>
      <x:c r="G104" s="40" t="str">
        <x:v>E130</x:v>
      </x:c>
      <x:c r="H104" s="40" t="str">
        <x:v>Industry comparator / discovery seed</x:v>
      </x:c>
      <x:c r="I104" s="40" t="str">
        <x:v>Not individually underwritten</x:v>
      </x:c>
      <x:c r="J104" s="40" t="str">
        <x:v>Not refreshed; verify exchange, corporate actions, float and tradability</x:v>
      </x:c>
      <x:c r="K104" s="40" t="str">
        <x:v>OPEN: listing; security identity; float; liquidity; size; corporate actions</x:v>
      </x:c>
      <x:c r="L104" s="40" t="str"/>
      <x:c r="M104" s="40"/>
      <x:c r="N104" s="40"/>
    </x:row>
    <x:row r="105" ht="75" customHeight="1">
      <x:c r="A105" s="40" t="str">
        <x:v>DUK</x:v>
      </x:c>
      <x:c r="B105" s="40" t="str">
        <x:v>Duke Energy</x:v>
      </x:c>
      <x:c r="C105" s="40" t="str">
        <x:v>DUK</x:v>
      </x:c>
      <x:c r="D105" s="40" t="str">
        <x:v>US/ADR</x:v>
      </x:c>
      <x:c r="E105" s="40" t="str">
        <x:v>Utilities</x:v>
      </x:c>
      <x:c r="F105" s="40" t="str">
        <x:v>Utilities</x:v>
      </x:c>
      <x:c r="G105" s="40" t="str">
        <x:v>E128</x:v>
      </x:c>
      <x:c r="H105" s="40" t="str">
        <x:v>Industry comparator / discovery seed</x:v>
      </x:c>
      <x:c r="I105" s="40" t="str">
        <x:v>Not individually underwritten</x:v>
      </x:c>
      <x:c r="J105" s="40" t="str">
        <x:v>Not refreshed; verify exchange, corporate actions, float and tradability</x:v>
      </x:c>
      <x:c r="K105" s="40" t="str">
        <x:v>OPEN: listing; security identity; float; liquidity; size; corporate actions</x:v>
      </x:c>
      <x:c r="L105" s="40" t="str"/>
      <x:c r="M105" s="40"/>
      <x:c r="N105" s="40"/>
    </x:row>
    <x:row r="106" ht="75" customHeight="1">
      <x:c r="A106" s="40" t="str">
        <x:v>EGP</x:v>
      </x:c>
      <x:c r="B106" s="40" t="str">
        <x:v>EastGroup Properties</x:v>
      </x:c>
      <x:c r="C106" s="40" t="str">
        <x:v>EGP</x:v>
      </x:c>
      <x:c r="D106" s="40" t="str">
        <x:v>US/ADR</x:v>
      </x:c>
      <x:c r="E106" s="40" t="str">
        <x:v>Real Estate</x:v>
      </x:c>
      <x:c r="F106" s="40" t="str">
        <x:v>Real Estate</x:v>
      </x:c>
      <x:c r="G106" s="40" t="str">
        <x:v>E135</x:v>
      </x:c>
      <x:c r="H106" s="40" t="str">
        <x:v>Industry comparator / discovery seed</x:v>
      </x:c>
      <x:c r="I106" s="40" t="str">
        <x:v>Not individually underwritten</x:v>
      </x:c>
      <x:c r="J106" s="40" t="str">
        <x:v>Not refreshed; verify exchange, corporate actions, float and tradability</x:v>
      </x:c>
      <x:c r="K106" s="40" t="str">
        <x:v>OPEN: listing; security identity; float; liquidity; size; corporate actions</x:v>
      </x:c>
      <x:c r="L106" s="40" t="str"/>
      <x:c r="M106" s="40"/>
      <x:c r="N106" s="40"/>
    </x:row>
    <x:row r="107" ht="75" customHeight="1">
      <x:c r="A107" s="40" t="str">
        <x:v>EL</x:v>
      </x:c>
      <x:c r="B107" s="40" t="str">
        <x:v>Estee Lauder</x:v>
      </x:c>
      <x:c r="C107" s="40" t="str">
        <x:v>EL</x:v>
      </x:c>
      <x:c r="D107" s="40" t="str">
        <x:v>US/ADR</x:v>
      </x:c>
      <x:c r="E107" s="40" t="str">
        <x:v>Consumer Staples</x:v>
      </x:c>
      <x:c r="F107" s="40" t="str">
        <x:v>Consumer Staples</x:v>
      </x:c>
      <x:c r="G107" s="40" t="str">
        <x:v>E073</x:v>
      </x:c>
      <x:c r="H107" s="40" t="str">
        <x:v>Industry comparator / discovery seed</x:v>
      </x:c>
      <x:c r="I107" s="40" t="str">
        <x:v>Not individually underwritten</x:v>
      </x:c>
      <x:c r="J107" s="40" t="str">
        <x:v>Not refreshed; verify exchange, corporate actions, float and tradability</x:v>
      </x:c>
      <x:c r="K107" s="40" t="str">
        <x:v>OPEN: listing; security identity; float; liquidity; size; corporate actions</x:v>
      </x:c>
      <x:c r="L107" s="40" t="str"/>
      <x:c r="M107" s="40"/>
      <x:c r="N107" s="40"/>
    </x:row>
    <x:row r="108" ht="75" customHeight="1">
      <x:c r="A108" s="40" t="str">
        <x:v>ELF</x:v>
      </x:c>
      <x:c r="B108" s="40" t="str">
        <x:v>e.l.f. Beauty</x:v>
      </x:c>
      <x:c r="C108" s="40" t="str">
        <x:v>ELF</x:v>
      </x:c>
      <x:c r="D108" s="40" t="str">
        <x:v>US/ADR</x:v>
      </x:c>
      <x:c r="E108" s="40" t="str">
        <x:v>Consumer Staples</x:v>
      </x:c>
      <x:c r="F108" s="40" t="str">
        <x:v>Consumer Staples</x:v>
      </x:c>
      <x:c r="G108" s="40" t="str">
        <x:v>E073</x:v>
      </x:c>
      <x:c r="H108" s="40" t="str">
        <x:v>Industry comparator / discovery seed</x:v>
      </x:c>
      <x:c r="I108" s="40" t="str">
        <x:v>Not individually underwritten</x:v>
      </x:c>
      <x:c r="J108" s="40" t="str">
        <x:v>Not refreshed; verify exchange, corporate actions, float and tradability</x:v>
      </x:c>
      <x:c r="K108" s="40" t="str">
        <x:v>OPEN: listing; security identity; float; liquidity; size; corporate actions</x:v>
      </x:c>
      <x:c r="L108" s="40" t="str"/>
      <x:c r="M108" s="40"/>
      <x:c r="N108" s="40"/>
    </x:row>
    <x:row r="109" ht="75" customHeight="1">
      <x:c r="A109" s="40" t="str">
        <x:v>ELS</x:v>
      </x:c>
      <x:c r="B109" s="40" t="str">
        <x:v>Equity LifeStyle Properties</x:v>
      </x:c>
      <x:c r="C109" s="40" t="str">
        <x:v>ELS</x:v>
      </x:c>
      <x:c r="D109" s="40" t="str">
        <x:v>US/ADR</x:v>
      </x:c>
      <x:c r="E109" s="40" t="str">
        <x:v>Real Estate</x:v>
      </x:c>
      <x:c r="F109" s="40" t="str">
        <x:v>Real Estate</x:v>
      </x:c>
      <x:c r="G109" s="40" t="str">
        <x:v>E140</x:v>
      </x:c>
      <x:c r="H109" s="40" t="str">
        <x:v>Industry comparator / discovery seed</x:v>
      </x:c>
      <x:c r="I109" s="40" t="str">
        <x:v>Not individually underwritten</x:v>
      </x:c>
      <x:c r="J109" s="40" t="str">
        <x:v>Not refreshed; verify exchange, corporate actions, float and tradability</x:v>
      </x:c>
      <x:c r="K109" s="40" t="str">
        <x:v>OPEN: listing; security identity; float; liquidity; size; corporate actions</x:v>
      </x:c>
      <x:c r="L109" s="40" t="str"/>
      <x:c r="M109" s="40"/>
      <x:c r="N109" s="40"/>
    </x:row>
    <x:row r="110" ht="75" customHeight="1">
      <x:c r="A110" s="40" t="str">
        <x:v>ELV</x:v>
      </x:c>
      <x:c r="B110" s="40" t="str">
        <x:v>Elevance Health</x:v>
      </x:c>
      <x:c r="C110" s="40" t="str">
        <x:v>ELV</x:v>
      </x:c>
      <x:c r="D110" s="40" t="str">
        <x:v>US/ADR</x:v>
      </x:c>
      <x:c r="E110" s="40" t="str">
        <x:v>Health Care</x:v>
      </x:c>
      <x:c r="F110" s="40" t="str">
        <x:v>Health Care</x:v>
      </x:c>
      <x:c r="G110" s="40" t="str">
        <x:v>E077</x:v>
      </x:c>
      <x:c r="H110" s="40" t="str">
        <x:v>Industry comparator / discovery seed</x:v>
      </x:c>
      <x:c r="I110" s="40" t="str">
        <x:v>Not individually underwritten</x:v>
      </x:c>
      <x:c r="J110" s="40" t="str">
        <x:v>Not refreshed; verify exchange, corporate actions, float and tradability</x:v>
      </x:c>
      <x:c r="K110" s="40" t="str">
        <x:v>OPEN: listing; security identity; float; liquidity; size; corporate actions</x:v>
      </x:c>
      <x:c r="L110" s="40" t="str"/>
      <x:c r="M110" s="40"/>
      <x:c r="N110" s="40"/>
    </x:row>
    <x:row r="111" ht="75" customHeight="1">
      <x:c r="A111" s="40" t="str">
        <x:v>EME</x:v>
      </x:c>
      <x:c r="B111" s="40" t="str">
        <x:v>EMCOR</x:v>
      </x:c>
      <x:c r="C111" s="40" t="str">
        <x:v>EME</x:v>
      </x:c>
      <x:c r="D111" s="40" t="str">
        <x:v>US/ADR</x:v>
      </x:c>
      <x:c r="E111" s="40" t="str">
        <x:v>Industrials</x:v>
      </x:c>
      <x:c r="F111" s="40" t="str">
        <x:v>Industrials</x:v>
      </x:c>
      <x:c r="G111" s="40" t="str">
        <x:v>E025</x:v>
      </x:c>
      <x:c r="H111" s="40" t="str">
        <x:v>Industry comparator / discovery seed</x:v>
      </x:c>
      <x:c r="I111" s="40" t="str">
        <x:v>Not individually underwritten</x:v>
      </x:c>
      <x:c r="J111" s="40" t="str">
        <x:v>Not refreshed; verify exchange, corporate actions, float and tradability</x:v>
      </x:c>
      <x:c r="K111" s="40" t="str">
        <x:v>OPEN: listing; security identity; float; liquidity; size; corporate actions</x:v>
      </x:c>
      <x:c r="L111" s="40" t="str"/>
      <x:c r="M111" s="40"/>
      <x:c r="N111" s="40"/>
    </x:row>
    <x:row r="112" ht="75" customHeight="1">
      <x:c r="A112" s="40" t="str">
        <x:v>EOG</x:v>
      </x:c>
      <x:c r="B112" s="40" t="str">
        <x:v>EOG Resources</x:v>
      </x:c>
      <x:c r="C112" s="40" t="str">
        <x:v>EOG</x:v>
      </x:c>
      <x:c r="D112" s="40" t="str">
        <x:v>US/ADR</x:v>
      </x:c>
      <x:c r="E112" s="40" t="str">
        <x:v>Energy</x:v>
      </x:c>
      <x:c r="F112" s="40" t="str">
        <x:v>Energy</x:v>
      </x:c>
      <x:c r="G112" s="40" t="str">
        <x:v>E004</x:v>
      </x:c>
      <x:c r="H112" s="40" t="str">
        <x:v>Industry comparator / discovery seed</x:v>
      </x:c>
      <x:c r="I112" s="40" t="str">
        <x:v>Not individually underwritten</x:v>
      </x:c>
      <x:c r="J112" s="40" t="str">
        <x:v>Not refreshed; verify exchange, corporate actions, float and tradability</x:v>
      </x:c>
      <x:c r="K112" s="40" t="str">
        <x:v>OPEN: listing; security identity; float; liquidity; size; corporate actions</x:v>
      </x:c>
      <x:c r="L112" s="40" t="str"/>
      <x:c r="M112" s="40"/>
      <x:c r="N112" s="40"/>
    </x:row>
    <x:row r="113" ht="75" customHeight="1">
      <x:c r="A113" s="40" t="str">
        <x:v>EPAM</x:v>
      </x:c>
      <x:c r="B113" s="40" t="str">
        <x:v>EPAM Systems</x:v>
      </x:c>
      <x:c r="C113" s="40" t="str">
        <x:v>EPAM</x:v>
      </x:c>
      <x:c r="D113" s="40" t="str">
        <x:v>US/ADR</x:v>
      </x:c>
      <x:c r="E113" s="40" t="str">
        <x:v>Information Technology</x:v>
      </x:c>
      <x:c r="F113" s="40" t="str">
        <x:v>Information Technology</x:v>
      </x:c>
      <x:c r="G113" s="40" t="str">
        <x:v>E100</x:v>
      </x:c>
      <x:c r="H113" s="40" t="str">
        <x:v>Industry comparator / discovery seed</x:v>
      </x:c>
      <x:c r="I113" s="40" t="str">
        <x:v>Not individually underwritten</x:v>
      </x:c>
      <x:c r="J113" s="40" t="str">
        <x:v>Not refreshed; verify exchange, corporate actions, float and tradability</x:v>
      </x:c>
      <x:c r="K113" s="40" t="str">
        <x:v>OPEN: listing; security identity; float; liquidity; size; corporate actions</x:v>
      </x:c>
      <x:c r="L113" s="40" t="str"/>
      <x:c r="M113" s="40"/>
      <x:c r="N113" s="40"/>
    </x:row>
    <x:row r="114" ht="75" customHeight="1">
      <x:c r="A114" s="40" t="str">
        <x:v>EPD</x:v>
      </x:c>
      <x:c r="B114" s="40" t="str">
        <x:v>Enterprise Products Partners</x:v>
      </x:c>
      <x:c r="C114" s="40" t="str">
        <x:v>EPD</x:v>
      </x:c>
      <x:c r="D114" s="40" t="str">
        <x:v>US/ADR</x:v>
      </x:c>
      <x:c r="E114" s="40" t="str">
        <x:v>Energy</x:v>
      </x:c>
      <x:c r="F114" s="40" t="str">
        <x:v>Energy</x:v>
      </x:c>
      <x:c r="G114" s="40" t="str">
        <x:v>E006</x:v>
      </x:c>
      <x:c r="H114" s="40" t="str">
        <x:v>Industry comparator / discovery seed</x:v>
      </x:c>
      <x:c r="I114" s="40" t="str">
        <x:v>Not individually underwritten</x:v>
      </x:c>
      <x:c r="J114" s="40" t="str">
        <x:v>Not refreshed; verify exchange, corporate actions, float and tradability</x:v>
      </x:c>
      <x:c r="K114" s="40" t="str">
        <x:v>OPEN: listing; security identity; float; liquidity; size; corporate actions</x:v>
      </x:c>
      <x:c r="L114" s="40" t="str"/>
      <x:c r="M114" s="40"/>
      <x:c r="N114" s="40"/>
    </x:row>
    <x:row r="115" ht="75" customHeight="1">
      <x:c r="A115" s="40" t="str">
        <x:v>EQIX</x:v>
      </x:c>
      <x:c r="B115" s="40" t="str">
        <x:v>Equinix</x:v>
      </x:c>
      <x:c r="C115" s="40" t="str">
        <x:v>EQIX</x:v>
      </x:c>
      <x:c r="D115" s="40" t="str">
        <x:v>US/ADR</x:v>
      </x:c>
      <x:c r="E115" s="40" t="str">
        <x:v>Real Estate</x:v>
      </x:c>
      <x:c r="F115" s="40" t="str">
        <x:v>Real Estate</x:v>
      </x:c>
      <x:c r="G115" s="40" t="str">
        <x:v>E143</x:v>
      </x:c>
      <x:c r="H115" s="40" t="str">
        <x:v>Industry comparator / discovery seed</x:v>
      </x:c>
      <x:c r="I115" s="40" t="str">
        <x:v>Not individually underwritten</x:v>
      </x:c>
      <x:c r="J115" s="40" t="str">
        <x:v>Not refreshed; verify exchange, corporate actions, float and tradability</x:v>
      </x:c>
      <x:c r="K115" s="40" t="str">
        <x:v>OPEN: listing; security identity; float; liquidity; size; corporate actions</x:v>
      </x:c>
      <x:c r="L115" s="40" t="str"/>
      <x:c r="M115" s="40"/>
      <x:c r="N115" s="40"/>
    </x:row>
    <x:row r="116" ht="75" customHeight="1">
      <x:c r="A116" s="40" t="str">
        <x:v>ETN</x:v>
      </x:c>
      <x:c r="B116" s="40" t="str">
        <x:v>Eaton</x:v>
      </x:c>
      <x:c r="C116" s="40" t="str">
        <x:v>ETN</x:v>
      </x:c>
      <x:c r="D116" s="40" t="str">
        <x:v>US/ADR</x:v>
      </x:c>
      <x:c r="E116" s="40" t="str">
        <x:v>Industrials</x:v>
      </x:c>
      <x:c r="F116" s="40" t="str">
        <x:v>Industrials</x:v>
      </x:c>
      <x:c r="G116" s="40" t="str">
        <x:v>E027</x:v>
      </x:c>
      <x:c r="H116" s="40" t="str">
        <x:v>Industry comparator / discovery seed</x:v>
      </x:c>
      <x:c r="I116" s="40" t="str">
        <x:v>Not individually underwritten</x:v>
      </x:c>
      <x:c r="J116" s="40" t="str">
        <x:v>Not refreshed; verify exchange, corporate actions, float and tradability</x:v>
      </x:c>
      <x:c r="K116" s="40" t="str">
        <x:v>OPEN: listing; security identity; float; liquidity; size; corporate actions</x:v>
      </x:c>
      <x:c r="L116" s="40" t="str"/>
      <x:c r="M116" s="40"/>
      <x:c r="N116" s="40"/>
    </x:row>
    <x:row r="117" ht="75" customHeight="1">
      <x:c r="A117" s="40" t="str">
        <x:v>EXPD</x:v>
      </x:c>
      <x:c r="B117" s="40" t="str">
        <x:v>Expeditors</x:v>
      </x:c>
      <x:c r="C117" s="40" t="str">
        <x:v>EXPD</x:v>
      </x:c>
      <x:c r="D117" s="40" t="str">
        <x:v>US/ADR</x:v>
      </x:c>
      <x:c r="E117" s="40" t="str">
        <x:v>Industrials</x:v>
      </x:c>
      <x:c r="F117" s="40" t="str">
        <x:v>Industrials</x:v>
      </x:c>
      <x:c r="G117" s="40" t="str">
        <x:v>E039</x:v>
      </x:c>
      <x:c r="H117" s="40" t="str">
        <x:v>Industry comparator / discovery seed</x:v>
      </x:c>
      <x:c r="I117" s="40" t="str">
        <x:v>Not individually underwritten</x:v>
      </x:c>
      <x:c r="J117" s="40" t="str">
        <x:v>Not refreshed; verify exchange, corporate actions, float and tradability</x:v>
      </x:c>
      <x:c r="K117" s="40" t="str">
        <x:v>OPEN: listing; security identity; float; liquidity; size; corporate actions</x:v>
      </x:c>
      <x:c r="L117" s="40" t="str"/>
      <x:c r="M117" s="40"/>
      <x:c r="N117" s="40"/>
    </x:row>
    <x:row r="118" ht="75" customHeight="1">
      <x:c r="A118" s="40" t="str">
        <x:v>EXPO</x:v>
      </x:c>
      <x:c r="B118" s="40" t="str">
        <x:v>Exponent</x:v>
      </x:c>
      <x:c r="C118" s="40" t="str">
        <x:v>EXPO</x:v>
      </x:c>
      <x:c r="D118" s="40" t="str">
        <x:v>US/ADR</x:v>
      </x:c>
      <x:c r="E118" s="40" t="str">
        <x:v>Industrials</x:v>
      </x:c>
      <x:c r="F118" s="40" t="str">
        <x:v>Industrials</x:v>
      </x:c>
      <x:c r="G118" s="40" t="str">
        <x:v>E038</x:v>
      </x:c>
      <x:c r="H118" s="40" t="str">
        <x:v>Industry comparator / discovery seed</x:v>
      </x:c>
      <x:c r="I118" s="40" t="str">
        <x:v>Not individually underwritten</x:v>
      </x:c>
      <x:c r="J118" s="40" t="str">
        <x:v>Not refreshed; verify exchange, corporate actions, float and tradability</x:v>
      </x:c>
      <x:c r="K118" s="40" t="str">
        <x:v>OPEN: listing; security identity; float; liquidity; size; corporate actions</x:v>
      </x:c>
      <x:c r="L118" s="40" t="str"/>
      <x:c r="M118" s="40"/>
      <x:c r="N118" s="40"/>
    </x:row>
    <x:row r="119" ht="75" customHeight="1">
      <x:c r="A119" s="40" t="str">
        <x:v>EXR</x:v>
      </x:c>
      <x:c r="B119" s="40" t="str">
        <x:v>Extra Space Storage</x:v>
      </x:c>
      <x:c r="C119" s="40" t="str">
        <x:v>EXR</x:v>
      </x:c>
      <x:c r="D119" s="40" t="str">
        <x:v>US/ADR</x:v>
      </x:c>
      <x:c r="E119" s="40" t="str">
        <x:v>Real Estate</x:v>
      </x:c>
      <x:c r="F119" s="40" t="str">
        <x:v>Real Estate</x:v>
      </x:c>
      <x:c r="G119" s="40" t="str">
        <x:v>E145</x:v>
      </x:c>
      <x:c r="H119" s="40" t="str">
        <x:v>Industry comparator / discovery seed</x:v>
      </x:c>
      <x:c r="I119" s="40" t="str">
        <x:v>Not individually underwritten</x:v>
      </x:c>
      <x:c r="J119" s="40" t="str">
        <x:v>Not refreshed; verify exchange, corporate actions, float and tradability</x:v>
      </x:c>
      <x:c r="K119" s="40" t="str">
        <x:v>OPEN: listing; security identity; float; liquidity; size; corporate actions</x:v>
      </x:c>
      <x:c r="L119" s="40" t="str"/>
      <x:c r="M119" s="40"/>
      <x:c r="N119" s="40"/>
    </x:row>
    <x:row r="120" ht="75" customHeight="1">
      <x:c r="A120" s="40" t="str">
        <x:v>F</x:v>
      </x:c>
      <x:c r="B120" s="40" t="str">
        <x:v>Ford</x:v>
      </x:c>
      <x:c r="C120" s="40" t="str">
        <x:v>F</x:v>
      </x:c>
      <x:c r="D120" s="40" t="str">
        <x:v>US/ADR</x:v>
      </x:c>
      <x:c r="E120" s="40" t="str">
        <x:v>Consumer Discretionary</x:v>
      </x:c>
      <x:c r="F120" s="40" t="str">
        <x:v>Consumer Discretionary</x:v>
      </x:c>
      <x:c r="G120" s="40" t="str">
        <x:v>E048</x:v>
      </x:c>
      <x:c r="H120" s="40" t="str">
        <x:v>Industry comparator / discovery seed</x:v>
      </x:c>
      <x:c r="I120" s="40" t="str">
        <x:v>Not individually underwritten</x:v>
      </x:c>
      <x:c r="J120" s="40" t="str">
        <x:v>Not refreshed; verify exchange, corporate actions, float and tradability</x:v>
      </x:c>
      <x:c r="K120" s="40" t="str">
        <x:v>OPEN: listing; security identity; float; liquidity; size; corporate actions</x:v>
      </x:c>
      <x:c r="L120" s="40" t="str"/>
      <x:c r="M120" s="40"/>
      <x:c r="N120" s="40"/>
    </x:row>
    <x:row r="121" ht="75" customHeight="1">
      <x:c r="A121" s="40" t="str">
        <x:v>FAST</x:v>
      </x:c>
      <x:c r="B121" s="40" t="str">
        <x:v>Fastenal</x:v>
      </x:c>
      <x:c r="C121" s="40" t="str">
        <x:v>FAST</x:v>
      </x:c>
      <x:c r="D121" s="40" t="str">
        <x:v>US/ADR</x:v>
      </x:c>
      <x:c r="E121" s="40" t="str">
        <x:v>Industrials</x:v>
      </x:c>
      <x:c r="F121" s="40" t="str">
        <x:v>Industrials</x:v>
      </x:c>
      <x:c r="G121" s="40" t="str">
        <x:v>E032</x:v>
      </x:c>
      <x:c r="H121" s="40" t="str">
        <x:v>Industry comparator / discovery seed</x:v>
      </x:c>
      <x:c r="I121" s="40" t="str">
        <x:v>Not individually underwritten</x:v>
      </x:c>
      <x:c r="J121" s="40" t="str">
        <x:v>Not refreshed; verify exchange, corporate actions, float and tradability</x:v>
      </x:c>
      <x:c r="K121" s="40" t="str">
        <x:v>OPEN: listing; security identity; float; liquidity; size; corporate actions</x:v>
      </x:c>
      <x:c r="L121" s="40" t="str"/>
      <x:c r="M121" s="40"/>
      <x:c r="N121" s="40"/>
    </x:row>
    <x:row r="122" ht="75" customHeight="1">
      <x:c r="A122" s="40" t="str">
        <x:v>FCX</x:v>
      </x:c>
      <x:c r="B122" s="40" t="str">
        <x:v>Freeport-McMoRan</x:v>
      </x:c>
      <x:c r="C122" s="40" t="str">
        <x:v>FCX</x:v>
      </x:c>
      <x:c r="D122" s="40" t="str">
        <x:v>US/ADR</x:v>
      </x:c>
      <x:c r="E122" s="40" t="str">
        <x:v>Materials</x:v>
      </x:c>
      <x:c r="F122" s="40" t="str">
        <x:v>Materials</x:v>
      </x:c>
      <x:c r="G122" s="40" t="str">
        <x:v>E015</x:v>
      </x:c>
      <x:c r="H122" s="40" t="str">
        <x:v>Industry comparator / discovery seed</x:v>
      </x:c>
      <x:c r="I122" s="40" t="str">
        <x:v>Not individually underwritten</x:v>
      </x:c>
      <x:c r="J122" s="40" t="str">
        <x:v>Not refreshed; verify exchange, corporate actions, float and tradability</x:v>
      </x:c>
      <x:c r="K122" s="40" t="str">
        <x:v>OPEN: listing; security identity; float; liquidity; size; corporate actions</x:v>
      </x:c>
      <x:c r="L122" s="40" t="str"/>
      <x:c r="M122" s="40"/>
      <x:c r="N122" s="40"/>
    </x:row>
    <x:row r="123" ht="75" customHeight="1">
      <x:c r="A123" s="40" t="str">
        <x:v>FDX</x:v>
      </x:c>
      <x:c r="B123" s="40" t="str">
        <x:v>FedEx</x:v>
      </x:c>
      <x:c r="C123" s="40" t="str">
        <x:v>FDX</x:v>
      </x:c>
      <x:c r="D123" s="40" t="str">
        <x:v>US/ADR</x:v>
      </x:c>
      <x:c r="E123" s="40" t="str">
        <x:v>Industrials</x:v>
      </x:c>
      <x:c r="F123" s="40" t="str">
        <x:v>Industrials</x:v>
      </x:c>
      <x:c r="G123" s="40" t="str">
        <x:v>E040</x:v>
      </x:c>
      <x:c r="H123" s="40" t="str">
        <x:v>Industry comparator / discovery seed</x:v>
      </x:c>
      <x:c r="I123" s="40" t="str">
        <x:v>Not individually underwritten</x:v>
      </x:c>
      <x:c r="J123" s="40" t="str">
        <x:v>Not refreshed; verify exchange, corporate actions, float and tradability</x:v>
      </x:c>
      <x:c r="K123" s="40" t="str">
        <x:v>OPEN: listing; security identity; float; liquidity; size; corporate actions</x:v>
      </x:c>
      <x:c r="L123" s="40" t="str"/>
      <x:c r="M123" s="40"/>
      <x:c r="N123" s="40"/>
    </x:row>
    <x:row r="124" ht="75" customHeight="1">
      <x:c r="A124" s="40" t="str">
        <x:v>FFIN</x:v>
      </x:c>
      <x:c r="B124" s="40" t="str">
        <x:v>First Financial Bankshares</x:v>
      </x:c>
      <x:c r="C124" s="40" t="str">
        <x:v>FFIN</x:v>
      </x:c>
      <x:c r="D124" s="40" t="str">
        <x:v>US/ADR</x:v>
      </x:c>
      <x:c r="E124" s="40" t="str">
        <x:v>Financials</x:v>
      </x:c>
      <x:c r="F124" s="40" t="str">
        <x:v>Financials</x:v>
      </x:c>
      <x:c r="G124" s="40" t="str">
        <x:v>E087</x:v>
      </x:c>
      <x:c r="H124" s="40" t="str">
        <x:v>Industry comparator / discovery seed</x:v>
      </x:c>
      <x:c r="I124" s="40" t="str">
        <x:v>Not individually underwritten</x:v>
      </x:c>
      <x:c r="J124" s="40" t="str">
        <x:v>Not refreshed; verify exchange, corporate actions, float and tradability</x:v>
      </x:c>
      <x:c r="K124" s="40" t="str">
        <x:v>OPEN: listing; security identity; float; liquidity; size; corporate actions</x:v>
      </x:c>
      <x:c r="L124" s="40" t="str"/>
      <x:c r="M124" s="40"/>
      <x:c r="N124" s="40"/>
    </x:row>
    <x:row r="125" ht="75" customHeight="1">
      <x:c r="A125" s="40" t="str">
        <x:v>FND</x:v>
      </x:c>
      <x:c r="B125" s="40" t="str">
        <x:v>Floor &amp; Decor</x:v>
      </x:c>
      <x:c r="C125" s="40" t="str">
        <x:v>FND</x:v>
      </x:c>
      <x:c r="D125" s="40" t="str">
        <x:v>US/ADR</x:v>
      </x:c>
      <x:c r="E125" s="40" t="str">
        <x:v>Consumer Discretionary</x:v>
      </x:c>
      <x:c r="F125" s="40" t="str">
        <x:v>Consumer Discretionary</x:v>
      </x:c>
      <x:c r="G125" s="40" t="str">
        <x:v>E063</x:v>
      </x:c>
      <x:c r="H125" s="40" t="str">
        <x:v>Current-report research candidate</x:v>
      </x:c>
      <x:c r="I125" s="40" t="str">
        <x:v>Selected current-report facts checked; full underwriting incomplete</x:v>
      </x:c>
      <x:c r="J125" s="40" t="str">
        <x:v>Ticker in issuer materials; exchange, corporate actions, liquidity and eligibility still require refresh</x:v>
      </x:c>
      <x:c r="K125" s="40" t="str">
        <x:v>OPEN: listing; security identity; float; liquidity; size; corporate actions</x:v>
      </x:c>
      <x:c r="L125" s="40" t="str">
        <x:v>FND26</x:v>
      </x:c>
      <x:c r="M125" s="40"/>
      <x:c r="N125" s="40"/>
    </x:row>
    <x:row r="126" ht="75" customHeight="1">
      <x:c r="A126" s="40" t="str">
        <x:v>FNV</x:v>
      </x:c>
      <x:c r="B126" s="40" t="str">
        <x:v>Franco-Nevada</x:v>
      </x:c>
      <x:c r="C126" s="40" t="str">
        <x:v>FNV</x:v>
      </x:c>
      <x:c r="D126" s="40" t="str">
        <x:v>US/ADR</x:v>
      </x:c>
      <x:c r="E126" s="40" t="str">
        <x:v>Materials</x:v>
      </x:c>
      <x:c r="F126" s="40" t="str">
        <x:v>Materials</x:v>
      </x:c>
      <x:c r="G126" s="40" t="str">
        <x:v>E016</x:v>
      </x:c>
      <x:c r="H126" s="40" t="str">
        <x:v>Industry comparator / discovery seed</x:v>
      </x:c>
      <x:c r="I126" s="40" t="str">
        <x:v>Not individually underwritten</x:v>
      </x:c>
      <x:c r="J126" s="40" t="str">
        <x:v>Not refreshed; verify exchange, corporate actions, float and tradability</x:v>
      </x:c>
      <x:c r="K126" s="40" t="str">
        <x:v>OPEN: listing; security identity; float; liquidity; size; corporate actions</x:v>
      </x:c>
      <x:c r="L126" s="40" t="str"/>
      <x:c r="M126" s="40"/>
      <x:c r="N126" s="40"/>
    </x:row>
    <x:row r="127" ht="75" customHeight="1">
      <x:c r="A127" s="40" t="str">
        <x:v>FOUR</x:v>
      </x:c>
      <x:c r="B127" s="40" t="str">
        <x:v>Shift4 Payments</x:v>
      </x:c>
      <x:c r="C127" s="40" t="str">
        <x:v>FOUR</x:v>
      </x:c>
      <x:c r="D127" s="40" t="str">
        <x:v>US/ADR</x:v>
      </x:c>
      <x:c r="E127" s="40" t="str">
        <x:v>Financials</x:v>
      </x:c>
      <x:c r="F127" s="40" t="str">
        <x:v>Financials</x:v>
      </x:c>
      <x:c r="G127" s="40" t="str">
        <x:v>E089</x:v>
      </x:c>
      <x:c r="H127" s="40" t="str">
        <x:v>Industry comparator / discovery seed</x:v>
      </x:c>
      <x:c r="I127" s="40" t="str">
        <x:v>Not individually underwritten</x:v>
      </x:c>
      <x:c r="J127" s="40" t="str">
        <x:v>Not refreshed; verify exchange, corporate actions, float and tradability</x:v>
      </x:c>
      <x:c r="K127" s="40" t="str">
        <x:v>OPEN: listing; security identity; float; liquidity; size; corporate actions</x:v>
      </x:c>
      <x:c r="L127" s="40" t="str"/>
      <x:c r="M127" s="40"/>
      <x:c r="N127" s="40"/>
    </x:row>
    <x:row r="128" ht="75" customHeight="1">
      <x:c r="A128" s="40" t="str">
        <x:v>FTI</x:v>
      </x:c>
      <x:c r="B128" s="40" t="str">
        <x:v>TechnipFMC</x:v>
      </x:c>
      <x:c r="C128" s="40" t="str">
        <x:v>FTI</x:v>
      </x:c>
      <x:c r="D128" s="40" t="str">
        <x:v>US/ADR</x:v>
      </x:c>
      <x:c r="E128" s="40" t="str">
        <x:v>Energy</x:v>
      </x:c>
      <x:c r="F128" s="40" t="str">
        <x:v>Energy</x:v>
      </x:c>
      <x:c r="G128" s="40" t="str">
        <x:v>E002</x:v>
      </x:c>
      <x:c r="H128" s="40" t="str">
        <x:v>Industry comparator / discovery seed</x:v>
      </x:c>
      <x:c r="I128" s="40" t="str">
        <x:v>Not individually underwritten</x:v>
      </x:c>
      <x:c r="J128" s="40" t="str">
        <x:v>Not refreshed; verify exchange, corporate actions, float and tradability</x:v>
      </x:c>
      <x:c r="K128" s="40" t="str">
        <x:v>OPEN: listing; security identity; float; liquidity; size; corporate actions</x:v>
      </x:c>
      <x:c r="L128" s="40" t="str"/>
      <x:c r="M128" s="40"/>
      <x:c r="N128" s="40"/>
    </x:row>
    <x:row r="129" ht="75" customHeight="1">
      <x:c r="A129" s="40" t="str">
        <x:v>GFS</x:v>
      </x:c>
      <x:c r="B129" s="40" t="str">
        <x:v>GlobalFoundries</x:v>
      </x:c>
      <x:c r="C129" s="40" t="str">
        <x:v>GFS</x:v>
      </x:c>
      <x:c r="D129" s="40" t="str">
        <x:v>US/ADR</x:v>
      </x:c>
      <x:c r="E129" s="40" t="str">
        <x:v>Information Technology</x:v>
      </x:c>
      <x:c r="F129" s="40" t="str">
        <x:v>Information Technology</x:v>
      </x:c>
      <x:c r="G129" s="40" t="str">
        <x:v>E116</x:v>
      </x:c>
      <x:c r="H129" s="40" t="str">
        <x:v>Industry comparator / discovery seed</x:v>
      </x:c>
      <x:c r="I129" s="40" t="str">
        <x:v>Not individually underwritten</x:v>
      </x:c>
      <x:c r="J129" s="40" t="str">
        <x:v>Not refreshed; verify exchange, corporate actions, float and tradability</x:v>
      </x:c>
      <x:c r="K129" s="40" t="str">
        <x:v>OPEN: listing; security identity; float; liquidity; size; corporate actions</x:v>
      </x:c>
      <x:c r="L129" s="40" t="str"/>
      <x:c r="M129" s="40"/>
      <x:c r="N129" s="40"/>
    </x:row>
    <x:row r="130" ht="75" customHeight="1">
      <x:c r="A130" s="40" t="str">
        <x:v>GIB</x:v>
      </x:c>
      <x:c r="B130" s="40" t="str">
        <x:v>CGI</x:v>
      </x:c>
      <x:c r="C130" s="40" t="str">
        <x:v>GIB</x:v>
      </x:c>
      <x:c r="D130" s="40" t="str">
        <x:v>US/ADR</x:v>
      </x:c>
      <x:c r="E130" s="40" t="str">
        <x:v>Information Technology</x:v>
      </x:c>
      <x:c r="F130" s="40" t="str">
        <x:v>Information Technology</x:v>
      </x:c>
      <x:c r="G130" s="40" t="str">
        <x:v>E101</x:v>
      </x:c>
      <x:c r="H130" s="40" t="str">
        <x:v>Industry comparator / discovery seed</x:v>
      </x:c>
      <x:c r="I130" s="40" t="str">
        <x:v>Not individually underwritten</x:v>
      </x:c>
      <x:c r="J130" s="40" t="str">
        <x:v>Not refreshed; verify exchange, corporate actions, float and tradability</x:v>
      </x:c>
      <x:c r="K130" s="40" t="str">
        <x:v>OPEN: listing; security identity; float; liquidity; size; corporate actions</x:v>
      </x:c>
      <x:c r="L130" s="40" t="str"/>
      <x:c r="M130" s="40"/>
      <x:c r="N130" s="40"/>
    </x:row>
    <x:row r="131" ht="75" customHeight="1">
      <x:c r="A131" s="40" t="str">
        <x:v>GIS</x:v>
      </x:c>
      <x:c r="B131" s="40" t="str">
        <x:v>General Mills</x:v>
      </x:c>
      <x:c r="C131" s="40" t="str">
        <x:v>GIS</x:v>
      </x:c>
      <x:c r="D131" s="40" t="str">
        <x:v>US/ADR</x:v>
      </x:c>
      <x:c r="E131" s="40" t="str">
        <x:v>Consumer Staples</x:v>
      </x:c>
      <x:c r="F131" s="40" t="str">
        <x:v>Consumer Staples</x:v>
      </x:c>
      <x:c r="G131" s="40" t="str">
        <x:v>E069</x:v>
      </x:c>
      <x:c r="H131" s="40" t="str">
        <x:v>Industry comparator / discovery seed</x:v>
      </x:c>
      <x:c r="I131" s="40" t="str">
        <x:v>Not individually underwritten</x:v>
      </x:c>
      <x:c r="J131" s="40" t="str">
        <x:v>Not refreshed; verify exchange, corporate actions, float and tradability</x:v>
      </x:c>
      <x:c r="K131" s="40" t="str">
        <x:v>OPEN: listing; security identity; float; liquidity; size; corporate actions</x:v>
      </x:c>
      <x:c r="L131" s="40" t="str"/>
      <x:c r="M131" s="40"/>
      <x:c r="N131" s="40"/>
    </x:row>
    <x:row r="132" ht="75" customHeight="1">
      <x:c r="A132" s="40" t="str">
        <x:v>GM</x:v>
      </x:c>
      <x:c r="B132" s="40" t="str">
        <x:v>General Motors</x:v>
      </x:c>
      <x:c r="C132" s="40" t="str">
        <x:v>GM</x:v>
      </x:c>
      <x:c r="D132" s="40" t="str">
        <x:v>US/ADR</x:v>
      </x:c>
      <x:c r="E132" s="40" t="str">
        <x:v>Consumer Discretionary</x:v>
      </x:c>
      <x:c r="F132" s="40" t="str">
        <x:v>Consumer Discretionary</x:v>
      </x:c>
      <x:c r="G132" s="40" t="str">
        <x:v>E048</x:v>
      </x:c>
      <x:c r="H132" s="40" t="str">
        <x:v>Industry comparator / discovery seed</x:v>
      </x:c>
      <x:c r="I132" s="40" t="str">
        <x:v>Not individually underwritten</x:v>
      </x:c>
      <x:c r="J132" s="40" t="str">
        <x:v>Not refreshed; verify exchange, corporate actions, float and tradability</x:v>
      </x:c>
      <x:c r="K132" s="40" t="str">
        <x:v>OPEN: listing; security identity; float; liquidity; size; corporate actions</x:v>
      </x:c>
      <x:c r="L132" s="40" t="str"/>
      <x:c r="M132" s="40"/>
      <x:c r="N132" s="40"/>
    </x:row>
    <x:row r="133" ht="75" customHeight="1">
      <x:c r="A133" s="40" t="str">
        <x:v>GOOGL</x:v>
      </x:c>
      <x:c r="B133" s="40" t="str">
        <x:v>Alphabet</x:v>
      </x:c>
      <x:c r="C133" s="40" t="str">
        <x:v>GOOGL</x:v>
      </x:c>
      <x:c r="D133" s="40" t="str">
        <x:v>US/ADR</x:v>
      </x:c>
      <x:c r="E133" s="40" t="str">
        <x:v>Communication Services</x:v>
      </x:c>
      <x:c r="F133" s="40" t="str">
        <x:v>Communication Services</x:v>
      </x:c>
      <x:c r="G133" s="40" t="str">
        <x:v>E126</x:v>
      </x:c>
      <x:c r="H133" s="40" t="str">
        <x:v>Industry comparator / discovery seed</x:v>
      </x:c>
      <x:c r="I133" s="40" t="str">
        <x:v>Not individually underwritten</x:v>
      </x:c>
      <x:c r="J133" s="40" t="str">
        <x:v>Not refreshed; verify exchange, corporate actions, float and tradability</x:v>
      </x:c>
      <x:c r="K133" s="40" t="str">
        <x:v>OPEN: listing; security identity; float; liquidity; size; corporate actions</x:v>
      </x:c>
      <x:c r="L133" s="40" t="str"/>
      <x:c r="M133" s="40"/>
      <x:c r="N133" s="40"/>
    </x:row>
    <x:row r="134" ht="75" customHeight="1">
      <x:c r="A134" s="40" t="str">
        <x:v>GPC</x:v>
      </x:c>
      <x:c r="B134" s="40" t="str">
        <x:v>Genuine Parts</x:v>
      </x:c>
      <x:c r="C134" s="40" t="str">
        <x:v>GPC</x:v>
      </x:c>
      <x:c r="D134" s="40" t="str">
        <x:v>US/ADR</x:v>
      </x:c>
      <x:c r="E134" s="40" t="str">
        <x:v>Consumer Discretionary</x:v>
      </x:c>
      <x:c r="F134" s="40" t="str">
        <x:v>Consumer Discretionary</x:v>
      </x:c>
      <x:c r="G134" s="40" t="str">
        <x:v>E061</x:v>
      </x:c>
      <x:c r="H134" s="40" t="str">
        <x:v>Industry comparator / discovery seed</x:v>
      </x:c>
      <x:c r="I134" s="40" t="str">
        <x:v>Not individually underwritten</x:v>
      </x:c>
      <x:c r="J134" s="40" t="str">
        <x:v>Not refreshed; verify exchange, corporate actions, float and tradability</x:v>
      </x:c>
      <x:c r="K134" s="40" t="str">
        <x:v>OPEN: listing; security identity; float; liquidity; size; corporate actions</x:v>
      </x:c>
      <x:c r="L134" s="40" t="str"/>
      <x:c r="M134" s="40"/>
      <x:c r="N134" s="40"/>
    </x:row>
    <x:row r="135" ht="75" customHeight="1">
      <x:c r="A135" s="40" t="str">
        <x:v>GSHD</x:v>
      </x:c>
      <x:c r="B135" s="40" t="str">
        <x:v>Goosehead Insurance</x:v>
      </x:c>
      <x:c r="C135" s="40" t="str">
        <x:v>GSHD</x:v>
      </x:c>
      <x:c r="D135" s="40" t="str">
        <x:v>US/ADR</x:v>
      </x:c>
      <x:c r="E135" s="40" t="str">
        <x:v>Financials</x:v>
      </x:c>
      <x:c r="F135" s="40" t="str">
        <x:v>Financials</x:v>
      </x:c>
      <x:c r="G135" s="40" t="str">
        <x:v>E098</x:v>
      </x:c>
      <x:c r="H135" s="40" t="str">
        <x:v>Industry comparator / discovery seed</x:v>
      </x:c>
      <x:c r="I135" s="40" t="str">
        <x:v>Not individually underwritten</x:v>
      </x:c>
      <x:c r="J135" s="40" t="str">
        <x:v>Not refreshed; verify exchange, corporate actions, float and tradability</x:v>
      </x:c>
      <x:c r="K135" s="40" t="str">
        <x:v>OPEN: listing; security identity; float; liquidity; size; corporate actions</x:v>
      </x:c>
      <x:c r="L135" s="40" t="str"/>
      <x:c r="M135" s="40"/>
      <x:c r="N135" s="40"/>
    </x:row>
    <x:row r="136" ht="75" customHeight="1">
      <x:c r="A136" s="40" t="str">
        <x:v>GWW</x:v>
      </x:c>
      <x:c r="B136" s="40" t="str">
        <x:v>W. W. Grainger</x:v>
      </x:c>
      <x:c r="C136" s="40" t="str">
        <x:v>GWW</x:v>
      </x:c>
      <x:c r="D136" s="40" t="str">
        <x:v>US/ADR</x:v>
      </x:c>
      <x:c r="E136" s="40" t="str">
        <x:v>Industrials</x:v>
      </x:c>
      <x:c r="F136" s="40" t="str">
        <x:v>Industrials</x:v>
      </x:c>
      <x:c r="G136" s="40" t="str">
        <x:v>E032</x:v>
      </x:c>
      <x:c r="H136" s="40" t="str">
        <x:v>Industry comparator / discovery seed</x:v>
      </x:c>
      <x:c r="I136" s="40" t="str">
        <x:v>Not individually underwritten</x:v>
      </x:c>
      <x:c r="J136" s="40" t="str">
        <x:v>Not refreshed; verify exchange, corporate actions, float and tradability</x:v>
      </x:c>
      <x:c r="K136" s="40" t="str">
        <x:v>OPEN: listing; security identity; float; liquidity; size; corporate actions</x:v>
      </x:c>
      <x:c r="L136" s="40" t="str"/>
      <x:c r="M136" s="40"/>
      <x:c r="N136" s="40"/>
    </x:row>
    <x:row r="137" ht="75" customHeight="1">
      <x:c r="A137" s="40" t="str">
        <x:v>HAS</x:v>
      </x:c>
      <x:c r="B137" s="40" t="str">
        <x:v>Hasbro</x:v>
      </x:c>
      <x:c r="C137" s="40" t="str">
        <x:v>HAS</x:v>
      </x:c>
      <x:c r="D137" s="40" t="str">
        <x:v>US/ADR</x:v>
      </x:c>
      <x:c r="E137" s="40" t="str">
        <x:v>Consumer Discretionary</x:v>
      </x:c>
      <x:c r="F137" s="40" t="str">
        <x:v>Consumer Discretionary</x:v>
      </x:c>
      <x:c r="G137" s="40" t="str">
        <x:v>E053</x:v>
      </x:c>
      <x:c r="H137" s="40" t="str">
        <x:v>Industry comparator / discovery seed</x:v>
      </x:c>
      <x:c r="I137" s="40" t="str">
        <x:v>Not individually underwritten</x:v>
      </x:c>
      <x:c r="J137" s="40" t="str">
        <x:v>Not refreshed; verify exchange, corporate actions, float and tradability</x:v>
      </x:c>
      <x:c r="K137" s="40" t="str">
        <x:v>OPEN: listing; security identity; float; liquidity; size; corporate actions</x:v>
      </x:c>
      <x:c r="L137" s="40" t="str"/>
      <x:c r="M137" s="40"/>
      <x:c r="N137" s="40"/>
    </x:row>
    <x:row r="138" ht="75" customHeight="1">
      <x:c r="A138" s="40" t="str">
        <x:v>HCA</x:v>
      </x:c>
      <x:c r="B138" s="40" t="str">
        <x:v>HCA Healthcare</x:v>
      </x:c>
      <x:c r="C138" s="40" t="str">
        <x:v>HCA</x:v>
      </x:c>
      <x:c r="D138" s="40" t="str">
        <x:v>US/ADR</x:v>
      </x:c>
      <x:c r="E138" s="40" t="str">
        <x:v>Health Care</x:v>
      </x:c>
      <x:c r="F138" s="40" t="str">
        <x:v>Health Care</x:v>
      </x:c>
      <x:c r="G138" s="40" t="str">
        <x:v>E076</x:v>
      </x:c>
      <x:c r="H138" s="40" t="str">
        <x:v>Industry comparator / discovery seed</x:v>
      </x:c>
      <x:c r="I138" s="40" t="str">
        <x:v>Not individually underwritten</x:v>
      </x:c>
      <x:c r="J138" s="40" t="str">
        <x:v>Not refreshed; verify exchange, corporate actions, float and tradability</x:v>
      </x:c>
      <x:c r="K138" s="40" t="str">
        <x:v>OPEN: listing; security identity; float; liquidity; size; corporate actions</x:v>
      </x:c>
      <x:c r="L138" s="40" t="str"/>
      <x:c r="M138" s="40"/>
      <x:c r="N138" s="40"/>
    </x:row>
    <x:row r="139" ht="75" customHeight="1">
      <x:c r="A139" s="40" t="str">
        <x:v>HEI</x:v>
      </x:c>
      <x:c r="B139" s="40" t="str">
        <x:v>HEICO</x:v>
      </x:c>
      <x:c r="C139" s="40" t="str">
        <x:v>HEI</x:v>
      </x:c>
      <x:c r="D139" s="40" t="str">
        <x:v>US/ADR</x:v>
      </x:c>
      <x:c r="E139" s="40" t="str">
        <x:v>Industrials</x:v>
      </x:c>
      <x:c r="F139" s="40" t="str">
        <x:v>Industrials</x:v>
      </x:c>
      <x:c r="G139" s="40" t="str">
        <x:v>E021</x:v>
      </x:c>
      <x:c r="H139" s="40" t="str">
        <x:v>Industry comparator / discovery seed</x:v>
      </x:c>
      <x:c r="I139" s="40" t="str">
        <x:v>Not individually underwritten</x:v>
      </x:c>
      <x:c r="J139" s="40" t="str">
        <x:v>Not refreshed; verify exchange, corporate actions, float and tradability</x:v>
      </x:c>
      <x:c r="K139" s="40" t="str">
        <x:v>OPEN: listing; security identity; float; liquidity; size; corporate actions</x:v>
      </x:c>
      <x:c r="L139" s="40" t="str"/>
      <x:c r="M139" s="40"/>
      <x:c r="N139" s="40"/>
    </x:row>
    <x:row r="140" ht="75" customHeight="1">
      <x:c r="A140" s="40" t="str">
        <x:v>HHH</x:v>
      </x:c>
      <x:c r="B140" s="40" t="str">
        <x:v>Howard Hughes Holdings Holdings</x:v>
      </x:c>
      <x:c r="C140" s="40" t="str">
        <x:v>HHH</x:v>
      </x:c>
      <x:c r="D140" s="40" t="str">
        <x:v>US/ADR</x:v>
      </x:c>
      <x:c r="E140" s="40" t="str">
        <x:v>Real Estate</x:v>
      </x:c>
      <x:c r="F140" s="40" t="str">
        <x:v>Real Estate</x:v>
      </x:c>
      <x:c r="G140" s="40" t="str">
        <x:v>E148</x:v>
      </x:c>
      <x:c r="H140" s="40" t="str">
        <x:v>Industry comparator / discovery seed</x:v>
      </x:c>
      <x:c r="I140" s="40" t="str">
        <x:v>Not individually underwritten</x:v>
      </x:c>
      <x:c r="J140" s="40" t="str">
        <x:v>Not refreshed; verify exchange, corporate actions, float and tradability</x:v>
      </x:c>
      <x:c r="K140" s="40" t="str">
        <x:v>OPEN: listing; security identity; float; liquidity; size; corporate actions</x:v>
      </x:c>
      <x:c r="L140" s="40" t="str"/>
      <x:c r="M140" s="40"/>
      <x:c r="N140" s="40"/>
    </x:row>
    <x:row r="141" ht="75" customHeight="1">
      <x:c r="A141" s="40" t="str">
        <x:v>HLT</x:v>
      </x:c>
      <x:c r="B141" s="40" t="str">
        <x:v>Hilton</x:v>
      </x:c>
      <x:c r="C141" s="40" t="str">
        <x:v>HLT</x:v>
      </x:c>
      <x:c r="D141" s="40" t="str">
        <x:v>US/ADR</x:v>
      </x:c>
      <x:c r="E141" s="40" t="str">
        <x:v>Consumer Discretionary</x:v>
      </x:c>
      <x:c r="F141" s="40" t="str">
        <x:v>Consumer Discretionary</x:v>
      </x:c>
      <x:c r="G141" s="40" t="str">
        <x:v>E058</x:v>
      </x:c>
      <x:c r="H141" s="40" t="str">
        <x:v>Industry comparator / discovery seed</x:v>
      </x:c>
      <x:c r="I141" s="40" t="str">
        <x:v>Not individually underwritten</x:v>
      </x:c>
      <x:c r="J141" s="40" t="str">
        <x:v>Not refreshed; verify exchange, corporate actions, float and tradability</x:v>
      </x:c>
      <x:c r="K141" s="40" t="str">
        <x:v>OPEN: listing; security identity; float; liquidity; size; corporate actions</x:v>
      </x:c>
      <x:c r="L141" s="40" t="str"/>
      <x:c r="M141" s="40"/>
      <x:c r="N141" s="40"/>
    </x:row>
    <x:row r="142" ht="75" customHeight="1">
      <x:c r="A142" s="40" t="str">
        <x:v>HP</x:v>
      </x:c>
      <x:c r="B142" s="40" t="str">
        <x:v>Helmerich &amp; Payne</x:v>
      </x:c>
      <x:c r="C142" s="40" t="str">
        <x:v>HP</x:v>
      </x:c>
      <x:c r="D142" s="40" t="str">
        <x:v>US/ADR</x:v>
      </x:c>
      <x:c r="E142" s="40" t="str">
        <x:v>Energy</x:v>
      </x:c>
      <x:c r="F142" s="40" t="str">
        <x:v>Energy</x:v>
      </x:c>
      <x:c r="G142" s="40" t="str">
        <x:v>E001</x:v>
      </x:c>
      <x:c r="H142" s="40" t="str">
        <x:v>Industry comparator / discovery seed</x:v>
      </x:c>
      <x:c r="I142" s="40" t="str">
        <x:v>Not individually underwritten</x:v>
      </x:c>
      <x:c r="J142" s="40" t="str">
        <x:v>Not refreshed; verify exchange, corporate actions, float and tradability</x:v>
      </x:c>
      <x:c r="K142" s="40" t="str">
        <x:v>OPEN: listing; security identity; float; liquidity; size; corporate actions</x:v>
      </x:c>
      <x:c r="L142" s="40" t="str"/>
      <x:c r="M142" s="40"/>
      <x:c r="N142" s="40"/>
    </x:row>
    <x:row r="143" ht="75" customHeight="1">
      <x:c r="A143" s="40" t="str">
        <x:v>HPE</x:v>
      </x:c>
      <x:c r="B143" s="40" t="str">
        <x:v>Hewlett Packard Enterprise</x:v>
      </x:c>
      <x:c r="C143" s="40" t="str">
        <x:v>HPE</x:v>
      </x:c>
      <x:c r="D143" s="40" t="str">
        <x:v>US/ADR</x:v>
      </x:c>
      <x:c r="E143" s="40" t="str">
        <x:v>Information Technology</x:v>
      </x:c>
      <x:c r="F143" s="40" t="str">
        <x:v>Information Technology</x:v>
      </x:c>
      <x:c r="G143" s="40" t="str">
        <x:v>E108</x:v>
      </x:c>
      <x:c r="H143" s="40" t="str">
        <x:v>Industry comparator / discovery seed</x:v>
      </x:c>
      <x:c r="I143" s="40" t="str">
        <x:v>Not individually underwritten</x:v>
      </x:c>
      <x:c r="J143" s="40" t="str">
        <x:v>Not refreshed; verify exchange, corporate actions, float and tradability</x:v>
      </x:c>
      <x:c r="K143" s="40" t="str">
        <x:v>OPEN: listing; security identity; float; liquidity; size; corporate actions</x:v>
      </x:c>
      <x:c r="L143" s="40" t="str"/>
      <x:c r="M143" s="40"/>
      <x:c r="N143" s="40"/>
    </x:row>
    <x:row r="144" ht="75" customHeight="1">
      <x:c r="A144" s="40" t="str">
        <x:v>HPS.A@CA</x:v>
      </x:c>
      <x:c r="B144" s="40" t="str">
        <x:v>Hammond Power Solutions</x:v>
      </x:c>
      <x:c r="C144" s="40" t="str">
        <x:v>HPS.A</x:v>
      </x:c>
      <x:c r="D144" s="40" t="str">
        <x:v>CA</x:v>
      </x:c>
      <x:c r="E144" s="40" t="str">
        <x:v>Industrials</x:v>
      </x:c>
      <x:c r="F144" s="40" t="str">
        <x:v>Industrials</x:v>
      </x:c>
      <x:c r="G144" s="40" t="str">
        <x:v>E027</x:v>
      </x:c>
      <x:c r="H144" s="40" t="str">
        <x:v>Current-report research candidate</x:v>
      </x:c>
      <x:c r="I144" s="40" t="str">
        <x:v>Selected current-report facts checked; full underwriting incomplete</x:v>
      </x:c>
      <x:c r="J144" s="40" t="str">
        <x:v>Ticker in issuer materials; exchange, corporate actions, liquidity and eligibility still require refresh</x:v>
      </x:c>
      <x:c r="K144" s="40" t="str">
        <x:v>OPEN: listing; security identity; float; liquidity; size; corporate actions</x:v>
      </x:c>
      <x:c r="L144" s="40" t="str">
        <x:v>HPS26</x:v>
      </x:c>
      <x:c r="M144" s="40"/>
      <x:c r="N144" s="40"/>
    </x:row>
    <x:row r="145" ht="75" customHeight="1">
      <x:c r="A145" s="40" t="str">
        <x:v>HST</x:v>
      </x:c>
      <x:c r="B145" s="40" t="str">
        <x:v>Host Hotels &amp; Resorts</x:v>
      </x:c>
      <x:c r="C145" s="40" t="str">
        <x:v>HST</x:v>
      </x:c>
      <x:c r="D145" s="40" t="str">
        <x:v>US/ADR</x:v>
      </x:c>
      <x:c r="E145" s="40" t="str">
        <x:v>Real Estate</x:v>
      </x:c>
      <x:c r="F145" s="40" t="str">
        <x:v>Real Estate</x:v>
      </x:c>
      <x:c r="G145" s="40" t="str">
        <x:v>E136</x:v>
      </x:c>
      <x:c r="H145" s="40" t="str">
        <x:v>Industry comparator / discovery seed</x:v>
      </x:c>
      <x:c r="I145" s="40" t="str">
        <x:v>Not individually underwritten</x:v>
      </x:c>
      <x:c r="J145" s="40" t="str">
        <x:v>Not refreshed; verify exchange, corporate actions, float and tradability</x:v>
      </x:c>
      <x:c r="K145" s="40" t="str">
        <x:v>OPEN: listing; security identity; float; liquidity; size; corporate actions</x:v>
      </x:c>
      <x:c r="L145" s="40" t="str"/>
      <x:c r="M145" s="40"/>
      <x:c r="N145" s="40"/>
    </x:row>
    <x:row r="146" ht="75" customHeight="1">
      <x:c r="A146" s="40" t="str">
        <x:v>HSY</x:v>
      </x:c>
      <x:c r="B146" s="40" t="str">
        <x:v>Hershey</x:v>
      </x:c>
      <x:c r="C146" s="40" t="str">
        <x:v>HSY</x:v>
      </x:c>
      <x:c r="D146" s="40" t="str">
        <x:v>US/ADR</x:v>
      </x:c>
      <x:c r="E146" s="40" t="str">
        <x:v>Consumer Staples</x:v>
      </x:c>
      <x:c r="F146" s="40" t="str">
        <x:v>Consumer Staples</x:v>
      </x:c>
      <x:c r="G146" s="40" t="str">
        <x:v>E069</x:v>
      </x:c>
      <x:c r="H146" s="40" t="str">
        <x:v>Industry comparator / discovery seed</x:v>
      </x:c>
      <x:c r="I146" s="40" t="str">
        <x:v>Not individually underwritten</x:v>
      </x:c>
      <x:c r="J146" s="40" t="str">
        <x:v>Not refreshed; verify exchange, corporate actions, float and tradability</x:v>
      </x:c>
      <x:c r="K146" s="40" t="str">
        <x:v>OPEN: listing; security identity; float; liquidity; size; corporate actions</x:v>
      </x:c>
      <x:c r="L146" s="40" t="str"/>
      <x:c r="M146" s="40"/>
      <x:c r="N146" s="40"/>
    </x:row>
    <x:row r="147" ht="75" customHeight="1">
      <x:c r="A147" s="40" t="str">
        <x:v>HUBB</x:v>
      </x:c>
      <x:c r="B147" s="40" t="str">
        <x:v>Hubbell</x:v>
      </x:c>
      <x:c r="C147" s="40" t="str">
        <x:v>HUBB</x:v>
      </x:c>
      <x:c r="D147" s="40" t="str">
        <x:v>US/ADR</x:v>
      </x:c>
      <x:c r="E147" s="40" t="str">
        <x:v>Industrials</x:v>
      </x:c>
      <x:c r="F147" s="40" t="str">
        <x:v>Industrials</x:v>
      </x:c>
      <x:c r="G147" s="40" t="str">
        <x:v>E028</x:v>
      </x:c>
      <x:c r="H147" s="40" t="str">
        <x:v>Industry comparator / discovery seed</x:v>
      </x:c>
      <x:c r="I147" s="40" t="str">
        <x:v>Not individually underwritten</x:v>
      </x:c>
      <x:c r="J147" s="40" t="str">
        <x:v>Not refreshed; verify exchange, corporate actions, float and tradability</x:v>
      </x:c>
      <x:c r="K147" s="40" t="str">
        <x:v>OPEN: listing; security identity; float; liquidity; size; corporate actions</x:v>
      </x:c>
      <x:c r="L147" s="40" t="str"/>
      <x:c r="M147" s="40"/>
      <x:c r="N147" s="40"/>
    </x:row>
    <x:row r="148" ht="75" customHeight="1">
      <x:c r="A148" s="40" t="str">
        <x:v>HWM</x:v>
      </x:c>
      <x:c r="B148" s="40" t="str">
        <x:v>Howmet Aerospace</x:v>
      </x:c>
      <x:c r="C148" s="40" t="str">
        <x:v>HWM</x:v>
      </x:c>
      <x:c r="D148" s="40" t="str">
        <x:v>US/ADR</x:v>
      </x:c>
      <x:c r="E148" s="40" t="str">
        <x:v>Industrials</x:v>
      </x:c>
      <x:c r="F148" s="40" t="str">
        <x:v>Industrials</x:v>
      </x:c>
      <x:c r="G148" s="40" t="str">
        <x:v>E020</x:v>
      </x:c>
      <x:c r="H148" s="40" t="str">
        <x:v>Industry comparator / discovery seed</x:v>
      </x:c>
      <x:c r="I148" s="40" t="str">
        <x:v>Not individually underwritten</x:v>
      </x:c>
      <x:c r="J148" s="40" t="str">
        <x:v>Not refreshed; verify exchange, corporate actions, float and tradability</x:v>
      </x:c>
      <x:c r="K148" s="40" t="str">
        <x:v>OPEN: listing; security identity; float; liquidity; size; corporate actions</x:v>
      </x:c>
      <x:c r="L148" s="40" t="str"/>
      <x:c r="M148" s="40"/>
      <x:c r="N148" s="40"/>
    </x:row>
    <x:row r="149" ht="75" customHeight="1">
      <x:c r="A149" s="40" t="str">
        <x:v>IBKR</x:v>
      </x:c>
      <x:c r="B149" s="40" t="str">
        <x:v>Interactive Brokers</x:v>
      </x:c>
      <x:c r="C149" s="40" t="str">
        <x:v>IBKR</x:v>
      </x:c>
      <x:c r="D149" s="40" t="str">
        <x:v>US/ADR</x:v>
      </x:c>
      <x:c r="E149" s="40" t="str">
        <x:v>Financials</x:v>
      </x:c>
      <x:c r="F149" s="40" t="str">
        <x:v>Financials</x:v>
      </x:c>
      <x:c r="G149" s="40" t="str">
        <x:v>E094</x:v>
      </x:c>
      <x:c r="H149" s="40" t="str">
        <x:v>Industry comparator / discovery seed</x:v>
      </x:c>
      <x:c r="I149" s="40" t="str">
        <x:v>Not individually underwritten</x:v>
      </x:c>
      <x:c r="J149" s="40" t="str">
        <x:v>Not refreshed; verify exchange, corporate actions, float and tradability</x:v>
      </x:c>
      <x:c r="K149" s="40" t="str">
        <x:v>OPEN: listing; security identity; float; liquidity; size; corporate actions</x:v>
      </x:c>
      <x:c r="L149" s="40" t="str"/>
      <x:c r="M149" s="40"/>
      <x:c r="N149" s="40"/>
    </x:row>
    <x:row r="150" ht="75" customHeight="1">
      <x:c r="A150" s="40" t="str">
        <x:v>ICE</x:v>
      </x:c>
      <x:c r="B150" s="40" t="str">
        <x:v>Intercontinental Exchange</x:v>
      </x:c>
      <x:c r="C150" s="40" t="str">
        <x:v>ICE</x:v>
      </x:c>
      <x:c r="D150" s="40" t="str">
        <x:v>US/ADR</x:v>
      </x:c>
      <x:c r="E150" s="40" t="str">
        <x:v>Financials</x:v>
      </x:c>
      <x:c r="F150" s="40" t="str">
        <x:v>Financials</x:v>
      </x:c>
      <x:c r="G150" s="40" t="str">
        <x:v>E092</x:v>
      </x:c>
      <x:c r="H150" s="40" t="str">
        <x:v>Industry comparator / discovery seed</x:v>
      </x:c>
      <x:c r="I150" s="40" t="str">
        <x:v>Not individually underwritten</x:v>
      </x:c>
      <x:c r="J150" s="40" t="str">
        <x:v>Not refreshed; verify exchange, corporate actions, float and tradability</x:v>
      </x:c>
      <x:c r="K150" s="40" t="str">
        <x:v>OPEN: listing; security identity; float; liquidity; size; corporate actions</x:v>
      </x:c>
      <x:c r="L150" s="40" t="str"/>
      <x:c r="M150" s="40"/>
      <x:c r="N150" s="40"/>
    </x:row>
    <x:row r="151" ht="75" customHeight="1">
      <x:c r="A151" s="40" t="str">
        <x:v>IESC</x:v>
      </x:c>
      <x:c r="B151" s="40" t="str">
        <x:v>IES Holdings</x:v>
      </x:c>
      <x:c r="C151" s="40" t="str">
        <x:v>IESC</x:v>
      </x:c>
      <x:c r="D151" s="40" t="str">
        <x:v>US/ADR</x:v>
      </x:c>
      <x:c r="E151" s="40" t="str">
        <x:v>Industrials</x:v>
      </x:c>
      <x:c r="F151" s="40" t="str">
        <x:v>Industrials</x:v>
      </x:c>
      <x:c r="G151" s="40" t="str">
        <x:v>E025</x:v>
      </x:c>
      <x:c r="H151" s="40" t="str">
        <x:v>Current-report research candidate</x:v>
      </x:c>
      <x:c r="I151" s="40" t="str">
        <x:v>Selected current-report facts checked; full underwriting incomplete</x:v>
      </x:c>
      <x:c r="J151" s="40" t="str">
        <x:v>Ticker in issuer materials; exchange, corporate actions, liquidity and eligibility still require refresh</x:v>
      </x:c>
      <x:c r="K151" s="40" t="str">
        <x:v>OPEN: listing; security identity; float; liquidity; size; corporate actions</x:v>
      </x:c>
      <x:c r="L151" s="40" t="str">
        <x:v>IESC26</x:v>
      </x:c>
      <x:c r="M151" s="40"/>
      <x:c r="N151" s="40"/>
    </x:row>
    <x:row r="152" ht="75" customHeight="1">
      <x:c r="A152" s="40" t="str">
        <x:v>IEX</x:v>
      </x:c>
      <x:c r="B152" s="40" t="str">
        <x:v>IDEX</x:v>
      </x:c>
      <x:c r="C152" s="40" t="str">
        <x:v>IEX</x:v>
      </x:c>
      <x:c r="D152" s="40" t="str">
        <x:v>US/ADR</x:v>
      </x:c>
      <x:c r="E152" s="40" t="str">
        <x:v>Industrials</x:v>
      </x:c>
      <x:c r="F152" s="40" t="str">
        <x:v>Industrials</x:v>
      </x:c>
      <x:c r="G152" s="40" t="str">
        <x:v>E031</x:v>
      </x:c>
      <x:c r="H152" s="40" t="str">
        <x:v>Industry comparator / discovery seed</x:v>
      </x:c>
      <x:c r="I152" s="40" t="str">
        <x:v>Not individually underwritten</x:v>
      </x:c>
      <x:c r="J152" s="40" t="str">
        <x:v>Not refreshed; verify exchange, corporate actions, float and tradability</x:v>
      </x:c>
      <x:c r="K152" s="40" t="str">
        <x:v>OPEN: listing; security identity; float; liquidity; size; corporate actions</x:v>
      </x:c>
      <x:c r="L152" s="40" t="str"/>
      <x:c r="M152" s="40"/>
      <x:c r="N152" s="40"/>
    </x:row>
    <x:row r="153" ht="75" customHeight="1">
      <x:c r="A153" s="40" t="str">
        <x:v>INVH</x:v>
      </x:c>
      <x:c r="B153" s="40" t="str">
        <x:v>Invitation Homes</x:v>
      </x:c>
      <x:c r="C153" s="40" t="str">
        <x:v>INVH</x:v>
      </x:c>
      <x:c r="D153" s="40" t="str">
        <x:v>US/ADR</x:v>
      </x:c>
      <x:c r="E153" s="40" t="str">
        <x:v>Real Estate</x:v>
      </x:c>
      <x:c r="F153" s="40" t="str">
        <x:v>Real Estate</x:v>
      </x:c>
      <x:c r="G153" s="40" t="str">
        <x:v>E140</x:v>
      </x:c>
      <x:c r="H153" s="40" t="str">
        <x:v>Industry comparator / discovery seed</x:v>
      </x:c>
      <x:c r="I153" s="40" t="str">
        <x:v>Not individually underwritten</x:v>
      </x:c>
      <x:c r="J153" s="40" t="str">
        <x:v>Not refreshed; verify exchange, corporate actions, float and tradability</x:v>
      </x:c>
      <x:c r="K153" s="40" t="str">
        <x:v>OPEN: listing; security identity; float; liquidity; size; corporate actions</x:v>
      </x:c>
      <x:c r="L153" s="40" t="str"/>
      <x:c r="M153" s="40"/>
      <x:c r="N153" s="40"/>
    </x:row>
    <x:row r="154" ht="75" customHeight="1">
      <x:c r="A154" s="40" t="str">
        <x:v>IOSP</x:v>
      </x:c>
      <x:c r="B154" s="40" t="str">
        <x:v>Innospec</x:v>
      </x:c>
      <x:c r="C154" s="40" t="str">
        <x:v>IOSP</x:v>
      </x:c>
      <x:c r="D154" s="40" t="str">
        <x:v>US/ADR</x:v>
      </x:c>
      <x:c r="E154" s="40" t="str">
        <x:v>Materials</x:v>
      </x:c>
      <x:c r="F154" s="40" t="str">
        <x:v>Materials</x:v>
      </x:c>
      <x:c r="G154" s="40" t="str">
        <x:v>E009</x:v>
      </x:c>
      <x:c r="H154" s="40" t="str">
        <x:v>Current-report research candidate</x:v>
      </x:c>
      <x:c r="I154" s="40" t="str">
        <x:v>Selected current-report facts checked; full underwriting incomplete</x:v>
      </x:c>
      <x:c r="J154" s="40" t="str">
        <x:v>Ticker in issuer materials; exchange, corporate actions, liquidity and eligibility still require refresh</x:v>
      </x:c>
      <x:c r="K154" s="40" t="str">
        <x:v>OPEN: listing; security identity; float; liquidity; size; corporate actions</x:v>
      </x:c>
      <x:c r="L154" s="40" t="str">
        <x:v>IOSP26</x:v>
      </x:c>
      <x:c r="M154" s="40"/>
      <x:c r="N154" s="40"/>
    </x:row>
    <x:row r="155" ht="75" customHeight="1">
      <x:c r="A155" s="40" t="str">
        <x:v>IP</x:v>
      </x:c>
      <x:c r="B155" s="40" t="str">
        <x:v>International Paper</x:v>
      </x:c>
      <x:c r="C155" s="40" t="str">
        <x:v>IP</x:v>
      </x:c>
      <x:c r="D155" s="40" t="str">
        <x:v>US/ADR</x:v>
      </x:c>
      <x:c r="E155" s="40" t="str">
        <x:v>Materials</x:v>
      </x:c>
      <x:c r="F155" s="40" t="str">
        <x:v>Materials</x:v>
      </x:c>
      <x:c r="G155" s="40" t="str">
        <x:v>E014</x:v>
      </x:c>
      <x:c r="H155" s="40" t="str">
        <x:v>Industry comparator / discovery seed</x:v>
      </x:c>
      <x:c r="I155" s="40" t="str">
        <x:v>Not individually underwritten</x:v>
      </x:c>
      <x:c r="J155" s="40" t="str">
        <x:v>Not refreshed; verify exchange, corporate actions, float and tradability</x:v>
      </x:c>
      <x:c r="K155" s="40" t="str">
        <x:v>OPEN: listing; security identity; float; liquidity; size; corporate actions</x:v>
      </x:c>
      <x:c r="L155" s="40" t="str"/>
      <x:c r="M155" s="40"/>
      <x:c r="N155" s="40"/>
    </x:row>
    <x:row r="156" ht="75" customHeight="1">
      <x:c r="A156" s="40" t="str">
        <x:v>IQV</x:v>
      </x:c>
      <x:c r="B156" s="40" t="str">
        <x:v>IQVIA</x:v>
      </x:c>
      <x:c r="C156" s="40" t="str">
        <x:v>IQV</x:v>
      </x:c>
      <x:c r="D156" s="40" t="str">
        <x:v>US/ADR</x:v>
      </x:c>
      <x:c r="E156" s="40" t="str">
        <x:v>Health Care</x:v>
      </x:c>
      <x:c r="F156" s="40" t="str">
        <x:v>Health Care</x:v>
      </x:c>
      <x:c r="G156" s="40" t="str">
        <x:v>E084</x:v>
      </x:c>
      <x:c r="H156" s="40" t="str">
        <x:v>Industry comparator / discovery seed</x:v>
      </x:c>
      <x:c r="I156" s="40" t="str">
        <x:v>Not individually underwritten</x:v>
      </x:c>
      <x:c r="J156" s="40" t="str">
        <x:v>Not refreshed; verify exchange, corporate actions, float and tradability</x:v>
      </x:c>
      <x:c r="K156" s="40" t="str">
        <x:v>OPEN: listing; security identity; float; liquidity; size; corporate actions</x:v>
      </x:c>
      <x:c r="L156" s="40" t="str"/>
      <x:c r="M156" s="40"/>
      <x:c r="N156" s="40"/>
    </x:row>
    <x:row r="157" ht="75" customHeight="1">
      <x:c r="A157" s="40" t="str">
        <x:v>IRT</x:v>
      </x:c>
      <x:c r="B157" s="40" t="str">
        <x:v>Independence Realty Trust</x:v>
      </x:c>
      <x:c r="C157" s="40" t="str">
        <x:v>IRT</x:v>
      </x:c>
      <x:c r="D157" s="40" t="str">
        <x:v>US/ADR</x:v>
      </x:c>
      <x:c r="E157" s="40" t="str">
        <x:v>Real Estate</x:v>
      </x:c>
      <x:c r="F157" s="40" t="str">
        <x:v>Real Estate</x:v>
      </x:c>
      <x:c r="G157" s="40" t="str">
        <x:v>E139</x:v>
      </x:c>
      <x:c r="H157" s="40" t="str">
        <x:v>Current-report research candidate</x:v>
      </x:c>
      <x:c r="I157" s="40" t="str">
        <x:v>Selected current-report facts checked; full underwriting incomplete</x:v>
      </x:c>
      <x:c r="J157" s="40" t="str">
        <x:v>Ticker in issuer materials; exchange, corporate actions, liquidity and eligibility still require refresh</x:v>
      </x:c>
      <x:c r="K157" s="40" t="str">
        <x:v>OPEN: listing; security identity; float; liquidity; size; corporate actions</x:v>
      </x:c>
      <x:c r="L157" s="40" t="str">
        <x:v>IRT26</x:v>
      </x:c>
      <x:c r="M157" s="40"/>
      <x:c r="N157" s="40"/>
    </x:row>
    <x:row r="158" ht="75" customHeight="1">
      <x:c r="A158" s="40" t="str">
        <x:v>ISRG</x:v>
      </x:c>
      <x:c r="B158" s="40" t="str">
        <x:v>Intuitive Surgical</x:v>
      </x:c>
      <x:c r="C158" s="40" t="str">
        <x:v>ISRG</x:v>
      </x:c>
      <x:c r="D158" s="40" t="str">
        <x:v>US/ADR</x:v>
      </x:c>
      <x:c r="E158" s="40" t="str">
        <x:v>Health Care</x:v>
      </x:c>
      <x:c r="F158" s="40" t="str">
        <x:v>Health Care</x:v>
      </x:c>
      <x:c r="G158" s="40" t="str">
        <x:v>E075</x:v>
      </x:c>
      <x:c r="H158" s="40" t="str">
        <x:v>Industry comparator / discovery seed</x:v>
      </x:c>
      <x:c r="I158" s="40" t="str">
        <x:v>Not individually underwritten</x:v>
      </x:c>
      <x:c r="J158" s="40" t="str">
        <x:v>Not refreshed; verify exchange, corporate actions, float and tradability</x:v>
      </x:c>
      <x:c r="K158" s="40" t="str">
        <x:v>OPEN: listing; security identity; float; liquidity; size; corporate actions</x:v>
      </x:c>
      <x:c r="L158" s="40" t="str"/>
      <x:c r="M158" s="40"/>
      <x:c r="N158" s="40"/>
    </x:row>
    <x:row r="159" ht="75" customHeight="1">
      <x:c r="A159" s="40" t="str">
        <x:v>ITT</x:v>
      </x:c>
      <x:c r="B159" s="40" t="str">
        <x:v>ITT</x:v>
      </x:c>
      <x:c r="C159" s="40" t="str">
        <x:v>ITT</x:v>
      </x:c>
      <x:c r="D159" s="40" t="str">
        <x:v>US/ADR</x:v>
      </x:c>
      <x:c r="E159" s="40" t="str">
        <x:v>Industrials</x:v>
      </x:c>
      <x:c r="F159" s="40" t="str">
        <x:v>Industrials</x:v>
      </x:c>
      <x:c r="G159" s="40" t="str">
        <x:v>E031</x:v>
      </x:c>
      <x:c r="H159" s="40" t="str">
        <x:v>Industry comparator / discovery seed</x:v>
      </x:c>
      <x:c r="I159" s="40" t="str">
        <x:v>Not individually underwritten</x:v>
      </x:c>
      <x:c r="J159" s="40" t="str">
        <x:v>Not refreshed; verify exchange, corporate actions, float and tradability</x:v>
      </x:c>
      <x:c r="K159" s="40" t="str">
        <x:v>OPEN: listing; security identity; float; liquidity; size; corporate actions</x:v>
      </x:c>
      <x:c r="L159" s="40" t="str"/>
      <x:c r="M159" s="40"/>
      <x:c r="N159" s="40"/>
    </x:row>
    <x:row r="160" ht="75" customHeight="1">
      <x:c r="A160" s="40" t="str">
        <x:v>ITW</x:v>
      </x:c>
      <x:c r="B160" s="40" t="str">
        <x:v>Illinois Tool Works</x:v>
      </x:c>
      <x:c r="C160" s="40" t="str">
        <x:v>ITW</x:v>
      </x:c>
      <x:c r="D160" s="40" t="str">
        <x:v>US/ADR</x:v>
      </x:c>
      <x:c r="E160" s="40" t="str">
        <x:v>Industrials</x:v>
      </x:c>
      <x:c r="F160" s="40" t="str">
        <x:v>Industrials</x:v>
      </x:c>
      <x:c r="G160" s="40" t="str">
        <x:v>E034</x:v>
      </x:c>
      <x:c r="H160" s="40" t="str">
        <x:v>Industry comparator / discovery seed</x:v>
      </x:c>
      <x:c r="I160" s="40" t="str">
        <x:v>Not individually underwritten</x:v>
      </x:c>
      <x:c r="J160" s="40" t="str">
        <x:v>Not refreshed; verify exchange, corporate actions, float and tradability</x:v>
      </x:c>
      <x:c r="K160" s="40" t="str">
        <x:v>OPEN: listing; security identity; float; liquidity; size; corporate actions</x:v>
      </x:c>
      <x:c r="L160" s="40" t="str"/>
      <x:c r="M160" s="40"/>
      <x:c r="N160" s="40"/>
    </x:row>
    <x:row r="161" ht="75" customHeight="1">
      <x:c r="A161" s="40" t="str">
        <x:v>JBL</x:v>
      </x:c>
      <x:c r="B161" s="40" t="str">
        <x:v>Jabil</x:v>
      </x:c>
      <x:c r="C161" s="40" t="str">
        <x:v>JBL</x:v>
      </x:c>
      <x:c r="D161" s="40" t="str">
        <x:v>US/ADR</x:v>
      </x:c>
      <x:c r="E161" s="40" t="str">
        <x:v>Information Technology</x:v>
      </x:c>
      <x:c r="F161" s="40" t="str">
        <x:v>Information Technology</x:v>
      </x:c>
      <x:c r="G161" s="40" t="str">
        <x:v>E112</x:v>
      </x:c>
      <x:c r="H161" s="40" t="str">
        <x:v>Industry comparator / discovery seed</x:v>
      </x:c>
      <x:c r="I161" s="40" t="str">
        <x:v>Not individually underwritten</x:v>
      </x:c>
      <x:c r="J161" s="40" t="str">
        <x:v>Not refreshed; verify exchange, corporate actions, float and tradability</x:v>
      </x:c>
      <x:c r="K161" s="40" t="str">
        <x:v>OPEN: listing; security identity; float; liquidity; size; corporate actions</x:v>
      </x:c>
      <x:c r="L161" s="40" t="str"/>
      <x:c r="M161" s="40"/>
      <x:c r="N161" s="40"/>
    </x:row>
    <x:row r="162" ht="75" customHeight="1">
      <x:c r="A162" s="40" t="str">
        <x:v>JLL</x:v>
      </x:c>
      <x:c r="B162" s="40" t="str">
        <x:v>Jones Lang LaSalle</x:v>
      </x:c>
      <x:c r="C162" s="40" t="str">
        <x:v>JLL</x:v>
      </x:c>
      <x:c r="D162" s="40" t="str">
        <x:v>US/ADR</x:v>
      </x:c>
      <x:c r="E162" s="40" t="str">
        <x:v>Real Estate</x:v>
      </x:c>
      <x:c r="F162" s="40" t="str">
        <x:v>Real Estate</x:v>
      </x:c>
      <x:c r="G162" s="40" t="str">
        <x:v>E147</x:v>
      </x:c>
      <x:c r="H162" s="40" t="str">
        <x:v>Industry comparator / discovery seed</x:v>
      </x:c>
      <x:c r="I162" s="40" t="str">
        <x:v>Not individually underwritten</x:v>
      </x:c>
      <x:c r="J162" s="40" t="str">
        <x:v>Not refreshed; verify exchange, corporate actions, float and tradability</x:v>
      </x:c>
      <x:c r="K162" s="40" t="str">
        <x:v>OPEN: listing; security identity; float; liquidity; size; corporate actions</x:v>
      </x:c>
      <x:c r="L162" s="40" t="str"/>
      <x:c r="M162" s="40"/>
      <x:c r="N162" s="40"/>
    </x:row>
    <x:row r="163" ht="75" customHeight="1">
      <x:c r="A163" s="40" t="str">
        <x:v>JOE</x:v>
      </x:c>
      <x:c r="B163" s="40" t="str">
        <x:v>St. Joe</x:v>
      </x:c>
      <x:c r="C163" s="40" t="str">
        <x:v>JOE</x:v>
      </x:c>
      <x:c r="D163" s="40" t="str">
        <x:v>US/ADR</x:v>
      </x:c>
      <x:c r="E163" s="40" t="str">
        <x:v>Real Estate</x:v>
      </x:c>
      <x:c r="F163" s="40" t="str">
        <x:v>Real Estate</x:v>
      </x:c>
      <x:c r="G163" s="40" t="str">
        <x:v>E148</x:v>
      </x:c>
      <x:c r="H163" s="40" t="str">
        <x:v>Industry comparator / discovery seed</x:v>
      </x:c>
      <x:c r="I163" s="40" t="str">
        <x:v>Not individually underwritten</x:v>
      </x:c>
      <x:c r="J163" s="40" t="str">
        <x:v>Not refreshed; verify exchange, corporate actions, float and tradability</x:v>
      </x:c>
      <x:c r="K163" s="40" t="str">
        <x:v>OPEN: listing; security identity; float; liquidity; size; corporate actions</x:v>
      </x:c>
      <x:c r="L163" s="40" t="str"/>
      <x:c r="M163" s="40"/>
      <x:c r="N163" s="40"/>
    </x:row>
    <x:row r="164" ht="75" customHeight="1">
      <x:c r="A164" s="40" t="str">
        <x:v>KD</x:v>
      </x:c>
      <x:c r="B164" s="40" t="str">
        <x:v>Kyndryl</x:v>
      </x:c>
      <x:c r="C164" s="40" t="str">
        <x:v>KD</x:v>
      </x:c>
      <x:c r="D164" s="40" t="str">
        <x:v>US/ADR</x:v>
      </x:c>
      <x:c r="E164" s="40" t="str">
        <x:v>Information Technology</x:v>
      </x:c>
      <x:c r="F164" s="40" t="str">
        <x:v>Information Technology</x:v>
      </x:c>
      <x:c r="G164" s="40" t="str">
        <x:v>E101</x:v>
      </x:c>
      <x:c r="H164" s="40" t="str">
        <x:v>Industry comparator / discovery seed</x:v>
      </x:c>
      <x:c r="I164" s="40" t="str">
        <x:v>Not individually underwritten</x:v>
      </x:c>
      <x:c r="J164" s="40" t="str">
        <x:v>Not refreshed; verify exchange, corporate actions, float and tradability</x:v>
      </x:c>
      <x:c r="K164" s="40" t="str">
        <x:v>OPEN: listing; security identity; float; liquidity; size; corporate actions</x:v>
      </x:c>
      <x:c r="L164" s="40" t="str"/>
      <x:c r="M164" s="40"/>
      <x:c r="N164" s="40"/>
    </x:row>
    <x:row r="165" ht="75" customHeight="1">
      <x:c r="A165" s="40" t="str">
        <x:v>KEYS</x:v>
      </x:c>
      <x:c r="B165" s="40" t="str">
        <x:v>Keysight Technologies</x:v>
      </x:c>
      <x:c r="C165" s="40" t="str">
        <x:v>KEYS</x:v>
      </x:c>
      <x:c r="D165" s="40" t="str">
        <x:v>US/ADR</x:v>
      </x:c>
      <x:c r="E165" s="40" t="str">
        <x:v>Information Technology</x:v>
      </x:c>
      <x:c r="F165" s="40" t="str">
        <x:v>Information Technology</x:v>
      </x:c>
      <x:c r="G165" s="40" t="str">
        <x:v>E111</x:v>
      </x:c>
      <x:c r="H165" s="40" t="str">
        <x:v>Industry comparator / discovery seed</x:v>
      </x:c>
      <x:c r="I165" s="40" t="str">
        <x:v>Not individually underwritten</x:v>
      </x:c>
      <x:c r="J165" s="40" t="str">
        <x:v>Not refreshed; verify exchange, corporate actions, float and tradability</x:v>
      </x:c>
      <x:c r="K165" s="40" t="str">
        <x:v>OPEN: listing; security identity; float; liquidity; size; corporate actions</x:v>
      </x:c>
      <x:c r="L165" s="40" t="str"/>
      <x:c r="M165" s="40"/>
      <x:c r="N165" s="40"/>
    </x:row>
    <x:row r="166" ht="75" customHeight="1">
      <x:c r="A166" s="40" t="str">
        <x:v>KFY</x:v>
      </x:c>
      <x:c r="B166" s="40" t="str">
        <x:v>Korn Ferry</x:v>
      </x:c>
      <x:c r="C166" s="40" t="str">
        <x:v>KFY</x:v>
      </x:c>
      <x:c r="D166" s="40" t="str">
        <x:v>US/ADR</x:v>
      </x:c>
      <x:c r="E166" s="40" t="str">
        <x:v>Industrials</x:v>
      </x:c>
      <x:c r="F166" s="40" t="str">
        <x:v>Industrials</x:v>
      </x:c>
      <x:c r="G166" s="40" t="str">
        <x:v>E037</x:v>
      </x:c>
      <x:c r="H166" s="40" t="str">
        <x:v>Industry comparator / discovery seed</x:v>
      </x:c>
      <x:c r="I166" s="40" t="str">
        <x:v>Not individually underwritten</x:v>
      </x:c>
      <x:c r="J166" s="40" t="str">
        <x:v>Not refreshed; verify exchange, corporate actions, float and tradability</x:v>
      </x:c>
      <x:c r="K166" s="40" t="str">
        <x:v>OPEN: listing; security identity; float; liquidity; size; corporate actions</x:v>
      </x:c>
      <x:c r="L166" s="40" t="str"/>
      <x:c r="M166" s="40"/>
      <x:c r="N166" s="40"/>
    </x:row>
    <x:row r="167" ht="75" customHeight="1">
      <x:c r="A167" s="40" t="str">
        <x:v>KIM</x:v>
      </x:c>
      <x:c r="B167" s="40" t="str">
        <x:v>Kimco Realty</x:v>
      </x:c>
      <x:c r="C167" s="40" t="str">
        <x:v>KIM</x:v>
      </x:c>
      <x:c r="D167" s="40" t="str">
        <x:v>US/ADR</x:v>
      </x:c>
      <x:c r="E167" s="40" t="str">
        <x:v>Real Estate</x:v>
      </x:c>
      <x:c r="F167" s="40" t="str">
        <x:v>Real Estate</x:v>
      </x:c>
      <x:c r="G167" s="40" t="str">
        <x:v>E141</x:v>
      </x:c>
      <x:c r="H167" s="40" t="str">
        <x:v>Industry comparator / discovery seed</x:v>
      </x:c>
      <x:c r="I167" s="40" t="str">
        <x:v>Not individually underwritten</x:v>
      </x:c>
      <x:c r="J167" s="40" t="str">
        <x:v>Not refreshed; verify exchange, corporate actions, float and tradability</x:v>
      </x:c>
      <x:c r="K167" s="40" t="str">
        <x:v>OPEN: listing; security identity; float; liquidity; size; corporate actions</x:v>
      </x:c>
      <x:c r="L167" s="40" t="str"/>
      <x:c r="M167" s="40"/>
      <x:c r="N167" s="40"/>
    </x:row>
    <x:row r="168" ht="75" customHeight="1">
      <x:c r="A168" s="40" t="str">
        <x:v>KLAC</x:v>
      </x:c>
      <x:c r="B168" s="40" t="str">
        <x:v>KLA</x:v>
      </x:c>
      <x:c r="C168" s="40" t="str">
        <x:v>KLAC</x:v>
      </x:c>
      <x:c r="D168" s="40" t="str">
        <x:v>US/ADR</x:v>
      </x:c>
      <x:c r="E168" s="40" t="str">
        <x:v>Information Technology</x:v>
      </x:c>
      <x:c r="F168" s="40" t="str">
        <x:v>Information Technology</x:v>
      </x:c>
      <x:c r="G168" s="40" t="str">
        <x:v>E118</x:v>
      </x:c>
      <x:c r="H168" s="40" t="str">
        <x:v>Industry comparator / discovery seed</x:v>
      </x:c>
      <x:c r="I168" s="40" t="str">
        <x:v>Not individually underwritten</x:v>
      </x:c>
      <x:c r="J168" s="40" t="str">
        <x:v>Not refreshed; verify exchange, corporate actions, float and tradability</x:v>
      </x:c>
      <x:c r="K168" s="40" t="str">
        <x:v>OPEN: listing; security identity; float; liquidity; size; corporate actions</x:v>
      </x:c>
      <x:c r="L168" s="40" t="str"/>
      <x:c r="M168" s="40"/>
      <x:c r="N168" s="40"/>
    </x:row>
    <x:row r="169" ht="75" customHeight="1">
      <x:c r="A169" s="40" t="str">
        <x:v>KNSL</x:v>
      </x:c>
      <x:c r="B169" s="40" t="str">
        <x:v>Kinsale Capital</x:v>
      </x:c>
      <x:c r="C169" s="40" t="str">
        <x:v>KNSL</x:v>
      </x:c>
      <x:c r="D169" s="40" t="str">
        <x:v>US/ADR</x:v>
      </x:c>
      <x:c r="E169" s="40" t="str">
        <x:v>Financials</x:v>
      </x:c>
      <x:c r="F169" s="40" t="str">
        <x:v>Financials</x:v>
      </x:c>
      <x:c r="G169" s="40" t="str">
        <x:v>E097</x:v>
      </x:c>
      <x:c r="H169" s="40" t="str">
        <x:v>Current-report research candidate</x:v>
      </x:c>
      <x:c r="I169" s="40" t="str">
        <x:v>Selected current-report facts checked; full underwriting incomplete</x:v>
      </x:c>
      <x:c r="J169" s="40" t="str">
        <x:v>Ticker in issuer materials; exchange, corporate actions, liquidity and eligibility still require refresh</x:v>
      </x:c>
      <x:c r="K169" s="40" t="str">
        <x:v>OPEN: listing; security identity; float; liquidity; size; corporate actions</x:v>
      </x:c>
      <x:c r="L169" s="40" t="str">
        <x:v>KNSL26</x:v>
      </x:c>
      <x:c r="M169" s="40"/>
      <x:c r="N169" s="40"/>
    </x:row>
    <x:row r="170" ht="75" customHeight="1">
      <x:c r="A170" s="40" t="str">
        <x:v>KNX</x:v>
      </x:c>
      <x:c r="B170" s="40" t="str">
        <x:v>Knight-Swift</x:v>
      </x:c>
      <x:c r="C170" s="40" t="str">
        <x:v>KNX</x:v>
      </x:c>
      <x:c r="D170" s="40" t="str">
        <x:v>US/ADR</x:v>
      </x:c>
      <x:c r="E170" s="40" t="str">
        <x:v>Industrials</x:v>
      </x:c>
      <x:c r="F170" s="40" t="str">
        <x:v>Industrials</x:v>
      </x:c>
      <x:c r="G170" s="40" t="str">
        <x:v>E044</x:v>
      </x:c>
      <x:c r="H170" s="40" t="str">
        <x:v>Industry comparator / discovery seed</x:v>
      </x:c>
      <x:c r="I170" s="40" t="str">
        <x:v>Not individually underwritten</x:v>
      </x:c>
      <x:c r="J170" s="40" t="str">
        <x:v>Not refreshed; verify exchange, corporate actions, float and tradability</x:v>
      </x:c>
      <x:c r="K170" s="40" t="str">
        <x:v>OPEN: listing; security identity; float; liquidity; size; corporate actions</x:v>
      </x:c>
      <x:c r="L170" s="40" t="str"/>
      <x:c r="M170" s="40"/>
      <x:c r="N170" s="40"/>
    </x:row>
    <x:row r="171" ht="75" customHeight="1">
      <x:c r="A171" s="40" t="str">
        <x:v>KO</x:v>
      </x:c>
      <x:c r="B171" s="40" t="str">
        <x:v>Coca-Cola</x:v>
      </x:c>
      <x:c r="C171" s="40" t="str">
        <x:v>KO</x:v>
      </x:c>
      <x:c r="D171" s="40" t="str">
        <x:v>US/ADR</x:v>
      </x:c>
      <x:c r="E171" s="40" t="str">
        <x:v>Consumer Staples</x:v>
      </x:c>
      <x:c r="F171" s="40" t="str">
        <x:v>Consumer Staples</x:v>
      </x:c>
      <x:c r="G171" s="40" t="str">
        <x:v>E067</x:v>
      </x:c>
      <x:c r="H171" s="40" t="str">
        <x:v>Industry comparator / discovery seed</x:v>
      </x:c>
      <x:c r="I171" s="40" t="str">
        <x:v>Not individually underwritten</x:v>
      </x:c>
      <x:c r="J171" s="40" t="str">
        <x:v>Not refreshed; verify exchange, corporate actions, float and tradability</x:v>
      </x:c>
      <x:c r="K171" s="40" t="str">
        <x:v>OPEN: listing; security identity; float; liquidity; size; corporate actions</x:v>
      </x:c>
      <x:c r="L171" s="40" t="str"/>
      <x:c r="M171" s="40"/>
      <x:c r="N171" s="40"/>
    </x:row>
    <x:row r="172" ht="75" customHeight="1">
      <x:c r="A172" s="40" t="str">
        <x:v>KR</x:v>
      </x:c>
      <x:c r="B172" s="40" t="str">
        <x:v>Kroger</x:v>
      </x:c>
      <x:c r="C172" s="40" t="str">
        <x:v>KR</x:v>
      </x:c>
      <x:c r="D172" s="40" t="str">
        <x:v>US/ADR</x:v>
      </x:c>
      <x:c r="E172" s="40" t="str">
        <x:v>Consumer Staples</x:v>
      </x:c>
      <x:c r="F172" s="40" t="str">
        <x:v>Consumer Staples</x:v>
      </x:c>
      <x:c r="G172" s="40" t="str">
        <x:v>E065</x:v>
      </x:c>
      <x:c r="H172" s="40" t="str">
        <x:v>Industry comparator / discovery seed</x:v>
      </x:c>
      <x:c r="I172" s="40" t="str">
        <x:v>Not individually underwritten</x:v>
      </x:c>
      <x:c r="J172" s="40" t="str">
        <x:v>Not refreshed; verify exchange, corporate actions, float and tradability</x:v>
      </x:c>
      <x:c r="K172" s="40" t="str">
        <x:v>OPEN: listing; security identity; float; liquidity; size; corporate actions</x:v>
      </x:c>
      <x:c r="L172" s="40" t="str"/>
      <x:c r="M172" s="40"/>
      <x:c r="N172" s="40"/>
    </x:row>
    <x:row r="173" ht="75" customHeight="1">
      <x:c r="A173" s="40" t="str">
        <x:v>LIN</x:v>
      </x:c>
      <x:c r="B173" s="40" t="str">
        <x:v>Linde</x:v>
      </x:c>
      <x:c r="C173" s="40" t="str">
        <x:v>LIN</x:v>
      </x:c>
      <x:c r="D173" s="40" t="str">
        <x:v>US/ADR</x:v>
      </x:c>
      <x:c r="E173" s="40" t="str">
        <x:v>Materials</x:v>
      </x:c>
      <x:c r="F173" s="40" t="str">
        <x:v>Materials</x:v>
      </x:c>
      <x:c r="G173" s="40" t="str">
        <x:v>E010</x:v>
      </x:c>
      <x:c r="H173" s="40" t="str">
        <x:v>Industry comparator / discovery seed</x:v>
      </x:c>
      <x:c r="I173" s="40" t="str">
        <x:v>Not individually underwritten</x:v>
      </x:c>
      <x:c r="J173" s="40" t="str">
        <x:v>Not refreshed; verify exchange, corporate actions, float and tradability</x:v>
      </x:c>
      <x:c r="K173" s="40" t="str">
        <x:v>OPEN: listing; security identity; float; liquidity; size; corporate actions</x:v>
      </x:c>
      <x:c r="L173" s="40" t="str"/>
      <x:c r="M173" s="40"/>
      <x:c r="N173" s="40"/>
    </x:row>
    <x:row r="174" ht="75" customHeight="1">
      <x:c r="A174" s="40" t="str">
        <x:v>LLY</x:v>
      </x:c>
      <x:c r="B174" s="40" t="str">
        <x:v>Eli Lilly</x:v>
      </x:c>
      <x:c r="C174" s="40" t="str">
        <x:v>LLY</x:v>
      </x:c>
      <x:c r="D174" s="40" t="str">
        <x:v>US/ADR</x:v>
      </x:c>
      <x:c r="E174" s="40" t="str">
        <x:v>Health Care</x:v>
      </x:c>
      <x:c r="F174" s="40" t="str">
        <x:v>Health Care</x:v>
      </x:c>
      <x:c r="G174" s="40" t="str">
        <x:v>E085</x:v>
      </x:c>
      <x:c r="H174" s="40" t="str">
        <x:v>Industry comparator / discovery seed</x:v>
      </x:c>
      <x:c r="I174" s="40" t="str">
        <x:v>Not individually underwritten</x:v>
      </x:c>
      <x:c r="J174" s="40" t="str">
        <x:v>Not refreshed; verify exchange, corporate actions, float and tradability</x:v>
      </x:c>
      <x:c r="K174" s="40" t="str">
        <x:v>OPEN: listing; security identity; float; liquidity; size; corporate actions</x:v>
      </x:c>
      <x:c r="L174" s="40" t="str"/>
      <x:c r="M174" s="40"/>
      <x:c r="N174" s="40"/>
    </x:row>
    <x:row r="175" ht="75" customHeight="1">
      <x:c r="A175" s="40" t="str">
        <x:v>LMAT</x:v>
      </x:c>
      <x:c r="B175" s="40" t="str">
        <x:v>LeMaitre Vascular</x:v>
      </x:c>
      <x:c r="C175" s="40" t="str">
        <x:v>LMAT</x:v>
      </x:c>
      <x:c r="D175" s="40" t="str">
        <x:v>US/ADR</x:v>
      </x:c>
      <x:c r="E175" s="40" t="str">
        <x:v>Health Care</x:v>
      </x:c>
      <x:c r="F175" s="40" t="str">
        <x:v>Health Care</x:v>
      </x:c>
      <x:c r="G175" s="40" t="str">
        <x:v>E074</x:v>
      </x:c>
      <x:c r="H175" s="40" t="str">
        <x:v>Current-report research candidate</x:v>
      </x:c>
      <x:c r="I175" s="40" t="str">
        <x:v>Selected current-report facts checked; full underwriting incomplete</x:v>
      </x:c>
      <x:c r="J175" s="40" t="str">
        <x:v>Ticker in issuer materials; exchange, corporate actions, liquidity and eligibility still require refresh</x:v>
      </x:c>
      <x:c r="K175" s="40" t="str">
        <x:v>OPEN: listing; security identity; float; liquidity; size; corporate actions</x:v>
      </x:c>
      <x:c r="L175" s="40" t="str">
        <x:v>LMAT26</x:v>
      </x:c>
      <x:c r="M175" s="40"/>
      <x:c r="N175" s="40"/>
    </x:row>
    <x:row r="176" ht="75" customHeight="1">
      <x:c r="A176" s="40" t="str">
        <x:v>LMT</x:v>
      </x:c>
      <x:c r="B176" s="40" t="str">
        <x:v>Lockheed Martin</x:v>
      </x:c>
      <x:c r="C176" s="40" t="str">
        <x:v>LMT</x:v>
      </x:c>
      <x:c r="D176" s="40" t="str">
        <x:v>US/ADR</x:v>
      </x:c>
      <x:c r="E176" s="40" t="str">
        <x:v>Industrials</x:v>
      </x:c>
      <x:c r="F176" s="40" t="str">
        <x:v>Industrials</x:v>
      </x:c>
      <x:c r="G176" s="40" t="str">
        <x:v>E022</x:v>
      </x:c>
      <x:c r="H176" s="40" t="str">
        <x:v>Industry comparator / discovery seed</x:v>
      </x:c>
      <x:c r="I176" s="40" t="str">
        <x:v>Not individually underwritten</x:v>
      </x:c>
      <x:c r="J176" s="40" t="str">
        <x:v>Not refreshed; verify exchange, corporate actions, float and tradability</x:v>
      </x:c>
      <x:c r="K176" s="40" t="str">
        <x:v>OPEN: listing; security identity; float; liquidity; size; corporate actions</x:v>
      </x:c>
      <x:c r="L176" s="40" t="str"/>
      <x:c r="M176" s="40"/>
      <x:c r="N176" s="40"/>
    </x:row>
    <x:row r="177" ht="75" customHeight="1">
      <x:c r="A177" s="40" t="str">
        <x:v>LNG</x:v>
      </x:c>
      <x:c r="B177" s="40" t="str">
        <x:v>Cheniere Energy</x:v>
      </x:c>
      <x:c r="C177" s="40" t="str">
        <x:v>LNG</x:v>
      </x:c>
      <x:c r="D177" s="40" t="str">
        <x:v>US/ADR</x:v>
      </x:c>
      <x:c r="E177" s="40" t="str">
        <x:v>Energy</x:v>
      </x:c>
      <x:c r="F177" s="40" t="str">
        <x:v>Energy</x:v>
      </x:c>
      <x:c r="G177" s="40" t="str">
        <x:v>E006</x:v>
      </x:c>
      <x:c r="H177" s="40" t="str">
        <x:v>Industry comparator / discovery seed</x:v>
      </x:c>
      <x:c r="I177" s="40" t="str">
        <x:v>Not individually underwritten</x:v>
      </x:c>
      <x:c r="J177" s="40" t="str">
        <x:v>Not refreshed; verify exchange, corporate actions, float and tradability</x:v>
      </x:c>
      <x:c r="K177" s="40" t="str">
        <x:v>OPEN: listing; security identity; float; liquidity; size; corporate actions</x:v>
      </x:c>
      <x:c r="L177" s="40" t="str"/>
      <x:c r="M177" s="40"/>
      <x:c r="N177" s="40"/>
    </x:row>
    <x:row r="178" ht="75" customHeight="1">
      <x:c r="A178" s="40" t="str">
        <x:v>LOPE</x:v>
      </x:c>
      <x:c r="B178" s="40" t="str">
        <x:v>Grand Canyon Education</x:v>
      </x:c>
      <x:c r="C178" s="40" t="str">
        <x:v>LOPE</x:v>
      </x:c>
      <x:c r="D178" s="40" t="str">
        <x:v>US/ADR</x:v>
      </x:c>
      <x:c r="E178" s="40" t="str">
        <x:v>Consumer Discretionary</x:v>
      </x:c>
      <x:c r="F178" s="40" t="str">
        <x:v>Consumer Discretionary</x:v>
      </x:c>
      <x:c r="G178" s="40" t="str">
        <x:v>E060</x:v>
      </x:c>
      <x:c r="H178" s="40" t="str">
        <x:v>Industry comparator / discovery seed</x:v>
      </x:c>
      <x:c r="I178" s="40" t="str">
        <x:v>Not individually underwritten</x:v>
      </x:c>
      <x:c r="J178" s="40" t="str">
        <x:v>Not refreshed; verify exchange, corporate actions, float and tradability</x:v>
      </x:c>
      <x:c r="K178" s="40" t="str">
        <x:v>OPEN: listing; security identity; float; liquidity; size; corporate actions</x:v>
      </x:c>
      <x:c r="L178" s="40" t="str"/>
      <x:c r="M178" s="40"/>
      <x:c r="N178" s="40"/>
    </x:row>
    <x:row r="179" ht="75" customHeight="1">
      <x:c r="A179" s="40" t="str">
        <x:v>LRCX</x:v>
      </x:c>
      <x:c r="B179" s="40" t="str">
        <x:v>Lam Research</x:v>
      </x:c>
      <x:c r="C179" s="40" t="str">
        <x:v>LRCX</x:v>
      </x:c>
      <x:c r="D179" s="40" t="str">
        <x:v>US/ADR</x:v>
      </x:c>
      <x:c r="E179" s="40" t="str">
        <x:v>Information Technology</x:v>
      </x:c>
      <x:c r="F179" s="40" t="str">
        <x:v>Information Technology</x:v>
      </x:c>
      <x:c r="G179" s="40" t="str">
        <x:v>E117</x:v>
      </x:c>
      <x:c r="H179" s="40" t="str">
        <x:v>Industry comparator / discovery seed</x:v>
      </x:c>
      <x:c r="I179" s="40" t="str">
        <x:v>Not individually underwritten</x:v>
      </x:c>
      <x:c r="J179" s="40" t="str">
        <x:v>Not refreshed; verify exchange, corporate actions, float and tradability</x:v>
      </x:c>
      <x:c r="K179" s="40" t="str">
        <x:v>OPEN: listing; security identity; float; liquidity; size; corporate actions</x:v>
      </x:c>
      <x:c r="L179" s="40" t="str"/>
      <x:c r="M179" s="40"/>
      <x:c r="N179" s="40"/>
    </x:row>
    <x:row r="180" ht="75" customHeight="1">
      <x:c r="A180" s="40" t="str">
        <x:v>LULU</x:v>
      </x:c>
      <x:c r="B180" s="40" t="str">
        <x:v>Lululemon</x:v>
      </x:c>
      <x:c r="C180" s="40" t="str">
        <x:v>LULU</x:v>
      </x:c>
      <x:c r="D180" s="40" t="str">
        <x:v>US/ADR</x:v>
      </x:c>
      <x:c r="E180" s="40" t="str">
        <x:v>Consumer Discretionary</x:v>
      </x:c>
      <x:c r="F180" s="40" t="str">
        <x:v>Consumer Discretionary</x:v>
      </x:c>
      <x:c r="G180" s="40" t="str">
        <x:v>E055</x:v>
      </x:c>
      <x:c r="H180" s="40" t="str">
        <x:v>Industry comparator / discovery seed</x:v>
      </x:c>
      <x:c r="I180" s="40" t="str">
        <x:v>Not individually underwritten</x:v>
      </x:c>
      <x:c r="J180" s="40" t="str">
        <x:v>Not refreshed; verify exchange, corporate actions, float and tradability</x:v>
      </x:c>
      <x:c r="K180" s="40" t="str">
        <x:v>OPEN: listing; security identity; float; liquidity; size; corporate actions</x:v>
      </x:c>
      <x:c r="L180" s="40" t="str"/>
      <x:c r="M180" s="40"/>
      <x:c r="N180" s="40"/>
    </x:row>
    <x:row r="181" ht="75" customHeight="1">
      <x:c r="A181" s="40" t="str">
        <x:v>LVMH@FR</x:v>
      </x:c>
      <x:c r="B181" s="40" t="str">
        <x:v>LVMH</x:v>
      </x:c>
      <x:c r="C181" s="40" t="str">
        <x:v>LVMH</x:v>
      </x:c>
      <x:c r="D181" s="40" t="str">
        <x:v>FR</x:v>
      </x:c>
      <x:c r="E181" s="40" t="str">
        <x:v>Consumer Discretionary</x:v>
      </x:c>
      <x:c r="F181" s="40" t="str">
        <x:v>Consumer Discretionary</x:v>
      </x:c>
      <x:c r="G181" s="40" t="str">
        <x:v>E054</x:v>
      </x:c>
      <x:c r="H181" s="40" t="str">
        <x:v>Industry comparator / discovery seed</x:v>
      </x:c>
      <x:c r="I181" s="40" t="str">
        <x:v>Not individually underwritten</x:v>
      </x:c>
      <x:c r="J181" s="40" t="str">
        <x:v>Not refreshed; verify exchange, corporate actions, float and tradability</x:v>
      </x:c>
      <x:c r="K181" s="40" t="str">
        <x:v>OPEN: listing; security identity; float; liquidity; size; corporate actions</x:v>
      </x:c>
      <x:c r="L181" s="40" t="str"/>
      <x:c r="M181" s="40"/>
      <x:c r="N181" s="40"/>
    </x:row>
    <x:row r="182" ht="75" customHeight="1">
      <x:c r="A182" s="40" t="str">
        <x:v>LYB</x:v>
      </x:c>
      <x:c r="B182" s="40" t="str">
        <x:v>LyondellBasell</x:v>
      </x:c>
      <x:c r="C182" s="40" t="str">
        <x:v>LYB</x:v>
      </x:c>
      <x:c r="D182" s="40" t="str">
        <x:v>US/ADR</x:v>
      </x:c>
      <x:c r="E182" s="40" t="str">
        <x:v>Materials</x:v>
      </x:c>
      <x:c r="F182" s="40" t="str">
        <x:v>Materials</x:v>
      </x:c>
      <x:c r="G182" s="40" t="str">
        <x:v>E008</x:v>
      </x:c>
      <x:c r="H182" s="40" t="str">
        <x:v>Industry comparator / discovery seed</x:v>
      </x:c>
      <x:c r="I182" s="40" t="str">
        <x:v>Not individually underwritten</x:v>
      </x:c>
      <x:c r="J182" s="40" t="str">
        <x:v>Not refreshed; verify exchange, corporate actions, float and tradability</x:v>
      </x:c>
      <x:c r="K182" s="40" t="str">
        <x:v>OPEN: listing; security identity; float; liquidity; size; corporate actions</x:v>
      </x:c>
      <x:c r="L182" s="40" t="str"/>
      <x:c r="M182" s="40"/>
      <x:c r="N182" s="40"/>
    </x:row>
    <x:row r="183" ht="75" customHeight="1">
      <x:c r="A183" s="40" t="str">
        <x:v>LYV</x:v>
      </x:c>
      <x:c r="B183" s="40" t="str">
        <x:v>Live Nation</x:v>
      </x:c>
      <x:c r="C183" s="40" t="str">
        <x:v>LYV</x:v>
      </x:c>
      <x:c r="D183" s="40" t="str">
        <x:v>US/ADR</x:v>
      </x:c>
      <x:c r="E183" s="40" t="str">
        <x:v>Communication Services</x:v>
      </x:c>
      <x:c r="F183" s="40" t="str">
        <x:v>Communication Services</x:v>
      </x:c>
      <x:c r="G183" s="40" t="str">
        <x:v>E125</x:v>
      </x:c>
      <x:c r="H183" s="40" t="str">
        <x:v>Industry comparator / discovery seed</x:v>
      </x:c>
      <x:c r="I183" s="40" t="str">
        <x:v>Not individually underwritten</x:v>
      </x:c>
      <x:c r="J183" s="40" t="str">
        <x:v>Not refreshed; verify exchange, corporate actions, float and tradability</x:v>
      </x:c>
      <x:c r="K183" s="40" t="str">
        <x:v>OPEN: listing; security identity; float; liquidity; size; corporate actions</x:v>
      </x:c>
      <x:c r="L183" s="40" t="str"/>
      <x:c r="M183" s="40"/>
      <x:c r="N183" s="40"/>
    </x:row>
    <x:row r="184" ht="75" customHeight="1">
      <x:c r="A184" s="40" t="str">
        <x:v>LZB</x:v>
      </x:c>
      <x:c r="B184" s="40" t="str">
        <x:v>La-Z-Boy</x:v>
      </x:c>
      <x:c r="C184" s="40" t="str">
        <x:v>LZB</x:v>
      </x:c>
      <x:c r="D184" s="40" t="str">
        <x:v>US/ADR</x:v>
      </x:c>
      <x:c r="E184" s="40" t="str">
        <x:v>Consumer Discretionary</x:v>
      </x:c>
      <x:c r="F184" s="40" t="str">
        <x:v>Consumer Discretionary</x:v>
      </x:c>
      <x:c r="G184" s="40" t="str">
        <x:v>E051</x:v>
      </x:c>
      <x:c r="H184" s="40" t="str">
        <x:v>Industry comparator / discovery seed</x:v>
      </x:c>
      <x:c r="I184" s="40" t="str">
        <x:v>Not individually underwritten</x:v>
      </x:c>
      <x:c r="J184" s="40" t="str">
        <x:v>Not refreshed; verify exchange, corporate actions, float and tradability</x:v>
      </x:c>
      <x:c r="K184" s="40" t="str">
        <x:v>OPEN: listing; security identity; float; liquidity; size; corporate actions</x:v>
      </x:c>
      <x:c r="L184" s="40" t="str"/>
      <x:c r="M184" s="40"/>
      <x:c r="N184" s="40"/>
    </x:row>
    <x:row r="185" ht="75" customHeight="1">
      <x:c r="A185" s="40" t="str">
        <x:v>MA</x:v>
      </x:c>
      <x:c r="B185" s="40" t="str">
        <x:v>Mastercard</x:v>
      </x:c>
      <x:c r="C185" s="40" t="str">
        <x:v>MA</x:v>
      </x:c>
      <x:c r="D185" s="40" t="str">
        <x:v>US/ADR</x:v>
      </x:c>
      <x:c r="E185" s="40" t="str">
        <x:v>Financials</x:v>
      </x:c>
      <x:c r="F185" s="40" t="str">
        <x:v>Financials</x:v>
      </x:c>
      <x:c r="G185" s="40" t="str">
        <x:v>E089</x:v>
      </x:c>
      <x:c r="H185" s="40" t="str">
        <x:v>Industry comparator / discovery seed</x:v>
      </x:c>
      <x:c r="I185" s="40" t="str">
        <x:v>Not individually underwritten</x:v>
      </x:c>
      <x:c r="J185" s="40" t="str">
        <x:v>Not refreshed; verify exchange, corporate actions, float and tradability</x:v>
      </x:c>
      <x:c r="K185" s="40" t="str">
        <x:v>OPEN: listing; security identity; float; liquidity; size; corporate actions</x:v>
      </x:c>
      <x:c r="L185" s="40" t="str"/>
      <x:c r="M185" s="40"/>
      <x:c r="N185" s="40"/>
    </x:row>
    <x:row r="186" ht="75" customHeight="1">
      <x:c r="A186" s="40" t="str">
        <x:v>MAA</x:v>
      </x:c>
      <x:c r="B186" s="40" t="str">
        <x:v>Mid-America Apartment Communities</x:v>
      </x:c>
      <x:c r="C186" s="40" t="str">
        <x:v>MAA</x:v>
      </x:c>
      <x:c r="D186" s="40" t="str">
        <x:v>US/ADR</x:v>
      </x:c>
      <x:c r="E186" s="40" t="str">
        <x:v>Real Estate</x:v>
      </x:c>
      <x:c r="F186" s="40" t="str">
        <x:v>Real Estate</x:v>
      </x:c>
      <x:c r="G186" s="40" t="str">
        <x:v>E139</x:v>
      </x:c>
      <x:c r="H186" s="40" t="str">
        <x:v>Industry comparator / discovery seed</x:v>
      </x:c>
      <x:c r="I186" s="40" t="str">
        <x:v>Not individually underwritten</x:v>
      </x:c>
      <x:c r="J186" s="40" t="str">
        <x:v>Not refreshed; verify exchange, corporate actions, float and tradability</x:v>
      </x:c>
      <x:c r="K186" s="40" t="str">
        <x:v>OPEN: listing; security identity; float; liquidity; size; corporate actions</x:v>
      </x:c>
      <x:c r="L186" s="40" t="str"/>
      <x:c r="M186" s="40"/>
      <x:c r="N186" s="40"/>
    </x:row>
    <x:row r="187" ht="75" customHeight="1">
      <x:c r="A187" s="40" t="str">
        <x:v>MAC</x:v>
      </x:c>
      <x:c r="B187" s="40" t="str">
        <x:v>Macerich</x:v>
      </x:c>
      <x:c r="C187" s="40" t="str">
        <x:v>MAC</x:v>
      </x:c>
      <x:c r="D187" s="40" t="str">
        <x:v>US/ADR</x:v>
      </x:c>
      <x:c r="E187" s="40" t="str">
        <x:v>Real Estate</x:v>
      </x:c>
      <x:c r="F187" s="40" t="str">
        <x:v>Real Estate</x:v>
      </x:c>
      <x:c r="G187" s="40" t="str">
        <x:v>E142</x:v>
      </x:c>
      <x:c r="H187" s="40" t="str">
        <x:v>Industry comparator / discovery seed</x:v>
      </x:c>
      <x:c r="I187" s="40" t="str">
        <x:v>Not individually underwritten</x:v>
      </x:c>
      <x:c r="J187" s="40" t="str">
        <x:v>Not refreshed; verify exchange, corporate actions, float and tradability</x:v>
      </x:c>
      <x:c r="K187" s="40" t="str">
        <x:v>OPEN: listing; security identity; float; liquidity; size; corporate actions</x:v>
      </x:c>
      <x:c r="L187" s="40" t="str"/>
      <x:c r="M187" s="40"/>
      <x:c r="N187" s="40"/>
    </x:row>
    <x:row r="188" ht="75" customHeight="1">
      <x:c r="A188" s="40" t="str">
        <x:v>MAT</x:v>
      </x:c>
      <x:c r="B188" s="40" t="str">
        <x:v>Mattel</x:v>
      </x:c>
      <x:c r="C188" s="40" t="str">
        <x:v>MAT</x:v>
      </x:c>
      <x:c r="D188" s="40" t="str">
        <x:v>US/ADR</x:v>
      </x:c>
      <x:c r="E188" s="40" t="str">
        <x:v>Consumer Discretionary</x:v>
      </x:c>
      <x:c r="F188" s="40" t="str">
        <x:v>Consumer Discretionary</x:v>
      </x:c>
      <x:c r="G188" s="40" t="str">
        <x:v>E053</x:v>
      </x:c>
      <x:c r="H188" s="40" t="str">
        <x:v>Industry comparator / discovery seed</x:v>
      </x:c>
      <x:c r="I188" s="40" t="str">
        <x:v>Not individually underwritten</x:v>
      </x:c>
      <x:c r="J188" s="40" t="str">
        <x:v>Not refreshed; verify exchange, corporate actions, float and tradability</x:v>
      </x:c>
      <x:c r="K188" s="40" t="str">
        <x:v>OPEN: listing; security identity; float; liquidity; size; corporate actions</x:v>
      </x:c>
      <x:c r="L188" s="40" t="str"/>
      <x:c r="M188" s="40"/>
      <x:c r="N188" s="40"/>
    </x:row>
    <x:row r="189" ht="75" customHeight="1">
      <x:c r="A189" s="40" t="str">
        <x:v>MATX</x:v>
      </x:c>
      <x:c r="B189" s="40" t="str">
        <x:v>Matson</x:v>
      </x:c>
      <x:c r="C189" s="40" t="str">
        <x:v>MATX</x:v>
      </x:c>
      <x:c r="D189" s="40" t="str">
        <x:v>US/ADR</x:v>
      </x:c>
      <x:c r="E189" s="40" t="str">
        <x:v>Industrials</x:v>
      </x:c>
      <x:c r="F189" s="40" t="str">
        <x:v>Industrials</x:v>
      </x:c>
      <x:c r="G189" s="40" t="str">
        <x:v>E042</x:v>
      </x:c>
      <x:c r="H189" s="40" t="str">
        <x:v>Industry comparator / discovery seed</x:v>
      </x:c>
      <x:c r="I189" s="40" t="str">
        <x:v>Not individually underwritten</x:v>
      </x:c>
      <x:c r="J189" s="40" t="str">
        <x:v>Not refreshed; verify exchange, corporate actions, float and tradability</x:v>
      </x:c>
      <x:c r="K189" s="40" t="str">
        <x:v>OPEN: listing; security identity; float; liquidity; size; corporate actions</x:v>
      </x:c>
      <x:c r="L189" s="40" t="str"/>
      <x:c r="M189" s="40"/>
      <x:c r="N189" s="40"/>
    </x:row>
    <x:row r="190" ht="75" customHeight="1">
      <x:c r="A190" s="40" t="str">
        <x:v>MCD</x:v>
      </x:c>
      <x:c r="B190" s="40" t="str">
        <x:v>McDonald's</x:v>
      </x:c>
      <x:c r="C190" s="40" t="str">
        <x:v>MCD</x:v>
      </x:c>
      <x:c r="D190" s="40" t="str">
        <x:v>US/ADR</x:v>
      </x:c>
      <x:c r="E190" s="40" t="str">
        <x:v>Consumer Discretionary</x:v>
      </x:c>
      <x:c r="F190" s="40" t="str">
        <x:v>Consumer Discretionary</x:v>
      </x:c>
      <x:c r="G190" s="40" t="str">
        <x:v>E056</x:v>
      </x:c>
      <x:c r="H190" s="40" t="str">
        <x:v>Industry comparator / discovery seed</x:v>
      </x:c>
      <x:c r="I190" s="40" t="str">
        <x:v>Not individually underwritten</x:v>
      </x:c>
      <x:c r="J190" s="40" t="str">
        <x:v>Not refreshed; verify exchange, corporate actions, float and tradability</x:v>
      </x:c>
      <x:c r="K190" s="40" t="str">
        <x:v>OPEN: listing; security identity; float; liquidity; size; corporate actions</x:v>
      </x:c>
      <x:c r="L190" s="40" t="str"/>
      <x:c r="M190" s="40"/>
      <x:c r="N190" s="40"/>
    </x:row>
    <x:row r="191" ht="75" customHeight="1">
      <x:c r="A191" s="40" t="str">
        <x:v>MCK</x:v>
      </x:c>
      <x:c r="B191" s="40" t="str">
        <x:v>McKesson</x:v>
      </x:c>
      <x:c r="C191" s="40" t="str">
        <x:v>MCK</x:v>
      </x:c>
      <x:c r="D191" s="40" t="str">
        <x:v>US/ADR</x:v>
      </x:c>
      <x:c r="E191" s="40" t="str">
        <x:v>Health Care</x:v>
      </x:c>
      <x:c r="F191" s="40" t="str">
        <x:v>Health Care</x:v>
      </x:c>
      <x:c r="G191" s="40" t="str">
        <x:v>E078</x:v>
      </x:c>
      <x:c r="H191" s="40" t="str">
        <x:v>Industry comparator / discovery seed</x:v>
      </x:c>
      <x:c r="I191" s="40" t="str">
        <x:v>Not individually underwritten</x:v>
      </x:c>
      <x:c r="J191" s="40" t="str">
        <x:v>Not refreshed; verify exchange, corporate actions, float and tradability</x:v>
      </x:c>
      <x:c r="K191" s="40" t="str">
        <x:v>OPEN: listing; security identity; float; liquidity; size; corporate actions</x:v>
      </x:c>
      <x:c r="L191" s="40" t="str"/>
      <x:c r="M191" s="40"/>
      <x:c r="N191" s="40"/>
    </x:row>
    <x:row r="192" ht="75" customHeight="1">
      <x:c r="A192" s="40" t="str">
        <x:v>MEDP</x:v>
      </x:c>
      <x:c r="B192" s="40" t="str">
        <x:v>Medpace</x:v>
      </x:c>
      <x:c r="C192" s="40" t="str">
        <x:v>MEDP</x:v>
      </x:c>
      <x:c r="D192" s="40" t="str">
        <x:v>US/ADR</x:v>
      </x:c>
      <x:c r="E192" s="40" t="str">
        <x:v>Health Care</x:v>
      </x:c>
      <x:c r="F192" s="40" t="str">
        <x:v>Health Care</x:v>
      </x:c>
      <x:c r="G192" s="40" t="str">
        <x:v>E084</x:v>
      </x:c>
      <x:c r="H192" s="40" t="str">
        <x:v>Industry comparator / discovery seed</x:v>
      </x:c>
      <x:c r="I192" s="40" t="str">
        <x:v>Not individually underwritten</x:v>
      </x:c>
      <x:c r="J192" s="40" t="str">
        <x:v>Not refreshed; verify exchange, corporate actions, float and tradability</x:v>
      </x:c>
      <x:c r="K192" s="40" t="str">
        <x:v>OPEN: listing; security identity; float; liquidity; size; corporate actions</x:v>
      </x:c>
      <x:c r="L192" s="40" t="str"/>
      <x:c r="M192" s="40"/>
      <x:c r="N192" s="40"/>
    </x:row>
    <x:row r="193" ht="75" customHeight="1">
      <x:c r="A193" s="40" t="str">
        <x:v>MERC</x:v>
      </x:c>
      <x:c r="B193" s="40" t="str">
        <x:v>Mercer International</x:v>
      </x:c>
      <x:c r="C193" s="40" t="str">
        <x:v>MERC</x:v>
      </x:c>
      <x:c r="D193" s="40" t="str">
        <x:v>US/ADR</x:v>
      </x:c>
      <x:c r="E193" s="40" t="str">
        <x:v>Materials</x:v>
      </x:c>
      <x:c r="F193" s="40" t="str">
        <x:v>Materials</x:v>
      </x:c>
      <x:c r="G193" s="40" t="str">
        <x:v>E019</x:v>
      </x:c>
      <x:c r="H193" s="40" t="str">
        <x:v>Industry comparator / discovery seed</x:v>
      </x:c>
      <x:c r="I193" s="40" t="str">
        <x:v>Not individually underwritten</x:v>
      </x:c>
      <x:c r="J193" s="40" t="str">
        <x:v>Not refreshed; verify exchange, corporate actions, float and tradability</x:v>
      </x:c>
      <x:c r="K193" s="40" t="str">
        <x:v>OPEN: listing; security identity; float; liquidity; size; corporate actions</x:v>
      </x:c>
      <x:c r="L193" s="40" t="str"/>
      <x:c r="M193" s="40"/>
      <x:c r="N193" s="40"/>
    </x:row>
    <x:row r="194" ht="75" customHeight="1">
      <x:c r="A194" s="40" t="str">
        <x:v>MET</x:v>
      </x:c>
      <x:c r="B194" s="40" t="str">
        <x:v>MetLife</x:v>
      </x:c>
      <x:c r="C194" s="40" t="str">
        <x:v>MET</x:v>
      </x:c>
      <x:c r="D194" s="40" t="str">
        <x:v>US/ADR</x:v>
      </x:c>
      <x:c r="E194" s="40" t="str">
        <x:v>Financials</x:v>
      </x:c>
      <x:c r="F194" s="40" t="str">
        <x:v>Financials</x:v>
      </x:c>
      <x:c r="G194" s="40" t="str">
        <x:v>E099</x:v>
      </x:c>
      <x:c r="H194" s="40" t="str">
        <x:v>Industry comparator / discovery seed</x:v>
      </x:c>
      <x:c r="I194" s="40" t="str">
        <x:v>Not individually underwritten</x:v>
      </x:c>
      <x:c r="J194" s="40" t="str">
        <x:v>Not refreshed; verify exchange, corporate actions, float and tradability</x:v>
      </x:c>
      <x:c r="K194" s="40" t="str">
        <x:v>OPEN: listing; security identity; float; liquidity; size; corporate actions</x:v>
      </x:c>
      <x:c r="L194" s="40" t="str"/>
      <x:c r="M194" s="40"/>
      <x:c r="N194" s="40"/>
    </x:row>
    <x:row r="195" ht="75" customHeight="1">
      <x:c r="A195" s="40" t="str">
        <x:v>META</x:v>
      </x:c>
      <x:c r="B195" s="40" t="str">
        <x:v>Meta Platforms</x:v>
      </x:c>
      <x:c r="C195" s="40" t="str">
        <x:v>META</x:v>
      </x:c>
      <x:c r="D195" s="40" t="str">
        <x:v>US/ADR</x:v>
      </x:c>
      <x:c r="E195" s="40" t="str">
        <x:v>Communication Services</x:v>
      </x:c>
      <x:c r="F195" s="40" t="str">
        <x:v>Communication Services</x:v>
      </x:c>
      <x:c r="G195" s="40" t="str">
        <x:v>E126</x:v>
      </x:c>
      <x:c r="H195" s="40" t="str">
        <x:v>Industry comparator / discovery seed</x:v>
      </x:c>
      <x:c r="I195" s="40" t="str">
        <x:v>Not individually underwritten</x:v>
      </x:c>
      <x:c r="J195" s="40" t="str">
        <x:v>Not refreshed; verify exchange, corporate actions, float and tradability</x:v>
      </x:c>
      <x:c r="K195" s="40" t="str">
        <x:v>OPEN: listing; security identity; float; liquidity; size; corporate actions</x:v>
      </x:c>
      <x:c r="L195" s="40" t="str"/>
      <x:c r="M195" s="40"/>
      <x:c r="N195" s="40"/>
    </x:row>
    <x:row r="196" ht="75" customHeight="1">
      <x:c r="A196" s="40" t="str">
        <x:v>MGM</x:v>
      </x:c>
      <x:c r="B196" s="40" t="str">
        <x:v>MGM Resorts</x:v>
      </x:c>
      <x:c r="C196" s="40" t="str">
        <x:v>MGM</x:v>
      </x:c>
      <x:c r="D196" s="40" t="str">
        <x:v>US/ADR</x:v>
      </x:c>
      <x:c r="E196" s="40" t="str">
        <x:v>Consumer Discretionary</x:v>
      </x:c>
      <x:c r="F196" s="40" t="str">
        <x:v>Consumer Discretionary</x:v>
      </x:c>
      <x:c r="G196" s="40" t="str">
        <x:v>E059</x:v>
      </x:c>
      <x:c r="H196" s="40" t="str">
        <x:v>Industry comparator / discovery seed</x:v>
      </x:c>
      <x:c r="I196" s="40" t="str">
        <x:v>Not individually underwritten</x:v>
      </x:c>
      <x:c r="J196" s="40" t="str">
        <x:v>Not refreshed; verify exchange, corporate actions, float and tradability</x:v>
      </x:c>
      <x:c r="K196" s="40" t="str">
        <x:v>OPEN: listing; security identity; float; liquidity; size; corporate actions</x:v>
      </x:c>
      <x:c r="L196" s="40" t="str"/>
      <x:c r="M196" s="40"/>
      <x:c r="N196" s="40"/>
    </x:row>
    <x:row r="197" ht="75" customHeight="1">
      <x:c r="A197" s="40" t="str">
        <x:v>MKTX</x:v>
      </x:c>
      <x:c r="B197" s="40" t="str">
        <x:v>MarketAxess</x:v>
      </x:c>
      <x:c r="C197" s="40" t="str">
        <x:v>MKTX</x:v>
      </x:c>
      <x:c r="D197" s="40" t="str">
        <x:v>US/ADR</x:v>
      </x:c>
      <x:c r="E197" s="40" t="str">
        <x:v>Financials</x:v>
      </x:c>
      <x:c r="F197" s="40" t="str">
        <x:v>Financials</x:v>
      </x:c>
      <x:c r="G197" s="40" t="str">
        <x:v>E092</x:v>
      </x:c>
      <x:c r="H197" s="40" t="str">
        <x:v>Industry comparator / discovery seed</x:v>
      </x:c>
      <x:c r="I197" s="40" t="str">
        <x:v>Not individually underwritten</x:v>
      </x:c>
      <x:c r="J197" s="40" t="str">
        <x:v>Not refreshed; verify exchange, corporate actions, float and tradability</x:v>
      </x:c>
      <x:c r="K197" s="40" t="str">
        <x:v>OPEN: listing; security identity; float; liquidity; size; corporate actions</x:v>
      </x:c>
      <x:c r="L197" s="40" t="str"/>
      <x:c r="M197" s="40"/>
      <x:c r="N197" s="40"/>
    </x:row>
    <x:row r="198" ht="75" customHeight="1">
      <x:c r="A198" s="40" t="str">
        <x:v>MLM</x:v>
      </x:c>
      <x:c r="B198" s="40" t="str">
        <x:v>Martin Marietta</x:v>
      </x:c>
      <x:c r="C198" s="40" t="str">
        <x:v>MLM</x:v>
      </x:c>
      <x:c r="D198" s="40" t="str">
        <x:v>US/ADR</x:v>
      </x:c>
      <x:c r="E198" s="40" t="str">
        <x:v>Materials</x:v>
      </x:c>
      <x:c r="F198" s="40" t="str">
        <x:v>Materials</x:v>
      </x:c>
      <x:c r="G198" s="40" t="str">
        <x:v>E012</x:v>
      </x:c>
      <x:c r="H198" s="40" t="str">
        <x:v>Industry comparator / discovery seed</x:v>
      </x:c>
      <x:c r="I198" s="40" t="str">
        <x:v>Not individually underwritten</x:v>
      </x:c>
      <x:c r="J198" s="40" t="str">
        <x:v>Not refreshed; verify exchange, corporate actions, float and tradability</x:v>
      </x:c>
      <x:c r="K198" s="40" t="str">
        <x:v>OPEN: listing; security identity; float; liquidity; size; corporate actions</x:v>
      </x:c>
      <x:c r="L198" s="40" t="str"/>
      <x:c r="M198" s="40"/>
      <x:c r="N198" s="40"/>
    </x:row>
    <x:row r="199" ht="75" customHeight="1">
      <x:c r="A199" s="40" t="str">
        <x:v>MNST</x:v>
      </x:c>
      <x:c r="B199" s="40" t="str">
        <x:v>Monster Beverage</x:v>
      </x:c>
      <x:c r="C199" s="40" t="str">
        <x:v>MNST</x:v>
      </x:c>
      <x:c r="D199" s="40" t="str">
        <x:v>US/ADR</x:v>
      </x:c>
      <x:c r="E199" s="40" t="str">
        <x:v>Consumer Staples</x:v>
      </x:c>
      <x:c r="F199" s="40" t="str">
        <x:v>Consumer Staples</x:v>
      </x:c>
      <x:c r="G199" s="40" t="str">
        <x:v>E067</x:v>
      </x:c>
      <x:c r="H199" s="40" t="str">
        <x:v>Industry comparator / discovery seed</x:v>
      </x:c>
      <x:c r="I199" s="40" t="str">
        <x:v>Not individually underwritten</x:v>
      </x:c>
      <x:c r="J199" s="40" t="str">
        <x:v>Not refreshed; verify exchange, corporate actions, float and tradability</x:v>
      </x:c>
      <x:c r="K199" s="40" t="str">
        <x:v>OPEN: listing; security identity; float; liquidity; size; corporate actions</x:v>
      </x:c>
      <x:c r="L199" s="40" t="str"/>
      <x:c r="M199" s="40"/>
      <x:c r="N199" s="40"/>
    </x:row>
    <x:row r="200" ht="75" customHeight="1">
      <x:c r="A200" s="40" t="str">
        <x:v>MO</x:v>
      </x:c>
      <x:c r="B200" s="40" t="str">
        <x:v>Altria</x:v>
      </x:c>
      <x:c r="C200" s="40" t="str">
        <x:v>MO</x:v>
      </x:c>
      <x:c r="D200" s="40" t="str">
        <x:v>US/ADR</x:v>
      </x:c>
      <x:c r="E200" s="40" t="str">
        <x:v>Consumer Staples</x:v>
      </x:c>
      <x:c r="F200" s="40" t="str">
        <x:v>Consumer Staples</x:v>
      </x:c>
      <x:c r="G200" s="40" t="str">
        <x:v>E071</x:v>
      </x:c>
      <x:c r="H200" s="40" t="str">
        <x:v>Industry comparator / discovery seed</x:v>
      </x:c>
      <x:c r="I200" s="40" t="str">
        <x:v>Not individually underwritten</x:v>
      </x:c>
      <x:c r="J200" s="40" t="str">
        <x:v>Not refreshed; verify exchange, corporate actions, float and tradability</x:v>
      </x:c>
      <x:c r="K200" s="40" t="str">
        <x:v>OPEN: listing; security identity; float; liquidity; size; corporate actions</x:v>
      </x:c>
      <x:c r="L200" s="40" t="str"/>
      <x:c r="M200" s="40"/>
      <x:c r="N200" s="40"/>
    </x:row>
    <x:row r="201" ht="75" customHeight="1">
      <x:c r="A201" s="40" t="str">
        <x:v>MOD</x:v>
      </x:c>
      <x:c r="B201" s="40" t="str">
        <x:v>Modine</x:v>
      </x:c>
      <x:c r="C201" s="40" t="str">
        <x:v>MOD</x:v>
      </x:c>
      <x:c r="D201" s="40" t="str">
        <x:v>US/ADR</x:v>
      </x:c>
      <x:c r="E201" s="40" t="str">
        <x:v>Industrials</x:v>
      </x:c>
      <x:c r="F201" s="40" t="str">
        <x:v>Industrials</x:v>
      </x:c>
      <x:c r="G201" s="40" t="str">
        <x:v>E024</x:v>
      </x:c>
      <x:c r="H201" s="40" t="str">
        <x:v>Current-report research candidate</x:v>
      </x:c>
      <x:c r="I201" s="40" t="str">
        <x:v>Selected current-report facts checked; full underwriting incomplete</x:v>
      </x:c>
      <x:c r="J201" s="40" t="str">
        <x:v>Ticker in issuer materials; exchange, corporate actions, liquidity and eligibility still require refresh</x:v>
      </x:c>
      <x:c r="K201" s="40" t="str">
        <x:v>OPEN: listing; security identity; float; liquidity; size; corporate actions</x:v>
      </x:c>
      <x:c r="L201" s="40" t="str">
        <x:v>MOD26</x:v>
      </x:c>
      <x:c r="M201" s="40"/>
      <x:c r="N201" s="40"/>
    </x:row>
    <x:row r="202" ht="75" customHeight="1">
      <x:c r="A202" s="40" t="str">
        <x:v>MPC</x:v>
      </x:c>
      <x:c r="B202" s="40" t="str">
        <x:v>Marathon Petroleum</x:v>
      </x:c>
      <x:c r="C202" s="40" t="str">
        <x:v>MPC</x:v>
      </x:c>
      <x:c r="D202" s="40" t="str">
        <x:v>US/ADR</x:v>
      </x:c>
      <x:c r="E202" s="40" t="str">
        <x:v>Energy</x:v>
      </x:c>
      <x:c r="F202" s="40" t="str">
        <x:v>Energy</x:v>
      </x:c>
      <x:c r="G202" s="40" t="str">
        <x:v>E005</x:v>
      </x:c>
      <x:c r="H202" s="40" t="str">
        <x:v>Industry comparator / discovery seed</x:v>
      </x:c>
      <x:c r="I202" s="40" t="str">
        <x:v>Not individually underwritten</x:v>
      </x:c>
      <x:c r="J202" s="40" t="str">
        <x:v>Not refreshed; verify exchange, corporate actions, float and tradability</x:v>
      </x:c>
      <x:c r="K202" s="40" t="str">
        <x:v>OPEN: listing; security identity; float; liquidity; size; corporate actions</x:v>
      </x:c>
      <x:c r="L202" s="40" t="str"/>
      <x:c r="M202" s="40"/>
      <x:c r="N202" s="40"/>
    </x:row>
    <x:row r="203" ht="75" customHeight="1">
      <x:c r="A203" s="40" t="str">
        <x:v>MRK</x:v>
      </x:c>
      <x:c r="B203" s="40" t="str">
        <x:v>Merck</x:v>
      </x:c>
      <x:c r="C203" s="40" t="str">
        <x:v>MRK</x:v>
      </x:c>
      <x:c r="D203" s="40" t="str">
        <x:v>US/ADR</x:v>
      </x:c>
      <x:c r="E203" s="40" t="str">
        <x:v>Health Care</x:v>
      </x:c>
      <x:c r="F203" s="40" t="str">
        <x:v>Health Care</x:v>
      </x:c>
      <x:c r="G203" s="40" t="str">
        <x:v>E085</x:v>
      </x:c>
      <x:c r="H203" s="40" t="str">
        <x:v>Industry comparator / discovery seed</x:v>
      </x:c>
      <x:c r="I203" s="40" t="str">
        <x:v>Not individually underwritten</x:v>
      </x:c>
      <x:c r="J203" s="40" t="str">
        <x:v>Not refreshed; verify exchange, corporate actions, float and tradability</x:v>
      </x:c>
      <x:c r="K203" s="40" t="str">
        <x:v>OPEN: listing; security identity; float; liquidity; size; corporate actions</x:v>
      </x:c>
      <x:c r="L203" s="40" t="str"/>
      <x:c r="M203" s="40"/>
      <x:c r="N203" s="40"/>
    </x:row>
    <x:row r="204" ht="75" customHeight="1">
      <x:c r="A204" s="40" t="str">
        <x:v>MRVL</x:v>
      </x:c>
      <x:c r="B204" s="40" t="str">
        <x:v>Marvell</x:v>
      </x:c>
      <x:c r="C204" s="40" t="str">
        <x:v>MRVL</x:v>
      </x:c>
      <x:c r="D204" s="40" t="str">
        <x:v>US/ADR</x:v>
      </x:c>
      <x:c r="E204" s="40" t="str">
        <x:v>Information Technology</x:v>
      </x:c>
      <x:c r="F204" s="40" t="str">
        <x:v>Information Technology</x:v>
      </x:c>
      <x:c r="G204" s="40" t="str">
        <x:v>E114</x:v>
      </x:c>
      <x:c r="H204" s="40" t="str">
        <x:v>Industry comparator / discovery seed</x:v>
      </x:c>
      <x:c r="I204" s="40" t="str">
        <x:v>Not individually underwritten</x:v>
      </x:c>
      <x:c r="J204" s="40" t="str">
        <x:v>Not refreshed; verify exchange, corporate actions, float and tradability</x:v>
      </x:c>
      <x:c r="K204" s="40" t="str">
        <x:v>OPEN: listing; security identity; float; liquidity; size; corporate actions</x:v>
      </x:c>
      <x:c r="L204" s="40" t="str"/>
      <x:c r="M204" s="40"/>
      <x:c r="N204" s="40"/>
    </x:row>
    <x:row r="205" ht="75" customHeight="1">
      <x:c r="A205" s="40" t="str">
        <x:v>MU</x:v>
      </x:c>
      <x:c r="B205" s="40" t="str">
        <x:v>Micron</x:v>
      </x:c>
      <x:c r="C205" s="40" t="str">
        <x:v>MU</x:v>
      </x:c>
      <x:c r="D205" s="40" t="str">
        <x:v>US/ADR</x:v>
      </x:c>
      <x:c r="E205" s="40" t="str">
        <x:v>Information Technology</x:v>
      </x:c>
      <x:c r="F205" s="40" t="str">
        <x:v>Information Technology</x:v>
      </x:c>
      <x:c r="G205" s="40" t="str">
        <x:v>E113</x:v>
      </x:c>
      <x:c r="H205" s="40" t="str">
        <x:v>Industry comparator / discovery seed</x:v>
      </x:c>
      <x:c r="I205" s="40" t="str">
        <x:v>Not individually underwritten</x:v>
      </x:c>
      <x:c r="J205" s="40" t="str">
        <x:v>Not refreshed; verify exchange, corporate actions, float and tradability</x:v>
      </x:c>
      <x:c r="K205" s="40" t="str">
        <x:v>OPEN: listing; security identity; float; liquidity; size; corporate actions</x:v>
      </x:c>
      <x:c r="L205" s="40" t="str"/>
      <x:c r="M205" s="40"/>
      <x:c r="N205" s="40"/>
    </x:row>
    <x:row r="206" ht="75" customHeight="1">
      <x:c r="A206" s="40" t="str">
        <x:v>NEU</x:v>
      </x:c>
      <x:c r="B206" s="40" t="str">
        <x:v>NewMarket</x:v>
      </x:c>
      <x:c r="C206" s="40" t="str">
        <x:v>NEU</x:v>
      </x:c>
      <x:c r="D206" s="40" t="str">
        <x:v>US/ADR</x:v>
      </x:c>
      <x:c r="E206" s="40" t="str">
        <x:v>Materials</x:v>
      </x:c>
      <x:c r="F206" s="40" t="str">
        <x:v>Materials</x:v>
      </x:c>
      <x:c r="G206" s="40" t="str">
        <x:v>E009</x:v>
      </x:c>
      <x:c r="H206" s="40" t="str">
        <x:v>Industry comparator / discovery seed</x:v>
      </x:c>
      <x:c r="I206" s="40" t="str">
        <x:v>Not individually underwritten</x:v>
      </x:c>
      <x:c r="J206" s="40" t="str">
        <x:v>Not refreshed; verify exchange, corporate actions, float and tradability</x:v>
      </x:c>
      <x:c r="K206" s="40" t="str">
        <x:v>OPEN: listing; security identity; float; liquidity; size; corporate actions</x:v>
      </x:c>
      <x:c r="L206" s="40" t="str"/>
      <x:c r="M206" s="40"/>
      <x:c r="N206" s="40"/>
    </x:row>
    <x:row r="207" ht="75" customHeight="1">
      <x:c r="A207" s="40" t="str">
        <x:v>NFLX</x:v>
      </x:c>
      <x:c r="B207" s="40" t="str">
        <x:v>Netflix</x:v>
      </x:c>
      <x:c r="C207" s="40" t="str">
        <x:v>NFLX</x:v>
      </x:c>
      <x:c r="D207" s="40" t="str">
        <x:v>US/ADR</x:v>
      </x:c>
      <x:c r="E207" s="40" t="str">
        <x:v>Communication Services</x:v>
      </x:c>
      <x:c r="F207" s="40" t="str">
        <x:v>Communication Services</x:v>
      </x:c>
      <x:c r="G207" s="40" t="str">
        <x:v>E124</x:v>
      </x:c>
      <x:c r="H207" s="40" t="str">
        <x:v>Industry comparator / discovery seed</x:v>
      </x:c>
      <x:c r="I207" s="40" t="str">
        <x:v>Not individually underwritten</x:v>
      </x:c>
      <x:c r="J207" s="40" t="str">
        <x:v>Not refreshed; verify exchange, corporate actions, float and tradability</x:v>
      </x:c>
      <x:c r="K207" s="40" t="str">
        <x:v>OPEN: listing; security identity; float; liquidity; size; corporate actions</x:v>
      </x:c>
      <x:c r="L207" s="40" t="str"/>
      <x:c r="M207" s="40"/>
      <x:c r="N207" s="40"/>
    </x:row>
    <x:row r="208" ht="75" customHeight="1">
      <x:c r="A208" s="40" t="str">
        <x:v>NLY</x:v>
      </x:c>
      <x:c r="B208" s="40" t="str">
        <x:v>Annaly Capital</x:v>
      </x:c>
      <x:c r="C208" s="40" t="str">
        <x:v>NLY</x:v>
      </x:c>
      <x:c r="D208" s="40" t="str">
        <x:v>US/ADR</x:v>
      </x:c>
      <x:c r="E208" s="40" t="str">
        <x:v>Financials</x:v>
      </x:c>
      <x:c r="F208" s="40" t="str">
        <x:v>Financials</x:v>
      </x:c>
      <x:c r="G208" s="40" t="str">
        <x:v>E095</x:v>
      </x:c>
      <x:c r="H208" s="40" t="str">
        <x:v>Industry comparator / discovery seed</x:v>
      </x:c>
      <x:c r="I208" s="40" t="str">
        <x:v>Not individually underwritten</x:v>
      </x:c>
      <x:c r="J208" s="40" t="str">
        <x:v>Not refreshed; verify exchange, corporate actions, float and tradability</x:v>
      </x:c>
      <x:c r="K208" s="40" t="str">
        <x:v>OPEN: listing; security identity; float; liquidity; size; corporate actions</x:v>
      </x:c>
      <x:c r="L208" s="40" t="str"/>
      <x:c r="M208" s="40"/>
      <x:c r="N208" s="40"/>
    </x:row>
    <x:row r="209" ht="75" customHeight="1">
      <x:c r="A209" s="40" t="str">
        <x:v>NOK</x:v>
      </x:c>
      <x:c r="B209" s="40" t="str">
        <x:v>Nokia</x:v>
      </x:c>
      <x:c r="C209" s="40" t="str">
        <x:v>NOK</x:v>
      </x:c>
      <x:c r="D209" s="40" t="str">
        <x:v>US/ADR</x:v>
      </x:c>
      <x:c r="E209" s="40" t="str">
        <x:v>Information Technology</x:v>
      </x:c>
      <x:c r="F209" s="40" t="str">
        <x:v>Information Technology</x:v>
      </x:c>
      <x:c r="G209" s="40" t="str">
        <x:v>E107</x:v>
      </x:c>
      <x:c r="H209" s="40" t="str">
        <x:v>Industry comparator / discovery seed</x:v>
      </x:c>
      <x:c r="I209" s="40" t="str">
        <x:v>Not individually underwritten</x:v>
      </x:c>
      <x:c r="J209" s="40" t="str">
        <x:v>Not refreshed; verify exchange, corporate actions, float and tradability</x:v>
      </x:c>
      <x:c r="K209" s="40" t="str">
        <x:v>OPEN: listing; security identity; float; liquidity; size; corporate actions</x:v>
      </x:c>
      <x:c r="L209" s="40" t="str"/>
      <x:c r="M209" s="40"/>
      <x:c r="N209" s="40"/>
    </x:row>
    <x:row r="210" ht="75" customHeight="1">
      <x:c r="A210" s="40" t="str">
        <x:v>NOW</x:v>
      </x:c>
      <x:c r="B210" s="40" t="str">
        <x:v>ServiceNow</x:v>
      </x:c>
      <x:c r="C210" s="40" t="str">
        <x:v>NOW</x:v>
      </x:c>
      <x:c r="D210" s="40" t="str">
        <x:v>US/ADR</x:v>
      </x:c>
      <x:c r="E210" s="40" t="str">
        <x:v>Information Technology</x:v>
      </x:c>
      <x:c r="F210" s="40" t="str">
        <x:v>Information Technology</x:v>
      </x:c>
      <x:c r="G210" s="40" t="str">
        <x:v>E103</x:v>
      </x:c>
      <x:c r="H210" s="40" t="str">
        <x:v>Industry comparator / discovery seed</x:v>
      </x:c>
      <x:c r="I210" s="40" t="str">
        <x:v>Not individually underwritten</x:v>
      </x:c>
      <x:c r="J210" s="40" t="str">
        <x:v>Not refreshed; verify exchange, corporate actions, float and tradability</x:v>
      </x:c>
      <x:c r="K210" s="40" t="str">
        <x:v>OPEN: listing; security identity; float; liquidity; size; corporate actions</x:v>
      </x:c>
      <x:c r="L210" s="40" t="str"/>
      <x:c r="M210" s="40"/>
      <x:c r="N210" s="40"/>
    </x:row>
    <x:row r="211" ht="75" customHeight="1">
      <x:c r="A211" s="40" t="str">
        <x:v>NRG</x:v>
      </x:c>
      <x:c r="B211" s="40" t="str">
        <x:v>NRG Energy</x:v>
      </x:c>
      <x:c r="C211" s="40" t="str">
        <x:v>NRG</x:v>
      </x:c>
      <x:c r="D211" s="40" t="str">
        <x:v>US/ADR</x:v>
      </x:c>
      <x:c r="E211" s="40" t="str">
        <x:v>Utilities</x:v>
      </x:c>
      <x:c r="F211" s="40" t="str">
        <x:v>Utilities</x:v>
      </x:c>
      <x:c r="G211" s="40" t="str">
        <x:v>E132</x:v>
      </x:c>
      <x:c r="H211" s="40" t="str">
        <x:v>Current-report research candidate</x:v>
      </x:c>
      <x:c r="I211" s="40" t="str">
        <x:v>Selected current-report facts checked; full underwriting incomplete</x:v>
      </x:c>
      <x:c r="J211" s="40" t="str">
        <x:v>Ticker in issuer materials; exchange, corporate actions, liquidity and eligibility still require refresh</x:v>
      </x:c>
      <x:c r="K211" s="40" t="str">
        <x:v>OPEN: listing; security identity; float; liquidity; size; corporate actions</x:v>
      </x:c>
      <x:c r="L211" s="40" t="str">
        <x:v>NRG26</x:v>
      </x:c>
      <x:c r="M211" s="40"/>
      <x:c r="N211" s="40"/>
    </x:row>
    <x:row r="212" ht="75" customHeight="1">
      <x:c r="A212" s="40" t="str">
        <x:v>NSSC</x:v>
      </x:c>
      <x:c r="B212" s="40" t="str">
        <x:v>NAPCO Security Technologies</x:v>
      </x:c>
      <x:c r="C212" s="40" t="str">
        <x:v>NSSC</x:v>
      </x:c>
      <x:c r="D212" s="40" t="str">
        <x:v>US/ADR</x:v>
      </x:c>
      <x:c r="E212" s="40" t="str">
        <x:v>Information Technology</x:v>
      </x:c>
      <x:c r="F212" s="40" t="str">
        <x:v>Information Technology</x:v>
      </x:c>
      <x:c r="G212" s="40" t="str">
        <x:v>E150</x:v>
      </x:c>
      <x:c r="H212" s="40" t="str">
        <x:v>Current-report research candidate</x:v>
      </x:c>
      <x:c r="I212" s="40" t="str">
        <x:v>Selected current-report facts checked; full underwriting incomplete</x:v>
      </x:c>
      <x:c r="J212" s="40" t="str">
        <x:v>Ticker in issuer materials; exchange, corporate actions, liquidity and eligibility still require refresh</x:v>
      </x:c>
      <x:c r="K212" s="40" t="str">
        <x:v>OPEN: listing; security identity; float; liquidity; size; corporate actions</x:v>
      </x:c>
      <x:c r="L212" s="40" t="str">
        <x:v>NSSC26</x:v>
      </x:c>
      <x:c r="M212" s="40"/>
      <x:c r="N212" s="40"/>
    </x:row>
    <x:row r="213" ht="75" customHeight="1">
      <x:c r="A213" s="40" t="str">
        <x:v>NTLA</x:v>
      </x:c>
      <x:c r="B213" s="40" t="str">
        <x:v>Intellia Therapeutics</x:v>
      </x:c>
      <x:c r="C213" s="40" t="str">
        <x:v>NTLA</x:v>
      </x:c>
      <x:c r="D213" s="40" t="str">
        <x:v>US/ADR</x:v>
      </x:c>
      <x:c r="E213" s="40" t="str">
        <x:v>Health Care</x:v>
      </x:c>
      <x:c r="F213" s="40" t="str">
        <x:v>Health Care</x:v>
      </x:c>
      <x:c r="G213" s="40" t="str">
        <x:v>E080</x:v>
      </x:c>
      <x:c r="H213" s="40" t="str">
        <x:v>Industry comparator / discovery seed</x:v>
      </x:c>
      <x:c r="I213" s="40" t="str">
        <x:v>Not individually underwritten</x:v>
      </x:c>
      <x:c r="J213" s="40" t="str">
        <x:v>Not refreshed; verify exchange, corporate actions, float and tradability</x:v>
      </x:c>
      <x:c r="K213" s="40" t="str">
        <x:v>OPEN: listing; security identity; float; liquidity; size; corporate actions</x:v>
      </x:c>
      <x:c r="L213" s="40" t="str"/>
      <x:c r="M213" s="40"/>
      <x:c r="N213" s="40"/>
    </x:row>
    <x:row r="214" ht="75" customHeight="1">
      <x:c r="A214" s="40" t="str">
        <x:v>NUE</x:v>
      </x:c>
      <x:c r="B214" s="40" t="str">
        <x:v>Nucor</x:v>
      </x:c>
      <x:c r="C214" s="40" t="str">
        <x:v>NUE</x:v>
      </x:c>
      <x:c r="D214" s="40" t="str">
        <x:v>US/ADR</x:v>
      </x:c>
      <x:c r="E214" s="40" t="str">
        <x:v>Materials</x:v>
      </x:c>
      <x:c r="F214" s="40" t="str">
        <x:v>Materials</x:v>
      </x:c>
      <x:c r="G214" s="40" t="str">
        <x:v>E017</x:v>
      </x:c>
      <x:c r="H214" s="40" t="str">
        <x:v>Industry comparator / discovery seed</x:v>
      </x:c>
      <x:c r="I214" s="40" t="str">
        <x:v>Not individually underwritten</x:v>
      </x:c>
      <x:c r="J214" s="40" t="str">
        <x:v>Not refreshed; verify exchange, corporate actions, float and tradability</x:v>
      </x:c>
      <x:c r="K214" s="40" t="str">
        <x:v>OPEN: listing; security identity; float; liquidity; size; corporate actions</x:v>
      </x:c>
      <x:c r="L214" s="40" t="str"/>
      <x:c r="M214" s="40"/>
      <x:c r="N214" s="40"/>
    </x:row>
    <x:row r="215" ht="75" customHeight="1">
      <x:c r="A215" s="40" t="str">
        <x:v>NVDA</x:v>
      </x:c>
      <x:c r="B215" s="40" t="str">
        <x:v>NVIDIA</x:v>
      </x:c>
      <x:c r="C215" s="40" t="str">
        <x:v>NVDA</x:v>
      </x:c>
      <x:c r="D215" s="40" t="str">
        <x:v>US/ADR</x:v>
      </x:c>
      <x:c r="E215" s="40" t="str">
        <x:v>Information Technology</x:v>
      </x:c>
      <x:c r="F215" s="40" t="str">
        <x:v>Information Technology</x:v>
      </x:c>
      <x:c r="G215" s="40" t="str">
        <x:v>E114</x:v>
      </x:c>
      <x:c r="H215" s="40" t="str">
        <x:v>Industry comparator / discovery seed</x:v>
      </x:c>
      <x:c r="I215" s="40" t="str">
        <x:v>Not individually underwritten</x:v>
      </x:c>
      <x:c r="J215" s="40" t="str">
        <x:v>Not refreshed; verify exchange, corporate actions, float and tradability</x:v>
      </x:c>
      <x:c r="K215" s="40" t="str">
        <x:v>OPEN: listing; security identity; float; liquidity; size; corporate actions</x:v>
      </x:c>
      <x:c r="L215" s="40" t="str"/>
      <x:c r="M215" s="40"/>
      <x:c r="N215" s="40"/>
    </x:row>
    <x:row r="216" ht="75" customHeight="1">
      <x:c r="A216" s="40" t="str">
        <x:v>NVR</x:v>
      </x:c>
      <x:c r="B216" s="40" t="str">
        <x:v>NVR</x:v>
      </x:c>
      <x:c r="C216" s="40" t="str">
        <x:v>NVR</x:v>
      </x:c>
      <x:c r="D216" s="40" t="str">
        <x:v>US/ADR</x:v>
      </x:c>
      <x:c r="E216" s="40" t="str">
        <x:v>Consumer Discretionary</x:v>
      </x:c>
      <x:c r="F216" s="40" t="str">
        <x:v>Consumer Discretionary</x:v>
      </x:c>
      <x:c r="G216" s="40" t="str">
        <x:v>E050</x:v>
      </x:c>
      <x:c r="H216" s="40" t="str">
        <x:v>Industry comparator / discovery seed</x:v>
      </x:c>
      <x:c r="I216" s="40" t="str">
        <x:v>Not individually underwritten</x:v>
      </x:c>
      <x:c r="J216" s="40" t="str">
        <x:v>Not refreshed; verify exchange, corporate actions, float and tradability</x:v>
      </x:c>
      <x:c r="K216" s="40" t="str">
        <x:v>OPEN: listing; security identity; float; liquidity; size; corporate actions</x:v>
      </x:c>
      <x:c r="L216" s="40" t="str"/>
      <x:c r="M216" s="40"/>
      <x:c r="N216" s="40"/>
    </x:row>
    <x:row r="217" ht="75" customHeight="1">
      <x:c r="A217" s="40" t="str">
        <x:v>NVT</x:v>
      </x:c>
      <x:c r="B217" s="40" t="str">
        <x:v>nVent</x:v>
      </x:c>
      <x:c r="C217" s="40" t="str">
        <x:v>NVT</x:v>
      </x:c>
      <x:c r="D217" s="40" t="str">
        <x:v>US/ADR</x:v>
      </x:c>
      <x:c r="E217" s="40" t="str">
        <x:v>Industrials</x:v>
      </x:c>
      <x:c r="F217" s="40" t="str">
        <x:v>Industrials</x:v>
      </x:c>
      <x:c r="G217" s="40" t="str">
        <x:v>E028</x:v>
      </x:c>
      <x:c r="H217" s="40" t="str">
        <x:v>Industry comparator / discovery seed</x:v>
      </x:c>
      <x:c r="I217" s="40" t="str">
        <x:v>Not individually underwritten</x:v>
      </x:c>
      <x:c r="J217" s="40" t="str">
        <x:v>Not refreshed; verify exchange, corporate actions, float and tradability</x:v>
      </x:c>
      <x:c r="K217" s="40" t="str">
        <x:v>OPEN: listing; security identity; float; liquidity; size; corporate actions</x:v>
      </x:c>
      <x:c r="L217" s="40" t="str"/>
      <x:c r="M217" s="40"/>
      <x:c r="N217" s="40"/>
    </x:row>
    <x:row r="218" ht="75" customHeight="1">
      <x:c r="A218" s="40" t="str">
        <x:v>NWSA</x:v>
      </x:c>
      <x:c r="B218" s="40" t="str">
        <x:v>News Corporation</x:v>
      </x:c>
      <x:c r="C218" s="40" t="str">
        <x:v>NWSA</x:v>
      </x:c>
      <x:c r="D218" s="40" t="str">
        <x:v>US/ADR</x:v>
      </x:c>
      <x:c r="E218" s="40" t="str">
        <x:v>Communication Services</x:v>
      </x:c>
      <x:c r="F218" s="40" t="str">
        <x:v>Communication Services</x:v>
      </x:c>
      <x:c r="G218" s="40" t="str">
        <x:v>E123</x:v>
      </x:c>
      <x:c r="H218" s="40" t="str">
        <x:v>Industry comparator / discovery seed</x:v>
      </x:c>
      <x:c r="I218" s="40" t="str">
        <x:v>Not individually underwritten</x:v>
      </x:c>
      <x:c r="J218" s="40" t="str">
        <x:v>Not refreshed; verify exchange, corporate actions, float and tradability</x:v>
      </x:c>
      <x:c r="K218" s="40" t="str">
        <x:v>OPEN: listing; security identity; float; liquidity; size; corporate actions</x:v>
      </x:c>
      <x:c r="L218" s="40" t="str"/>
      <x:c r="M218" s="40"/>
      <x:c r="N218" s="40"/>
    </x:row>
    <x:row r="219" ht="75" customHeight="1">
      <x:c r="A219" s="40" t="str">
        <x:v>NXST</x:v>
      </x:c>
      <x:c r="B219" s="40" t="str">
        <x:v>Nexstar Media</x:v>
      </x:c>
      <x:c r="C219" s="40" t="str">
        <x:v>NXST</x:v>
      </x:c>
      <x:c r="D219" s="40" t="str">
        <x:v>US/ADR</x:v>
      </x:c>
      <x:c r="E219" s="40" t="str">
        <x:v>Communication Services</x:v>
      </x:c>
      <x:c r="F219" s="40" t="str">
        <x:v>Communication Services</x:v>
      </x:c>
      <x:c r="G219" s="40" t="str">
        <x:v>E122</x:v>
      </x:c>
      <x:c r="H219" s="40" t="str">
        <x:v>Industry comparator / discovery seed</x:v>
      </x:c>
      <x:c r="I219" s="40" t="str">
        <x:v>Not individually underwritten</x:v>
      </x:c>
      <x:c r="J219" s="40" t="str">
        <x:v>Not refreshed; verify exchange, corporate actions, float and tradability</x:v>
      </x:c>
      <x:c r="K219" s="40" t="str">
        <x:v>OPEN: listing; security identity; float; liquidity; size; corporate actions</x:v>
      </x:c>
      <x:c r="L219" s="40" t="str"/>
      <x:c r="M219" s="40"/>
      <x:c r="N219" s="40"/>
    </x:row>
    <x:row r="220" ht="75" customHeight="1">
      <x:c r="A220" s="40" t="str">
        <x:v>NYT</x:v>
      </x:c>
      <x:c r="B220" s="40" t="str">
        <x:v>New York Times</x:v>
      </x:c>
      <x:c r="C220" s="40" t="str">
        <x:v>NYT</x:v>
      </x:c>
      <x:c r="D220" s="40" t="str">
        <x:v>US/ADR</x:v>
      </x:c>
      <x:c r="E220" s="40" t="str">
        <x:v>Communication Services</x:v>
      </x:c>
      <x:c r="F220" s="40" t="str">
        <x:v>Communication Services</x:v>
      </x:c>
      <x:c r="G220" s="40" t="str">
        <x:v>E123</x:v>
      </x:c>
      <x:c r="H220" s="40" t="str">
        <x:v>Industry comparator / discovery seed</x:v>
      </x:c>
      <x:c r="I220" s="40" t="str">
        <x:v>Not individually underwritten</x:v>
      </x:c>
      <x:c r="J220" s="40" t="str">
        <x:v>Not refreshed; verify exchange, corporate actions, float and tradability</x:v>
      </x:c>
      <x:c r="K220" s="40" t="str">
        <x:v>OPEN: listing; security identity; float; liquidity; size; corporate actions</x:v>
      </x:c>
      <x:c r="L220" s="40" t="str"/>
      <x:c r="M220" s="40"/>
      <x:c r="N220" s="40"/>
    </x:row>
    <x:row r="221" ht="75" customHeight="1">
      <x:c r="A221" s="40" t="str">
        <x:v>ODFL</x:v>
      </x:c>
      <x:c r="B221" s="40" t="str">
        <x:v>Old Dominion Freight Line</x:v>
      </x:c>
      <x:c r="C221" s="40" t="str">
        <x:v>ODFL</x:v>
      </x:c>
      <x:c r="D221" s="40" t="str">
        <x:v>US/ADR</x:v>
      </x:c>
      <x:c r="E221" s="40" t="str">
        <x:v>Industrials</x:v>
      </x:c>
      <x:c r="F221" s="40" t="str">
        <x:v>Industrials</x:v>
      </x:c>
      <x:c r="G221" s="40" t="str">
        <x:v>E044</x:v>
      </x:c>
      <x:c r="H221" s="40" t="str">
        <x:v>Industry comparator / discovery seed</x:v>
      </x:c>
      <x:c r="I221" s="40" t="str">
        <x:v>Not individually underwritten</x:v>
      </x:c>
      <x:c r="J221" s="40" t="str">
        <x:v>Not refreshed; verify exchange, corporate actions, float and tradability</x:v>
      </x:c>
      <x:c r="K221" s="40" t="str">
        <x:v>OPEN: listing; security identity; float; liquidity; size; corporate actions</x:v>
      </x:c>
      <x:c r="L221" s="40" t="str"/>
      <x:c r="M221" s="40"/>
      <x:c r="N221" s="40"/>
    </x:row>
    <x:row r="222" ht="75" customHeight="1">
      <x:c r="A222" s="40" t="str">
        <x:v>OGS</x:v>
      </x:c>
      <x:c r="B222" s="40" t="str">
        <x:v>ONE Gas</x:v>
      </x:c>
      <x:c r="C222" s="40" t="str">
        <x:v>OGS</x:v>
      </x:c>
      <x:c r="D222" s="40" t="str">
        <x:v>US/ADR</x:v>
      </x:c>
      <x:c r="E222" s="40" t="str">
        <x:v>Utilities</x:v>
      </x:c>
      <x:c r="F222" s="40" t="str">
        <x:v>Utilities</x:v>
      </x:c>
      <x:c r="G222" s="40" t="str">
        <x:v>E129</x:v>
      </x:c>
      <x:c r="H222" s="40" t="str">
        <x:v>Industry comparator / discovery seed</x:v>
      </x:c>
      <x:c r="I222" s="40" t="str">
        <x:v>Not individually underwritten</x:v>
      </x:c>
      <x:c r="J222" s="40" t="str">
        <x:v>Not refreshed; verify exchange, corporate actions, float and tradability</x:v>
      </x:c>
      <x:c r="K222" s="40" t="str">
        <x:v>OPEN: listing; security identity; float; liquidity; size; corporate actions</x:v>
      </x:c>
      <x:c r="L222" s="40" t="str"/>
      <x:c r="M222" s="40"/>
      <x:c r="N222" s="40"/>
    </x:row>
    <x:row r="223" ht="75" customHeight="1">
      <x:c r="A223" s="40" t="str">
        <x:v>OMF</x:v>
      </x:c>
      <x:c r="B223" s="40" t="str">
        <x:v>OneMain Holdings</x:v>
      </x:c>
      <x:c r="C223" s="40" t="str">
        <x:v>OMF</x:v>
      </x:c>
      <x:c r="D223" s="40" t="str">
        <x:v>US/ADR</x:v>
      </x:c>
      <x:c r="E223" s="40" t="str">
        <x:v>Financials</x:v>
      </x:c>
      <x:c r="F223" s="40" t="str">
        <x:v>Financials</x:v>
      </x:c>
      <x:c r="G223" s="40" t="str">
        <x:v>E091</x:v>
      </x:c>
      <x:c r="H223" s="40" t="str">
        <x:v>Industry comparator / discovery seed</x:v>
      </x:c>
      <x:c r="I223" s="40" t="str">
        <x:v>Not individually underwritten</x:v>
      </x:c>
      <x:c r="J223" s="40" t="str">
        <x:v>Not refreshed; verify exchange, corporate actions, float and tradability</x:v>
      </x:c>
      <x:c r="K223" s="40" t="str">
        <x:v>OPEN: listing; security identity; float; liquidity; size; corporate actions</x:v>
      </x:c>
      <x:c r="L223" s="40" t="str"/>
      <x:c r="M223" s="40"/>
      <x:c r="N223" s="40"/>
    </x:row>
    <x:row r="224" ht="75" customHeight="1">
      <x:c r="A224" s="40" t="str">
        <x:v>ON</x:v>
      </x:c>
      <x:c r="B224" s="40" t="str">
        <x:v>onsemi</x:v>
      </x:c>
      <x:c r="C224" s="40" t="str">
        <x:v>ON</x:v>
      </x:c>
      <x:c r="D224" s="40" t="str">
        <x:v>US/ADR</x:v>
      </x:c>
      <x:c r="E224" s="40" t="str">
        <x:v>Information Technology</x:v>
      </x:c>
      <x:c r="F224" s="40" t="str">
        <x:v>Information Technology</x:v>
      </x:c>
      <x:c r="G224" s="40" t="str">
        <x:v>E115</x:v>
      </x:c>
      <x:c r="H224" s="40" t="str">
        <x:v>Industry comparator / discovery seed</x:v>
      </x:c>
      <x:c r="I224" s="40" t="str">
        <x:v>Not individually underwritten</x:v>
      </x:c>
      <x:c r="J224" s="40" t="str">
        <x:v>Not refreshed; verify exchange, corporate actions, float and tradability</x:v>
      </x:c>
      <x:c r="K224" s="40" t="str">
        <x:v>OPEN: listing; security identity; float; liquidity; size; corporate actions</x:v>
      </x:c>
      <x:c r="L224" s="40" t="str"/>
      <x:c r="M224" s="40"/>
      <x:c r="N224" s="40"/>
    </x:row>
    <x:row r="225" ht="75" customHeight="1">
      <x:c r="A225" s="40" t="str">
        <x:v>ONTO</x:v>
      </x:c>
      <x:c r="B225" s="40" t="str">
        <x:v>Onto Innovation</x:v>
      </x:c>
      <x:c r="C225" s="40" t="str">
        <x:v>ONTO</x:v>
      </x:c>
      <x:c r="D225" s="40" t="str">
        <x:v>US/ADR</x:v>
      </x:c>
      <x:c r="E225" s="40" t="str">
        <x:v>Information Technology</x:v>
      </x:c>
      <x:c r="F225" s="40" t="str">
        <x:v>Information Technology</x:v>
      </x:c>
      <x:c r="G225" s="40" t="str">
        <x:v>E118</x:v>
      </x:c>
      <x:c r="H225" s="40" t="str">
        <x:v>Industry comparator / discovery seed</x:v>
      </x:c>
      <x:c r="I225" s="40" t="str">
        <x:v>Not individually underwritten</x:v>
      </x:c>
      <x:c r="J225" s="40" t="str">
        <x:v>Not refreshed; verify exchange, corporate actions, float and tradability</x:v>
      </x:c>
      <x:c r="K225" s="40" t="str">
        <x:v>OPEN: listing; security identity; float; liquidity; size; corporate actions</x:v>
      </x:c>
      <x:c r="L225" s="40" t="str"/>
      <x:c r="M225" s="40"/>
      <x:c r="N225" s="40"/>
    </x:row>
    <x:row r="226" ht="75" customHeight="1">
      <x:c r="A226" s="40" t="str">
        <x:v>ORLY</x:v>
      </x:c>
      <x:c r="B226" s="40" t="str">
        <x:v>O'Reilly Automotive</x:v>
      </x:c>
      <x:c r="C226" s="40" t="str">
        <x:v>ORLY</x:v>
      </x:c>
      <x:c r="D226" s="40" t="str">
        <x:v>US/ADR</x:v>
      </x:c>
      <x:c r="E226" s="40" t="str">
        <x:v>Consumer Discretionary</x:v>
      </x:c>
      <x:c r="F226" s="40" t="str">
        <x:v>Consumer Discretionary</x:v>
      </x:c>
      <x:c r="G226" s="40" t="str">
        <x:v>E064</x:v>
      </x:c>
      <x:c r="H226" s="40" t="str">
        <x:v>Industry comparator / discovery seed</x:v>
      </x:c>
      <x:c r="I226" s="40" t="str">
        <x:v>Not individually underwritten</x:v>
      </x:c>
      <x:c r="J226" s="40" t="str">
        <x:v>Not refreshed; verify exchange, corporate actions, float and tradability</x:v>
      </x:c>
      <x:c r="K226" s="40" t="str">
        <x:v>OPEN: listing; security identity; float; liquidity; size; corporate actions</x:v>
      </x:c>
      <x:c r="L226" s="40" t="str"/>
      <x:c r="M226" s="40"/>
      <x:c r="N226" s="40"/>
    </x:row>
    <x:row r="227" ht="75" customHeight="1">
      <x:c r="A227" s="40" t="str">
        <x:v>OZK</x:v>
      </x:c>
      <x:c r="B227" s="40" t="str">
        <x:v>Bank OZK</x:v>
      </x:c>
      <x:c r="C227" s="40" t="str">
        <x:v>OZK</x:v>
      </x:c>
      <x:c r="D227" s="40" t="str">
        <x:v>US/ADR</x:v>
      </x:c>
      <x:c r="E227" s="40" t="str">
        <x:v>Financials</x:v>
      </x:c>
      <x:c r="F227" s="40" t="str">
        <x:v>Financials</x:v>
      </x:c>
      <x:c r="G227" s="40" t="str">
        <x:v>E088</x:v>
      </x:c>
      <x:c r="H227" s="40" t="str">
        <x:v>Industry comparator / discovery seed</x:v>
      </x:c>
      <x:c r="I227" s="40" t="str">
        <x:v>Not individually underwritten</x:v>
      </x:c>
      <x:c r="J227" s="40" t="str">
        <x:v>Not refreshed; verify exchange, corporate actions, float and tradability</x:v>
      </x:c>
      <x:c r="K227" s="40" t="str">
        <x:v>OPEN: listing; security identity; float; liquidity; size; corporate actions</x:v>
      </x:c>
      <x:c r="L227" s="40" t="str"/>
      <x:c r="M227" s="40"/>
      <x:c r="N227" s="40"/>
    </x:row>
    <x:row r="228" ht="75" customHeight="1">
      <x:c r="A228" s="40" t="str">
        <x:v>PAC</x:v>
      </x:c>
      <x:c r="B228" s="40" t="str">
        <x:v>Grupo Aeroportuario del Pacifico</x:v>
      </x:c>
      <x:c r="C228" s="40" t="str">
        <x:v>PAC</x:v>
      </x:c>
      <x:c r="D228" s="40" t="str">
        <x:v>US/ADR</x:v>
      </x:c>
      <x:c r="E228" s="40" t="str">
        <x:v>Industrials</x:v>
      </x:c>
      <x:c r="F228" s="40" t="str">
        <x:v>Industrials</x:v>
      </x:c>
      <x:c r="G228" s="40" t="str">
        <x:v>E045</x:v>
      </x:c>
      <x:c r="H228" s="40" t="str">
        <x:v>Industry comparator / discovery seed</x:v>
      </x:c>
      <x:c r="I228" s="40" t="str">
        <x:v>Not individually underwritten</x:v>
      </x:c>
      <x:c r="J228" s="40" t="str">
        <x:v>Not refreshed; verify exchange, corporate actions, float and tradability</x:v>
      </x:c>
      <x:c r="K228" s="40" t="str">
        <x:v>OPEN: listing; security identity; float; liquidity; size; corporate actions</x:v>
      </x:c>
      <x:c r="L228" s="40" t="str"/>
      <x:c r="M228" s="40"/>
      <x:c r="N228" s="40"/>
    </x:row>
    <x:row r="229" ht="75" customHeight="1">
      <x:c r="A229" s="40" t="str">
        <x:v>PANW</x:v>
      </x:c>
      <x:c r="B229" s="40" t="str">
        <x:v>Palo Alto Networks</x:v>
      </x:c>
      <x:c r="C229" s="40" t="str">
        <x:v>PANW</x:v>
      </x:c>
      <x:c r="D229" s="40" t="str">
        <x:v>US/ADR</x:v>
      </x:c>
      <x:c r="E229" s="40" t="str">
        <x:v>Information Technology</x:v>
      </x:c>
      <x:c r="F229" s="40" t="str">
        <x:v>Information Technology</x:v>
      </x:c>
      <x:c r="G229" s="40" t="str">
        <x:v>E104</x:v>
      </x:c>
      <x:c r="H229" s="40" t="str">
        <x:v>Industry comparator / discovery seed</x:v>
      </x:c>
      <x:c r="I229" s="40" t="str">
        <x:v>Not individually underwritten</x:v>
      </x:c>
      <x:c r="J229" s="40" t="str">
        <x:v>Not refreshed; verify exchange, corporate actions, float and tradability</x:v>
      </x:c>
      <x:c r="K229" s="40" t="str">
        <x:v>OPEN: listing; security identity; float; liquidity; size; corporate actions</x:v>
      </x:c>
      <x:c r="L229" s="40" t="str"/>
      <x:c r="M229" s="40"/>
      <x:c r="N229" s="40"/>
    </x:row>
    <x:row r="230" ht="75" customHeight="1">
      <x:c r="A230" s="40" t="str">
        <x:v>PEB</x:v>
      </x:c>
      <x:c r="B230" s="40" t="str">
        <x:v>Pebblebrook Hotel Trust</x:v>
      </x:c>
      <x:c r="C230" s="40" t="str">
        <x:v>PEB</x:v>
      </x:c>
      <x:c r="D230" s="40" t="str">
        <x:v>US/ADR</x:v>
      </x:c>
      <x:c r="E230" s="40" t="str">
        <x:v>Real Estate</x:v>
      </x:c>
      <x:c r="F230" s="40" t="str">
        <x:v>Real Estate</x:v>
      </x:c>
      <x:c r="G230" s="40" t="str">
        <x:v>E136</x:v>
      </x:c>
      <x:c r="H230" s="40" t="str">
        <x:v>Industry comparator / discovery seed</x:v>
      </x:c>
      <x:c r="I230" s="40" t="str">
        <x:v>Not individually underwritten</x:v>
      </x:c>
      <x:c r="J230" s="40" t="str">
        <x:v>Not refreshed; verify exchange, corporate actions, float and tradability</x:v>
      </x:c>
      <x:c r="K230" s="40" t="str">
        <x:v>OPEN: listing; security identity; float; liquidity; size; corporate actions</x:v>
      </x:c>
      <x:c r="L230" s="40" t="str"/>
      <x:c r="M230" s="40"/>
      <x:c r="N230" s="40"/>
    </x:row>
    <x:row r="231" ht="75" customHeight="1">
      <x:c r="A231" s="40" t="str">
        <x:v>PEBO</x:v>
      </x:c>
      <x:c r="B231" s="40" t="str">
        <x:v>Peoples Bancorp</x:v>
      </x:c>
      <x:c r="C231" s="40" t="str">
        <x:v>PEBO</x:v>
      </x:c>
      <x:c r="D231" s="40" t="str">
        <x:v>US/ADR</x:v>
      </x:c>
      <x:c r="E231" s="40" t="str">
        <x:v>Financials</x:v>
      </x:c>
      <x:c r="F231" s="40" t="str">
        <x:v>Financials</x:v>
      </x:c>
      <x:c r="G231" s="40" t="str">
        <x:v>E087</x:v>
      </x:c>
      <x:c r="H231" s="40" t="str">
        <x:v>Current-report research candidate</x:v>
      </x:c>
      <x:c r="I231" s="40" t="str">
        <x:v>Selected current-report facts checked; full underwriting incomplete</x:v>
      </x:c>
      <x:c r="J231" s="40" t="str">
        <x:v>Ticker in issuer materials; exchange, corporate actions, liquidity and eligibility still require refresh</x:v>
      </x:c>
      <x:c r="K231" s="40" t="str">
        <x:v>OPEN: listing; security identity; float; liquidity; size; corporate actions</x:v>
      </x:c>
      <x:c r="L231" s="40" t="str">
        <x:v>PEBO26</x:v>
      </x:c>
      <x:c r="M231" s="40"/>
      <x:c r="N231" s="40"/>
    </x:row>
    <x:row r="232" ht="75" customHeight="1">
      <x:c r="A232" s="40" t="str">
        <x:v>PFGC</x:v>
      </x:c>
      <x:c r="B232" s="40" t="str">
        <x:v>Performance Food Group</x:v>
      </x:c>
      <x:c r="C232" s="40" t="str">
        <x:v>PFGC</x:v>
      </x:c>
      <x:c r="D232" s="40" t="str">
        <x:v>US/ADR</x:v>
      </x:c>
      <x:c r="E232" s="40" t="str">
        <x:v>Consumer Staples</x:v>
      </x:c>
      <x:c r="F232" s="40" t="str">
        <x:v>Consumer Staples</x:v>
      </x:c>
      <x:c r="G232" s="40" t="str">
        <x:v>E066</x:v>
      </x:c>
      <x:c r="H232" s="40" t="str">
        <x:v>Industry comparator / discovery seed</x:v>
      </x:c>
      <x:c r="I232" s="40" t="str">
        <x:v>Not individually underwritten</x:v>
      </x:c>
      <x:c r="J232" s="40" t="str">
        <x:v>Not refreshed; verify exchange, corporate actions, float and tradability</x:v>
      </x:c>
      <x:c r="K232" s="40" t="str">
        <x:v>OPEN: listing; security identity; float; liquidity; size; corporate actions</x:v>
      </x:c>
      <x:c r="L232" s="40" t="str"/>
      <x:c r="M232" s="40"/>
      <x:c r="N232" s="40"/>
    </x:row>
    <x:row r="233" ht="75" customHeight="1">
      <x:c r="A233" s="40" t="str">
        <x:v>PG</x:v>
      </x:c>
      <x:c r="B233" s="40" t="str">
        <x:v>Procter &amp; Gamble</x:v>
      </x:c>
      <x:c r="C233" s="40" t="str">
        <x:v>PG</x:v>
      </x:c>
      <x:c r="D233" s="40" t="str">
        <x:v>US/ADR</x:v>
      </x:c>
      <x:c r="E233" s="40" t="str">
        <x:v>Consumer Staples</x:v>
      </x:c>
      <x:c r="F233" s="40" t="str">
        <x:v>Consumer Staples</x:v>
      </x:c>
      <x:c r="G233" s="40" t="str">
        <x:v>E072</x:v>
      </x:c>
      <x:c r="H233" s="40" t="str">
        <x:v>Industry comparator / discovery seed</x:v>
      </x:c>
      <x:c r="I233" s="40" t="str">
        <x:v>Not individually underwritten</x:v>
      </x:c>
      <x:c r="J233" s="40" t="str">
        <x:v>Not refreshed; verify exchange, corporate actions, float and tradability</x:v>
      </x:c>
      <x:c r="K233" s="40" t="str">
        <x:v>OPEN: listing; security identity; float; liquidity; size; corporate actions</x:v>
      </x:c>
      <x:c r="L233" s="40" t="str"/>
      <x:c r="M233" s="40"/>
      <x:c r="N233" s="40"/>
    </x:row>
    <x:row r="234" ht="75" customHeight="1">
      <x:c r="A234" s="40" t="str">
        <x:v>PH</x:v>
      </x:c>
      <x:c r="B234" s="40" t="str">
        <x:v>Parker-Hannifin</x:v>
      </x:c>
      <x:c r="C234" s="40" t="str">
        <x:v>PH</x:v>
      </x:c>
      <x:c r="D234" s="40" t="str">
        <x:v>US/ADR</x:v>
      </x:c>
      <x:c r="E234" s="40" t="str">
        <x:v>Industrials</x:v>
      </x:c>
      <x:c r="F234" s="40" t="str">
        <x:v>Industrials</x:v>
      </x:c>
      <x:c r="G234" s="40" t="str">
        <x:v>E030</x:v>
      </x:c>
      <x:c r="H234" s="40" t="str">
        <x:v>Industry comparator / discovery seed</x:v>
      </x:c>
      <x:c r="I234" s="40" t="str">
        <x:v>Not individually underwritten</x:v>
      </x:c>
      <x:c r="J234" s="40" t="str">
        <x:v>Not refreshed; verify exchange, corporate actions, float and tradability</x:v>
      </x:c>
      <x:c r="K234" s="40" t="str">
        <x:v>OPEN: listing; security identity; float; liquidity; size; corporate actions</x:v>
      </x:c>
      <x:c r="L234" s="40" t="str"/>
      <x:c r="M234" s="40"/>
      <x:c r="N234" s="40"/>
    </x:row>
    <x:row r="235" ht="75" customHeight="1">
      <x:c r="A235" s="40" t="str">
        <x:v>PII</x:v>
      </x:c>
      <x:c r="B235" s="40" t="str">
        <x:v>Polaris</x:v>
      </x:c>
      <x:c r="C235" s="40" t="str">
        <x:v>PII</x:v>
      </x:c>
      <x:c r="D235" s="40" t="str">
        <x:v>US/ADR</x:v>
      </x:c>
      <x:c r="E235" s="40" t="str">
        <x:v>Consumer Discretionary</x:v>
      </x:c>
      <x:c r="F235" s="40" t="str">
        <x:v>Consumer Discretionary</x:v>
      </x:c>
      <x:c r="G235" s="40" t="str">
        <x:v>E052</x:v>
      </x:c>
      <x:c r="H235" s="40" t="str">
        <x:v>Industry comparator / discovery seed</x:v>
      </x:c>
      <x:c r="I235" s="40" t="str">
        <x:v>Not individually underwritten</x:v>
      </x:c>
      <x:c r="J235" s="40" t="str">
        <x:v>Not refreshed; verify exchange, corporate actions, float and tradability</x:v>
      </x:c>
      <x:c r="K235" s="40" t="str">
        <x:v>OPEN: listing; security identity; float; liquidity; size; corporate actions</x:v>
      </x:c>
      <x:c r="L235" s="40" t="str"/>
      <x:c r="M235" s="40"/>
      <x:c r="N235" s="40"/>
    </x:row>
    <x:row r="236" ht="75" customHeight="1">
      <x:c r="A236" s="40" t="str">
        <x:v>PINS</x:v>
      </x:c>
      <x:c r="B236" s="40" t="str">
        <x:v>Pinterest</x:v>
      </x:c>
      <x:c r="C236" s="40" t="str">
        <x:v>PINS</x:v>
      </x:c>
      <x:c r="D236" s="40" t="str">
        <x:v>US/ADR</x:v>
      </x:c>
      <x:c r="E236" s="40" t="str">
        <x:v>Communication Services</x:v>
      </x:c>
      <x:c r="F236" s="40" t="str">
        <x:v>Communication Services</x:v>
      </x:c>
      <x:c r="G236" s="40" t="str">
        <x:v>E126</x:v>
      </x:c>
      <x:c r="H236" s="40" t="str">
        <x:v>Industry comparator / discovery seed</x:v>
      </x:c>
      <x:c r="I236" s="40" t="str">
        <x:v>Not individually underwritten</x:v>
      </x:c>
      <x:c r="J236" s="40" t="str">
        <x:v>Not refreshed; verify exchange, corporate actions, float and tradability</x:v>
      </x:c>
      <x:c r="K236" s="40" t="str">
        <x:v>OPEN: listing; security identity; float; liquidity; size; corporate actions</x:v>
      </x:c>
      <x:c r="L236" s="40" t="str"/>
      <x:c r="M236" s="40"/>
      <x:c r="N236" s="40"/>
    </x:row>
    <x:row r="237" ht="75" customHeight="1">
      <x:c r="A237" s="40" t="str">
        <x:v>PIPR</x:v>
      </x:c>
      <x:c r="B237" s="40" t="str">
        <x:v>Piper Sandler</x:v>
      </x:c>
      <x:c r="C237" s="40" t="str">
        <x:v>PIPR</x:v>
      </x:c>
      <x:c r="D237" s="40" t="str">
        <x:v>US/ADR</x:v>
      </x:c>
      <x:c r="E237" s="40" t="str">
        <x:v>Financials</x:v>
      </x:c>
      <x:c r="F237" s="40" t="str">
        <x:v>Financials</x:v>
      </x:c>
      <x:c r="G237" s="40" t="str">
        <x:v>E094</x:v>
      </x:c>
      <x:c r="H237" s="40" t="str">
        <x:v>Industry comparator / discovery seed</x:v>
      </x:c>
      <x:c r="I237" s="40" t="str">
        <x:v>Not individually underwritten</x:v>
      </x:c>
      <x:c r="J237" s="40" t="str">
        <x:v>Not refreshed; verify exchange, corporate actions, float and tradability</x:v>
      </x:c>
      <x:c r="K237" s="40" t="str">
        <x:v>OPEN: listing; security identity; float; liquidity; size; corporate actions</x:v>
      </x:c>
      <x:c r="L237" s="40" t="str"/>
      <x:c r="M237" s="40"/>
      <x:c r="N237" s="40"/>
    </x:row>
    <x:row r="238" ht="75" customHeight="1">
      <x:c r="A238" s="40" t="str">
        <x:v>PKG</x:v>
      </x:c>
      <x:c r="B238" s="40" t="str">
        <x:v>Packaging Corporation of America</x:v>
      </x:c>
      <x:c r="C238" s="40" t="str">
        <x:v>PKG</x:v>
      </x:c>
      <x:c r="D238" s="40" t="str">
        <x:v>US/ADR</x:v>
      </x:c>
      <x:c r="E238" s="40" t="str">
        <x:v>Materials</x:v>
      </x:c>
      <x:c r="F238" s="40" t="str">
        <x:v>Materials</x:v>
      </x:c>
      <x:c r="G238" s="40" t="str">
        <x:v>E014</x:v>
      </x:c>
      <x:c r="H238" s="40" t="str">
        <x:v>Industry comparator / discovery seed</x:v>
      </x:c>
      <x:c r="I238" s="40" t="str">
        <x:v>Not individually underwritten</x:v>
      </x:c>
      <x:c r="J238" s="40" t="str">
        <x:v>Not refreshed; verify exchange, corporate actions, float and tradability</x:v>
      </x:c>
      <x:c r="K238" s="40" t="str">
        <x:v>OPEN: listing; security identity; float; liquidity; size; corporate actions</x:v>
      </x:c>
      <x:c r="L238" s="40" t="str"/>
      <x:c r="M238" s="40"/>
      <x:c r="N238" s="40"/>
    </x:row>
    <x:row r="239" ht="75" customHeight="1">
      <x:c r="A239" s="40" t="str">
        <x:v>PLD</x:v>
      </x:c>
      <x:c r="B239" s="40" t="str">
        <x:v>Prologis</x:v>
      </x:c>
      <x:c r="C239" s="40" t="str">
        <x:v>PLD</x:v>
      </x:c>
      <x:c r="D239" s="40" t="str">
        <x:v>US/ADR</x:v>
      </x:c>
      <x:c r="E239" s="40" t="str">
        <x:v>Real Estate</x:v>
      </x:c>
      <x:c r="F239" s="40" t="str">
        <x:v>Real Estate</x:v>
      </x:c>
      <x:c r="G239" s="40" t="str">
        <x:v>E135</x:v>
      </x:c>
      <x:c r="H239" s="40" t="str">
        <x:v>Industry comparator / discovery seed</x:v>
      </x:c>
      <x:c r="I239" s="40" t="str">
        <x:v>Not individually underwritten</x:v>
      </x:c>
      <x:c r="J239" s="40" t="str">
        <x:v>Not refreshed; verify exchange, corporate actions, float and tradability</x:v>
      </x:c>
      <x:c r="K239" s="40" t="str">
        <x:v>OPEN: listing; security identity; float; liquidity; size; corporate actions</x:v>
      </x:c>
      <x:c r="L239" s="40" t="str"/>
      <x:c r="M239" s="40"/>
      <x:c r="N239" s="40"/>
    </x:row>
    <x:row r="240" ht="75" customHeight="1">
      <x:c r="A240" s="40" t="str">
        <x:v>PM</x:v>
      </x:c>
      <x:c r="B240" s="40" t="str">
        <x:v>Philip Morris International</x:v>
      </x:c>
      <x:c r="C240" s="40" t="str">
        <x:v>PM</x:v>
      </x:c>
      <x:c r="D240" s="40" t="str">
        <x:v>US/ADR</x:v>
      </x:c>
      <x:c r="E240" s="40" t="str">
        <x:v>Consumer Staples</x:v>
      </x:c>
      <x:c r="F240" s="40" t="str">
        <x:v>Consumer Staples</x:v>
      </x:c>
      <x:c r="G240" s="40" t="str">
        <x:v>E071</x:v>
      </x:c>
      <x:c r="H240" s="40" t="str">
        <x:v>Industry comparator / discovery seed</x:v>
      </x:c>
      <x:c r="I240" s="40" t="str">
        <x:v>Not individually underwritten</x:v>
      </x:c>
      <x:c r="J240" s="40" t="str">
        <x:v>Not refreshed; verify exchange, corporate actions, float and tradability</x:v>
      </x:c>
      <x:c r="K240" s="40" t="str">
        <x:v>OPEN: listing; security identity; float; liquidity; size; corporate actions</x:v>
      </x:c>
      <x:c r="L240" s="40" t="str"/>
      <x:c r="M240" s="40"/>
      <x:c r="N240" s="40"/>
    </x:row>
    <x:row r="241" ht="75" customHeight="1">
      <x:c r="A241" s="40" t="str">
        <x:v>POOL</x:v>
      </x:c>
      <x:c r="B241" s="40" t="str">
        <x:v>Pool Corporation</x:v>
      </x:c>
      <x:c r="C241" s="40" t="str">
        <x:v>POOL</x:v>
      </x:c>
      <x:c r="D241" s="40" t="str">
        <x:v>US/ADR</x:v>
      </x:c>
      <x:c r="E241" s="40" t="str">
        <x:v>Consumer Discretionary</x:v>
      </x:c>
      <x:c r="F241" s="40" t="str">
        <x:v>Consumer Discretionary</x:v>
      </x:c>
      <x:c r="G241" s="40" t="str">
        <x:v>E061</x:v>
      </x:c>
      <x:c r="H241" s="40" t="str">
        <x:v>Industry comparator / discovery seed</x:v>
      </x:c>
      <x:c r="I241" s="40" t="str">
        <x:v>Not individually underwritten</x:v>
      </x:c>
      <x:c r="J241" s="40" t="str">
        <x:v>Not refreshed; verify exchange, corporate actions, float and tradability</x:v>
      </x:c>
      <x:c r="K241" s="40" t="str">
        <x:v>OPEN: listing; security identity; float; liquidity; size; corporate actions</x:v>
      </x:c>
      <x:c r="L241" s="40" t="str"/>
      <x:c r="M241" s="40"/>
      <x:c r="N241" s="40"/>
    </x:row>
    <x:row r="242" ht="75" customHeight="1">
      <x:c r="A242" s="40" t="str">
        <x:v>POWL</x:v>
      </x:c>
      <x:c r="B242" s="40" t="str">
        <x:v>Powell Industries</x:v>
      </x:c>
      <x:c r="C242" s="40" t="str">
        <x:v>POWL</x:v>
      </x:c>
      <x:c r="D242" s="40" t="str">
        <x:v>US/ADR</x:v>
      </x:c>
      <x:c r="E242" s="40" t="str">
        <x:v>Industrials</x:v>
      </x:c>
      <x:c r="F242" s="40" t="str">
        <x:v>Industrials</x:v>
      </x:c>
      <x:c r="G242" s="40" t="str">
        <x:v>E027</x:v>
      </x:c>
      <x:c r="H242" s="40" t="str">
        <x:v>Current-report research candidate</x:v>
      </x:c>
      <x:c r="I242" s="40" t="str">
        <x:v>Selected current-report facts checked; full underwriting incomplete</x:v>
      </x:c>
      <x:c r="J242" s="40" t="str">
        <x:v>Ticker in issuer materials; exchange, corporate actions, liquidity and eligibility still require refresh</x:v>
      </x:c>
      <x:c r="K242" s="40" t="str">
        <x:v>OPEN: listing; security identity; float; liquidity; size; corporate actions</x:v>
      </x:c>
      <x:c r="L242" s="40" t="str">
        <x:v>POWL26</x:v>
      </x:c>
      <x:c r="M242" s="40"/>
      <x:c r="N242" s="40"/>
    </x:row>
    <x:row r="243" ht="75" customHeight="1">
      <x:c r="A243" s="40" t="str">
        <x:v>PSA</x:v>
      </x:c>
      <x:c r="B243" s="40" t="str">
        <x:v>Public Storage</x:v>
      </x:c>
      <x:c r="C243" s="40" t="str">
        <x:v>PSA</x:v>
      </x:c>
      <x:c r="D243" s="40" t="str">
        <x:v>US/ADR</x:v>
      </x:c>
      <x:c r="E243" s="40" t="str">
        <x:v>Real Estate</x:v>
      </x:c>
      <x:c r="F243" s="40" t="str">
        <x:v>Real Estate</x:v>
      </x:c>
      <x:c r="G243" s="40" t="str">
        <x:v>E145</x:v>
      </x:c>
      <x:c r="H243" s="40" t="str">
        <x:v>Industry comparator / discovery seed</x:v>
      </x:c>
      <x:c r="I243" s="40" t="str">
        <x:v>Not individually underwritten</x:v>
      </x:c>
      <x:c r="J243" s="40" t="str">
        <x:v>Not refreshed; verify exchange, corporate actions, float and tradability</x:v>
      </x:c>
      <x:c r="K243" s="40" t="str">
        <x:v>OPEN: listing; security identity; float; liquidity; size; corporate actions</x:v>
      </x:c>
      <x:c r="L243" s="40" t="str"/>
      <x:c r="M243" s="40"/>
      <x:c r="N243" s="40"/>
    </x:row>
    <x:row r="244" ht="75" customHeight="1">
      <x:c r="A244" s="40" t="str">
        <x:v>PTEN</x:v>
      </x:c>
      <x:c r="B244" s="40" t="str">
        <x:v>Patterson-UTI</x:v>
      </x:c>
      <x:c r="C244" s="40" t="str">
        <x:v>PTEN</x:v>
      </x:c>
      <x:c r="D244" s="40" t="str">
        <x:v>US/ADR</x:v>
      </x:c>
      <x:c r="E244" s="40" t="str">
        <x:v>Energy</x:v>
      </x:c>
      <x:c r="F244" s="40" t="str">
        <x:v>Energy</x:v>
      </x:c>
      <x:c r="G244" s="40" t="str">
        <x:v>E001</x:v>
      </x:c>
      <x:c r="H244" s="40" t="str">
        <x:v>Industry comparator / discovery seed</x:v>
      </x:c>
      <x:c r="I244" s="40" t="str">
        <x:v>Not individually underwritten</x:v>
      </x:c>
      <x:c r="J244" s="40" t="str">
        <x:v>Not refreshed; verify exchange, corporate actions, float and tradability</x:v>
      </x:c>
      <x:c r="K244" s="40" t="str">
        <x:v>OPEN: listing; security identity; float; liquidity; size; corporate actions</x:v>
      </x:c>
      <x:c r="L244" s="40" t="str"/>
      <x:c r="M244" s="40"/>
      <x:c r="N244" s="40"/>
    </x:row>
    <x:row r="245" ht="75" customHeight="1">
      <x:c r="A245" s="40" t="str">
        <x:v>PWR</x:v>
      </x:c>
      <x:c r="B245" s="40" t="str">
        <x:v>Quanta Services</x:v>
      </x:c>
      <x:c r="C245" s="40" t="str">
        <x:v>PWR</x:v>
      </x:c>
      <x:c r="D245" s="40" t="str">
        <x:v>US/ADR</x:v>
      </x:c>
      <x:c r="E245" s="40" t="str">
        <x:v>Industrials</x:v>
      </x:c>
      <x:c r="F245" s="40" t="str">
        <x:v>Industrials</x:v>
      </x:c>
      <x:c r="G245" s="40" t="str">
        <x:v>E026</x:v>
      </x:c>
      <x:c r="H245" s="40" t="str">
        <x:v>Industry comparator / discovery seed</x:v>
      </x:c>
      <x:c r="I245" s="40" t="str">
        <x:v>Not individually underwritten</x:v>
      </x:c>
      <x:c r="J245" s="40" t="str">
        <x:v>Not refreshed; verify exchange, corporate actions, float and tradability</x:v>
      </x:c>
      <x:c r="K245" s="40" t="str">
        <x:v>OPEN: listing; security identity; float; liquidity; size; corporate actions</x:v>
      </x:c>
      <x:c r="L245" s="40" t="str"/>
      <x:c r="M245" s="40"/>
      <x:c r="N245" s="40"/>
    </x:row>
    <x:row r="246" ht="75" customHeight="1">
      <x:c r="A246" s="40" t="str">
        <x:v>RACE</x:v>
      </x:c>
      <x:c r="B246" s="40" t="str">
        <x:v>Ferrari</x:v>
      </x:c>
      <x:c r="C246" s="40" t="str">
        <x:v>RACE</x:v>
      </x:c>
      <x:c r="D246" s="40" t="str">
        <x:v>US/ADR</x:v>
      </x:c>
      <x:c r="E246" s="40" t="str">
        <x:v>Consumer Discretionary</x:v>
      </x:c>
      <x:c r="F246" s="40" t="str">
        <x:v>Consumer Discretionary</x:v>
      </x:c>
      <x:c r="G246" s="40" t="str">
        <x:v>E049</x:v>
      </x:c>
      <x:c r="H246" s="40" t="str">
        <x:v>Industry comparator / discovery seed</x:v>
      </x:c>
      <x:c r="I246" s="40" t="str">
        <x:v>Not individually underwritten</x:v>
      </x:c>
      <x:c r="J246" s="40" t="str">
        <x:v>Not refreshed; verify exchange, corporate actions, float and tradability</x:v>
      </x:c>
      <x:c r="K246" s="40" t="str">
        <x:v>OPEN: listing; security identity; float; liquidity; size; corporate actions</x:v>
      </x:c>
      <x:c r="L246" s="40" t="str"/>
      <x:c r="M246" s="40"/>
      <x:c r="N246" s="40"/>
    </x:row>
    <x:row r="247" ht="75" customHeight="1">
      <x:c r="A247" s="40" t="str">
        <x:v>RCL</x:v>
      </x:c>
      <x:c r="B247" s="40" t="str">
        <x:v>Royal Caribbean</x:v>
      </x:c>
      <x:c r="C247" s="40" t="str">
        <x:v>RCL</x:v>
      </x:c>
      <x:c r="D247" s="40" t="str">
        <x:v>US/ADR</x:v>
      </x:c>
      <x:c r="E247" s="40" t="str">
        <x:v>Consumer Discretionary</x:v>
      </x:c>
      <x:c r="F247" s="40" t="str">
        <x:v>Consumer Discretionary</x:v>
      </x:c>
      <x:c r="G247" s="40" t="str">
        <x:v>E059</x:v>
      </x:c>
      <x:c r="H247" s="40" t="str">
        <x:v>Industry comparator / discovery seed</x:v>
      </x:c>
      <x:c r="I247" s="40" t="str">
        <x:v>Not individually underwritten</x:v>
      </x:c>
      <x:c r="J247" s="40" t="str">
        <x:v>Not refreshed; verify exchange, corporate actions, float and tradability</x:v>
      </x:c>
      <x:c r="K247" s="40" t="str">
        <x:v>OPEN: listing; security identity; float; liquidity; size; corporate actions</x:v>
      </x:c>
      <x:c r="L247" s="40" t="str"/>
      <x:c r="M247" s="40"/>
      <x:c r="N247" s="40"/>
    </x:row>
    <x:row r="248" ht="75" customHeight="1">
      <x:c r="A248" s="40" t="str">
        <x:v>REG</x:v>
      </x:c>
      <x:c r="B248" s="40" t="str">
        <x:v>Regency Centers</x:v>
      </x:c>
      <x:c r="C248" s="40" t="str">
        <x:v>REG</x:v>
      </x:c>
      <x:c r="D248" s="40" t="str">
        <x:v>US/ADR</x:v>
      </x:c>
      <x:c r="E248" s="40" t="str">
        <x:v>Real Estate</x:v>
      </x:c>
      <x:c r="F248" s="40" t="str">
        <x:v>Real Estate</x:v>
      </x:c>
      <x:c r="G248" s="40" t="str">
        <x:v>E141</x:v>
      </x:c>
      <x:c r="H248" s="40" t="str">
        <x:v>Industry comparator / discovery seed</x:v>
      </x:c>
      <x:c r="I248" s="40" t="str">
        <x:v>Not individually underwritten</x:v>
      </x:c>
      <x:c r="J248" s="40" t="str">
        <x:v>Not refreshed; verify exchange, corporate actions, float and tradability</x:v>
      </x:c>
      <x:c r="K248" s="40" t="str">
        <x:v>OPEN: listing; security identity; float; liquidity; size; corporate actions</x:v>
      </x:c>
      <x:c r="L248" s="40" t="str"/>
      <x:c r="M248" s="40"/>
      <x:c r="N248" s="40"/>
    </x:row>
    <x:row r="249" ht="75" customHeight="1">
      <x:c r="A249" s="40" t="str">
        <x:v>REGN</x:v>
      </x:c>
      <x:c r="B249" s="40" t="str">
        <x:v>Regeneron</x:v>
      </x:c>
      <x:c r="C249" s="40" t="str">
        <x:v>REGN</x:v>
      </x:c>
      <x:c r="D249" s="40" t="str">
        <x:v>US/ADR</x:v>
      </x:c>
      <x:c r="E249" s="40" t="str">
        <x:v>Health Care</x:v>
      </x:c>
      <x:c r="F249" s="40" t="str">
        <x:v>Health Care</x:v>
      </x:c>
      <x:c r="G249" s="40" t="str">
        <x:v>E081</x:v>
      </x:c>
      <x:c r="H249" s="40" t="str">
        <x:v>Industry comparator / discovery seed</x:v>
      </x:c>
      <x:c r="I249" s="40" t="str">
        <x:v>Not individually underwritten</x:v>
      </x:c>
      <x:c r="J249" s="40" t="str">
        <x:v>Not refreshed; verify exchange, corporate actions, float and tradability</x:v>
      </x:c>
      <x:c r="K249" s="40" t="str">
        <x:v>OPEN: listing; security identity; float; liquidity; size; corporate actions</x:v>
      </x:c>
      <x:c r="L249" s="40" t="str"/>
      <x:c r="M249" s="40"/>
      <x:c r="N249" s="40"/>
    </x:row>
    <x:row r="250" ht="75" customHeight="1">
      <x:c r="A250" s="40" t="str">
        <x:v>RGEN</x:v>
      </x:c>
      <x:c r="B250" s="40" t="str">
        <x:v>Repligen</x:v>
      </x:c>
      <x:c r="C250" s="40" t="str">
        <x:v>RGEN</x:v>
      </x:c>
      <x:c r="D250" s="40" t="str">
        <x:v>US/ADR</x:v>
      </x:c>
      <x:c r="E250" s="40" t="str">
        <x:v>Health Care</x:v>
      </x:c>
      <x:c r="F250" s="40" t="str">
        <x:v>Health Care</x:v>
      </x:c>
      <x:c r="G250" s="40" t="str">
        <x:v>E082</x:v>
      </x:c>
      <x:c r="H250" s="40" t="str">
        <x:v>Current-report research candidate</x:v>
      </x:c>
      <x:c r="I250" s="40" t="str">
        <x:v>Selected current-report facts checked; full underwriting incomplete</x:v>
      </x:c>
      <x:c r="J250" s="40" t="str">
        <x:v>Ticker in issuer materials; exchange, corporate actions, liquidity and eligibility still require refresh</x:v>
      </x:c>
      <x:c r="K250" s="40" t="str">
        <x:v>OPEN: listing; security identity; float; liquidity; size; corporate actions</x:v>
      </x:c>
      <x:c r="L250" s="40" t="str">
        <x:v>RGEN26</x:v>
      </x:c>
      <x:c r="M250" s="40"/>
      <x:c r="N250" s="40"/>
    </x:row>
    <x:row r="251" ht="75" customHeight="1">
      <x:c r="A251" s="40" t="str">
        <x:v>RHI</x:v>
      </x:c>
      <x:c r="B251" s="40" t="str">
        <x:v>Robert Half</x:v>
      </x:c>
      <x:c r="C251" s="40" t="str">
        <x:v>RHI</x:v>
      </x:c>
      <x:c r="D251" s="40" t="str">
        <x:v>US/ADR</x:v>
      </x:c>
      <x:c r="E251" s="40" t="str">
        <x:v>Industrials</x:v>
      </x:c>
      <x:c r="F251" s="40" t="str">
        <x:v>Industrials</x:v>
      </x:c>
      <x:c r="G251" s="40" t="str">
        <x:v>E037</x:v>
      </x:c>
      <x:c r="H251" s="40" t="str">
        <x:v>Industry comparator / discovery seed</x:v>
      </x:c>
      <x:c r="I251" s="40" t="str">
        <x:v>Not individually underwritten</x:v>
      </x:c>
      <x:c r="J251" s="40" t="str">
        <x:v>Not refreshed; verify exchange, corporate actions, float and tradability</x:v>
      </x:c>
      <x:c r="K251" s="40" t="str">
        <x:v>OPEN: listing; security identity; float; liquidity; size; corporate actions</x:v>
      </x:c>
      <x:c r="L251" s="40" t="str"/>
      <x:c r="M251" s="40"/>
      <x:c r="N251" s="40"/>
    </x:row>
    <x:row r="252" ht="75" customHeight="1">
      <x:c r="A252" s="40" t="str">
        <x:v>RIG</x:v>
      </x:c>
      <x:c r="B252" s="40" t="str">
        <x:v>Transocean</x:v>
      </x:c>
      <x:c r="C252" s="40" t="str">
        <x:v>RIG</x:v>
      </x:c>
      <x:c r="D252" s="40" t="str">
        <x:v>US/ADR</x:v>
      </x:c>
      <x:c r="E252" s="40" t="str">
        <x:v>Energy</x:v>
      </x:c>
      <x:c r="F252" s="40" t="str">
        <x:v>Energy</x:v>
      </x:c>
      <x:c r="G252" s="40" t="str">
        <x:v>E002</x:v>
      </x:c>
      <x:c r="H252" s="40" t="str">
        <x:v>Industry comparator / discovery seed</x:v>
      </x:c>
      <x:c r="I252" s="40" t="str">
        <x:v>Not individually underwritten</x:v>
      </x:c>
      <x:c r="J252" s="40" t="str">
        <x:v>Not refreshed; verify exchange, corporate actions, float and tradability</x:v>
      </x:c>
      <x:c r="K252" s="40" t="str">
        <x:v>OPEN: listing; security identity; float; liquidity; size; corporate actions</x:v>
      </x:c>
      <x:c r="L252" s="40" t="str"/>
      <x:c r="M252" s="40"/>
      <x:c r="N252" s="40"/>
    </x:row>
    <x:row r="253" ht="75" customHeight="1">
      <x:c r="A253" s="40" t="str">
        <x:v>RLI</x:v>
      </x:c>
      <x:c r="B253" s="40" t="str">
        <x:v>RLI</x:v>
      </x:c>
      <x:c r="C253" s="40" t="str">
        <x:v>RLI</x:v>
      </x:c>
      <x:c r="D253" s="40" t="str">
        <x:v>US/ADR</x:v>
      </x:c>
      <x:c r="E253" s="40" t="str">
        <x:v>Financials</x:v>
      </x:c>
      <x:c r="F253" s="40" t="str">
        <x:v>Financials</x:v>
      </x:c>
      <x:c r="G253" s="40" t="str">
        <x:v>E097</x:v>
      </x:c>
      <x:c r="H253" s="40" t="str">
        <x:v>Industry comparator / discovery seed</x:v>
      </x:c>
      <x:c r="I253" s="40" t="str">
        <x:v>Not individually underwritten</x:v>
      </x:c>
      <x:c r="J253" s="40" t="str">
        <x:v>Not refreshed; verify exchange, corporate actions, float and tradability</x:v>
      </x:c>
      <x:c r="K253" s="40" t="str">
        <x:v>OPEN: listing; security identity; float; liquidity; size; corporate actions</x:v>
      </x:c>
      <x:c r="L253" s="40" t="str"/>
      <x:c r="M253" s="40"/>
      <x:c r="N253" s="40"/>
    </x:row>
    <x:row r="254" ht="75" customHeight="1">
      <x:c r="A254" s="40" t="str">
        <x:v>RMS@FR</x:v>
      </x:c>
      <x:c r="B254" s="40" t="str">
        <x:v>Hermes</x:v>
      </x:c>
      <x:c r="C254" s="40" t="str">
        <x:v>RMS</x:v>
      </x:c>
      <x:c r="D254" s="40" t="str">
        <x:v>FR</x:v>
      </x:c>
      <x:c r="E254" s="40" t="str">
        <x:v>Consumer Discretionary</x:v>
      </x:c>
      <x:c r="F254" s="40" t="str">
        <x:v>Consumer Discretionary</x:v>
      </x:c>
      <x:c r="G254" s="40" t="str">
        <x:v>E054</x:v>
      </x:c>
      <x:c r="H254" s="40" t="str">
        <x:v>Industry comparator / discovery seed</x:v>
      </x:c>
      <x:c r="I254" s="40" t="str">
        <x:v>Not individually underwritten</x:v>
      </x:c>
      <x:c r="J254" s="40" t="str">
        <x:v>Not refreshed; verify exchange, corporate actions, float and tradability</x:v>
      </x:c>
      <x:c r="K254" s="40" t="str">
        <x:v>OPEN: listing; security identity; float; liquidity; size; corporate actions</x:v>
      </x:c>
      <x:c r="L254" s="40" t="str"/>
      <x:c r="M254" s="40"/>
      <x:c r="N254" s="40"/>
    </x:row>
    <x:row r="255" ht="75" customHeight="1">
      <x:c r="A255" s="40" t="str">
        <x:v>RNR</x:v>
      </x:c>
      <x:c r="B255" s="40" t="str">
        <x:v>RenaissanceRe</x:v>
      </x:c>
      <x:c r="C255" s="40" t="str">
        <x:v>RNR</x:v>
      </x:c>
      <x:c r="D255" s="40" t="str">
        <x:v>US/ADR</x:v>
      </x:c>
      <x:c r="E255" s="40" t="str">
        <x:v>Financials</x:v>
      </x:c>
      <x:c r="F255" s="40" t="str">
        <x:v>Financials</x:v>
      </x:c>
      <x:c r="G255" s="40" t="str">
        <x:v>E099</x:v>
      </x:c>
      <x:c r="H255" s="40" t="str">
        <x:v>Industry comparator / discovery seed</x:v>
      </x:c>
      <x:c r="I255" s="40" t="str">
        <x:v>Not individually underwritten</x:v>
      </x:c>
      <x:c r="J255" s="40" t="str">
        <x:v>Not refreshed; verify exchange, corporate actions, float and tradability</x:v>
      </x:c>
      <x:c r="K255" s="40" t="str">
        <x:v>OPEN: listing; security identity; float; liquidity; size; corporate actions</x:v>
      </x:c>
      <x:c r="L255" s="40" t="str"/>
      <x:c r="M255" s="40"/>
      <x:c r="N255" s="40"/>
    </x:row>
    <x:row r="256" ht="75" customHeight="1">
      <x:c r="A256" s="40" t="str">
        <x:v>ROK</x:v>
      </x:c>
      <x:c r="B256" s="40" t="str">
        <x:v>Rockwell Automation</x:v>
      </x:c>
      <x:c r="C256" s="40" t="str">
        <x:v>ROK</x:v>
      </x:c>
      <x:c r="D256" s="40" t="str">
        <x:v>US/ADR</x:v>
      </x:c>
      <x:c r="E256" s="40" t="str">
        <x:v>Industrials</x:v>
      </x:c>
      <x:c r="F256" s="40" t="str">
        <x:v>Industrials</x:v>
      </x:c>
      <x:c r="G256" s="40" t="str">
        <x:v>E030</x:v>
      </x:c>
      <x:c r="H256" s="40" t="str">
        <x:v>Industry comparator / discovery seed</x:v>
      </x:c>
      <x:c r="I256" s="40" t="str">
        <x:v>Not individually underwritten</x:v>
      </x:c>
      <x:c r="J256" s="40" t="str">
        <x:v>Not refreshed; verify exchange, corporate actions, float and tradability</x:v>
      </x:c>
      <x:c r="K256" s="40" t="str">
        <x:v>OPEN: listing; security identity; float; liquidity; size; corporate actions</x:v>
      </x:c>
      <x:c r="L256" s="40" t="str"/>
      <x:c r="M256" s="40"/>
      <x:c r="N256" s="40"/>
    </x:row>
    <x:row r="257" ht="75" customHeight="1">
      <x:c r="A257" s="40" t="str">
        <x:v>SAIA</x:v>
      </x:c>
      <x:c r="B257" s="40" t="str">
        <x:v>Saia</x:v>
      </x:c>
      <x:c r="C257" s="40" t="str">
        <x:v>SAIA</x:v>
      </x:c>
      <x:c r="D257" s="40" t="str">
        <x:v>US/ADR</x:v>
      </x:c>
      <x:c r="E257" s="40" t="str">
        <x:v>Industrials</x:v>
      </x:c>
      <x:c r="F257" s="40" t="str">
        <x:v>Industrials</x:v>
      </x:c>
      <x:c r="G257" s="40" t="str">
        <x:v>E044</x:v>
      </x:c>
      <x:c r="H257" s="40" t="str">
        <x:v>Industry comparator / discovery seed</x:v>
      </x:c>
      <x:c r="I257" s="40" t="str">
        <x:v>Not individually underwritten</x:v>
      </x:c>
      <x:c r="J257" s="40" t="str">
        <x:v>Not refreshed; verify exchange, corporate actions, float and tradability</x:v>
      </x:c>
      <x:c r="K257" s="40" t="str">
        <x:v>OPEN: listing; security identity; float; liquidity; size; corporate actions</x:v>
      </x:c>
      <x:c r="L257" s="40" t="str"/>
      <x:c r="M257" s="40"/>
      <x:c r="N257" s="40"/>
    </x:row>
    <x:row r="258" ht="75" customHeight="1">
      <x:c r="A258" s="40" t="str">
        <x:v>SBAC</x:v>
      </x:c>
      <x:c r="B258" s="40" t="str">
        <x:v>SBA Communications</x:v>
      </x:c>
      <x:c r="C258" s="40" t="str">
        <x:v>SBAC</x:v>
      </x:c>
      <x:c r="D258" s="40" t="str">
        <x:v>US/ADR</x:v>
      </x:c>
      <x:c r="E258" s="40" t="str">
        <x:v>Real Estate</x:v>
      </x:c>
      <x:c r="F258" s="40" t="str">
        <x:v>Real Estate</x:v>
      </x:c>
      <x:c r="G258" s="40" t="str">
        <x:v>E144</x:v>
      </x:c>
      <x:c r="H258" s="40" t="str">
        <x:v>Industry comparator / discovery seed</x:v>
      </x:c>
      <x:c r="I258" s="40" t="str">
        <x:v>Not individually underwritten</x:v>
      </x:c>
      <x:c r="J258" s="40" t="str">
        <x:v>Not refreshed; verify exchange, corporate actions, float and tradability</x:v>
      </x:c>
      <x:c r="K258" s="40" t="str">
        <x:v>OPEN: listing; security identity; float; liquidity; size; corporate actions</x:v>
      </x:c>
      <x:c r="L258" s="40" t="str"/>
      <x:c r="M258" s="40"/>
      <x:c r="N258" s="40"/>
    </x:row>
    <x:row r="259" ht="75" customHeight="1">
      <x:c r="A259" s="40" t="str">
        <x:v>SITE</x:v>
      </x:c>
      <x:c r="B259" s="40" t="str">
        <x:v>SiteOne Landscape Supply</x:v>
      </x:c>
      <x:c r="C259" s="40" t="str">
        <x:v>SITE</x:v>
      </x:c>
      <x:c r="D259" s="40" t="str">
        <x:v>US/ADR</x:v>
      </x:c>
      <x:c r="E259" s="40" t="str">
        <x:v>Industrials</x:v>
      </x:c>
      <x:c r="F259" s="40" t="str">
        <x:v>Industrials</x:v>
      </x:c>
      <x:c r="G259" s="40" t="str">
        <x:v>E033</x:v>
      </x:c>
      <x:c r="H259" s="40" t="str">
        <x:v>Industry comparator / discovery seed</x:v>
      </x:c>
      <x:c r="I259" s="40" t="str">
        <x:v>Not individually underwritten</x:v>
      </x:c>
      <x:c r="J259" s="40" t="str">
        <x:v>Not refreshed; verify exchange, corporate actions, float and tradability</x:v>
      </x:c>
      <x:c r="K259" s="40" t="str">
        <x:v>OPEN: listing; security identity; float; liquidity; size; corporate actions</x:v>
      </x:c>
      <x:c r="L259" s="40" t="str"/>
      <x:c r="M259" s="40"/>
      <x:c r="N259" s="40"/>
    </x:row>
    <x:row r="260" ht="75" customHeight="1">
      <x:c r="A260" s="40" t="str">
        <x:v>SKM</x:v>
      </x:c>
      <x:c r="B260" s="40" t="str">
        <x:v>SK Telecom</x:v>
      </x:c>
      <x:c r="C260" s="40" t="str">
        <x:v>SKM</x:v>
      </x:c>
      <x:c r="D260" s="40" t="str">
        <x:v>US/ADR</x:v>
      </x:c>
      <x:c r="E260" s="40" t="str">
        <x:v>Communication Services</x:v>
      </x:c>
      <x:c r="F260" s="40" t="str">
        <x:v>Communication Services</x:v>
      </x:c>
      <x:c r="G260" s="40" t="str">
        <x:v>E121</x:v>
      </x:c>
      <x:c r="H260" s="40" t="str">
        <x:v>Industry comparator / discovery seed</x:v>
      </x:c>
      <x:c r="I260" s="40" t="str">
        <x:v>Not individually underwritten</x:v>
      </x:c>
      <x:c r="J260" s="40" t="str">
        <x:v>Not refreshed; verify exchange, corporate actions, float and tradability</x:v>
      </x:c>
      <x:c r="K260" s="40" t="str">
        <x:v>OPEN: listing; security identity; float; liquidity; size; corporate actions</x:v>
      </x:c>
      <x:c r="L260" s="40" t="str"/>
      <x:c r="M260" s="40"/>
      <x:c r="N260" s="40"/>
    </x:row>
    <x:row r="261" ht="75" customHeight="1">
      <x:c r="A261" s="40" t="str">
        <x:v>SLG</x:v>
      </x:c>
      <x:c r="B261" s="40" t="str">
        <x:v>SL Green Realty</x:v>
      </x:c>
      <x:c r="C261" s="40" t="str">
        <x:v>SLG</x:v>
      </x:c>
      <x:c r="D261" s="40" t="str">
        <x:v>US/ADR</x:v>
      </x:c>
      <x:c r="E261" s="40" t="str">
        <x:v>Real Estate</x:v>
      </x:c>
      <x:c r="F261" s="40" t="str">
        <x:v>Real Estate</x:v>
      </x:c>
      <x:c r="G261" s="40" t="str">
        <x:v>E137</x:v>
      </x:c>
      <x:c r="H261" s="40" t="str">
        <x:v>Industry comparator / discovery seed</x:v>
      </x:c>
      <x:c r="I261" s="40" t="str">
        <x:v>Not individually underwritten</x:v>
      </x:c>
      <x:c r="J261" s="40" t="str">
        <x:v>Not refreshed; verify exchange, corporate actions, float and tradability</x:v>
      </x:c>
      <x:c r="K261" s="40" t="str">
        <x:v>OPEN: listing; security identity; float; liquidity; size; corporate actions</x:v>
      </x:c>
      <x:c r="L261" s="40" t="str"/>
      <x:c r="M261" s="40"/>
      <x:c r="N261" s="40"/>
    </x:row>
    <x:row r="262" ht="75" customHeight="1">
      <x:c r="A262" s="40" t="str">
        <x:v>SNDK</x:v>
      </x:c>
      <x:c r="B262" s="40" t="str">
        <x:v>Sandisk</x:v>
      </x:c>
      <x:c r="C262" s="40" t="str">
        <x:v>SNDK</x:v>
      </x:c>
      <x:c r="D262" s="40" t="str">
        <x:v>US/ADR</x:v>
      </x:c>
      <x:c r="E262" s="40" t="str">
        <x:v>Information Technology</x:v>
      </x:c>
      <x:c r="F262" s="40" t="str">
        <x:v>Information Technology</x:v>
      </x:c>
      <x:c r="G262" s="40" t="str">
        <x:v>E113</x:v>
      </x:c>
      <x:c r="H262" s="40" t="str">
        <x:v>Industry comparator / discovery seed</x:v>
      </x:c>
      <x:c r="I262" s="40" t="str">
        <x:v>Not individually underwritten</x:v>
      </x:c>
      <x:c r="J262" s="40" t="str">
        <x:v>Not refreshed; verify exchange, corporate actions, float and tradability</x:v>
      </x:c>
      <x:c r="K262" s="40" t="str">
        <x:v>OPEN: listing; security identity; float; liquidity; size; corporate actions</x:v>
      </x:c>
      <x:c r="L262" s="40" t="str"/>
      <x:c r="M262" s="40"/>
      <x:c r="N262" s="40"/>
    </x:row>
    <x:row r="263" ht="75" customHeight="1">
      <x:c r="A263" s="40" t="str">
        <x:v>SNOW</x:v>
      </x:c>
      <x:c r="B263" s="40" t="str">
        <x:v>Snowflake</x:v>
      </x:c>
      <x:c r="C263" s="40" t="str">
        <x:v>SNOW</x:v>
      </x:c>
      <x:c r="D263" s="40" t="str">
        <x:v>US/ADR</x:v>
      </x:c>
      <x:c r="E263" s="40" t="str">
        <x:v>Information Technology</x:v>
      </x:c>
      <x:c r="F263" s="40" t="str">
        <x:v>Information Technology</x:v>
      </x:c>
      <x:c r="G263" s="40" t="str">
        <x:v>E105</x:v>
      </x:c>
      <x:c r="H263" s="40" t="str">
        <x:v>Industry comparator / discovery seed</x:v>
      </x:c>
      <x:c r="I263" s="40" t="str">
        <x:v>Not individually underwritten</x:v>
      </x:c>
      <x:c r="J263" s="40" t="str">
        <x:v>Not refreshed; verify exchange, corporate actions, float and tradability</x:v>
      </x:c>
      <x:c r="K263" s="40" t="str">
        <x:v>OPEN: listing; security identity; float; liquidity; size; corporate actions</x:v>
      </x:c>
      <x:c r="L263" s="40" t="str"/>
      <x:c r="M263" s="40"/>
      <x:c r="N263" s="40"/>
    </x:row>
    <x:row r="264" ht="75" customHeight="1">
      <x:c r="A264" s="40" t="str">
        <x:v>SNPS</x:v>
      </x:c>
      <x:c r="B264" s="40" t="str">
        <x:v>Synopsys</x:v>
      </x:c>
      <x:c r="C264" s="40" t="str">
        <x:v>SNPS</x:v>
      </x:c>
      <x:c r="D264" s="40" t="str">
        <x:v>US/ADR</x:v>
      </x:c>
      <x:c r="E264" s="40" t="str">
        <x:v>Information Technology</x:v>
      </x:c>
      <x:c r="F264" s="40" t="str">
        <x:v>Information Technology</x:v>
      </x:c>
      <x:c r="G264" s="40" t="str">
        <x:v>E105</x:v>
      </x:c>
      <x:c r="H264" s="40" t="str">
        <x:v>Industry comparator / discovery seed</x:v>
      </x:c>
      <x:c r="I264" s="40" t="str">
        <x:v>Not individually underwritten</x:v>
      </x:c>
      <x:c r="J264" s="40" t="str">
        <x:v>Not refreshed; verify exchange, corporate actions, float and tradability</x:v>
      </x:c>
      <x:c r="K264" s="40" t="str">
        <x:v>OPEN: listing; security identity; float; liquidity; size; corporate actions</x:v>
      </x:c>
      <x:c r="L264" s="40" t="str"/>
      <x:c r="M264" s="40"/>
      <x:c r="N264" s="40"/>
    </x:row>
    <x:row r="265" ht="75" customHeight="1">
      <x:c r="A265" s="40" t="str">
        <x:v>SO</x:v>
      </x:c>
      <x:c r="B265" s="40" t="str">
        <x:v>Southern Company</x:v>
      </x:c>
      <x:c r="C265" s="40" t="str">
        <x:v>SO</x:v>
      </x:c>
      <x:c r="D265" s="40" t="str">
        <x:v>US/ADR</x:v>
      </x:c>
      <x:c r="E265" s="40" t="str">
        <x:v>Utilities</x:v>
      </x:c>
      <x:c r="F265" s="40" t="str">
        <x:v>Utilities</x:v>
      </x:c>
      <x:c r="G265" s="40" t="str">
        <x:v>E128</x:v>
      </x:c>
      <x:c r="H265" s="40" t="str">
        <x:v>Industry comparator / discovery seed</x:v>
      </x:c>
      <x:c r="I265" s="40" t="str">
        <x:v>Not individually underwritten</x:v>
      </x:c>
      <x:c r="J265" s="40" t="str">
        <x:v>Not refreshed; verify exchange, corporate actions, float and tradability</x:v>
      </x:c>
      <x:c r="K265" s="40" t="str">
        <x:v>OPEN: listing; security identity; float; liquidity; size; corporate actions</x:v>
      </x:c>
      <x:c r="L265" s="40" t="str"/>
      <x:c r="M265" s="40"/>
      <x:c r="N265" s="40"/>
    </x:row>
    <x:row r="266" ht="75" customHeight="1">
      <x:c r="A266" s="40" t="str">
        <x:v>SPG</x:v>
      </x:c>
      <x:c r="B266" s="40" t="str">
        <x:v>Simon Property Group</x:v>
      </x:c>
      <x:c r="C266" s="40" t="str">
        <x:v>SPG</x:v>
      </x:c>
      <x:c r="D266" s="40" t="str">
        <x:v>US/ADR</x:v>
      </x:c>
      <x:c r="E266" s="40" t="str">
        <x:v>Real Estate</x:v>
      </x:c>
      <x:c r="F266" s="40" t="str">
        <x:v>Real Estate</x:v>
      </x:c>
      <x:c r="G266" s="40" t="str">
        <x:v>E142</x:v>
      </x:c>
      <x:c r="H266" s="40" t="str">
        <x:v>Industry comparator / discovery seed</x:v>
      </x:c>
      <x:c r="I266" s="40" t="str">
        <x:v>Not individually underwritten</x:v>
      </x:c>
      <x:c r="J266" s="40" t="str">
        <x:v>Not refreshed; verify exchange, corporate actions, float and tradability</x:v>
      </x:c>
      <x:c r="K266" s="40" t="str">
        <x:v>OPEN: listing; security identity; float; liquidity; size; corporate actions</x:v>
      </x:c>
      <x:c r="L266" s="40" t="str"/>
      <x:c r="M266" s="40"/>
      <x:c r="N266" s="40"/>
    </x:row>
    <x:row r="267" ht="75" customHeight="1">
      <x:c r="A267" s="40" t="str">
        <x:v>SRE</x:v>
      </x:c>
      <x:c r="B267" s="40" t="str">
        <x:v>Sempra</x:v>
      </x:c>
      <x:c r="C267" s="40" t="str">
        <x:v>SRE</x:v>
      </x:c>
      <x:c r="D267" s="40" t="str">
        <x:v>US/ADR</x:v>
      </x:c>
      <x:c r="E267" s="40" t="str">
        <x:v>Utilities</x:v>
      </x:c>
      <x:c r="F267" s="40" t="str">
        <x:v>Utilities</x:v>
      </x:c>
      <x:c r="G267" s="40" t="str">
        <x:v>E130</x:v>
      </x:c>
      <x:c r="H267" s="40" t="str">
        <x:v>Industry comparator / discovery seed</x:v>
      </x:c>
      <x:c r="I267" s="40" t="str">
        <x:v>Not individually underwritten</x:v>
      </x:c>
      <x:c r="J267" s="40" t="str">
        <x:v>Not refreshed; verify exchange, corporate actions, float and tradability</x:v>
      </x:c>
      <x:c r="K267" s="40" t="str">
        <x:v>OPEN: listing; security identity; float; liquidity; size; corporate actions</x:v>
      </x:c>
      <x:c r="L267" s="40" t="str"/>
      <x:c r="M267" s="40"/>
      <x:c r="N267" s="40"/>
    </x:row>
    <x:row r="268" ht="75" customHeight="1">
      <x:c r="A268" s="40" t="str">
        <x:v>STLD</x:v>
      </x:c>
      <x:c r="B268" s="40" t="str">
        <x:v>Steel Dynamics</x:v>
      </x:c>
      <x:c r="C268" s="40" t="str">
        <x:v>STLD</x:v>
      </x:c>
      <x:c r="D268" s="40" t="str">
        <x:v>US/ADR</x:v>
      </x:c>
      <x:c r="E268" s="40" t="str">
        <x:v>Materials</x:v>
      </x:c>
      <x:c r="F268" s="40" t="str">
        <x:v>Materials</x:v>
      </x:c>
      <x:c r="G268" s="40" t="str">
        <x:v>E017</x:v>
      </x:c>
      <x:c r="H268" s="40" t="str">
        <x:v>Industry comparator / discovery seed</x:v>
      </x:c>
      <x:c r="I268" s="40" t="str">
        <x:v>Not individually underwritten</x:v>
      </x:c>
      <x:c r="J268" s="40" t="str">
        <x:v>Not refreshed; verify exchange, corporate actions, float and tradability</x:v>
      </x:c>
      <x:c r="K268" s="40" t="str">
        <x:v>OPEN: listing; security identity; float; liquidity; size; corporate actions</x:v>
      </x:c>
      <x:c r="L268" s="40" t="str"/>
      <x:c r="M268" s="40"/>
      <x:c r="N268" s="40"/>
    </x:row>
    <x:row r="269" ht="75" customHeight="1">
      <x:c r="A269" s="40" t="str">
        <x:v>STNG</x:v>
      </x:c>
      <x:c r="B269" s="40" t="str">
        <x:v>Scorpio Tankers</x:v>
      </x:c>
      <x:c r="C269" s="40" t="str">
        <x:v>STNG</x:v>
      </x:c>
      <x:c r="D269" s="40" t="str">
        <x:v>US/ADR</x:v>
      </x:c>
      <x:c r="E269" s="40" t="str">
        <x:v>Industrials</x:v>
      </x:c>
      <x:c r="F269" s="40" t="str">
        <x:v>Industrials</x:v>
      </x:c>
      <x:c r="G269" s="40" t="str">
        <x:v>E042</x:v>
      </x:c>
      <x:c r="H269" s="40" t="str">
        <x:v>Industry comparator / discovery seed</x:v>
      </x:c>
      <x:c r="I269" s="40" t="str">
        <x:v>Not individually underwritten</x:v>
      </x:c>
      <x:c r="J269" s="40" t="str">
        <x:v>Not refreshed; verify exchange, corporate actions, float and tradability</x:v>
      </x:c>
      <x:c r="K269" s="40" t="str">
        <x:v>OPEN: listing; security identity; float; liquidity; size; corporate actions</x:v>
      </x:c>
      <x:c r="L269" s="40" t="str"/>
      <x:c r="M269" s="40"/>
      <x:c r="N269" s="40"/>
    </x:row>
    <x:row r="270" ht="75" customHeight="1">
      <x:c r="A270" s="40" t="str">
        <x:v>STRA</x:v>
      </x:c>
      <x:c r="B270" s="40" t="str">
        <x:v>Strategic Education</x:v>
      </x:c>
      <x:c r="C270" s="40" t="str">
        <x:v>STRA</x:v>
      </x:c>
      <x:c r="D270" s="40" t="str">
        <x:v>US/ADR</x:v>
      </x:c>
      <x:c r="E270" s="40" t="str">
        <x:v>Consumer Discretionary</x:v>
      </x:c>
      <x:c r="F270" s="40" t="str">
        <x:v>Consumer Discretionary</x:v>
      </x:c>
      <x:c r="G270" s="40" t="str">
        <x:v>E060</x:v>
      </x:c>
      <x:c r="H270" s="40" t="str">
        <x:v>Industry comparator / discovery seed</x:v>
      </x:c>
      <x:c r="I270" s="40" t="str">
        <x:v>Not individually underwritten</x:v>
      </x:c>
      <x:c r="J270" s="40" t="str">
        <x:v>Not refreshed; verify exchange, corporate actions, float and tradability</x:v>
      </x:c>
      <x:c r="K270" s="40" t="str">
        <x:v>OPEN: listing; security identity; float; liquidity; size; corporate actions</x:v>
      </x:c>
      <x:c r="L270" s="40" t="str"/>
      <x:c r="M270" s="40"/>
      <x:c r="N270" s="40"/>
    </x:row>
    <x:row r="271" ht="75" customHeight="1">
      <x:c r="A271" s="40" t="str">
        <x:v>STWD</x:v>
      </x:c>
      <x:c r="B271" s="40" t="str">
        <x:v>Starwood Property Trust</x:v>
      </x:c>
      <x:c r="C271" s="40" t="str">
        <x:v>STWD</x:v>
      </x:c>
      <x:c r="D271" s="40" t="str">
        <x:v>US/ADR</x:v>
      </x:c>
      <x:c r="E271" s="40" t="str">
        <x:v>Financials</x:v>
      </x:c>
      <x:c r="F271" s="40" t="str">
        <x:v>Financials</x:v>
      </x:c>
      <x:c r="G271" s="40" t="str">
        <x:v>E096</x:v>
      </x:c>
      <x:c r="H271" s="40" t="str">
        <x:v>Industry comparator / discovery seed</x:v>
      </x:c>
      <x:c r="I271" s="40" t="str">
        <x:v>Not individually underwritten</x:v>
      </x:c>
      <x:c r="J271" s="40" t="str">
        <x:v>Not refreshed; verify exchange, corporate actions, float and tradability</x:v>
      </x:c>
      <x:c r="K271" s="40" t="str">
        <x:v>OPEN: listing; security identity; float; liquidity; size; corporate actions</x:v>
      </x:c>
      <x:c r="L271" s="40" t="str"/>
      <x:c r="M271" s="40"/>
      <x:c r="N271" s="40"/>
    </x:row>
    <x:row r="272" ht="75" customHeight="1">
      <x:c r="A272" s="40" t="str">
        <x:v>STX</x:v>
      </x:c>
      <x:c r="B272" s="40" t="str">
        <x:v>Seagate</x:v>
      </x:c>
      <x:c r="C272" s="40" t="str">
        <x:v>STX</x:v>
      </x:c>
      <x:c r="D272" s="40" t="str">
        <x:v>US/ADR</x:v>
      </x:c>
      <x:c r="E272" s="40" t="str">
        <x:v>Information Technology</x:v>
      </x:c>
      <x:c r="F272" s="40" t="str">
        <x:v>Information Technology</x:v>
      </x:c>
      <x:c r="G272" s="40" t="str">
        <x:v>E109</x:v>
      </x:c>
      <x:c r="H272" s="40" t="str">
        <x:v>Industry comparator / discovery seed</x:v>
      </x:c>
      <x:c r="I272" s="40" t="str">
        <x:v>Not individually underwritten</x:v>
      </x:c>
      <x:c r="J272" s="40" t="str">
        <x:v>Not refreshed; verify exchange, corporate actions, float and tradability</x:v>
      </x:c>
      <x:c r="K272" s="40" t="str">
        <x:v>OPEN: listing; security identity; float; liquidity; size; corporate actions</x:v>
      </x:c>
      <x:c r="L272" s="40" t="str"/>
      <x:c r="M272" s="40"/>
      <x:c r="N272" s="40"/>
    </x:row>
    <x:row r="273" ht="75" customHeight="1">
      <x:c r="A273" s="40" t="str">
        <x:v>STZ</x:v>
      </x:c>
      <x:c r="B273" s="40" t="str">
        <x:v>Constellation Brands</x:v>
      </x:c>
      <x:c r="C273" s="40" t="str">
        <x:v>STZ</x:v>
      </x:c>
      <x:c r="D273" s="40" t="str">
        <x:v>US/ADR</x:v>
      </x:c>
      <x:c r="E273" s="40" t="str">
        <x:v>Consumer Staples</x:v>
      </x:c>
      <x:c r="F273" s="40" t="str">
        <x:v>Consumer Staples</x:v>
      </x:c>
      <x:c r="G273" s="40" t="str">
        <x:v>E068</x:v>
      </x:c>
      <x:c r="H273" s="40" t="str">
        <x:v>Industry comparator / discovery seed</x:v>
      </x:c>
      <x:c r="I273" s="40" t="str">
        <x:v>Not individually underwritten</x:v>
      </x:c>
      <x:c r="J273" s="40" t="str">
        <x:v>Not refreshed; verify exchange, corporate actions, float and tradability</x:v>
      </x:c>
      <x:c r="K273" s="40" t="str">
        <x:v>OPEN: listing; security identity; float; liquidity; size; corporate actions</x:v>
      </x:c>
      <x:c r="L273" s="40" t="str"/>
      <x:c r="M273" s="40"/>
      <x:c r="N273" s="40"/>
    </x:row>
    <x:row r="274" ht="75" customHeight="1">
      <x:c r="A274" s="40" t="str">
        <x:v>SUPN</x:v>
      </x:c>
      <x:c r="B274" s="40" t="str">
        <x:v>Supernus Pharmaceuticals</x:v>
      </x:c>
      <x:c r="C274" s="40" t="str">
        <x:v>SUPN</x:v>
      </x:c>
      <x:c r="D274" s="40" t="str">
        <x:v>US/ADR</x:v>
      </x:c>
      <x:c r="E274" s="40" t="str">
        <x:v>Health Care</x:v>
      </x:c>
      <x:c r="F274" s="40" t="str">
        <x:v>Health Care</x:v>
      </x:c>
      <x:c r="G274" s="40" t="str">
        <x:v>E086</x:v>
      </x:c>
      <x:c r="H274" s="40" t="str">
        <x:v>Industry comparator / discovery seed</x:v>
      </x:c>
      <x:c r="I274" s="40" t="str">
        <x:v>Not individually underwritten</x:v>
      </x:c>
      <x:c r="J274" s="40" t="str">
        <x:v>Not refreshed; verify exchange, corporate actions, float and tradability</x:v>
      </x:c>
      <x:c r="K274" s="40" t="str">
        <x:v>OPEN: listing; security identity; float; liquidity; size; corporate actions</x:v>
      </x:c>
      <x:c r="L274" s="40" t="str"/>
      <x:c r="M274" s="40"/>
      <x:c r="N274" s="40"/>
    </x:row>
    <x:row r="275" ht="75" customHeight="1">
      <x:c r="A275" s="40" t="str">
        <x:v>SYF</x:v>
      </x:c>
      <x:c r="B275" s="40" t="str">
        <x:v>Synchrony Financial</x:v>
      </x:c>
      <x:c r="C275" s="40" t="str">
        <x:v>SYF</x:v>
      </x:c>
      <x:c r="D275" s="40" t="str">
        <x:v>US/ADR</x:v>
      </x:c>
      <x:c r="E275" s="40" t="str">
        <x:v>Financials</x:v>
      </x:c>
      <x:c r="F275" s="40" t="str">
        <x:v>Financials</x:v>
      </x:c>
      <x:c r="G275" s="40" t="str">
        <x:v>E091</x:v>
      </x:c>
      <x:c r="H275" s="40" t="str">
        <x:v>Industry comparator / discovery seed</x:v>
      </x:c>
      <x:c r="I275" s="40" t="str">
        <x:v>Not individually underwritten</x:v>
      </x:c>
      <x:c r="J275" s="40" t="str">
        <x:v>Not refreshed; verify exchange, corporate actions, float and tradability</x:v>
      </x:c>
      <x:c r="K275" s="40" t="str">
        <x:v>OPEN: listing; security identity; float; liquidity; size; corporate actions</x:v>
      </x:c>
      <x:c r="L275" s="40" t="str"/>
      <x:c r="M275" s="40"/>
      <x:c r="N275" s="40"/>
    </x:row>
    <x:row r="276" ht="75" customHeight="1">
      <x:c r="A276" s="40" t="str">
        <x:v>SYK</x:v>
      </x:c>
      <x:c r="B276" s="40" t="str">
        <x:v>Stryker</x:v>
      </x:c>
      <x:c r="C276" s="40" t="str">
        <x:v>SYK</x:v>
      </x:c>
      <x:c r="D276" s="40" t="str">
        <x:v>US/ADR</x:v>
      </x:c>
      <x:c r="E276" s="40" t="str">
        <x:v>Health Care</x:v>
      </x:c>
      <x:c r="F276" s="40" t="str">
        <x:v>Health Care</x:v>
      </x:c>
      <x:c r="G276" s="40" t="str">
        <x:v>E074</x:v>
      </x:c>
      <x:c r="H276" s="40" t="str">
        <x:v>Industry comparator / discovery seed</x:v>
      </x:c>
      <x:c r="I276" s="40" t="str">
        <x:v>Not individually underwritten</x:v>
      </x:c>
      <x:c r="J276" s="40" t="str">
        <x:v>Not refreshed; verify exchange, corporate actions, float and tradability</x:v>
      </x:c>
      <x:c r="K276" s="40" t="str">
        <x:v>OPEN: listing; security identity; float; liquidity; size; corporate actions</x:v>
      </x:c>
      <x:c r="L276" s="40" t="str"/>
      <x:c r="M276" s="40"/>
      <x:c r="N276" s="40"/>
    </x:row>
    <x:row r="277" ht="75" customHeight="1">
      <x:c r="A277" s="40" t="str">
        <x:v>SYY</x:v>
      </x:c>
      <x:c r="B277" s="40" t="str">
        <x:v>Sysco</x:v>
      </x:c>
      <x:c r="C277" s="40" t="str">
        <x:v>SYY</x:v>
      </x:c>
      <x:c r="D277" s="40" t="str">
        <x:v>US/ADR</x:v>
      </x:c>
      <x:c r="E277" s="40" t="str">
        <x:v>Consumer Staples</x:v>
      </x:c>
      <x:c r="F277" s="40" t="str">
        <x:v>Consumer Staples</x:v>
      </x:c>
      <x:c r="G277" s="40" t="str">
        <x:v>E066</x:v>
      </x:c>
      <x:c r="H277" s="40" t="str">
        <x:v>Industry comparator / discovery seed</x:v>
      </x:c>
      <x:c r="I277" s="40" t="str">
        <x:v>Not individually underwritten</x:v>
      </x:c>
      <x:c r="J277" s="40" t="str">
        <x:v>Not refreshed; verify exchange, corporate actions, float and tradability</x:v>
      </x:c>
      <x:c r="K277" s="40" t="str">
        <x:v>OPEN: listing; security identity; float; liquidity; size; corporate actions</x:v>
      </x:c>
      <x:c r="L277" s="40" t="str"/>
      <x:c r="M277" s="40"/>
      <x:c r="N277" s="40"/>
    </x:row>
    <x:row r="278" ht="75" customHeight="1">
      <x:c r="A278" s="40" t="str">
        <x:v>T</x:v>
      </x:c>
      <x:c r="B278" s="40" t="str">
        <x:v>AT&amp;T</x:v>
      </x:c>
      <x:c r="C278" s="40" t="str">
        <x:v>T</x:v>
      </x:c>
      <x:c r="D278" s="40" t="str">
        <x:v>US/ADR</x:v>
      </x:c>
      <x:c r="E278" s="40" t="str">
        <x:v>Communication Services</x:v>
      </x:c>
      <x:c r="F278" s="40" t="str">
        <x:v>Communication Services</x:v>
      </x:c>
      <x:c r="G278" s="40" t="str">
        <x:v>E119;E120</x:v>
      </x:c>
      <x:c r="H278" s="40" t="str">
        <x:v>Industry comparator / discovery seed</x:v>
      </x:c>
      <x:c r="I278" s="40" t="str">
        <x:v>Not individually underwritten</x:v>
      </x:c>
      <x:c r="J278" s="40" t="str">
        <x:v>Not refreshed; verify exchange, corporate actions, float and tradability</x:v>
      </x:c>
      <x:c r="K278" s="40" t="str">
        <x:v>OPEN: listing; security identity; float; liquidity; size; corporate actions</x:v>
      </x:c>
      <x:c r="L278" s="40" t="str"/>
      <x:c r="M278" s="40"/>
      <x:c r="N278" s="40"/>
    </x:row>
    <x:row r="279" ht="75" customHeight="1">
      <x:c r="A279" s="40" t="str">
        <x:v>TEVA</x:v>
      </x:c>
      <x:c r="B279" s="40" t="str">
        <x:v>Teva</x:v>
      </x:c>
      <x:c r="C279" s="40" t="str">
        <x:v>TEVA</x:v>
      </x:c>
      <x:c r="D279" s="40" t="str">
        <x:v>US/ADR</x:v>
      </x:c>
      <x:c r="E279" s="40" t="str">
        <x:v>Health Care</x:v>
      </x:c>
      <x:c r="F279" s="40" t="str">
        <x:v>Health Care</x:v>
      </x:c>
      <x:c r="G279" s="40" t="str">
        <x:v>E086</x:v>
      </x:c>
      <x:c r="H279" s="40" t="str">
        <x:v>Industry comparator / discovery seed</x:v>
      </x:c>
      <x:c r="I279" s="40" t="str">
        <x:v>Not individually underwritten</x:v>
      </x:c>
      <x:c r="J279" s="40" t="str">
        <x:v>Not refreshed; verify exchange, corporate actions, float and tradability</x:v>
      </x:c>
      <x:c r="K279" s="40" t="str">
        <x:v>OPEN: listing; security identity; float; liquidity; size; corporate actions</x:v>
      </x:c>
      <x:c r="L279" s="40" t="str"/>
      <x:c r="M279" s="40"/>
      <x:c r="N279" s="40"/>
    </x:row>
    <x:row r="280" ht="75" customHeight="1">
      <x:c r="A280" s="40" t="str">
        <x:v>TGT</x:v>
      </x:c>
      <x:c r="B280" s="40" t="str">
        <x:v>Target</x:v>
      </x:c>
      <x:c r="C280" s="40" t="str">
        <x:v>TGT</x:v>
      </x:c>
      <x:c r="D280" s="40" t="str">
        <x:v>US/ADR</x:v>
      </x:c>
      <x:c r="E280" s="40" t="str">
        <x:v>Consumer Discretionary</x:v>
      </x:c>
      <x:c r="F280" s="40" t="str">
        <x:v>Consumer Discretionary</x:v>
      </x:c>
      <x:c r="G280" s="40" t="str">
        <x:v>E062</x:v>
      </x:c>
      <x:c r="H280" s="40" t="str">
        <x:v>Industry comparator / discovery seed</x:v>
      </x:c>
      <x:c r="I280" s="40" t="str">
        <x:v>Not individually underwritten</x:v>
      </x:c>
      <x:c r="J280" s="40" t="str">
        <x:v>Not refreshed; verify exchange, corporate actions, float and tradability</x:v>
      </x:c>
      <x:c r="K280" s="40" t="str">
        <x:v>OPEN: listing; security identity; float; liquidity; size; corporate actions</x:v>
      </x:c>
      <x:c r="L280" s="40" t="str"/>
      <x:c r="M280" s="40"/>
      <x:c r="N280" s="40"/>
    </x:row>
    <x:row r="281" ht="75" customHeight="1">
      <x:c r="A281" s="40" t="str">
        <x:v>TMO</x:v>
      </x:c>
      <x:c r="B281" s="40" t="str">
        <x:v>Thermo Fisher Scientific</x:v>
      </x:c>
      <x:c r="C281" s="40" t="str">
        <x:v>TMO</x:v>
      </x:c>
      <x:c r="D281" s="40" t="str">
        <x:v>US/ADR</x:v>
      </x:c>
      <x:c r="E281" s="40" t="str">
        <x:v>Health Care</x:v>
      </x:c>
      <x:c r="F281" s="40" t="str">
        <x:v>Health Care</x:v>
      </x:c>
      <x:c r="G281" s="40" t="str">
        <x:v>E083</x:v>
      </x:c>
      <x:c r="H281" s="40" t="str">
        <x:v>Industry comparator / discovery seed</x:v>
      </x:c>
      <x:c r="I281" s="40" t="str">
        <x:v>Not individually underwritten</x:v>
      </x:c>
      <x:c r="J281" s="40" t="str">
        <x:v>Not refreshed; verify exchange, corporate actions, float and tradability</x:v>
      </x:c>
      <x:c r="K281" s="40" t="str">
        <x:v>OPEN: listing; security identity; float; liquidity; size; corporate actions</x:v>
      </x:c>
      <x:c r="L281" s="40" t="str"/>
      <x:c r="M281" s="40"/>
      <x:c r="N281" s="40"/>
    </x:row>
    <x:row r="282" ht="75" customHeight="1">
      <x:c r="A282" s="40" t="str">
        <x:v>TMUS</x:v>
      </x:c>
      <x:c r="B282" s="40" t="str">
        <x:v>T-Mobile US</x:v>
      </x:c>
      <x:c r="C282" s="40" t="str">
        <x:v>TMUS</x:v>
      </x:c>
      <x:c r="D282" s="40" t="str">
        <x:v>US/ADR</x:v>
      </x:c>
      <x:c r="E282" s="40" t="str">
        <x:v>Communication Services</x:v>
      </x:c>
      <x:c r="F282" s="40" t="str">
        <x:v>Communication Services</x:v>
      </x:c>
      <x:c r="G282" s="40" t="str">
        <x:v>E121</x:v>
      </x:c>
      <x:c r="H282" s="40" t="str">
        <x:v>Industry comparator / discovery seed</x:v>
      </x:c>
      <x:c r="I282" s="40" t="str">
        <x:v>Not individually underwritten</x:v>
      </x:c>
      <x:c r="J282" s="40" t="str">
        <x:v>Not refreshed; verify exchange, corporate actions, float and tradability</x:v>
      </x:c>
      <x:c r="K282" s="40" t="str">
        <x:v>OPEN: listing; security identity; float; liquidity; size; corporate actions</x:v>
      </x:c>
      <x:c r="L282" s="40" t="str"/>
      <x:c r="M282" s="40"/>
      <x:c r="N282" s="40"/>
    </x:row>
    <x:row r="283" ht="75" customHeight="1">
      <x:c r="A283" s="40" t="str">
        <x:v>TROW</x:v>
      </x:c>
      <x:c r="B283" s="40" t="str">
        <x:v>T. Rowe Price</x:v>
      </x:c>
      <x:c r="C283" s="40" t="str">
        <x:v>TROW</x:v>
      </x:c>
      <x:c r="D283" s="40" t="str">
        <x:v>US/ADR</x:v>
      </x:c>
      <x:c r="E283" s="40" t="str">
        <x:v>Financials</x:v>
      </x:c>
      <x:c r="F283" s="40" t="str">
        <x:v>Financials</x:v>
      </x:c>
      <x:c r="G283" s="40" t="str">
        <x:v>E093</x:v>
      </x:c>
      <x:c r="H283" s="40" t="str">
        <x:v>Industry comparator / discovery seed</x:v>
      </x:c>
      <x:c r="I283" s="40" t="str">
        <x:v>Not individually underwritten</x:v>
      </x:c>
      <x:c r="J283" s="40" t="str">
        <x:v>Not refreshed; verify exchange, corporate actions, float and tradability</x:v>
      </x:c>
      <x:c r="K283" s="40" t="str">
        <x:v>OPEN: listing; security identity; float; liquidity; size; corporate actions</x:v>
      </x:c>
      <x:c r="L283" s="40" t="str"/>
      <x:c r="M283" s="40"/>
      <x:c r="N283" s="40"/>
    </x:row>
    <x:row r="284" ht="75" customHeight="1">
      <x:c r="A284" s="40" t="str">
        <x:v>TSLA</x:v>
      </x:c>
      <x:c r="B284" s="40" t="str">
        <x:v>Tesla</x:v>
      </x:c>
      <x:c r="C284" s="40" t="str">
        <x:v>TSLA</x:v>
      </x:c>
      <x:c r="D284" s="40" t="str">
        <x:v>US/ADR</x:v>
      </x:c>
      <x:c r="E284" s="40" t="str">
        <x:v>Consumer Discretionary</x:v>
      </x:c>
      <x:c r="F284" s="40" t="str">
        <x:v>Consumer Discretionary</x:v>
      </x:c>
      <x:c r="G284" s="40" t="str">
        <x:v>E049</x:v>
      </x:c>
      <x:c r="H284" s="40" t="str">
        <x:v>Industry comparator / discovery seed</x:v>
      </x:c>
      <x:c r="I284" s="40" t="str">
        <x:v>Not individually underwritten</x:v>
      </x:c>
      <x:c r="J284" s="40" t="str">
        <x:v>Not refreshed; verify exchange, corporate actions, float and tradability</x:v>
      </x:c>
      <x:c r="K284" s="40" t="str">
        <x:v>OPEN: listing; security identity; float; liquidity; size; corporate actions</x:v>
      </x:c>
      <x:c r="L284" s="40" t="str"/>
      <x:c r="M284" s="40"/>
      <x:c r="N284" s="40"/>
    </x:row>
    <x:row r="285" ht="75" customHeight="1">
      <x:c r="A285" s="40" t="str">
        <x:v>TSM</x:v>
      </x:c>
      <x:c r="B285" s="40" t="str">
        <x:v>Taiwan Semiconductor Manufacturing</x:v>
      </x:c>
      <x:c r="C285" s="40" t="str">
        <x:v>TSM</x:v>
      </x:c>
      <x:c r="D285" s="40" t="str">
        <x:v>US/ADR</x:v>
      </x:c>
      <x:c r="E285" s="40" t="str">
        <x:v>Information Technology</x:v>
      </x:c>
      <x:c r="F285" s="40" t="str">
        <x:v>Information Technology</x:v>
      </x:c>
      <x:c r="G285" s="40" t="str">
        <x:v>E116</x:v>
      </x:c>
      <x:c r="H285" s="40" t="str">
        <x:v>Industry comparator / discovery seed</x:v>
      </x:c>
      <x:c r="I285" s="40" t="str">
        <x:v>Not individually underwritten</x:v>
      </x:c>
      <x:c r="J285" s="40" t="str">
        <x:v>Not refreshed; verify exchange, corporate actions, float and tradability</x:v>
      </x:c>
      <x:c r="K285" s="40" t="str">
        <x:v>OPEN: listing; security identity; float; liquidity; size; corporate actions</x:v>
      </x:c>
      <x:c r="L285" s="40" t="str"/>
      <x:c r="M285" s="40"/>
      <x:c r="N285" s="40"/>
    </x:row>
    <x:row r="286" ht="75" customHeight="1">
      <x:c r="A286" s="40" t="str">
        <x:v>TSN</x:v>
      </x:c>
      <x:c r="B286" s="40" t="str">
        <x:v>Tyson Foods</x:v>
      </x:c>
      <x:c r="C286" s="40" t="str">
        <x:v>TSN</x:v>
      </x:c>
      <x:c r="D286" s="40" t="str">
        <x:v>US/ADR</x:v>
      </x:c>
      <x:c r="E286" s="40" t="str">
        <x:v>Consumer Staples</x:v>
      </x:c>
      <x:c r="F286" s="40" t="str">
        <x:v>Consumer Staples</x:v>
      </x:c>
      <x:c r="G286" s="40" t="str">
        <x:v>E070</x:v>
      </x:c>
      <x:c r="H286" s="40" t="str">
        <x:v>Industry comparator / discovery seed</x:v>
      </x:c>
      <x:c r="I286" s="40" t="str">
        <x:v>Not individually underwritten</x:v>
      </x:c>
      <x:c r="J286" s="40" t="str">
        <x:v>Not refreshed; verify exchange, corporate actions, float and tradability</x:v>
      </x:c>
      <x:c r="K286" s="40" t="str">
        <x:v>OPEN: listing; security identity; float; liquidity; size; corporate actions</x:v>
      </x:c>
      <x:c r="L286" s="40" t="str"/>
      <x:c r="M286" s="40"/>
      <x:c r="N286" s="40"/>
    </x:row>
    <x:row r="287" ht="75" customHeight="1">
      <x:c r="A287" s="40" t="str">
        <x:v>TTWO</x:v>
      </x:c>
      <x:c r="B287" s="40" t="str">
        <x:v>Take-Two Interactive</x:v>
      </x:c>
      <x:c r="C287" s="40" t="str">
        <x:v>TTWO</x:v>
      </x:c>
      <x:c r="D287" s="40" t="str">
        <x:v>US/ADR</x:v>
      </x:c>
      <x:c r="E287" s="40" t="str">
        <x:v>Communication Services</x:v>
      </x:c>
      <x:c r="F287" s="40" t="str">
        <x:v>Communication Services</x:v>
      </x:c>
      <x:c r="G287" s="40" t="str">
        <x:v>E125</x:v>
      </x:c>
      <x:c r="H287" s="40" t="str">
        <x:v>Industry comparator / discovery seed</x:v>
      </x:c>
      <x:c r="I287" s="40" t="str">
        <x:v>Not individually underwritten</x:v>
      </x:c>
      <x:c r="J287" s="40" t="str">
        <x:v>Not refreshed; verify exchange, corporate actions, float and tradability</x:v>
      </x:c>
      <x:c r="K287" s="40" t="str">
        <x:v>OPEN: listing; security identity; float; liquidity; size; corporate actions</x:v>
      </x:c>
      <x:c r="L287" s="40" t="str"/>
      <x:c r="M287" s="40"/>
      <x:c r="N287" s="40"/>
    </x:row>
    <x:row r="288" ht="75" customHeight="1">
      <x:c r="A288" s="40" t="str">
        <x:v>TXN</x:v>
      </x:c>
      <x:c r="B288" s="40" t="str">
        <x:v>Texas Instruments</x:v>
      </x:c>
      <x:c r="C288" s="40" t="str">
        <x:v>TXN</x:v>
      </x:c>
      <x:c r="D288" s="40" t="str">
        <x:v>US/ADR</x:v>
      </x:c>
      <x:c r="E288" s="40" t="str">
        <x:v>Information Technology</x:v>
      </x:c>
      <x:c r="F288" s="40" t="str">
        <x:v>Information Technology</x:v>
      </x:c>
      <x:c r="G288" s="40" t="str">
        <x:v>E115</x:v>
      </x:c>
      <x:c r="H288" s="40" t="str">
        <x:v>Industry comparator / discovery seed</x:v>
      </x:c>
      <x:c r="I288" s="40" t="str">
        <x:v>Not individually underwritten</x:v>
      </x:c>
      <x:c r="J288" s="40" t="str">
        <x:v>Not refreshed; verify exchange, corporate actions, float and tradability</x:v>
      </x:c>
      <x:c r="K288" s="40" t="str">
        <x:v>OPEN: listing; security identity; float; liquidity; size; corporate actions</x:v>
      </x:c>
      <x:c r="L288" s="40" t="str"/>
      <x:c r="M288" s="40"/>
      <x:c r="N288" s="40"/>
    </x:row>
    <x:row r="289" ht="75" customHeight="1">
      <x:c r="A289" s="40" t="str">
        <x:v>TXRH</x:v>
      </x:c>
      <x:c r="B289" s="40" t="str">
        <x:v>Texas Roadhouse</x:v>
      </x:c>
      <x:c r="C289" s="40" t="str">
        <x:v>TXRH</x:v>
      </x:c>
      <x:c r="D289" s="40" t="str">
        <x:v>US/ADR</x:v>
      </x:c>
      <x:c r="E289" s="40" t="str">
        <x:v>Consumer Discretionary</x:v>
      </x:c>
      <x:c r="F289" s="40" t="str">
        <x:v>Consumer Discretionary</x:v>
      </x:c>
      <x:c r="G289" s="40" t="str">
        <x:v>E057</x:v>
      </x:c>
      <x:c r="H289" s="40" t="str">
        <x:v>Industry comparator / discovery seed</x:v>
      </x:c>
      <x:c r="I289" s="40" t="str">
        <x:v>Not individually underwritten</x:v>
      </x:c>
      <x:c r="J289" s="40" t="str">
        <x:v>Not refreshed; verify exchange, corporate actions, float and tradability</x:v>
      </x:c>
      <x:c r="K289" s="40" t="str">
        <x:v>OPEN: listing; security identity; float; liquidity; size; corporate actions</x:v>
      </x:c>
      <x:c r="L289" s="40" t="str"/>
      <x:c r="M289" s="40"/>
      <x:c r="N289" s="40"/>
    </x:row>
    <x:row r="290" ht="75" customHeight="1">
      <x:c r="A290" s="40" t="str">
        <x:v>TYL</x:v>
      </x:c>
      <x:c r="B290" s="40" t="str">
        <x:v>Tyler Technologies</x:v>
      </x:c>
      <x:c r="C290" s="40" t="str">
        <x:v>TYL</x:v>
      </x:c>
      <x:c r="D290" s="40" t="str">
        <x:v>US/ADR</x:v>
      </x:c>
      <x:c r="E290" s="40" t="str">
        <x:v>Information Technology</x:v>
      </x:c>
      <x:c r="F290" s="40" t="str">
        <x:v>Information Technology</x:v>
      </x:c>
      <x:c r="G290" s="40" t="str">
        <x:v>E102</x:v>
      </x:c>
      <x:c r="H290" s="40" t="str">
        <x:v>Industry comparator / discovery seed</x:v>
      </x:c>
      <x:c r="I290" s="40" t="str">
        <x:v>Not individually underwritten</x:v>
      </x:c>
      <x:c r="J290" s="40" t="str">
        <x:v>Not refreshed; verify exchange, corporate actions, float and tradability</x:v>
      </x:c>
      <x:c r="K290" s="40" t="str">
        <x:v>OPEN: listing; security identity; float; liquidity; size; corporate actions</x:v>
      </x:c>
      <x:c r="L290" s="40" t="str"/>
      <x:c r="M290" s="40"/>
      <x:c r="N290" s="40"/>
    </x:row>
    <x:row r="291" ht="75" customHeight="1">
      <x:c r="A291" s="40" t="str">
        <x:v>UAL</x:v>
      </x:c>
      <x:c r="B291" s="40" t="str">
        <x:v>United Airlines</x:v>
      </x:c>
      <x:c r="C291" s="40" t="str">
        <x:v>UAL</x:v>
      </x:c>
      <x:c r="D291" s="40" t="str">
        <x:v>US/ADR</x:v>
      </x:c>
      <x:c r="E291" s="40" t="str">
        <x:v>Industrials</x:v>
      </x:c>
      <x:c r="F291" s="40" t="str">
        <x:v>Industrials</x:v>
      </x:c>
      <x:c r="G291" s="40" t="str">
        <x:v>E041</x:v>
      </x:c>
      <x:c r="H291" s="40" t="str">
        <x:v>Industry comparator / discovery seed</x:v>
      </x:c>
      <x:c r="I291" s="40" t="str">
        <x:v>Not individually underwritten</x:v>
      </x:c>
      <x:c r="J291" s="40" t="str">
        <x:v>Not refreshed; verify exchange, corporate actions, float and tradability</x:v>
      </x:c>
      <x:c r="K291" s="40" t="str">
        <x:v>OPEN: listing; security identity; float; liquidity; size; corporate actions</x:v>
      </x:c>
      <x:c r="L291" s="40" t="str"/>
      <x:c r="M291" s="40"/>
      <x:c r="N291" s="40"/>
    </x:row>
    <x:row r="292" ht="75" customHeight="1">
      <x:c r="A292" s="40" t="str">
        <x:v>UFPI</x:v>
      </x:c>
      <x:c r="B292" s="40" t="str">
        <x:v>UFP Industries</x:v>
      </x:c>
      <x:c r="C292" s="40" t="str">
        <x:v>UFPI</x:v>
      </x:c>
      <x:c r="D292" s="40" t="str">
        <x:v>US/ADR</x:v>
      </x:c>
      <x:c r="E292" s="40" t="str">
        <x:v>Materials</x:v>
      </x:c>
      <x:c r="F292" s="40" t="str">
        <x:v>Materials</x:v>
      </x:c>
      <x:c r="G292" s="40" t="str">
        <x:v>E018</x:v>
      </x:c>
      <x:c r="H292" s="40" t="str">
        <x:v>Industry comparator / discovery seed</x:v>
      </x:c>
      <x:c r="I292" s="40" t="str">
        <x:v>Not individually underwritten</x:v>
      </x:c>
      <x:c r="J292" s="40" t="str">
        <x:v>Not refreshed; verify exchange, corporate actions, float and tradability</x:v>
      </x:c>
      <x:c r="K292" s="40" t="str">
        <x:v>OPEN: listing; security identity; float; liquidity; size; corporate actions</x:v>
      </x:c>
      <x:c r="L292" s="40" t="str"/>
      <x:c r="M292" s="40"/>
      <x:c r="N292" s="40"/>
    </x:row>
    <x:row r="293" ht="75" customHeight="1">
      <x:c r="A293" s="40" t="str">
        <x:v>ULS</x:v>
      </x:c>
      <x:c r="B293" s="40" t="str">
        <x:v>UL Solutions</x:v>
      </x:c>
      <x:c r="C293" s="40" t="str">
        <x:v>ULS</x:v>
      </x:c>
      <x:c r="D293" s="40" t="str">
        <x:v>US/ADR</x:v>
      </x:c>
      <x:c r="E293" s="40" t="str">
        <x:v>Industrials</x:v>
      </x:c>
      <x:c r="F293" s="40" t="str">
        <x:v>Industrials</x:v>
      </x:c>
      <x:c r="G293" s="40" t="str">
        <x:v>E038</x:v>
      </x:c>
      <x:c r="H293" s="40" t="str">
        <x:v>Industry comparator / discovery seed</x:v>
      </x:c>
      <x:c r="I293" s="40" t="str">
        <x:v>Not individually underwritten</x:v>
      </x:c>
      <x:c r="J293" s="40" t="str">
        <x:v>Not refreshed; verify exchange, corporate actions, float and tradability</x:v>
      </x:c>
      <x:c r="K293" s="40" t="str">
        <x:v>OPEN: listing; security identity; float; liquidity; size; corporate actions</x:v>
      </x:c>
      <x:c r="L293" s="40" t="str"/>
      <x:c r="M293" s="40"/>
      <x:c r="N293" s="40"/>
    </x:row>
    <x:row r="294" ht="75" customHeight="1">
      <x:c r="A294" s="40" t="str">
        <x:v>UNH</x:v>
      </x:c>
      <x:c r="B294" s="40" t="str">
        <x:v>UnitedHealth Group</x:v>
      </x:c>
      <x:c r="C294" s="40" t="str">
        <x:v>UNH</x:v>
      </x:c>
      <x:c r="D294" s="40" t="str">
        <x:v>US/ADR</x:v>
      </x:c>
      <x:c r="E294" s="40" t="str">
        <x:v>Health Care</x:v>
      </x:c>
      <x:c r="F294" s="40" t="str">
        <x:v>Health Care</x:v>
      </x:c>
      <x:c r="G294" s="40" t="str">
        <x:v>E077</x:v>
      </x:c>
      <x:c r="H294" s="40" t="str">
        <x:v>Industry comparator / discovery seed</x:v>
      </x:c>
      <x:c r="I294" s="40" t="str">
        <x:v>Not individually underwritten</x:v>
      </x:c>
      <x:c r="J294" s="40" t="str">
        <x:v>Not refreshed; verify exchange, corporate actions, float and tradability</x:v>
      </x:c>
      <x:c r="K294" s="40" t="str">
        <x:v>OPEN: listing; security identity; float; liquidity; size; corporate actions</x:v>
      </x:c>
      <x:c r="L294" s="40" t="str"/>
      <x:c r="M294" s="40"/>
      <x:c r="N294" s="40"/>
    </x:row>
    <x:row r="295" ht="75" customHeight="1">
      <x:c r="A295" s="40" t="str">
        <x:v>UNP</x:v>
      </x:c>
      <x:c r="B295" s="40" t="str">
        <x:v>Union Pacific</x:v>
      </x:c>
      <x:c r="C295" s="40" t="str">
        <x:v>UNP</x:v>
      </x:c>
      <x:c r="D295" s="40" t="str">
        <x:v>US/ADR</x:v>
      </x:c>
      <x:c r="E295" s="40" t="str">
        <x:v>Industrials</x:v>
      </x:c>
      <x:c r="F295" s="40" t="str">
        <x:v>Industrials</x:v>
      </x:c>
      <x:c r="G295" s="40" t="str">
        <x:v>E043</x:v>
      </x:c>
      <x:c r="H295" s="40" t="str">
        <x:v>Industry comparator / discovery seed</x:v>
      </x:c>
      <x:c r="I295" s="40" t="str">
        <x:v>Not individually underwritten</x:v>
      </x:c>
      <x:c r="J295" s="40" t="str">
        <x:v>Not refreshed; verify exchange, corporate actions, float and tradability</x:v>
      </x:c>
      <x:c r="K295" s="40" t="str">
        <x:v>OPEN: listing; security identity; float; liquidity; size; corporate actions</x:v>
      </x:c>
      <x:c r="L295" s="40" t="str"/>
      <x:c r="M295" s="40"/>
      <x:c r="N295" s="40"/>
    </x:row>
    <x:row r="296" ht="75" customHeight="1">
      <x:c r="A296" s="40" t="str">
        <x:v>UPS</x:v>
      </x:c>
      <x:c r="B296" s="40" t="str">
        <x:v>United Parcel Service</x:v>
      </x:c>
      <x:c r="C296" s="40" t="str">
        <x:v>UPS</x:v>
      </x:c>
      <x:c r="D296" s="40" t="str">
        <x:v>US/ADR</x:v>
      </x:c>
      <x:c r="E296" s="40" t="str">
        <x:v>Industrials</x:v>
      </x:c>
      <x:c r="F296" s="40" t="str">
        <x:v>Industrials</x:v>
      </x:c>
      <x:c r="G296" s="40" t="str">
        <x:v>E040</x:v>
      </x:c>
      <x:c r="H296" s="40" t="str">
        <x:v>Industry comparator / discovery seed</x:v>
      </x:c>
      <x:c r="I296" s="40" t="str">
        <x:v>Not individually underwritten</x:v>
      </x:c>
      <x:c r="J296" s="40" t="str">
        <x:v>Not refreshed; verify exchange, corporate actions, float and tradability</x:v>
      </x:c>
      <x:c r="K296" s="40" t="str">
        <x:v>OPEN: listing; security identity; float; liquidity; size; corporate actions</x:v>
      </x:c>
      <x:c r="L296" s="40" t="str"/>
      <x:c r="M296" s="40"/>
      <x:c r="N296" s="40"/>
    </x:row>
    <x:row r="297" ht="75" customHeight="1">
      <x:c r="A297" s="40" t="str">
        <x:v>USAC</x:v>
      </x:c>
      <x:c r="B297" s="40" t="str">
        <x:v>USA Compression Partners</x:v>
      </x:c>
      <x:c r="C297" s="40" t="str">
        <x:v>USAC</x:v>
      </x:c>
      <x:c r="D297" s="40" t="str">
        <x:v>US/ADR</x:v>
      </x:c>
      <x:c r="E297" s="40" t="str">
        <x:v>Energy</x:v>
      </x:c>
      <x:c r="F297" s="40" t="str">
        <x:v>Energy</x:v>
      </x:c>
      <x:c r="G297" s="40" t="str">
        <x:v>E003</x:v>
      </x:c>
      <x:c r="H297" s="40" t="str">
        <x:v>Industry comparator / discovery seed</x:v>
      </x:c>
      <x:c r="I297" s="40" t="str">
        <x:v>Not individually underwritten</x:v>
      </x:c>
      <x:c r="J297" s="40" t="str">
        <x:v>Not refreshed; verify exchange, corporate actions, float and tradability</x:v>
      </x:c>
      <x:c r="K297" s="40" t="str">
        <x:v>OPEN: listing; security identity; float; liquidity; size; corporate actions</x:v>
      </x:c>
      <x:c r="L297" s="40" t="str"/>
      <x:c r="M297" s="40"/>
      <x:c r="N297" s="40"/>
    </x:row>
    <x:row r="298" ht="75" customHeight="1">
      <x:c r="A298" s="40" t="str">
        <x:v>V</x:v>
      </x:c>
      <x:c r="B298" s="40" t="str">
        <x:v>Visa</x:v>
      </x:c>
      <x:c r="C298" s="40" t="str">
        <x:v>V</x:v>
      </x:c>
      <x:c r="D298" s="40" t="str">
        <x:v>US/ADR</x:v>
      </x:c>
      <x:c r="E298" s="40" t="str">
        <x:v>Financials</x:v>
      </x:c>
      <x:c r="F298" s="40" t="str">
        <x:v>Financials</x:v>
      </x:c>
      <x:c r="G298" s="40" t="str">
        <x:v>E089</x:v>
      </x:c>
      <x:c r="H298" s="40" t="str">
        <x:v>Industry comparator / discovery seed</x:v>
      </x:c>
      <x:c r="I298" s="40" t="str">
        <x:v>Not individually underwritten</x:v>
      </x:c>
      <x:c r="J298" s="40" t="str">
        <x:v>Not refreshed; verify exchange, corporate actions, float and tradability</x:v>
      </x:c>
      <x:c r="K298" s="40" t="str">
        <x:v>OPEN: listing; security identity; float; liquidity; size; corporate actions</x:v>
      </x:c>
      <x:c r="L298" s="40" t="str"/>
      <x:c r="M298" s="40"/>
      <x:c r="N298" s="40"/>
    </x:row>
    <x:row r="299" ht="75" customHeight="1">
      <x:c r="A299" s="40" t="str">
        <x:v>VEEV</x:v>
      </x:c>
      <x:c r="B299" s="40" t="str">
        <x:v>Veeva Systems (cross-sector comparator) Health</x:v>
      </x:c>
      <x:c r="C299" s="40" t="str">
        <x:v>VEEV</x:v>
      </x:c>
      <x:c r="D299" s="40" t="str">
        <x:v>US/ADR</x:v>
      </x:c>
      <x:c r="E299" s="40" t="str">
        <x:v>Health Care</x:v>
      </x:c>
      <x:c r="F299" s="40" t="str">
        <x:v>Health Care</x:v>
      </x:c>
      <x:c r="G299" s="40" t="str">
        <x:v>E079</x:v>
      </x:c>
      <x:c r="H299" s="40" t="str">
        <x:v>Industry comparator / discovery seed</x:v>
      </x:c>
      <x:c r="I299" s="40" t="str">
        <x:v>Not individually underwritten</x:v>
      </x:c>
      <x:c r="J299" s="40" t="str">
        <x:v>Not refreshed; verify exchange, corporate actions, float and tradability</x:v>
      </x:c>
      <x:c r="K299" s="40" t="str">
        <x:v>OPEN: listing; security identity; float; liquidity; size; corporate actions</x:v>
      </x:c>
      <x:c r="L299" s="40" t="str"/>
      <x:c r="M299" s="40"/>
      <x:c r="N299" s="40"/>
    </x:row>
    <x:row r="300" ht="75" customHeight="1">
      <x:c r="A300" s="40" t="str">
        <x:v>VICI</x:v>
      </x:c>
      <x:c r="B300" s="40" t="str">
        <x:v>VICI Properties</x:v>
      </x:c>
      <x:c r="C300" s="40" t="str">
        <x:v>VICI</x:v>
      </x:c>
      <x:c r="D300" s="40" t="str">
        <x:v>US/ADR</x:v>
      </x:c>
      <x:c r="E300" s="40" t="str">
        <x:v>Real Estate</x:v>
      </x:c>
      <x:c r="F300" s="40" t="str">
        <x:v>Real Estate</x:v>
      </x:c>
      <x:c r="G300" s="40" t="str">
        <x:v>E146</x:v>
      </x:c>
      <x:c r="H300" s="40" t="str">
        <x:v>Industry comparator / discovery seed</x:v>
      </x:c>
      <x:c r="I300" s="40" t="str">
        <x:v>Not individually underwritten</x:v>
      </x:c>
      <x:c r="J300" s="40" t="str">
        <x:v>Not refreshed; verify exchange, corporate actions, float and tradability</x:v>
      </x:c>
      <x:c r="K300" s="40" t="str">
        <x:v>OPEN: listing; security identity; float; liquidity; size; corporate actions</x:v>
      </x:c>
      <x:c r="L300" s="40" t="str"/>
      <x:c r="M300" s="40"/>
      <x:c r="N300" s="40"/>
    </x:row>
    <x:row r="301" ht="75" customHeight="1">
      <x:c r="A301" s="40" t="str">
        <x:v>VITL</x:v>
      </x:c>
      <x:c r="B301" s="40" t="str">
        <x:v>Vital Farms</x:v>
      </x:c>
      <x:c r="C301" s="40" t="str">
        <x:v>VITL</x:v>
      </x:c>
      <x:c r="D301" s="40" t="str">
        <x:v>US/ADR</x:v>
      </x:c>
      <x:c r="E301" s="40" t="str">
        <x:v>Consumer Staples</x:v>
      </x:c>
      <x:c r="F301" s="40" t="str">
        <x:v>Consumer Staples</x:v>
      </x:c>
      <x:c r="G301" s="40" t="str">
        <x:v>E070</x:v>
      </x:c>
      <x:c r="H301" s="40" t="str">
        <x:v>Adverse case / evidence hold</x:v>
      </x:c>
      <x:c r="I301" s="40" t="str">
        <x:v>Selected current-report facts checked; full underwriting incomplete</x:v>
      </x:c>
      <x:c r="J301" s="40" t="str">
        <x:v>Ticker in issuer materials; exchange, corporate actions, liquidity and eligibility still require refresh</x:v>
      </x:c>
      <x:c r="K301" s="40" t="str">
        <x:v>OPEN: listing; security identity; float; liquidity; size; corporate actions</x:v>
      </x:c>
      <x:c r="L301" s="40" t="str">
        <x:v>VITL26</x:v>
      </x:c>
      <x:c r="M301" s="40"/>
      <x:c r="N301" s="40"/>
    </x:row>
    <x:row r="302" ht="75" customHeight="1">
      <x:c r="A302" s="40" t="str">
        <x:v>VLO</x:v>
      </x:c>
      <x:c r="B302" s="40" t="str">
        <x:v>Valero Energy</x:v>
      </x:c>
      <x:c r="C302" s="40" t="str">
        <x:v>VLO</x:v>
      </x:c>
      <x:c r="D302" s="40" t="str">
        <x:v>US/ADR</x:v>
      </x:c>
      <x:c r="E302" s="40" t="str">
        <x:v>Energy</x:v>
      </x:c>
      <x:c r="F302" s="40" t="str">
        <x:v>Energy</x:v>
      </x:c>
      <x:c r="G302" s="40" t="str">
        <x:v>E005</x:v>
      </x:c>
      <x:c r="H302" s="40" t="str">
        <x:v>Industry comparator / discovery seed</x:v>
      </x:c>
      <x:c r="I302" s="40" t="str">
        <x:v>Not individually underwritten</x:v>
      </x:c>
      <x:c r="J302" s="40" t="str">
        <x:v>Not refreshed; verify exchange, corporate actions, float and tradability</x:v>
      </x:c>
      <x:c r="K302" s="40" t="str">
        <x:v>OPEN: listing; security identity; float; liquidity; size; corporate actions</x:v>
      </x:c>
      <x:c r="L302" s="40" t="str"/>
      <x:c r="M302" s="40"/>
      <x:c r="N302" s="40"/>
    </x:row>
    <x:row r="303" ht="75" customHeight="1">
      <x:c r="A303" s="40" t="str">
        <x:v>VMC</x:v>
      </x:c>
      <x:c r="B303" s="40" t="str">
        <x:v>Vulcan Materials</x:v>
      </x:c>
      <x:c r="C303" s="40" t="str">
        <x:v>VMC</x:v>
      </x:c>
      <x:c r="D303" s="40" t="str">
        <x:v>US/ADR</x:v>
      </x:c>
      <x:c r="E303" s="40" t="str">
        <x:v>Materials</x:v>
      </x:c>
      <x:c r="F303" s="40" t="str">
        <x:v>Materials</x:v>
      </x:c>
      <x:c r="G303" s="40" t="str">
        <x:v>E012</x:v>
      </x:c>
      <x:c r="H303" s="40" t="str">
        <x:v>Industry comparator / discovery seed</x:v>
      </x:c>
      <x:c r="I303" s="40" t="str">
        <x:v>Not individually underwritten</x:v>
      </x:c>
      <x:c r="J303" s="40" t="str">
        <x:v>Not refreshed; verify exchange, corporate actions, float and tradability</x:v>
      </x:c>
      <x:c r="K303" s="40" t="str">
        <x:v>OPEN: listing; security identity; float; liquidity; size; corporate actions</x:v>
      </x:c>
      <x:c r="L303" s="40" t="str"/>
      <x:c r="M303" s="40"/>
      <x:c r="N303" s="40"/>
    </x:row>
    <x:row r="304" ht="75" customHeight="1">
      <x:c r="A304" s="40" t="str">
        <x:v>VRTX</x:v>
      </x:c>
      <x:c r="B304" s="40" t="str">
        <x:v>Vertex Pharmaceuticals</x:v>
      </x:c>
      <x:c r="C304" s="40" t="str">
        <x:v>VRTX</x:v>
      </x:c>
      <x:c r="D304" s="40" t="str">
        <x:v>US/ADR</x:v>
      </x:c>
      <x:c r="E304" s="40" t="str">
        <x:v>Health Care</x:v>
      </x:c>
      <x:c r="F304" s="40" t="str">
        <x:v>Health Care</x:v>
      </x:c>
      <x:c r="G304" s="40" t="str">
        <x:v>E081</x:v>
      </x:c>
      <x:c r="H304" s="40" t="str">
        <x:v>Industry comparator / discovery seed</x:v>
      </x:c>
      <x:c r="I304" s="40" t="str">
        <x:v>Not individually underwritten</x:v>
      </x:c>
      <x:c r="J304" s="40" t="str">
        <x:v>Not refreshed; verify exchange, corporate actions, float and tradability</x:v>
      </x:c>
      <x:c r="K304" s="40" t="str">
        <x:v>OPEN: listing; security identity; float; liquidity; size; corporate actions</x:v>
      </x:c>
      <x:c r="L304" s="40" t="str"/>
      <x:c r="M304" s="40"/>
      <x:c r="N304" s="40"/>
    </x:row>
    <x:row r="305" ht="75" customHeight="1">
      <x:c r="A305" s="40" t="str">
        <x:v>VSEC</x:v>
      </x:c>
      <x:c r="B305" s="40" t="str">
        <x:v>VSE</x:v>
      </x:c>
      <x:c r="C305" s="40" t="str">
        <x:v>VSEC</x:v>
      </x:c>
      <x:c r="D305" s="40" t="str">
        <x:v>US/ADR</x:v>
      </x:c>
      <x:c r="E305" s="40" t="str">
        <x:v>Industrials</x:v>
      </x:c>
      <x:c r="F305" s="40" t="str">
        <x:v>Industrials</x:v>
      </x:c>
      <x:c r="G305" s="40" t="str">
        <x:v>E021</x:v>
      </x:c>
      <x:c r="H305" s="40" t="str">
        <x:v>Current-report research candidate</x:v>
      </x:c>
      <x:c r="I305" s="40" t="str">
        <x:v>Selected current-report facts checked; full underwriting incomplete</x:v>
      </x:c>
      <x:c r="J305" s="40" t="str">
        <x:v>Ticker in issuer materials; exchange, corporate actions, liquidity and eligibility still require refresh</x:v>
      </x:c>
      <x:c r="K305" s="40" t="str">
        <x:v>OPEN: listing; security identity; float; liquidity; size; corporate actions</x:v>
      </x:c>
      <x:c r="L305" s="40" t="str">
        <x:v>VSEC26</x:v>
      </x:c>
      <x:c r="M305" s="40"/>
      <x:c r="N305" s="40"/>
    </x:row>
    <x:row r="306" ht="75" customHeight="1">
      <x:c r="A306" s="40" t="str">
        <x:v>VST</x:v>
      </x:c>
      <x:c r="B306" s="40" t="str">
        <x:v>Vistra</x:v>
      </x:c>
      <x:c r="C306" s="40" t="str">
        <x:v>VST</x:v>
      </x:c>
      <x:c r="D306" s="40" t="str">
        <x:v>US/ADR</x:v>
      </x:c>
      <x:c r="E306" s="40" t="str">
        <x:v>Utilities</x:v>
      </x:c>
      <x:c r="F306" s="40" t="str">
        <x:v>Utilities</x:v>
      </x:c>
      <x:c r="G306" s="40" t="str">
        <x:v>E132</x:v>
      </x:c>
      <x:c r="H306" s="40" t="str">
        <x:v>Industry comparator / discovery seed</x:v>
      </x:c>
      <x:c r="I306" s="40" t="str">
        <x:v>Not individually underwritten</x:v>
      </x:c>
      <x:c r="J306" s="40" t="str">
        <x:v>Not refreshed; verify exchange, corporate actions, float and tradability</x:v>
      </x:c>
      <x:c r="K306" s="40" t="str">
        <x:v>OPEN: listing; security identity; float; liquidity; size; corporate actions</x:v>
      </x:c>
      <x:c r="L306" s="40" t="str"/>
      <x:c r="M306" s="40"/>
      <x:c r="N306" s="40"/>
    </x:row>
    <x:row r="307" ht="75" customHeight="1">
      <x:c r="A307" s="40" t="str">
        <x:v>VTR</x:v>
      </x:c>
      <x:c r="B307" s="40" t="str">
        <x:v>Ventas</x:v>
      </x:c>
      <x:c r="C307" s="40" t="str">
        <x:v>VTR</x:v>
      </x:c>
      <x:c r="D307" s="40" t="str">
        <x:v>US/ADR</x:v>
      </x:c>
      <x:c r="E307" s="40" t="str">
        <x:v>Real Estate</x:v>
      </x:c>
      <x:c r="F307" s="40" t="str">
        <x:v>Real Estate</x:v>
      </x:c>
      <x:c r="G307" s="40" t="str">
        <x:v>E138</x:v>
      </x:c>
      <x:c r="H307" s="40" t="str">
        <x:v>Industry comparator / discovery seed</x:v>
      </x:c>
      <x:c r="I307" s="40" t="str">
        <x:v>Not individually underwritten</x:v>
      </x:c>
      <x:c r="J307" s="40" t="str">
        <x:v>Not refreshed; verify exchange, corporate actions, float and tradability</x:v>
      </x:c>
      <x:c r="K307" s="40" t="str">
        <x:v>OPEN: listing; security identity; float; liquidity; size; corporate actions</x:v>
      </x:c>
      <x:c r="L307" s="40" t="str"/>
      <x:c r="M307" s="40"/>
      <x:c r="N307" s="40"/>
    </x:row>
    <x:row r="308" ht="75" customHeight="1">
      <x:c r="A308" s="40" t="str">
        <x:v>VZ</x:v>
      </x:c>
      <x:c r="B308" s="40" t="str">
        <x:v>Verizon</x:v>
      </x:c>
      <x:c r="C308" s="40" t="str">
        <x:v>VZ</x:v>
      </x:c>
      <x:c r="D308" s="40" t="str">
        <x:v>US/ADR</x:v>
      </x:c>
      <x:c r="E308" s="40" t="str">
        <x:v>Communication Services</x:v>
      </x:c>
      <x:c r="F308" s="40" t="str">
        <x:v>Communication Services</x:v>
      </x:c>
      <x:c r="G308" s="40" t="str">
        <x:v>E120</x:v>
      </x:c>
      <x:c r="H308" s="40" t="str">
        <x:v>Industry comparator / discovery seed</x:v>
      </x:c>
      <x:c r="I308" s="40" t="str">
        <x:v>Not individually underwritten</x:v>
      </x:c>
      <x:c r="J308" s="40" t="str">
        <x:v>Not refreshed; verify exchange, corporate actions, float and tradability</x:v>
      </x:c>
      <x:c r="K308" s="40" t="str">
        <x:v>OPEN: listing; security identity; float; liquidity; size; corporate actions</x:v>
      </x:c>
      <x:c r="L308" s="40" t="str"/>
      <x:c r="M308" s="40"/>
      <x:c r="N308" s="40"/>
    </x:row>
    <x:row r="309" ht="75" customHeight="1">
      <x:c r="A309" s="40" t="str">
        <x:v>WAL</x:v>
      </x:c>
      <x:c r="B309" s="40" t="str">
        <x:v>Western Alliance</x:v>
      </x:c>
      <x:c r="C309" s="40" t="str">
        <x:v>WAL</x:v>
      </x:c>
      <x:c r="D309" s="40" t="str">
        <x:v>US/ADR</x:v>
      </x:c>
      <x:c r="E309" s="40" t="str">
        <x:v>Financials</x:v>
      </x:c>
      <x:c r="F309" s="40" t="str">
        <x:v>Financials</x:v>
      </x:c>
      <x:c r="G309" s="40" t="str">
        <x:v>E088</x:v>
      </x:c>
      <x:c r="H309" s="40" t="str">
        <x:v>Industry comparator / discovery seed</x:v>
      </x:c>
      <x:c r="I309" s="40" t="str">
        <x:v>Not individually underwritten</x:v>
      </x:c>
      <x:c r="J309" s="40" t="str">
        <x:v>Not refreshed; verify exchange, corporate actions, float and tradability</x:v>
      </x:c>
      <x:c r="K309" s="40" t="str">
        <x:v>OPEN: listing; security identity; float; liquidity; size; corporate actions</x:v>
      </x:c>
      <x:c r="L309" s="40" t="str"/>
      <x:c r="M309" s="40"/>
      <x:c r="N309" s="40"/>
    </x:row>
    <x:row r="310" ht="75" customHeight="1">
      <x:c r="A310" s="40" t="str">
        <x:v>WCC</x:v>
      </x:c>
      <x:c r="B310" s="40" t="str">
        <x:v>WESCO</x:v>
      </x:c>
      <x:c r="C310" s="40" t="str">
        <x:v>WCC</x:v>
      </x:c>
      <x:c r="D310" s="40" t="str">
        <x:v>US/ADR</x:v>
      </x:c>
      <x:c r="E310" s="40" t="str">
        <x:v>Industrials</x:v>
      </x:c>
      <x:c r="F310" s="40" t="str">
        <x:v>Industrials</x:v>
      </x:c>
      <x:c r="G310" s="40" t="str">
        <x:v>E033</x:v>
      </x:c>
      <x:c r="H310" s="40" t="str">
        <x:v>Industry comparator / discovery seed</x:v>
      </x:c>
      <x:c r="I310" s="40" t="str">
        <x:v>Not individually underwritten</x:v>
      </x:c>
      <x:c r="J310" s="40" t="str">
        <x:v>Not refreshed; verify exchange, corporate actions, float and tradability</x:v>
      </x:c>
      <x:c r="K310" s="40" t="str">
        <x:v>OPEN: listing; security identity; float; liquidity; size; corporate actions</x:v>
      </x:c>
      <x:c r="L310" s="40" t="str"/>
      <x:c r="M310" s="40"/>
      <x:c r="N310" s="40"/>
    </x:row>
    <x:row r="311" ht="75" customHeight="1">
      <x:c r="A311" s="40" t="str">
        <x:v>WCN</x:v>
      </x:c>
      <x:c r="B311" s="40" t="str">
        <x:v>Waste Connections</x:v>
      </x:c>
      <x:c r="C311" s="40" t="str">
        <x:v>WCN</x:v>
      </x:c>
      <x:c r="D311" s="40" t="str">
        <x:v>US/ADR</x:v>
      </x:c>
      <x:c r="E311" s="40" t="str">
        <x:v>Industrials</x:v>
      </x:c>
      <x:c r="F311" s="40" t="str">
        <x:v>Industrials</x:v>
      </x:c>
      <x:c r="G311" s="40" t="str">
        <x:v>E035</x:v>
      </x:c>
      <x:c r="H311" s="40" t="str">
        <x:v>Industry comparator / discovery seed</x:v>
      </x:c>
      <x:c r="I311" s="40" t="str">
        <x:v>Not individually underwritten</x:v>
      </x:c>
      <x:c r="J311" s="40" t="str">
        <x:v>Not refreshed; verify exchange, corporate actions, float and tradability</x:v>
      </x:c>
      <x:c r="K311" s="40" t="str">
        <x:v>OPEN: listing; security identity; float; liquidity; size; corporate actions</x:v>
      </x:c>
      <x:c r="L311" s="40" t="str"/>
      <x:c r="M311" s="40"/>
      <x:c r="N311" s="40"/>
    </x:row>
    <x:row r="312" ht="75" customHeight="1">
      <x:c r="A312" s="40" t="str">
        <x:v>WELL</x:v>
      </x:c>
      <x:c r="B312" s="40" t="str">
        <x:v>Welltower</x:v>
      </x:c>
      <x:c r="C312" s="40" t="str">
        <x:v>WELL</x:v>
      </x:c>
      <x:c r="D312" s="40" t="str">
        <x:v>US/ADR</x:v>
      </x:c>
      <x:c r="E312" s="40" t="str">
        <x:v>Real Estate</x:v>
      </x:c>
      <x:c r="F312" s="40" t="str">
        <x:v>Real Estate</x:v>
      </x:c>
      <x:c r="G312" s="40" t="str">
        <x:v>E138</x:v>
      </x:c>
      <x:c r="H312" s="40" t="str">
        <x:v>Industry comparator / discovery seed</x:v>
      </x:c>
      <x:c r="I312" s="40" t="str">
        <x:v>Not individually underwritten</x:v>
      </x:c>
      <x:c r="J312" s="40" t="str">
        <x:v>Not refreshed; verify exchange, corporate actions, float and tradability</x:v>
      </x:c>
      <x:c r="K312" s="40" t="str">
        <x:v>OPEN: listing; security identity; float; liquidity; size; corporate actions</x:v>
      </x:c>
      <x:c r="L312" s="40" t="str"/>
      <x:c r="M312" s="40"/>
      <x:c r="N312" s="40"/>
    </x:row>
    <x:row r="313" ht="75" customHeight="1">
      <x:c r="A313" s="40" t="str">
        <x:v>WFG</x:v>
      </x:c>
      <x:c r="B313" s="40" t="str">
        <x:v>West Fraser Timber</x:v>
      </x:c>
      <x:c r="C313" s="40" t="str">
        <x:v>WFG</x:v>
      </x:c>
      <x:c r="D313" s="40" t="str">
        <x:v>US/ADR</x:v>
      </x:c>
      <x:c r="E313" s="40" t="str">
        <x:v>Materials</x:v>
      </x:c>
      <x:c r="F313" s="40" t="str">
        <x:v>Materials</x:v>
      </x:c>
      <x:c r="G313" s="40" t="str">
        <x:v>E018</x:v>
      </x:c>
      <x:c r="H313" s="40" t="str">
        <x:v>Industry comparator / discovery seed</x:v>
      </x:c>
      <x:c r="I313" s="40" t="str">
        <x:v>Not individually underwritten</x:v>
      </x:c>
      <x:c r="J313" s="40" t="str">
        <x:v>Not refreshed; verify exchange, corporate actions, float and tradability</x:v>
      </x:c>
      <x:c r="K313" s="40" t="str">
        <x:v>OPEN: listing; security identity; float; liquidity; size; corporate actions</x:v>
      </x:c>
      <x:c r="L313" s="40" t="str"/>
      <x:c r="M313" s="40"/>
      <x:c r="N313" s="40"/>
    </x:row>
    <x:row r="314" ht="75" customHeight="1">
      <x:c r="A314" s="40" t="str">
        <x:v>WHR</x:v>
      </x:c>
      <x:c r="B314" s="40" t="str">
        <x:v>Whirlpool</x:v>
      </x:c>
      <x:c r="C314" s="40" t="str">
        <x:v>WHR</x:v>
      </x:c>
      <x:c r="D314" s="40" t="str">
        <x:v>US/ADR</x:v>
      </x:c>
      <x:c r="E314" s="40" t="str">
        <x:v>Consumer Discretionary</x:v>
      </x:c>
      <x:c r="F314" s="40" t="str">
        <x:v>Consumer Discretionary</x:v>
      </x:c>
      <x:c r="G314" s="40" t="str">
        <x:v>E051</x:v>
      </x:c>
      <x:c r="H314" s="40" t="str">
        <x:v>Industry comparator / discovery seed</x:v>
      </x:c>
      <x:c r="I314" s="40" t="str">
        <x:v>Not individually underwritten</x:v>
      </x:c>
      <x:c r="J314" s="40" t="str">
        <x:v>Not refreshed; verify exchange, corporate actions, float and tradability</x:v>
      </x:c>
      <x:c r="K314" s="40" t="str">
        <x:v>OPEN: listing; security identity; float; liquidity; size; corporate actions</x:v>
      </x:c>
      <x:c r="L314" s="40" t="str"/>
      <x:c r="M314" s="40"/>
      <x:c r="N314" s="40"/>
    </x:row>
    <x:row r="315" ht="75" customHeight="1">
      <x:c r="A315" s="40" t="str">
        <x:v>WINA</x:v>
      </x:c>
      <x:c r="B315" s="40" t="str">
        <x:v>Winmark</x:v>
      </x:c>
      <x:c r="C315" s="40" t="str">
        <x:v>WINA</x:v>
      </x:c>
      <x:c r="D315" s="40" t="str">
        <x:v>US/ADR</x:v>
      </x:c>
      <x:c r="E315" s="40" t="str">
        <x:v>Consumer Discretionary</x:v>
      </x:c>
      <x:c r="F315" s="40" t="str">
        <x:v>Consumer Discretionary</x:v>
      </x:c>
      <x:c r="G315" s="40" t="str">
        <x:v>E064</x:v>
      </x:c>
      <x:c r="H315" s="40" t="str">
        <x:v>Current-report research candidate</x:v>
      </x:c>
      <x:c r="I315" s="40" t="str">
        <x:v>Selected current-report facts checked; full underwriting incomplete</x:v>
      </x:c>
      <x:c r="J315" s="40" t="str">
        <x:v>Ticker in issuer materials; exchange, corporate actions, liquidity and eligibility still require refresh</x:v>
      </x:c>
      <x:c r="K315" s="40" t="str">
        <x:v>OPEN: listing; security identity; float; liquidity; size; corporate actions</x:v>
      </x:c>
      <x:c r="L315" s="40" t="str">
        <x:v>WINA26</x:v>
      </x:c>
      <x:c r="M315" s="40"/>
      <x:c r="N315" s="40"/>
    </x:row>
    <x:row r="316" ht="75" customHeight="1">
      <x:c r="A316" s="40" t="str">
        <x:v>WING</x:v>
      </x:c>
      <x:c r="B316" s="40" t="str">
        <x:v>Wingstop</x:v>
      </x:c>
      <x:c r="C316" s="40" t="str">
        <x:v>WING</x:v>
      </x:c>
      <x:c r="D316" s="40" t="str">
        <x:v>US/ADR</x:v>
      </x:c>
      <x:c r="E316" s="40" t="str">
        <x:v>Consumer Discretionary</x:v>
      </x:c>
      <x:c r="F316" s="40" t="str">
        <x:v>Consumer Discretionary</x:v>
      </x:c>
      <x:c r="G316" s="40" t="str">
        <x:v>E056</x:v>
      </x:c>
      <x:c r="H316" s="40" t="str">
        <x:v>Industry comparator / discovery seed</x:v>
      </x:c>
      <x:c r="I316" s="40" t="str">
        <x:v>Not individually underwritten</x:v>
      </x:c>
      <x:c r="J316" s="40" t="str">
        <x:v>Not refreshed; verify exchange, corporate actions, float and tradability</x:v>
      </x:c>
      <x:c r="K316" s="40" t="str">
        <x:v>OPEN: listing; security identity; float; liquidity; size; corporate actions</x:v>
      </x:c>
      <x:c r="L316" s="40" t="str"/>
      <x:c r="M316" s="40"/>
      <x:c r="N316" s="40"/>
    </x:row>
    <x:row r="317" ht="75" customHeight="1">
      <x:c r="A317" s="40" t="str">
        <x:v>WTRG</x:v>
      </x:c>
      <x:c r="B317" s="40" t="str">
        <x:v>Essential Utilities</x:v>
      </x:c>
      <x:c r="C317" s="40" t="str">
        <x:v>WTRG</x:v>
      </x:c>
      <x:c r="D317" s="40" t="str">
        <x:v>US/ADR</x:v>
      </x:c>
      <x:c r="E317" s="40" t="str">
        <x:v>Utilities</x:v>
      </x:c>
      <x:c r="F317" s="40" t="str">
        <x:v>Utilities</x:v>
      </x:c>
      <x:c r="G317" s="40" t="str">
        <x:v>E131</x:v>
      </x:c>
      <x:c r="H317" s="40" t="str">
        <x:v>Industry comparator / discovery seed</x:v>
      </x:c>
      <x:c r="I317" s="40" t="str">
        <x:v>Not individually underwritten</x:v>
      </x:c>
      <x:c r="J317" s="40" t="str">
        <x:v>Not refreshed; verify exchange, corporate actions, float and tradability</x:v>
      </x:c>
      <x:c r="K317" s="40" t="str">
        <x:v>OPEN: listing; security identity; float; liquidity; size; corporate actions</x:v>
      </x:c>
      <x:c r="L317" s="40" t="str"/>
      <x:c r="M317" s="40"/>
      <x:c r="N317" s="40"/>
    </x:row>
    <x:row r="318" ht="75" customHeight="1">
      <x:c r="A318" s="40" t="str">
        <x:v>WWD</x:v>
      </x:c>
      <x:c r="B318" s="40" t="str">
        <x:v>Woodward</x:v>
      </x:c>
      <x:c r="C318" s="40" t="str">
        <x:v>WWD</x:v>
      </x:c>
      <x:c r="D318" s="40" t="str">
        <x:v>US/ADR</x:v>
      </x:c>
      <x:c r="E318" s="40" t="str">
        <x:v>Industrials</x:v>
      </x:c>
      <x:c r="F318" s="40" t="str">
        <x:v>Industrials</x:v>
      </x:c>
      <x:c r="G318" s="40" t="str">
        <x:v>E020</x:v>
      </x:c>
      <x:c r="H318" s="40" t="str">
        <x:v>Industry comparator / discovery seed</x:v>
      </x:c>
      <x:c r="I318" s="40" t="str">
        <x:v>Not individually underwritten</x:v>
      </x:c>
      <x:c r="J318" s="40" t="str">
        <x:v>Not refreshed; verify exchange, corporate actions, float and tradability</x:v>
      </x:c>
      <x:c r="K318" s="40" t="str">
        <x:v>OPEN: listing; security identity; float; liquidity; size; corporate actions</x:v>
      </x:c>
      <x:c r="L318" s="40" t="str"/>
      <x:c r="M318" s="40"/>
      <x:c r="N318" s="40"/>
    </x:row>
    <x:row r="319" ht="75" customHeight="1">
      <x:c r="A319" s="40" t="str">
        <x:v>WY</x:v>
      </x:c>
      <x:c r="B319" s="40" t="str">
        <x:v>Weyerhaeuser</x:v>
      </x:c>
      <x:c r="C319" s="40" t="str">
        <x:v>WY</x:v>
      </x:c>
      <x:c r="D319" s="40" t="str">
        <x:v>US/ADR</x:v>
      </x:c>
      <x:c r="E319" s="40" t="str">
        <x:v>Real Estate</x:v>
      </x:c>
      <x:c r="F319" s="40" t="str">
        <x:v>Real Estate</x:v>
      </x:c>
      <x:c r="G319" s="40" t="str">
        <x:v>E146</x:v>
      </x:c>
      <x:c r="H319" s="40" t="str">
        <x:v>Industry comparator / discovery seed</x:v>
      </x:c>
      <x:c r="I319" s="40" t="str">
        <x:v>Not individually underwritten</x:v>
      </x:c>
      <x:c r="J319" s="40" t="str">
        <x:v>Not refreshed; verify exchange, corporate actions, float and tradability</x:v>
      </x:c>
      <x:c r="K319" s="40" t="str">
        <x:v>OPEN: listing; security identity; float; liquidity; size; corporate actions</x:v>
      </x:c>
      <x:c r="L319" s="40" t="str"/>
      <x:c r="M319" s="40"/>
      <x:c r="N319" s="40"/>
    </x:row>
    <x:row r="320" ht="75" customHeight="1">
      <x:c r="A320" s="40" t="str">
        <x:v>XYL</x:v>
      </x:c>
      <x:c r="B320" s="40" t="str">
        <x:v>Xylem</x:v>
      </x:c>
      <x:c r="C320" s="40" t="str">
        <x:v>XYL</x:v>
      </x:c>
      <x:c r="D320" s="40" t="str">
        <x:v>US/ADR</x:v>
      </x:c>
      <x:c r="E320" s="40" t="str">
        <x:v>Industrials</x:v>
      </x:c>
      <x:c r="F320" s="40" t="str">
        <x:v>Industrials</x:v>
      </x:c>
      <x:c r="G320" s="40" t="str">
        <x:v>E031</x:v>
      </x:c>
      <x:c r="H320" s="40" t="str">
        <x:v>Industry comparator / discovery seed</x:v>
      </x:c>
      <x:c r="I320" s="40" t="str">
        <x:v>Not individually underwritten</x:v>
      </x:c>
      <x:c r="J320" s="40" t="str">
        <x:v>Not refreshed; verify exchange, corporate actions, float and tradability</x:v>
      </x:c>
      <x:c r="K320" s="40" t="str">
        <x:v>OPEN: listing; security identity; float; liquidity; size; corporate actions</x:v>
      </x:c>
      <x:c r="L320" s="40" t="str"/>
      <x:c r="M320" s="40"/>
      <x:c r="N320" s="40"/>
    </x:row>
    <x:row r="321" ht="75" customHeight="1">
      <x:c r="A321" s="40" t="str">
        <x:v>ZD</x:v>
      </x:c>
      <x:c r="B321" s="40" t="str">
        <x:v>Ziff Davis</x:v>
      </x:c>
      <x:c r="C321" s="40" t="str">
        <x:v>ZD</x:v>
      </x:c>
      <x:c r="D321" s="40" t="str">
        <x:v>US/ADR</x:v>
      </x:c>
      <x:c r="E321" s="40" t="str">
        <x:v>Communication Services</x:v>
      </x:c>
      <x:c r="F321" s="40" t="str">
        <x:v>Communication Services</x:v>
      </x:c>
      <x:c r="G321" s="40" t="str">
        <x:v>E122</x:v>
      </x:c>
      <x:c r="H321" s="40" t="str">
        <x:v>Adverse case / evidence hold</x:v>
      </x:c>
      <x:c r="I321" s="40" t="str">
        <x:v>Selected current-report facts checked; full underwriting incomplete</x:v>
      </x:c>
      <x:c r="J321" s="40" t="str">
        <x:v>Ticker in issuer materials; exchange, corporate actions, liquidity and eligibility still require refresh</x:v>
      </x:c>
      <x:c r="K321" s="40" t="str">
        <x:v>OPEN: listing; security identity; float; liquidity; size; corporate actions</x:v>
      </x:c>
      <x:c r="L321" s="40" t="str">
        <x:v>ZD26</x:v>
      </x:c>
      <x:c r="M321" s="40"/>
      <x:c r="N321" s="40"/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1c5bd105193042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7" hidden="0" customWidth="1"/>
    <x:col min="4" max="4" width="25" hidden="0" customWidth="1"/>
    <x:col min="5" max="5" width="40" hidden="0" customWidth="1"/>
  </x:cols>
  <x:sheetData>
    <x:row r="1">
      <x:c r="A1" s="24" t="str">
        <x:v>Economic exposure crosswalk</x:v>
      </x:c>
      <x:c r="B1" s="24"/>
      <x:c r="C1" s="24"/>
      <x:c r="D1" s="24"/>
      <x:c r="E1" s="24"/>
    </x:row>
    <x:row r="2">
      <x:c r="A2" s="24"/>
      <x:c r="B2" s="24"/>
      <x:c r="C2" s="24"/>
      <x:c r="D2" s="24"/>
      <x:c r="E2" s="24"/>
    </x:row>
    <x:row r="3" ht="32" customHeight="1">
      <x:c r="A3" s="29" t="str">
        <x:v>A company can have multiple exposures. These are analyst mappings, not licensed issuer GICS assignments.</x:v>
      </x:c>
      <x:c r="B3" s="29"/>
      <x:c r="C3" s="29"/>
      <x:c r="D3" s="29"/>
      <x:c r="E3" s="29"/>
    </x:row>
    <x:row r="5" ht="32" customHeight="1">
      <x:c r="A5" s="34" t="str">
        <x:v>Company ID</x:v>
      </x:c>
      <x:c r="B5" s="34" t="str">
        <x:v>Node ID</x:v>
      </x:c>
      <x:c r="C5" s="34" t="str">
        <x:v>Economic exposure</x:v>
      </x:c>
      <x:c r="D5" s="34" t="str">
        <x:v>Sector</x:v>
      </x:c>
      <x:c r="E5" s="34" t="str">
        <x:v>Mapping basis</x:v>
      </x:c>
    </x:row>
    <x:row r="6" ht="45" customHeight="1">
      <x:c r="A6" s="40" t="str">
        <x:v>PTEN</x:v>
      </x:c>
      <x:c r="B6" s="40" t="str">
        <x:v>E001</x:v>
      </x:c>
      <x:c r="C6" s="40" t="str">
        <x:v>Land drilling and pressure pumping</x:v>
      </x:c>
      <x:c r="D6" s="40" t="str">
        <x:v>Energy</x:v>
      </x:c>
      <x:c r="E6" s="40" t="str">
        <x:v>Analyst economic exposure; issuer GICS not verified</x:v>
      </x:c>
    </x:row>
    <x:row r="7" ht="45" customHeight="1">
      <x:c r="A7" s="40" t="str">
        <x:v>HP</x:v>
      </x:c>
      <x:c r="B7" s="40" t="str">
        <x:v>E001</x:v>
      </x:c>
      <x:c r="C7" s="40" t="str">
        <x:v>Land drilling and pressure pumping</x:v>
      </x:c>
      <x:c r="D7" s="40" t="str">
        <x:v>Energy</x:v>
      </x:c>
      <x:c r="E7" s="40" t="str">
        <x:v>Analyst economic exposure; issuer GICS not verified</x:v>
      </x:c>
    </x:row>
    <x:row r="8" ht="45" customHeight="1">
      <x:c r="A8" s="40" t="str">
        <x:v>RIG</x:v>
      </x:c>
      <x:c r="B8" s="40" t="str">
        <x:v>E002</x:v>
      </x:c>
      <x:c r="C8" s="40" t="str">
        <x:v>Offshore drilling and subsea services</x:v>
      </x:c>
      <x:c r="D8" s="40" t="str">
        <x:v>Energy</x:v>
      </x:c>
      <x:c r="E8" s="40" t="str">
        <x:v>Analyst economic exposure; issuer GICS not verified</x:v>
      </x:c>
    </x:row>
    <x:row r="9" ht="45" customHeight="1">
      <x:c r="A9" s="40" t="str">
        <x:v>FTI</x:v>
      </x:c>
      <x:c r="B9" s="40" t="str">
        <x:v>E002</x:v>
      </x:c>
      <x:c r="C9" s="40" t="str">
        <x:v>Offshore drilling and subsea services</x:v>
      </x:c>
      <x:c r="D9" s="40" t="str">
        <x:v>Energy</x:v>
      </x:c>
      <x:c r="E9" s="40" t="str">
        <x:v>Analyst economic exposure; issuer GICS not verified</x:v>
      </x:c>
    </x:row>
    <x:row r="10" ht="45" customHeight="1">
      <x:c r="A10" s="40" t="str">
        <x:v>AROC</x:v>
      </x:c>
      <x:c r="B10" s="40" t="str">
        <x:v>E003</x:v>
      </x:c>
      <x:c r="C10" s="40" t="str">
        <x:v>Production compression and consumable services</x:v>
      </x:c>
      <x:c r="D10" s="40" t="str">
        <x:v>Energy</x:v>
      </x:c>
      <x:c r="E10" s="40" t="str">
        <x:v>Analyst economic exposure; issuer GICS not verified</x:v>
      </x:c>
    </x:row>
    <x:row r="11" ht="45" customHeight="1">
      <x:c r="A11" s="40" t="str">
        <x:v>USAC</x:v>
      </x:c>
      <x:c r="B11" s="40" t="str">
        <x:v>E003</x:v>
      </x:c>
      <x:c r="C11" s="40" t="str">
        <x:v>Production compression and consumable services</x:v>
      </x:c>
      <x:c r="D11" s="40" t="str">
        <x:v>Energy</x:v>
      </x:c>
      <x:c r="E11" s="40" t="str">
        <x:v>Analyst economic exposure; issuer GICS not verified</x:v>
      </x:c>
    </x:row>
    <x:row r="12" ht="45" customHeight="1">
      <x:c r="A12" s="40" t="str">
        <x:v>EOG</x:v>
      </x:c>
      <x:c r="B12" s="40" t="str">
        <x:v>E004</x:v>
      </x:c>
      <x:c r="C12" s="40" t="str">
        <x:v>Upstream oil and gas</x:v>
      </x:c>
      <x:c r="D12" s="40" t="str">
        <x:v>Energy</x:v>
      </x:c>
      <x:c r="E12" s="40" t="str">
        <x:v>Analyst economic exposure; issuer GICS not verified</x:v>
      </x:c>
    </x:row>
    <x:row r="13" ht="45" customHeight="1">
      <x:c r="A13" s="40" t="str">
        <x:v>COP</x:v>
      </x:c>
      <x:c r="B13" s="40" t="str">
        <x:v>E004</x:v>
      </x:c>
      <x:c r="C13" s="40" t="str">
        <x:v>Upstream oil and gas</x:v>
      </x:c>
      <x:c r="D13" s="40" t="str">
        <x:v>Energy</x:v>
      </x:c>
      <x:c r="E13" s="40" t="str">
        <x:v>Analyst economic exposure; issuer GICS not verified</x:v>
      </x:c>
    </x:row>
    <x:row r="14" ht="45" customHeight="1">
      <x:c r="A14" s="40" t="str">
        <x:v>VLO</x:v>
      </x:c>
      <x:c r="B14" s="40" t="str">
        <x:v>E005</x:v>
      </x:c>
      <x:c r="C14" s="40" t="str">
        <x:v>Refining and fuel distribution</x:v>
      </x:c>
      <x:c r="D14" s="40" t="str">
        <x:v>Energy</x:v>
      </x:c>
      <x:c r="E14" s="40" t="str">
        <x:v>Analyst economic exposure; issuer GICS not verified</x:v>
      </x:c>
    </x:row>
    <x:row r="15" ht="45" customHeight="1">
      <x:c r="A15" s="40" t="str">
        <x:v>MPC</x:v>
      </x:c>
      <x:c r="B15" s="40" t="str">
        <x:v>E005</x:v>
      </x:c>
      <x:c r="C15" s="40" t="str">
        <x:v>Refining and fuel distribution</x:v>
      </x:c>
      <x:c r="D15" s="40" t="str">
        <x:v>Energy</x:v>
      </x:c>
      <x:c r="E15" s="40" t="str">
        <x:v>Analyst economic exposure; issuer GICS not verified</x:v>
      </x:c>
    </x:row>
    <x:row r="16" ht="45" customHeight="1">
      <x:c r="A16" s="40" t="str">
        <x:v>EPD</x:v>
      </x:c>
      <x:c r="B16" s="40" t="str">
        <x:v>E006</x:v>
      </x:c>
      <x:c r="C16" s="40" t="str">
        <x:v>Midstream and LNG infrastructure</x:v>
      </x:c>
      <x:c r="D16" s="40" t="str">
        <x:v>Energy</x:v>
      </x:c>
      <x:c r="E16" s="40" t="str">
        <x:v>Analyst economic exposure; issuer GICS not verified</x:v>
      </x:c>
    </x:row>
    <x:row r="17" ht="45" customHeight="1">
      <x:c r="A17" s="40" t="str">
        <x:v>LNG</x:v>
      </x:c>
      <x:c r="B17" s="40" t="str">
        <x:v>E006</x:v>
      </x:c>
      <x:c r="C17" s="40" t="str">
        <x:v>Midstream and LNG infrastructure</x:v>
      </x:c>
      <x:c r="D17" s="40" t="str">
        <x:v>Energy</x:v>
      </x:c>
      <x:c r="E17" s="40" t="str">
        <x:v>Analyst economic exposure; issuer GICS not verified</x:v>
      </x:c>
    </x:row>
    <x:row r="18" ht="45" customHeight="1">
      <x:c r="A18" s="40" t="str">
        <x:v>BTU</x:v>
      </x:c>
      <x:c r="B18" s="40" t="str">
        <x:v>E007</x:v>
      </x:c>
      <x:c r="C18" s="40" t="str">
        <x:v>Coal and nuclear fuel supply</x:v>
      </x:c>
      <x:c r="D18" s="40" t="str">
        <x:v>Energy</x:v>
      </x:c>
      <x:c r="E18" s="40" t="str">
        <x:v>Analyst economic exposure; issuer GICS not verified</x:v>
      </x:c>
    </x:row>
    <x:row r="19" ht="45" customHeight="1">
      <x:c r="A19" s="40" t="str">
        <x:v>CCJ</x:v>
      </x:c>
      <x:c r="B19" s="40" t="str">
        <x:v>E007</x:v>
      </x:c>
      <x:c r="C19" s="40" t="str">
        <x:v>Coal and nuclear fuel supply</x:v>
      </x:c>
      <x:c r="D19" s="40" t="str">
        <x:v>Energy</x:v>
      </x:c>
      <x:c r="E19" s="40" t="str">
        <x:v>Analyst economic exposure; issuer GICS not verified</x:v>
      </x:c>
    </x:row>
    <x:row r="20" ht="45" customHeight="1">
      <x:c r="A20" s="40" t="str">
        <x:v>DOW</x:v>
      </x:c>
      <x:c r="B20" s="40" t="str">
        <x:v>E008</x:v>
      </x:c>
      <x:c r="C20" s="40" t="str">
        <x:v>Commodity and diversified chemicals</x:v>
      </x:c>
      <x:c r="D20" s="40" t="str">
        <x:v>Materials</x:v>
      </x:c>
      <x:c r="E20" s="40" t="str">
        <x:v>Analyst economic exposure; issuer GICS not verified</x:v>
      </x:c>
    </x:row>
    <x:row r="21" ht="45" customHeight="1">
      <x:c r="A21" s="40" t="str">
        <x:v>LYB</x:v>
      </x:c>
      <x:c r="B21" s="40" t="str">
        <x:v>E008</x:v>
      </x:c>
      <x:c r="C21" s="40" t="str">
        <x:v>Commodity and diversified chemicals</x:v>
      </x:c>
      <x:c r="D21" s="40" t="str">
        <x:v>Materials</x:v>
      </x:c>
      <x:c r="E21" s="40" t="str">
        <x:v>Analyst economic exposure; issuer GICS not verified</x:v>
      </x:c>
    </x:row>
    <x:row r="22" ht="45" customHeight="1">
      <x:c r="A22" s="40" t="str">
        <x:v>IOSP</x:v>
      </x:c>
      <x:c r="B22" s="40" t="str">
        <x:v>E009</x:v>
      </x:c>
      <x:c r="C22" s="40" t="str">
        <x:v>Specialty formulations and additives</x:v>
      </x:c>
      <x:c r="D22" s="40" t="str">
        <x:v>Materials</x:v>
      </x:c>
      <x:c r="E22" s="40" t="str">
        <x:v>Analyst economic exposure; issuer GICS not verified</x:v>
      </x:c>
    </x:row>
    <x:row r="23" ht="45" customHeight="1">
      <x:c r="A23" s="40" t="str">
        <x:v>NEU</x:v>
      </x:c>
      <x:c r="B23" s="40" t="str">
        <x:v>E009</x:v>
      </x:c>
      <x:c r="C23" s="40" t="str">
        <x:v>Specialty formulations and additives</x:v>
      </x:c>
      <x:c r="D23" s="40" t="str">
        <x:v>Materials</x:v>
      </x:c>
      <x:c r="E23" s="40" t="str">
        <x:v>Analyst economic exposure; issuer GICS not verified</x:v>
      </x:c>
    </x:row>
    <x:row r="24" ht="45" customHeight="1">
      <x:c r="A24" s="40" t="str">
        <x:v>LIN</x:v>
      </x:c>
      <x:c r="B24" s="40" t="str">
        <x:v>E010</x:v>
      </x:c>
      <x:c r="C24" s="40" t="str">
        <x:v>Industrial gases</x:v>
      </x:c>
      <x:c r="D24" s="40" t="str">
        <x:v>Materials</x:v>
      </x:c>
      <x:c r="E24" s="40" t="str">
        <x:v>Analyst economic exposure; issuer GICS not verified</x:v>
      </x:c>
    </x:row>
    <x:row r="25" ht="45" customHeight="1">
      <x:c r="A25" s="40" t="str">
        <x:v>APD</x:v>
      </x:c>
      <x:c r="B25" s="40" t="str">
        <x:v>E010</x:v>
      </x:c>
      <x:c r="C25" s="40" t="str">
        <x:v>Industrial gases</x:v>
      </x:c>
      <x:c r="D25" s="40" t="str">
        <x:v>Materials</x:v>
      </x:c>
      <x:c r="E25" s="40" t="str">
        <x:v>Analyst economic exposure; issuer GICS not verified</x:v>
      </x:c>
    </x:row>
    <x:row r="26" ht="45" customHeight="1">
      <x:c r="A26" s="40" t="str">
        <x:v>CF</x:v>
      </x:c>
      <x:c r="B26" s="40" t="str">
        <x:v>E011</x:v>
      </x:c>
      <x:c r="C26" s="40" t="str">
        <x:v>Fertilizers and crop protection</x:v>
      </x:c>
      <x:c r="D26" s="40" t="str">
        <x:v>Materials</x:v>
      </x:c>
      <x:c r="E26" s="40" t="str">
        <x:v>Analyst economic exposure; issuer GICS not verified</x:v>
      </x:c>
    </x:row>
    <x:row r="27" ht="45" customHeight="1">
      <x:c r="A27" s="40" t="str">
        <x:v>CTVA</x:v>
      </x:c>
      <x:c r="B27" s="40" t="str">
        <x:v>E011</x:v>
      </x:c>
      <x:c r="C27" s="40" t="str">
        <x:v>Fertilizers and crop protection</x:v>
      </x:c>
      <x:c r="D27" s="40" t="str">
        <x:v>Materials</x:v>
      </x:c>
      <x:c r="E27" s="40" t="str">
        <x:v>Analyst economic exposure; issuer GICS not verified</x:v>
      </x:c>
    </x:row>
    <x:row r="28" ht="45" customHeight="1">
      <x:c r="A28" s="40" t="str">
        <x:v>MLM</x:v>
      </x:c>
      <x:c r="B28" s="40" t="str">
        <x:v>E012</x:v>
      </x:c>
      <x:c r="C28" s="40" t="str">
        <x:v>Aggregates and cement</x:v>
      </x:c>
      <x:c r="D28" s="40" t="str">
        <x:v>Materials</x:v>
      </x:c>
      <x:c r="E28" s="40" t="str">
        <x:v>Analyst economic exposure; issuer GICS not verified</x:v>
      </x:c>
    </x:row>
    <x:row r="29" ht="45" customHeight="1">
      <x:c r="A29" s="40" t="str">
        <x:v>VMC</x:v>
      </x:c>
      <x:c r="B29" s="40" t="str">
        <x:v>E012</x:v>
      </x:c>
      <x:c r="C29" s="40" t="str">
        <x:v>Aggregates and cement</x:v>
      </x:c>
      <x:c r="D29" s="40" t="str">
        <x:v>Materials</x:v>
      </x:c>
      <x:c r="E29" s="40" t="str">
        <x:v>Analyst economic exposure; issuer GICS not verified</x:v>
      </x:c>
    </x:row>
    <x:row r="30" ht="45" customHeight="1">
      <x:c r="A30" s="40" t="str">
        <x:v>BALL</x:v>
      </x:c>
      <x:c r="B30" s="40" t="str">
        <x:v>E013</x:v>
      </x:c>
      <x:c r="C30" s="40" t="str">
        <x:v>Rigid containers</x:v>
      </x:c>
      <x:c r="D30" s="40" t="str">
        <x:v>Materials</x:v>
      </x:c>
      <x:c r="E30" s="40" t="str">
        <x:v>Analyst economic exposure; issuer GICS not verified</x:v>
      </x:c>
    </x:row>
    <x:row r="31" ht="45" customHeight="1">
      <x:c r="A31" s="40" t="str">
        <x:v>CCK</x:v>
      </x:c>
      <x:c r="B31" s="40" t="str">
        <x:v>E013</x:v>
      </x:c>
      <x:c r="C31" s="40" t="str">
        <x:v>Rigid containers</x:v>
      </x:c>
      <x:c r="D31" s="40" t="str">
        <x:v>Materials</x:v>
      </x:c>
      <x:c r="E31" s="40" t="str">
        <x:v>Analyst economic exposure; issuer GICS not verified</x:v>
      </x:c>
    </x:row>
    <x:row r="32" ht="45" customHeight="1">
      <x:c r="A32" s="40" t="str">
        <x:v>PKG</x:v>
      </x:c>
      <x:c r="B32" s="40" t="str">
        <x:v>E014</x:v>
      </x:c>
      <x:c r="C32" s="40" t="str">
        <x:v>Fiber and flexible packaging</x:v>
      </x:c>
      <x:c r="D32" s="40" t="str">
        <x:v>Materials</x:v>
      </x:c>
      <x:c r="E32" s="40" t="str">
        <x:v>Analyst economic exposure; issuer GICS not verified</x:v>
      </x:c>
    </x:row>
    <x:row r="33" ht="45" customHeight="1">
      <x:c r="A33" s="40" t="str">
        <x:v>IP</x:v>
      </x:c>
      <x:c r="B33" s="40" t="str">
        <x:v>E014</x:v>
      </x:c>
      <x:c r="C33" s="40" t="str">
        <x:v>Fiber and flexible packaging</x:v>
      </x:c>
      <x:c r="D33" s="40" t="str">
        <x:v>Materials</x:v>
      </x:c>
      <x:c r="E33" s="40" t="str">
        <x:v>Analyst economic exposure; issuer GICS not verified</x:v>
      </x:c>
    </x:row>
    <x:row r="34" ht="45" customHeight="1">
      <x:c r="A34" s="40" t="str">
        <x:v>FCX</x:v>
      </x:c>
      <x:c r="B34" s="40" t="str">
        <x:v>E015</x:v>
      </x:c>
      <x:c r="C34" s="40" t="str">
        <x:v>Base metals and aluminum</x:v>
      </x:c>
      <x:c r="D34" s="40" t="str">
        <x:v>Materials</x:v>
      </x:c>
      <x:c r="E34" s="40" t="str">
        <x:v>Analyst economic exposure; issuer GICS not verified</x:v>
      </x:c>
    </x:row>
    <x:row r="35" ht="45" customHeight="1">
      <x:c r="A35" s="40" t="str">
        <x:v>AA</x:v>
      </x:c>
      <x:c r="B35" s="40" t="str">
        <x:v>E015</x:v>
      </x:c>
      <x:c r="C35" s="40" t="str">
        <x:v>Base metals and aluminum</x:v>
      </x:c>
      <x:c r="D35" s="40" t="str">
        <x:v>Materials</x:v>
      </x:c>
      <x:c r="E35" s="40" t="str">
        <x:v>Analyst economic exposure; issuer GICS not verified</x:v>
      </x:c>
    </x:row>
    <x:row r="36" ht="45" customHeight="1">
      <x:c r="A36" s="40" t="str">
        <x:v>AEM</x:v>
      </x:c>
      <x:c r="B36" s="40" t="str">
        <x:v>E016</x:v>
      </x:c>
      <x:c r="C36" s="40" t="str">
        <x:v>Precious metals and royalty streams</x:v>
      </x:c>
      <x:c r="D36" s="40" t="str">
        <x:v>Materials</x:v>
      </x:c>
      <x:c r="E36" s="40" t="str">
        <x:v>Analyst economic exposure; issuer GICS not verified</x:v>
      </x:c>
    </x:row>
    <x:row r="37" ht="45" customHeight="1">
      <x:c r="A37" s="40" t="str">
        <x:v>FNV</x:v>
      </x:c>
      <x:c r="B37" s="40" t="str">
        <x:v>E016</x:v>
      </x:c>
      <x:c r="C37" s="40" t="str">
        <x:v>Precious metals and royalty streams</x:v>
      </x:c>
      <x:c r="D37" s="40" t="str">
        <x:v>Materials</x:v>
      </x:c>
      <x:c r="E37" s="40" t="str">
        <x:v>Analyst economic exposure; issuer GICS not verified</x:v>
      </x:c>
    </x:row>
    <x:row r="38" ht="45" customHeight="1">
      <x:c r="A38" s="40" t="str">
        <x:v>NUE</x:v>
      </x:c>
      <x:c r="B38" s="40" t="str">
        <x:v>E017</x:v>
      </x:c>
      <x:c r="C38" s="40" t="str">
        <x:v>Steel and metal processing</x:v>
      </x:c>
      <x:c r="D38" s="40" t="str">
        <x:v>Materials</x:v>
      </x:c>
      <x:c r="E38" s="40" t="str">
        <x:v>Analyst economic exposure; issuer GICS not verified</x:v>
      </x:c>
    </x:row>
    <x:row r="39" ht="45" customHeight="1">
      <x:c r="A39" s="40" t="str">
        <x:v>STLD</x:v>
      </x:c>
      <x:c r="B39" s="40" t="str">
        <x:v>E017</x:v>
      </x:c>
      <x:c r="C39" s="40" t="str">
        <x:v>Steel and metal processing</x:v>
      </x:c>
      <x:c r="D39" s="40" t="str">
        <x:v>Materials</x:v>
      </x:c>
      <x:c r="E39" s="40" t="str">
        <x:v>Analyst economic exposure; issuer GICS not verified</x:v>
      </x:c>
    </x:row>
    <x:row r="40" ht="45" customHeight="1">
      <x:c r="A40" s="40" t="str">
        <x:v>WFG</x:v>
      </x:c>
      <x:c r="B40" s="40" t="str">
        <x:v>E018</x:v>
      </x:c>
      <x:c r="C40" s="40" t="str">
        <x:v>Lumber and timber products</x:v>
      </x:c>
      <x:c r="D40" s="40" t="str">
        <x:v>Materials</x:v>
      </x:c>
      <x:c r="E40" s="40" t="str">
        <x:v>Analyst economic exposure; issuer GICS not verified</x:v>
      </x:c>
    </x:row>
    <x:row r="41" ht="45" customHeight="1">
      <x:c r="A41" s="40" t="str">
        <x:v>UFPI</x:v>
      </x:c>
      <x:c r="B41" s="40" t="str">
        <x:v>E018</x:v>
      </x:c>
      <x:c r="C41" s="40" t="str">
        <x:v>Lumber and timber products</x:v>
      </x:c>
      <x:c r="D41" s="40" t="str">
        <x:v>Materials</x:v>
      </x:c>
      <x:c r="E41" s="40" t="str">
        <x:v>Analyst economic exposure; issuer GICS not verified</x:v>
      </x:c>
    </x:row>
    <x:row r="42" ht="45" customHeight="1">
      <x:c r="A42" s="40" t="str">
        <x:v>CLW</x:v>
      </x:c>
      <x:c r="B42" s="40" t="str">
        <x:v>E019</x:v>
      </x:c>
      <x:c r="C42" s="40" t="str">
        <x:v>Pulp and specialty paper</x:v>
      </x:c>
      <x:c r="D42" s="40" t="str">
        <x:v>Materials</x:v>
      </x:c>
      <x:c r="E42" s="40" t="str">
        <x:v>Analyst economic exposure; issuer GICS not verified</x:v>
      </x:c>
    </x:row>
    <x:row r="43" ht="45" customHeight="1">
      <x:c r="A43" s="40" t="str">
        <x:v>MERC</x:v>
      </x:c>
      <x:c r="B43" s="40" t="str">
        <x:v>E019</x:v>
      </x:c>
      <x:c r="C43" s="40" t="str">
        <x:v>Pulp and specialty paper</x:v>
      </x:c>
      <x:c r="D43" s="40" t="str">
        <x:v>Materials</x:v>
      </x:c>
      <x:c r="E43" s="40" t="str">
        <x:v>Analyst economic exposure; issuer GICS not verified</x:v>
      </x:c>
    </x:row>
    <x:row r="44" ht="45" customHeight="1">
      <x:c r="A44" s="40" t="str">
        <x:v>HWM</x:v>
      </x:c>
      <x:c r="B44" s="40" t="str">
        <x:v>E020</x:v>
      </x:c>
      <x:c r="C44" s="40" t="str">
        <x:v>Aerospace original equipment</x:v>
      </x:c>
      <x:c r="D44" s="40" t="str">
        <x:v>Industrials</x:v>
      </x:c>
      <x:c r="E44" s="40" t="str">
        <x:v>Analyst economic exposure; issuer GICS not verified</x:v>
      </x:c>
    </x:row>
    <x:row r="45" ht="45" customHeight="1">
      <x:c r="A45" s="40" t="str">
        <x:v>WWD</x:v>
      </x:c>
      <x:c r="B45" s="40" t="str">
        <x:v>E020</x:v>
      </x:c>
      <x:c r="C45" s="40" t="str">
        <x:v>Aerospace original equipment</x:v>
      </x:c>
      <x:c r="D45" s="40" t="str">
        <x:v>Industrials</x:v>
      </x:c>
      <x:c r="E45" s="40" t="str">
        <x:v>Analyst economic exposure; issuer GICS not verified</x:v>
      </x:c>
    </x:row>
    <x:row r="46" ht="45" customHeight="1">
      <x:c r="A46" s="40" t="str">
        <x:v>HEI</x:v>
      </x:c>
      <x:c r="B46" s="40" t="str">
        <x:v>E021</x:v>
      </x:c>
      <x:c r="C46" s="40" t="str">
        <x:v>Aerospace aftermarket</x:v>
      </x:c>
      <x:c r="D46" s="40" t="str">
        <x:v>Industrials</x:v>
      </x:c>
      <x:c r="E46" s="40" t="str">
        <x:v>Analyst economic exposure; issuer GICS not verified</x:v>
      </x:c>
    </x:row>
    <x:row r="47" ht="45" customHeight="1">
      <x:c r="A47" s="40" t="str">
        <x:v>VSEC</x:v>
      </x:c>
      <x:c r="B47" s="40" t="str">
        <x:v>E021</x:v>
      </x:c>
      <x:c r="C47" s="40" t="str">
        <x:v>Aerospace aftermarket</x:v>
      </x:c>
      <x:c r="D47" s="40" t="str">
        <x:v>Industrials</x:v>
      </x:c>
      <x:c r="E47" s="40" t="str">
        <x:v>Analyst economic exposure; issuer GICS not verified</x:v>
      </x:c>
    </x:row>
    <x:row r="48" ht="45" customHeight="1">
      <x:c r="A48" s="40" t="str">
        <x:v>LMT</x:v>
      </x:c>
      <x:c r="B48" s="40" t="str">
        <x:v>E022</x:v>
      </x:c>
      <x:c r="C48" s="40" t="str">
        <x:v>Defense programs and mission electronics</x:v>
      </x:c>
      <x:c r="D48" s="40" t="str">
        <x:v>Industrials</x:v>
      </x:c>
      <x:c r="E48" s="40" t="str">
        <x:v>Analyst economic exposure; issuer GICS not verified</x:v>
      </x:c>
    </x:row>
    <x:row r="49" ht="45" customHeight="1">
      <x:c r="A49" s="40" t="str">
        <x:v>CW</x:v>
      </x:c>
      <x:c r="B49" s="40" t="str">
        <x:v>E022</x:v>
      </x:c>
      <x:c r="C49" s="40" t="str">
        <x:v>Defense programs and mission electronics</x:v>
      </x:c>
      <x:c r="D49" s="40" t="str">
        <x:v>Industrials</x:v>
      </x:c>
      <x:c r="E49" s="40" t="str">
        <x:v>Analyst economic exposure; issuer GICS not verified</x:v>
      </x:c>
    </x:row>
    <x:row r="50" ht="45" customHeight="1">
      <x:c r="A50" s="40" t="str">
        <x:v>CSW</x:v>
      </x:c>
      <x:c r="B50" s="40" t="str">
        <x:v>E023</x:v>
      </x:c>
      <x:c r="C50" s="40" t="str">
        <x:v>Repair products and contractor consumables</x:v>
      </x:c>
      <x:c r="D50" s="40" t="str">
        <x:v>Industrials</x:v>
      </x:c>
      <x:c r="E50" s="40" t="str">
        <x:v>Analyst economic exposure; issuer GICS not verified</x:v>
      </x:c>
    </x:row>
    <x:row r="51" ht="45" customHeight="1">
      <x:c r="A51" s="40" t="str">
        <x:v>AOS</x:v>
      </x:c>
      <x:c r="B51" s="40" t="str">
        <x:v>E023</x:v>
      </x:c>
      <x:c r="C51" s="40" t="str">
        <x:v>Repair products and contractor consumables</x:v>
      </x:c>
      <x:c r="D51" s="40" t="str">
        <x:v>Industrials</x:v>
      </x:c>
      <x:c r="E51" s="40" t="str">
        <x:v>Analyst economic exposure; issuer GICS not verified</x:v>
      </x:c>
    </x:row>
    <x:row r="52" ht="45" customHeight="1">
      <x:c r="A52" s="40" t="str">
        <x:v>MOD</x:v>
      </x:c>
      <x:c r="B52" s="40" t="str">
        <x:v>E024</x:v>
      </x:c>
      <x:c r="C52" s="40" t="str">
        <x:v>HVAC equipment and data-center thermal systems</x:v>
      </x:c>
      <x:c r="D52" s="40" t="str">
        <x:v>Industrials</x:v>
      </x:c>
      <x:c r="E52" s="40" t="str">
        <x:v>Analyst economic exposure; issuer GICS not verified</x:v>
      </x:c>
    </x:row>
    <x:row r="53" ht="45" customHeight="1">
      <x:c r="A53" s="40" t="str">
        <x:v>AAON</x:v>
      </x:c>
      <x:c r="B53" s="40" t="str">
        <x:v>E024</x:v>
      </x:c>
      <x:c r="C53" s="40" t="str">
        <x:v>HVAC equipment and data-center thermal systems</x:v>
      </x:c>
      <x:c r="D53" s="40" t="str">
        <x:v>Industrials</x:v>
      </x:c>
      <x:c r="E53" s="40" t="str">
        <x:v>Analyst economic exposure; issuer GICS not verified</x:v>
      </x:c>
    </x:row>
    <x:row r="54" ht="45" customHeight="1">
      <x:c r="A54" s="40" t="str">
        <x:v>IESC</x:v>
      </x:c>
      <x:c r="B54" s="40" t="str">
        <x:v>E025</x:v>
      </x:c>
      <x:c r="C54" s="40" t="str">
        <x:v>Specialty electrical and mechanical contractors</x:v>
      </x:c>
      <x:c r="D54" s="40" t="str">
        <x:v>Industrials</x:v>
      </x:c>
      <x:c r="E54" s="40" t="str">
        <x:v>Analyst economic exposure; issuer GICS not verified</x:v>
      </x:c>
    </x:row>
    <x:row r="55" ht="45" customHeight="1">
      <x:c r="A55" s="40" t="str">
        <x:v>EME</x:v>
      </x:c>
      <x:c r="B55" s="40" t="str">
        <x:v>E025</x:v>
      </x:c>
      <x:c r="C55" s="40" t="str">
        <x:v>Specialty electrical and mechanical contractors</x:v>
      </x:c>
      <x:c r="D55" s="40" t="str">
        <x:v>Industrials</x:v>
      </x:c>
      <x:c r="E55" s="40" t="str">
        <x:v>Analyst economic exposure; issuer GICS not verified</x:v>
      </x:c>
    </x:row>
    <x:row r="56" ht="45" customHeight="1">
      <x:c r="A56" s="40" t="str">
        <x:v>ACM</x:v>
      </x:c>
      <x:c r="B56" s="40" t="str">
        <x:v>E026</x:v>
      </x:c>
      <x:c r="C56" s="40" t="str">
        <x:v>Engineering and infrastructure programs</x:v>
      </x:c>
      <x:c r="D56" s="40" t="str">
        <x:v>Industrials</x:v>
      </x:c>
      <x:c r="E56" s="40" t="str">
        <x:v>Analyst economic exposure; issuer GICS not verified</x:v>
      </x:c>
    </x:row>
    <x:row r="57" ht="45" customHeight="1">
      <x:c r="A57" s="40" t="str">
        <x:v>PWR</x:v>
      </x:c>
      <x:c r="B57" s="40" t="str">
        <x:v>E026</x:v>
      </x:c>
      <x:c r="C57" s="40" t="str">
        <x:v>Engineering and infrastructure programs</x:v>
      </x:c>
      <x:c r="D57" s="40" t="str">
        <x:v>Industrials</x:v>
      </x:c>
      <x:c r="E57" s="40" t="str">
        <x:v>Analyst economic exposure; issuer GICS not verified</x:v>
      </x:c>
    </x:row>
    <x:row r="58" ht="45" customHeight="1">
      <x:c r="A58" s="40" t="str">
        <x:v>POWL</x:v>
      </x:c>
      <x:c r="B58" s="40" t="str">
        <x:v>E027</x:v>
      </x:c>
      <x:c r="C58" s="40" t="str">
        <x:v>Transformers and switchgear</x:v>
      </x:c>
      <x:c r="D58" s="40" t="str">
        <x:v>Industrials</x:v>
      </x:c>
      <x:c r="E58" s="40" t="str">
        <x:v>Analyst economic exposure; issuer GICS not verified</x:v>
      </x:c>
    </x:row>
    <x:row r="59" ht="45" customHeight="1">
      <x:c r="A59" s="40" t="str">
        <x:v>HPS.A@CA</x:v>
      </x:c>
      <x:c r="B59" s="40" t="str">
        <x:v>E027</x:v>
      </x:c>
      <x:c r="C59" s="40" t="str">
        <x:v>Transformers and switchgear</x:v>
      </x:c>
      <x:c r="D59" s="40" t="str">
        <x:v>Industrials</x:v>
      </x:c>
      <x:c r="E59" s="40" t="str">
        <x:v>Analyst economic exposure; issuer GICS not verified</x:v>
      </x:c>
    </x:row>
    <x:row r="60" ht="45" customHeight="1">
      <x:c r="A60" s="40" t="str">
        <x:v>ETN</x:v>
      </x:c>
      <x:c r="B60" s="40" t="str">
        <x:v>E027</x:v>
      </x:c>
      <x:c r="C60" s="40" t="str">
        <x:v>Transformers and switchgear</x:v>
      </x:c>
      <x:c r="D60" s="40" t="str">
        <x:v>Industrials</x:v>
      </x:c>
      <x:c r="E60" s="40" t="str">
        <x:v>Analyst economic exposure; issuer GICS not verified</x:v>
      </x:c>
    </x:row>
    <x:row r="61" ht="45" customHeight="1">
      <x:c r="A61" s="40" t="str">
        <x:v>HUBB</x:v>
      </x:c>
      <x:c r="B61" s="40" t="str">
        <x:v>E028</x:v>
      </x:c>
      <x:c r="C61" s="40" t="str">
        <x:v>Grid automation and power conversion</x:v>
      </x:c>
      <x:c r="D61" s="40" t="str">
        <x:v>Industrials</x:v>
      </x:c>
      <x:c r="E61" s="40" t="str">
        <x:v>Analyst economic exposure; issuer GICS not verified</x:v>
      </x:c>
    </x:row>
    <x:row r="62" ht="45" customHeight="1">
      <x:c r="A62" s="40" t="str">
        <x:v>NVT</x:v>
      </x:c>
      <x:c r="B62" s="40" t="str">
        <x:v>E028</x:v>
      </x:c>
      <x:c r="C62" s="40" t="str">
        <x:v>Grid automation and power conversion</x:v>
      </x:c>
      <x:c r="D62" s="40" t="str">
        <x:v>Industrials</x:v>
      </x:c>
      <x:c r="E62" s="40" t="str">
        <x:v>Analyst economic exposure; issuer GICS not verified</x:v>
      </x:c>
    </x:row>
    <x:row r="63" ht="45" customHeight="1">
      <x:c r="A63" s="40" t="str">
        <x:v>CAT</x:v>
      </x:c>
      <x:c r="B63" s="40" t="str">
        <x:v>E029</x:v>
      </x:c>
      <x:c r="C63" s="40" t="str">
        <x:v>General and mobile machinery</x:v>
      </x:c>
      <x:c r="D63" s="40" t="str">
        <x:v>Industrials</x:v>
      </x:c>
      <x:c r="E63" s="40" t="str">
        <x:v>Analyst economic exposure; issuer GICS not verified</x:v>
      </x:c>
    </x:row>
    <x:row r="64" ht="45" customHeight="1">
      <x:c r="A64" s="40" t="str">
        <x:v>DE</x:v>
      </x:c>
      <x:c r="B64" s="40" t="str">
        <x:v>E029</x:v>
      </x:c>
      <x:c r="C64" s="40" t="str">
        <x:v>General and mobile machinery</x:v>
      </x:c>
      <x:c r="D64" s="40" t="str">
        <x:v>Industrials</x:v>
      </x:c>
      <x:c r="E64" s="40" t="str">
        <x:v>Analyst economic exposure; issuer GICS not verified</x:v>
      </x:c>
    </x:row>
    <x:row r="65" ht="45" customHeight="1">
      <x:c r="A65" s="40" t="str">
        <x:v>PH</x:v>
      </x:c>
      <x:c r="B65" s="40" t="str">
        <x:v>E030</x:v>
      </x:c>
      <x:c r="C65" s="40" t="str">
        <x:v>Precision motion and industrial automation</x:v>
      </x:c>
      <x:c r="D65" s="40" t="str">
        <x:v>Industrials</x:v>
      </x:c>
      <x:c r="E65" s="40" t="str">
        <x:v>Analyst economic exposure; issuer GICS not verified</x:v>
      </x:c>
    </x:row>
    <x:row r="66" ht="45" customHeight="1">
      <x:c r="A66" s="40" t="str">
        <x:v>ROK</x:v>
      </x:c>
      <x:c r="B66" s="40" t="str">
        <x:v>E030</x:v>
      </x:c>
      <x:c r="C66" s="40" t="str">
        <x:v>Precision motion and industrial automation</x:v>
      </x:c>
      <x:c r="D66" s="40" t="str">
        <x:v>Industrials</x:v>
      </x:c>
      <x:c r="E66" s="40" t="str">
        <x:v>Analyst economic exposure; issuer GICS not verified</x:v>
      </x:c>
    </x:row>
    <x:row r="67" ht="45" customHeight="1">
      <x:c r="A67" s="40" t="str">
        <x:v>ITT</x:v>
      </x:c>
      <x:c r="B67" s="40" t="str">
        <x:v>E031</x:v>
      </x:c>
      <x:c r="C67" s="40" t="str">
        <x:v>Pumps, flow and process instrumentation</x:v>
      </x:c>
      <x:c r="D67" s="40" t="str">
        <x:v>Industrials</x:v>
      </x:c>
      <x:c r="E67" s="40" t="str">
        <x:v>Analyst economic exposure; issuer GICS not verified</x:v>
      </x:c>
    </x:row>
    <x:row r="68" ht="45" customHeight="1">
      <x:c r="A68" s="40" t="str">
        <x:v>IEX</x:v>
      </x:c>
      <x:c r="B68" s="40" t="str">
        <x:v>E031</x:v>
      </x:c>
      <x:c r="C68" s="40" t="str">
        <x:v>Pumps, flow and process instrumentation</x:v>
      </x:c>
      <x:c r="D68" s="40" t="str">
        <x:v>Industrials</x:v>
      </x:c>
      <x:c r="E68" s="40" t="str">
        <x:v>Analyst economic exposure; issuer GICS not verified</x:v>
      </x:c>
    </x:row>
    <x:row r="69" ht="45" customHeight="1">
      <x:c r="A69" s="40" t="str">
        <x:v>XYL</x:v>
      </x:c>
      <x:c r="B69" s="40" t="str">
        <x:v>E031</x:v>
      </x:c>
      <x:c r="C69" s="40" t="str">
        <x:v>Pumps, flow and process instrumentation</x:v>
      </x:c>
      <x:c r="D69" s="40" t="str">
        <x:v>Industrials</x:v>
      </x:c>
      <x:c r="E69" s="40" t="str">
        <x:v>Analyst economic exposure; issuer GICS not verified</x:v>
      </x:c>
    </x:row>
    <x:row r="70" ht="45" customHeight="1">
      <x:c r="A70" s="40" t="str">
        <x:v>FAST</x:v>
      </x:c>
      <x:c r="B70" s="40" t="str">
        <x:v>E032</x:v>
      </x:c>
      <x:c r="C70" s="40" t="str">
        <x:v>Industrial maintenance distribution</x:v>
      </x:c>
      <x:c r="D70" s="40" t="str">
        <x:v>Industrials</x:v>
      </x:c>
      <x:c r="E70" s="40" t="str">
        <x:v>Analyst economic exposure; issuer GICS not verified</x:v>
      </x:c>
    </x:row>
    <x:row r="71" ht="45" customHeight="1">
      <x:c r="A71" s="40" t="str">
        <x:v>GWW</x:v>
      </x:c>
      <x:c r="B71" s="40" t="str">
        <x:v>E032</x:v>
      </x:c>
      <x:c r="C71" s="40" t="str">
        <x:v>Industrial maintenance distribution</x:v>
      </x:c>
      <x:c r="D71" s="40" t="str">
        <x:v>Industrials</x:v>
      </x:c>
      <x:c r="E71" s="40" t="str">
        <x:v>Analyst economic exposure; issuer GICS not verified</x:v>
      </x:c>
    </x:row>
    <x:row r="72" ht="45" customHeight="1">
      <x:c r="A72" s="40" t="str">
        <x:v>WCC</x:v>
      </x:c>
      <x:c r="B72" s="40" t="str">
        <x:v>E033</x:v>
      </x:c>
      <x:c r="C72" s="40" t="str">
        <x:v>Specialty and building-system distribution</x:v>
      </x:c>
      <x:c r="D72" s="40" t="str">
        <x:v>Industrials</x:v>
      </x:c>
      <x:c r="E72" s="40" t="str">
        <x:v>Analyst economic exposure; issuer GICS not verified</x:v>
      </x:c>
    </x:row>
    <x:row r="73" ht="45" customHeight="1">
      <x:c r="A73" s="40" t="str">
        <x:v>SITE</x:v>
      </x:c>
      <x:c r="B73" s="40" t="str">
        <x:v>E033</x:v>
      </x:c>
      <x:c r="C73" s="40" t="str">
        <x:v>Specialty and building-system distribution</x:v>
      </x:c>
      <x:c r="D73" s="40" t="str">
        <x:v>Industrials</x:v>
      </x:c>
      <x:c r="E73" s="40" t="str">
        <x:v>Analyst economic exposure; issuer GICS not verified</x:v>
      </x:c>
    </x:row>
    <x:row r="74" ht="45" customHeight="1">
      <x:c r="A74" s="40" t="str">
        <x:v>DOV</x:v>
      </x:c>
      <x:c r="B74" s="40" t="str">
        <x:v>E034</x:v>
      </x:c>
      <x:c r="C74" s="40" t="str">
        <x:v>Decentralized industrial portfolios</x:v>
      </x:c>
      <x:c r="D74" s="40" t="str">
        <x:v>Industrials</x:v>
      </x:c>
      <x:c r="E74" s="40" t="str">
        <x:v>Analyst economic exposure; issuer GICS not verified</x:v>
      </x:c>
    </x:row>
    <x:row r="75" ht="45" customHeight="1">
      <x:c r="A75" s="40" t="str">
        <x:v>ITW</x:v>
      </x:c>
      <x:c r="B75" s="40" t="str">
        <x:v>E034</x:v>
      </x:c>
      <x:c r="C75" s="40" t="str">
        <x:v>Decentralized industrial portfolios</x:v>
      </x:c>
      <x:c r="D75" s="40" t="str">
        <x:v>Industrials</x:v>
      </x:c>
      <x:c r="E75" s="40" t="str">
        <x:v>Analyst economic exposure; issuer GICS not verified</x:v>
      </x:c>
    </x:row>
    <x:row r="76" ht="45" customHeight="1">
      <x:c r="A76" s="40" t="str">
        <x:v>CWST</x:v>
      </x:c>
      <x:c r="B76" s="40" t="str">
        <x:v>E035</x:v>
      </x:c>
      <x:c r="C76" s="40" t="str">
        <x:v>Waste and environmental networks</x:v>
      </x:c>
      <x:c r="D76" s="40" t="str">
        <x:v>Industrials</x:v>
      </x:c>
      <x:c r="E76" s="40" t="str">
        <x:v>Analyst economic exposure; issuer GICS not verified</x:v>
      </x:c>
    </x:row>
    <x:row r="77" ht="45" customHeight="1">
      <x:c r="A77" s="40" t="str">
        <x:v>WCN</x:v>
      </x:c>
      <x:c r="B77" s="40" t="str">
        <x:v>E035</x:v>
      </x:c>
      <x:c r="C77" s="40" t="str">
        <x:v>Waste and environmental networks</x:v>
      </x:c>
      <x:c r="D77" s="40" t="str">
        <x:v>Industrials</x:v>
      </x:c>
      <x:c r="E77" s="40" t="str">
        <x:v>Analyst economic exposure; issuer GICS not verified</x:v>
      </x:c>
    </x:row>
    <x:row r="78" ht="45" customHeight="1">
      <x:c r="A78" s="40" t="str">
        <x:v>CTAS</x:v>
      </x:c>
      <x:c r="B78" s="40" t="str">
        <x:v>E036</x:v>
      </x:c>
      <x:c r="C78" s="40" t="str">
        <x:v>Facilities, uniforms and security services</x:v>
      </x:c>
      <x:c r="D78" s="40" t="str">
        <x:v>Industrials</x:v>
      </x:c>
      <x:c r="E78" s="40" t="str">
        <x:v>Analyst economic exposure; issuer GICS not verified</x:v>
      </x:c>
    </x:row>
    <x:row r="79" ht="45" customHeight="1">
      <x:c r="A79" s="40" t="str">
        <x:v>ABM</x:v>
      </x:c>
      <x:c r="B79" s="40" t="str">
        <x:v>E036</x:v>
      </x:c>
      <x:c r="C79" s="40" t="str">
        <x:v>Facilities, uniforms and security services</x:v>
      </x:c>
      <x:c r="D79" s="40" t="str">
        <x:v>Industrials</x:v>
      </x:c>
      <x:c r="E79" s="40" t="str">
        <x:v>Analyst economic exposure; issuer GICS not verified</x:v>
      </x:c>
    </x:row>
    <x:row r="80" ht="45" customHeight="1">
      <x:c r="A80" s="40" t="str">
        <x:v>RHI</x:v>
      </x:c>
      <x:c r="B80" s="40" t="str">
        <x:v>E037</x:v>
      </x:c>
      <x:c r="C80" s="40" t="str">
        <x:v>Staffing and consulting</x:v>
      </x:c>
      <x:c r="D80" s="40" t="str">
        <x:v>Industrials</x:v>
      </x:c>
      <x:c r="E80" s="40" t="str">
        <x:v>Analyst economic exposure; issuer GICS not verified</x:v>
      </x:c>
    </x:row>
    <x:row r="81" ht="45" customHeight="1">
      <x:c r="A81" s="40" t="str">
        <x:v>KFY</x:v>
      </x:c>
      <x:c r="B81" s="40" t="str">
        <x:v>E037</x:v>
      </x:c>
      <x:c r="C81" s="40" t="str">
        <x:v>Staffing and consulting</x:v>
      </x:c>
      <x:c r="D81" s="40" t="str">
        <x:v>Industrials</x:v>
      </x:c>
      <x:c r="E81" s="40" t="str">
        <x:v>Analyst economic exposure; issuer GICS not verified</x:v>
      </x:c>
    </x:row>
    <x:row r="82" ht="45" customHeight="1">
      <x:c r="A82" s="40" t="str">
        <x:v>ULS</x:v>
      </x:c>
      <x:c r="B82" s="40" t="str">
        <x:v>E038</x:v>
      </x:c>
      <x:c r="C82" s="40" t="str">
        <x:v>Testing, certification and outsourced data/processes</x:v>
      </x:c>
      <x:c r="D82" s="40" t="str">
        <x:v>Industrials</x:v>
      </x:c>
      <x:c r="E82" s="40" t="str">
        <x:v>Analyst economic exposure; issuer GICS not verified</x:v>
      </x:c>
    </x:row>
    <x:row r="83" ht="45" customHeight="1">
      <x:c r="A83" s="40" t="str">
        <x:v>EXPO</x:v>
      </x:c>
      <x:c r="B83" s="40" t="str">
        <x:v>E038</x:v>
      </x:c>
      <x:c r="C83" s="40" t="str">
        <x:v>Testing, certification and outsourced data/processes</x:v>
      </x:c>
      <x:c r="D83" s="40" t="str">
        <x:v>Industrials</x:v>
      </x:c>
      <x:c r="E83" s="40" t="str">
        <x:v>Analyst economic exposure; issuer GICS not verified</x:v>
      </x:c>
    </x:row>
    <x:row r="84" ht="45" customHeight="1">
      <x:c r="A84" s="40" t="str">
        <x:v>EXPD</x:v>
      </x:c>
      <x:c r="B84" s="40" t="str">
        <x:v>E039</x:v>
      </x:c>
      <x:c r="C84" s="40" t="str">
        <x:v>Asset-light logistics brokerage</x:v>
      </x:c>
      <x:c r="D84" s="40" t="str">
        <x:v>Industrials</x:v>
      </x:c>
      <x:c r="E84" s="40" t="str">
        <x:v>Analyst economic exposure; issuer GICS not verified</x:v>
      </x:c>
    </x:row>
    <x:row r="85" ht="45" customHeight="1">
      <x:c r="A85" s="40" t="str">
        <x:v>CHRW</x:v>
      </x:c>
      <x:c r="B85" s="40" t="str">
        <x:v>E039</x:v>
      </x:c>
      <x:c r="C85" s="40" t="str">
        <x:v>Asset-light logistics brokerage</x:v>
      </x:c>
      <x:c r="D85" s="40" t="str">
        <x:v>Industrials</x:v>
      </x:c>
      <x:c r="E85" s="40" t="str">
        <x:v>Analyst economic exposure; issuer GICS not verified</x:v>
      </x:c>
    </x:row>
    <x:row r="86" ht="45" customHeight="1">
      <x:c r="A86" s="40" t="str">
        <x:v>UPS</x:v>
      </x:c>
      <x:c r="B86" s="40" t="str">
        <x:v>E040</x:v>
      </x:c>
      <x:c r="C86" s="40" t="str">
        <x:v>Integrated parcel and air cargo</x:v>
      </x:c>
      <x:c r="D86" s="40" t="str">
        <x:v>Industrials</x:v>
      </x:c>
      <x:c r="E86" s="40" t="str">
        <x:v>Analyst economic exposure; issuer GICS not verified</x:v>
      </x:c>
    </x:row>
    <x:row r="87" ht="45" customHeight="1">
      <x:c r="A87" s="40" t="str">
        <x:v>FDX</x:v>
      </x:c>
      <x:c r="B87" s="40" t="str">
        <x:v>E040</x:v>
      </x:c>
      <x:c r="C87" s="40" t="str">
        <x:v>Integrated parcel and air cargo</x:v>
      </x:c>
      <x:c r="D87" s="40" t="str">
        <x:v>Industrials</x:v>
      </x:c>
      <x:c r="E87" s="40" t="str">
        <x:v>Analyst economic exposure; issuer GICS not verified</x:v>
      </x:c>
    </x:row>
    <x:row r="88" ht="45" customHeight="1">
      <x:c r="A88" s="40" t="str">
        <x:v>DAL</x:v>
      </x:c>
      <x:c r="B88" s="40" t="str">
        <x:v>E041</x:v>
      </x:c>
      <x:c r="C88" s="40" t="str">
        <x:v>Passenger airline networks and loyalty</x:v>
      </x:c>
      <x:c r="D88" s="40" t="str">
        <x:v>Industrials</x:v>
      </x:c>
      <x:c r="E88" s="40" t="str">
        <x:v>Analyst economic exposure; issuer GICS not verified</x:v>
      </x:c>
    </x:row>
    <x:row r="89" ht="45" customHeight="1">
      <x:c r="A89" s="40" t="str">
        <x:v>UAL</x:v>
      </x:c>
      <x:c r="B89" s="40" t="str">
        <x:v>E041</x:v>
      </x:c>
      <x:c r="C89" s="40" t="str">
        <x:v>Passenger airline networks and loyalty</x:v>
      </x:c>
      <x:c r="D89" s="40" t="str">
        <x:v>Industrials</x:v>
      </x:c>
      <x:c r="E89" s="40" t="str">
        <x:v>Analyst economic exposure; issuer GICS not verified</x:v>
      </x:c>
    </x:row>
    <x:row r="90" ht="45" customHeight="1">
      <x:c r="A90" s="40" t="str">
        <x:v>STNG</x:v>
      </x:c>
      <x:c r="B90" s="40" t="str">
        <x:v>E042</x:v>
      </x:c>
      <x:c r="C90" s="40" t="str">
        <x:v>Bulk, tanker and container shipping</x:v>
      </x:c>
      <x:c r="D90" s="40" t="str">
        <x:v>Industrials</x:v>
      </x:c>
      <x:c r="E90" s="40" t="str">
        <x:v>Analyst economic exposure; issuer GICS not verified</x:v>
      </x:c>
    </x:row>
    <x:row r="91" ht="45" customHeight="1">
      <x:c r="A91" s="40" t="str">
        <x:v>MATX</x:v>
      </x:c>
      <x:c r="B91" s="40" t="str">
        <x:v>E042</x:v>
      </x:c>
      <x:c r="C91" s="40" t="str">
        <x:v>Bulk, tanker and container shipping</x:v>
      </x:c>
      <x:c r="D91" s="40" t="str">
        <x:v>Industrials</x:v>
      </x:c>
      <x:c r="E91" s="40" t="str">
        <x:v>Analyst economic exposure; issuer GICS not verified</x:v>
      </x:c>
    </x:row>
    <x:row r="92" ht="45" customHeight="1">
      <x:c r="A92" s="40" t="str">
        <x:v>UNP</x:v>
      </x:c>
      <x:c r="B92" s="40" t="str">
        <x:v>E043</x:v>
      </x:c>
      <x:c r="C92" s="40" t="str">
        <x:v>Rail networks</x:v>
      </x:c>
      <x:c r="D92" s="40" t="str">
        <x:v>Industrials</x:v>
      </x:c>
      <x:c r="E92" s="40" t="str">
        <x:v>Analyst economic exposure; issuer GICS not verified</x:v>
      </x:c>
    </x:row>
    <x:row r="93" ht="45" customHeight="1">
      <x:c r="A93" s="40" t="str">
        <x:v>CSX</x:v>
      </x:c>
      <x:c r="B93" s="40" t="str">
        <x:v>E043</x:v>
      </x:c>
      <x:c r="C93" s="40" t="str">
        <x:v>Rail networks</x:v>
      </x:c>
      <x:c r="D93" s="40" t="str">
        <x:v>Industrials</x:v>
      </x:c>
      <x:c r="E93" s="40" t="str">
        <x:v>Analyst economic exposure; issuer GICS not verified</x:v>
      </x:c>
    </x:row>
    <x:row r="94" ht="45" customHeight="1">
      <x:c r="A94" s="40" t="str">
        <x:v>ODFL</x:v>
      </x:c>
      <x:c r="B94" s="40" t="str">
        <x:v>E044</x:v>
      </x:c>
      <x:c r="C94" s="40" t="str">
        <x:v>Trucking and less-than-truckload</x:v>
      </x:c>
      <x:c r="D94" s="40" t="str">
        <x:v>Industrials</x:v>
      </x:c>
      <x:c r="E94" s="40" t="str">
        <x:v>Analyst economic exposure; issuer GICS not verified</x:v>
      </x:c>
    </x:row>
    <x:row r="95" ht="45" customHeight="1">
      <x:c r="A95" s="40" t="str">
        <x:v>SAIA</x:v>
      </x:c>
      <x:c r="B95" s="40" t="str">
        <x:v>E044</x:v>
      </x:c>
      <x:c r="C95" s="40" t="str">
        <x:v>Trucking and less-than-truckload</x:v>
      </x:c>
      <x:c r="D95" s="40" t="str">
        <x:v>Industrials</x:v>
      </x:c>
      <x:c r="E95" s="40" t="str">
        <x:v>Analyst economic exposure; issuer GICS not verified</x:v>
      </x:c>
    </x:row>
    <x:row r="96" ht="45" customHeight="1">
      <x:c r="A96" s="40" t="str">
        <x:v>KNX</x:v>
      </x:c>
      <x:c r="B96" s="40" t="str">
        <x:v>E044</x:v>
      </x:c>
      <x:c r="C96" s="40" t="str">
        <x:v>Trucking and less-than-truckload</x:v>
      </x:c>
      <x:c r="D96" s="40" t="str">
        <x:v>Industrials</x:v>
      </x:c>
      <x:c r="E96" s="40" t="str">
        <x:v>Analyst economic exposure; issuer GICS not verified</x:v>
      </x:c>
    </x:row>
    <x:row r="97" ht="45" customHeight="1">
      <x:c r="A97" s="40" t="str">
        <x:v>ASR</x:v>
      </x:c>
      <x:c r="B97" s="40" t="str">
        <x:v>E045</x:v>
      </x:c>
      <x:c r="C97" s="40" t="str">
        <x:v>Ports, airports and toll concessions</x:v>
      </x:c>
      <x:c r="D97" s="40" t="str">
        <x:v>Industrials</x:v>
      </x:c>
      <x:c r="E97" s="40" t="str">
        <x:v>Analyst economic exposure; issuer GICS not verified</x:v>
      </x:c>
    </x:row>
    <x:row r="98" ht="45" customHeight="1">
      <x:c r="A98" s="40" t="str">
        <x:v>PAC</x:v>
      </x:c>
      <x:c r="B98" s="40" t="str">
        <x:v>E045</x:v>
      </x:c>
      <x:c r="C98" s="40" t="str">
        <x:v>Ports, airports and toll concessions</x:v>
      </x:c>
      <x:c r="D98" s="40" t="str">
        <x:v>Industrials</x:v>
      </x:c>
      <x:c r="E98" s="40" t="str">
        <x:v>Analyst economic exposure; issuer GICS not verified</x:v>
      </x:c>
    </x:row>
    <x:row r="99" ht="45" customHeight="1">
      <x:c r="A99" s="40" t="str">
        <x:v>ALV</x:v>
      </x:c>
      <x:c r="B99" s="40" t="str">
        <x:v>E046</x:v>
      </x:c>
      <x:c r="C99" s="40" t="str">
        <x:v>Safety and electronic vehicle content</x:v>
      </x:c>
      <x:c r="D99" s="40" t="str">
        <x:v>Consumer Discretionary</x:v>
      </x:c>
      <x:c r="E99" s="40" t="str">
        <x:v>Analyst economic exposure; issuer GICS not verified</x:v>
      </x:c>
    </x:row>
    <x:row r="100" ht="45" customHeight="1">
      <x:c r="A100" s="40" t="str">
        <x:v>APTV</x:v>
      </x:c>
      <x:c r="B100" s="40" t="str">
        <x:v>E046</x:v>
      </x:c>
      <x:c r="C100" s="40" t="str">
        <x:v>Safety and electronic vehicle content</x:v>
      </x:c>
      <x:c r="D100" s="40" t="str">
        <x:v>Consumer Discretionary</x:v>
      </x:c>
      <x:c r="E100" s="40" t="str">
        <x:v>Analyst economic exposure; issuer GICS not verified</x:v>
      </x:c>
    </x:row>
    <x:row r="101" ht="45" customHeight="1">
      <x:c r="A101" s="40" t="str">
        <x:v>DORM</x:v>
      </x:c>
      <x:c r="B101" s="40" t="str">
        <x:v>E047</x:v>
      </x:c>
      <x:c r="C101" s="40" t="str">
        <x:v>Mechanical components and aftermarket</x:v>
      </x:c>
      <x:c r="D101" s="40" t="str">
        <x:v>Consumer Discretionary</x:v>
      </x:c>
      <x:c r="E101" s="40" t="str">
        <x:v>Analyst economic exposure; issuer GICS not verified</x:v>
      </x:c>
    </x:row>
    <x:row r="102" ht="45" customHeight="1">
      <x:c r="A102" s="40" t="str">
        <x:v>BWA</x:v>
      </x:c>
      <x:c r="B102" s="40" t="str">
        <x:v>E047</x:v>
      </x:c>
      <x:c r="C102" s="40" t="str">
        <x:v>Mechanical components and aftermarket</x:v>
      </x:c>
      <x:c r="D102" s="40" t="str">
        <x:v>Consumer Discretionary</x:v>
      </x:c>
      <x:c r="E102" s="40" t="str">
        <x:v>Analyst economic exposure; issuer GICS not verified</x:v>
      </x:c>
    </x:row>
    <x:row r="103" ht="45" customHeight="1">
      <x:c r="A103" s="40" t="str">
        <x:v>GM</x:v>
      </x:c>
      <x:c r="B103" s="40" t="str">
        <x:v>E048</x:v>
      </x:c>
      <x:c r="C103" s="40" t="str">
        <x:v>Mass-market automobile OEMs</x:v>
      </x:c>
      <x:c r="D103" s="40" t="str">
        <x:v>Consumer Discretionary</x:v>
      </x:c>
      <x:c r="E103" s="40" t="str">
        <x:v>Analyst economic exposure; issuer GICS not verified</x:v>
      </x:c>
    </x:row>
    <x:row r="104" ht="45" customHeight="1">
      <x:c r="A104" s="40" t="str">
        <x:v>F</x:v>
      </x:c>
      <x:c r="B104" s="40" t="str">
        <x:v>E048</x:v>
      </x:c>
      <x:c r="C104" s="40" t="str">
        <x:v>Mass-market automobile OEMs</x:v>
      </x:c>
      <x:c r="D104" s="40" t="str">
        <x:v>Consumer Discretionary</x:v>
      </x:c>
      <x:c r="E104" s="40" t="str">
        <x:v>Analyst economic exposure; issuer GICS not verified</x:v>
      </x:c>
    </x:row>
    <x:row r="105" ht="45" customHeight="1">
      <x:c r="A105" s="40" t="str">
        <x:v>RACE</x:v>
      </x:c>
      <x:c r="B105" s="40" t="str">
        <x:v>E049</x:v>
      </x:c>
      <x:c r="C105" s="40" t="str">
        <x:v>Premium, electric and software-defined vehicles</x:v>
      </x:c>
      <x:c r="D105" s="40" t="str">
        <x:v>Consumer Discretionary</x:v>
      </x:c>
      <x:c r="E105" s="40" t="str">
        <x:v>Analyst economic exposure; issuer GICS not verified</x:v>
      </x:c>
    </x:row>
    <x:row r="106" ht="45" customHeight="1">
      <x:c r="A106" s="40" t="str">
        <x:v>TSLA</x:v>
      </x:c>
      <x:c r="B106" s="40" t="str">
        <x:v>E049</x:v>
      </x:c>
      <x:c r="C106" s="40" t="str">
        <x:v>Premium, electric and software-defined vehicles</x:v>
      </x:c>
      <x:c r="D106" s="40" t="str">
        <x:v>Consumer Discretionary</x:v>
      </x:c>
      <x:c r="E106" s="40" t="str">
        <x:v>Analyst economic exposure; issuer GICS not verified</x:v>
      </x:c>
    </x:row>
    <x:row r="107" ht="45" customHeight="1">
      <x:c r="A107" s="40" t="str">
        <x:v>NVR</x:v>
      </x:c>
      <x:c r="B107" s="40" t="str">
        <x:v>E050</x:v>
      </x:c>
      <x:c r="C107" s="40" t="str">
        <x:v>Homebuilding and land development</x:v>
      </x:c>
      <x:c r="D107" s="40" t="str">
        <x:v>Consumer Discretionary</x:v>
      </x:c>
      <x:c r="E107" s="40" t="str">
        <x:v>Analyst economic exposure; issuer GICS not verified</x:v>
      </x:c>
    </x:row>
    <x:row r="108" ht="45" customHeight="1">
      <x:c r="A108" s="40" t="str">
        <x:v>DHI</x:v>
      </x:c>
      <x:c r="B108" s="40" t="str">
        <x:v>E050</x:v>
      </x:c>
      <x:c r="C108" s="40" t="str">
        <x:v>Homebuilding and land development</x:v>
      </x:c>
      <x:c r="D108" s="40" t="str">
        <x:v>Consumer Discretionary</x:v>
      </x:c>
      <x:c r="E108" s="40" t="str">
        <x:v>Analyst economic exposure; issuer GICS not verified</x:v>
      </x:c>
    </x:row>
    <x:row r="109" ht="45" customHeight="1">
      <x:c r="A109" s="40" t="str">
        <x:v>WHR</x:v>
      </x:c>
      <x:c r="B109" s="40" t="str">
        <x:v>E051</x:v>
      </x:c>
      <x:c r="C109" s="40" t="str">
        <x:v>Appliances, furniture and home electronics</x:v>
      </x:c>
      <x:c r="D109" s="40" t="str">
        <x:v>Consumer Discretionary</x:v>
      </x:c>
      <x:c r="E109" s="40" t="str">
        <x:v>Analyst economic exposure; issuer GICS not verified</x:v>
      </x:c>
    </x:row>
    <x:row r="110" ht="45" customHeight="1">
      <x:c r="A110" s="40" t="str">
        <x:v>LZB</x:v>
      </x:c>
      <x:c r="B110" s="40" t="str">
        <x:v>E051</x:v>
      </x:c>
      <x:c r="C110" s="40" t="str">
        <x:v>Appliances, furniture and home electronics</x:v>
      </x:c>
      <x:c r="D110" s="40" t="str">
        <x:v>Consumer Discretionary</x:v>
      </x:c>
      <x:c r="E110" s="40" t="str">
        <x:v>Analyst economic exposure; issuer GICS not verified</x:v>
      </x:c>
    </x:row>
    <x:row r="111" ht="45" customHeight="1">
      <x:c r="A111" s="40" t="str">
        <x:v>BC</x:v>
      </x:c>
      <x:c r="B111" s="40" t="str">
        <x:v>E052</x:v>
      </x:c>
      <x:c r="C111" s="40" t="str">
        <x:v>Enthusiast recreation equipment</x:v>
      </x:c>
      <x:c r="D111" s="40" t="str">
        <x:v>Consumer Discretionary</x:v>
      </x:c>
      <x:c r="E111" s="40" t="str">
        <x:v>Analyst economic exposure; issuer GICS not verified</x:v>
      </x:c>
    </x:row>
    <x:row r="112" ht="45" customHeight="1">
      <x:c r="A112" s="40" t="str">
        <x:v>PII</x:v>
      </x:c>
      <x:c r="B112" s="40" t="str">
        <x:v>E052</x:v>
      </x:c>
      <x:c r="C112" s="40" t="str">
        <x:v>Enthusiast recreation equipment</x:v>
      </x:c>
      <x:c r="D112" s="40" t="str">
        <x:v>Consumer Discretionary</x:v>
      </x:c>
      <x:c r="E112" s="40" t="str">
        <x:v>Analyst economic exposure; issuer GICS not verified</x:v>
      </x:c>
    </x:row>
    <x:row r="113" ht="45" customHeight="1">
      <x:c r="A113" s="40" t="str">
        <x:v>HAS</x:v>
      </x:c>
      <x:c r="B113" s="40" t="str">
        <x:v>E053</x:v>
      </x:c>
      <x:c r="C113" s="40" t="str">
        <x:v>Toys, games and licensed products</x:v>
      </x:c>
      <x:c r="D113" s="40" t="str">
        <x:v>Consumer Discretionary</x:v>
      </x:c>
      <x:c r="E113" s="40" t="str">
        <x:v>Analyst economic exposure; issuer GICS not verified</x:v>
      </x:c>
    </x:row>
    <x:row r="114" ht="45" customHeight="1">
      <x:c r="A114" s="40" t="str">
        <x:v>MAT</x:v>
      </x:c>
      <x:c r="B114" s="40" t="str">
        <x:v>E053</x:v>
      </x:c>
      <x:c r="C114" s="40" t="str">
        <x:v>Toys, games and licensed products</x:v>
      </x:c>
      <x:c r="D114" s="40" t="str">
        <x:v>Consumer Discretionary</x:v>
      </x:c>
      <x:c r="E114" s="40" t="str">
        <x:v>Analyst economic exposure; issuer GICS not verified</x:v>
      </x:c>
    </x:row>
    <x:row r="115" ht="45" customHeight="1">
      <x:c r="A115" s="40" t="str">
        <x:v>RMS@FR</x:v>
      </x:c>
      <x:c r="B115" s="40" t="str">
        <x:v>E054</x:v>
      </x:c>
      <x:c r="C115" s="40" t="str">
        <x:v>Luxury and scarcity brands</x:v>
      </x:c>
      <x:c r="D115" s="40" t="str">
        <x:v>Consumer Discretionary</x:v>
      </x:c>
      <x:c r="E115" s="40" t="str">
        <x:v>Analyst economic exposure; issuer GICS not verified</x:v>
      </x:c>
    </x:row>
    <x:row r="116" ht="45" customHeight="1">
      <x:c r="A116" s="40" t="str">
        <x:v>LVMH@FR</x:v>
      </x:c>
      <x:c r="B116" s="40" t="str">
        <x:v>E054</x:v>
      </x:c>
      <x:c r="C116" s="40" t="str">
        <x:v>Luxury and scarcity brands</x:v>
      </x:c>
      <x:c r="D116" s="40" t="str">
        <x:v>Consumer Discretionary</x:v>
      </x:c>
      <x:c r="E116" s="40" t="str">
        <x:v>Analyst economic exposure; issuer GICS not verified</x:v>
      </x:c>
    </x:row>
    <x:row r="117" ht="45" customHeight="1">
      <x:c r="A117" s="40" t="str">
        <x:v>DECK</x:v>
      </x:c>
      <x:c r="B117" s="40" t="str">
        <x:v>E055</x:v>
      </x:c>
      <x:c r="C117" s="40" t="str">
        <x:v>Performance and mainstream apparel</x:v>
      </x:c>
      <x:c r="D117" s="40" t="str">
        <x:v>Consumer Discretionary</x:v>
      </x:c>
      <x:c r="E117" s="40" t="str">
        <x:v>Analyst economic exposure; issuer GICS not verified</x:v>
      </x:c>
    </x:row>
    <x:row r="118" ht="45" customHeight="1">
      <x:c r="A118" s="40" t="str">
        <x:v>LULU</x:v>
      </x:c>
      <x:c r="B118" s="40" t="str">
        <x:v>E055</x:v>
      </x:c>
      <x:c r="C118" s="40" t="str">
        <x:v>Performance and mainstream apparel</x:v>
      </x:c>
      <x:c r="D118" s="40" t="str">
        <x:v>Consumer Discretionary</x:v>
      </x:c>
      <x:c r="E118" s="40" t="str">
        <x:v>Analyst economic exposure; issuer GICS not verified</x:v>
      </x:c>
    </x:row>
    <x:row r="119" ht="45" customHeight="1">
      <x:c r="A119" s="40" t="str">
        <x:v>MCD</x:v>
      </x:c>
      <x:c r="B119" s="40" t="str">
        <x:v>E056</x:v>
      </x:c>
      <x:c r="C119" s="40" t="str">
        <x:v>Restaurant franchisors</x:v>
      </x:c>
      <x:c r="D119" s="40" t="str">
        <x:v>Consumer Discretionary</x:v>
      </x:c>
      <x:c r="E119" s="40" t="str">
        <x:v>Analyst economic exposure; issuer GICS not verified</x:v>
      </x:c>
    </x:row>
    <x:row r="120" ht="45" customHeight="1">
      <x:c r="A120" s="40" t="str">
        <x:v>WING</x:v>
      </x:c>
      <x:c r="B120" s="40" t="str">
        <x:v>E056</x:v>
      </x:c>
      <x:c r="C120" s="40" t="str">
        <x:v>Restaurant franchisors</x:v>
      </x:c>
      <x:c r="D120" s="40" t="str">
        <x:v>Consumer Discretionary</x:v>
      </x:c>
      <x:c r="E120" s="40" t="str">
        <x:v>Analyst economic exposure; issuer GICS not verified</x:v>
      </x:c>
    </x:row>
    <x:row r="121" ht="45" customHeight="1">
      <x:c r="A121" s="40" t="str">
        <x:v>TXRH</x:v>
      </x:c>
      <x:c r="B121" s="40" t="str">
        <x:v>E057</x:v>
      </x:c>
      <x:c r="C121" s="40" t="str">
        <x:v>Owned restaurant concepts</x:v>
      </x:c>
      <x:c r="D121" s="40" t="str">
        <x:v>Consumer Discretionary</x:v>
      </x:c>
      <x:c r="E121" s="40" t="str">
        <x:v>Analyst economic exposure; issuer GICS not verified</x:v>
      </x:c>
    </x:row>
    <x:row r="122" ht="45" customHeight="1">
      <x:c r="A122" s="40" t="str">
        <x:v>CAVA</x:v>
      </x:c>
      <x:c r="B122" s="40" t="str">
        <x:v>E057</x:v>
      </x:c>
      <x:c r="C122" s="40" t="str">
        <x:v>Owned restaurant concepts</x:v>
      </x:c>
      <x:c r="D122" s="40" t="str">
        <x:v>Consumer Discretionary</x:v>
      </x:c>
      <x:c r="E122" s="40" t="str">
        <x:v>Analyst economic exposure; issuer GICS not verified</x:v>
      </x:c>
    </x:row>
    <x:row r="123" ht="45" customHeight="1">
      <x:c r="A123" s="40" t="str">
        <x:v>HLT</x:v>
      </x:c>
      <x:c r="B123" s="40" t="str">
        <x:v>E058</x:v>
      </x:c>
      <x:c r="C123" s="40" t="str">
        <x:v>Hotel brands and travel intermediaries</x:v>
      </x:c>
      <x:c r="D123" s="40" t="str">
        <x:v>Consumer Discretionary</x:v>
      </x:c>
      <x:c r="E123" s="40" t="str">
        <x:v>Analyst economic exposure; issuer GICS not verified</x:v>
      </x:c>
    </x:row>
    <x:row r="124" ht="45" customHeight="1">
      <x:c r="A124" s="40" t="str">
        <x:v>BKNG</x:v>
      </x:c>
      <x:c r="B124" s="40" t="str">
        <x:v>E058</x:v>
      </x:c>
      <x:c r="C124" s="40" t="str">
        <x:v>Hotel brands and travel intermediaries</x:v>
      </x:c>
      <x:c r="D124" s="40" t="str">
        <x:v>Consumer Discretionary</x:v>
      </x:c>
      <x:c r="E124" s="40" t="str">
        <x:v>Analyst economic exposure; issuer GICS not verified</x:v>
      </x:c>
    </x:row>
    <x:row r="125" ht="45" customHeight="1">
      <x:c r="A125" s="40" t="str">
        <x:v>RCL</x:v>
      </x:c>
      <x:c r="B125" s="40" t="str">
        <x:v>E059</x:v>
      </x:c>
      <x:c r="C125" s="40" t="str">
        <x:v>Gaming, cruise and destination assets</x:v>
      </x:c>
      <x:c r="D125" s="40" t="str">
        <x:v>Consumer Discretionary</x:v>
      </x:c>
      <x:c r="E125" s="40" t="str">
        <x:v>Analyst economic exposure; issuer GICS not verified</x:v>
      </x:c>
    </x:row>
    <x:row r="126" ht="45" customHeight="1">
      <x:c r="A126" s="40" t="str">
        <x:v>MGM</x:v>
      </x:c>
      <x:c r="B126" s="40" t="str">
        <x:v>E059</x:v>
      </x:c>
      <x:c r="C126" s="40" t="str">
        <x:v>Gaming, cruise and destination assets</x:v>
      </x:c>
      <x:c r="D126" s="40" t="str">
        <x:v>Consumer Discretionary</x:v>
      </x:c>
      <x:c r="E126" s="40" t="str">
        <x:v>Analyst economic exposure; issuer GICS not verified</x:v>
      </x:c>
    </x:row>
    <x:row r="127" ht="45" customHeight="1">
      <x:c r="A127" s="40" t="str">
        <x:v>STRA</x:v>
      </x:c>
      <x:c r="B127" s="40" t="str">
        <x:v>E060</x:v>
      </x:c>
      <x:c r="C127" s="40" t="str">
        <x:v>Education, training and consumer services</x:v>
      </x:c>
      <x:c r="D127" s="40" t="str">
        <x:v>Consumer Discretionary</x:v>
      </x:c>
      <x:c r="E127" s="40" t="str">
        <x:v>Analyst economic exposure; issuer GICS not verified</x:v>
      </x:c>
    </x:row>
    <x:row r="128" ht="45" customHeight="1">
      <x:c r="A128" s="40" t="str">
        <x:v>LOPE</x:v>
      </x:c>
      <x:c r="B128" s="40" t="str">
        <x:v>E060</x:v>
      </x:c>
      <x:c r="C128" s="40" t="str">
        <x:v>Education, training and consumer services</x:v>
      </x:c>
      <x:c r="D128" s="40" t="str">
        <x:v>Consumer Discretionary</x:v>
      </x:c>
      <x:c r="E128" s="40" t="str">
        <x:v>Analyst economic exposure; issuer GICS not verified</x:v>
      </x:c>
    </x:row>
    <x:row r="129" ht="45" customHeight="1">
      <x:c r="A129" s="40" t="str">
        <x:v>GPC</x:v>
      </x:c>
      <x:c r="B129" s="40" t="str">
        <x:v>E061</x:v>
      </x:c>
      <x:c r="C129" s="40" t="str">
        <x:v>Consumer wholesale distribution</x:v>
      </x:c>
      <x:c r="D129" s="40" t="str">
        <x:v>Consumer Discretionary</x:v>
      </x:c>
      <x:c r="E129" s="40" t="str">
        <x:v>Analyst economic exposure; issuer GICS not verified</x:v>
      </x:c>
    </x:row>
    <x:row r="130" ht="45" customHeight="1">
      <x:c r="A130" s="40" t="str">
        <x:v>POOL</x:v>
      </x:c>
      <x:c r="B130" s="40" t="str">
        <x:v>E061</x:v>
      </x:c>
      <x:c r="C130" s="40" t="str">
        <x:v>Consumer wholesale distribution</x:v>
      </x:c>
      <x:c r="D130" s="40" t="str">
        <x:v>Consumer Discretionary</x:v>
      </x:c>
      <x:c r="E130" s="40" t="str">
        <x:v>Analyst economic exposure; issuer GICS not verified</x:v>
      </x:c>
    </x:row>
    <x:row r="131" ht="45" customHeight="1">
      <x:c r="A131" s="40" t="str">
        <x:v>AMZN</x:v>
      </x:c>
      <x:c r="B131" s="40" t="str">
        <x:v>E062</x:v>
      </x:c>
      <x:c r="C131" s="40" t="str">
        <x:v>Broadline retailers and marketplaces</x:v>
      </x:c>
      <x:c r="D131" s="40" t="str">
        <x:v>Consumer Discretionary</x:v>
      </x:c>
      <x:c r="E131" s="40" t="str">
        <x:v>Analyst economic exposure; issuer GICS not verified</x:v>
      </x:c>
    </x:row>
    <x:row r="132" ht="45" customHeight="1">
      <x:c r="A132" s="40" t="str">
        <x:v>TGT</x:v>
      </x:c>
      <x:c r="B132" s="40" t="str">
        <x:v>E062</x:v>
      </x:c>
      <x:c r="C132" s="40" t="str">
        <x:v>Broadline retailers and marketplaces</x:v>
      </x:c>
      <x:c r="D132" s="40" t="str">
        <x:v>Consumer Discretionary</x:v>
      </x:c>
      <x:c r="E132" s="40" t="str">
        <x:v>Analyst economic exposure; issuer GICS not verified</x:v>
      </x:c>
    </x:row>
    <x:row r="133" ht="45" customHeight="1">
      <x:c r="A133" s="40" t="str">
        <x:v>FND</x:v>
      </x:c>
      <x:c r="B133" s="40" t="str">
        <x:v>E063</x:v>
      </x:c>
      <x:c r="C133" s="40" t="str">
        <x:v>Category-specialist store networks</x:v>
      </x:c>
      <x:c r="D133" s="40" t="str">
        <x:v>Consumer Discretionary</x:v>
      </x:c>
      <x:c r="E133" s="40" t="str">
        <x:v>Analyst economic exposure; issuer GICS not verified</x:v>
      </x:c>
    </x:row>
    <x:row r="134" ht="45" customHeight="1">
      <x:c r="A134" s="40" t="str">
        <x:v>BOOT</x:v>
      </x:c>
      <x:c r="B134" s="40" t="str">
        <x:v>E063</x:v>
      </x:c>
      <x:c r="C134" s="40" t="str">
        <x:v>Category-specialist store networks</x:v>
      </x:c>
      <x:c r="D134" s="40" t="str">
        <x:v>Consumer Discretionary</x:v>
      </x:c>
      <x:c r="E134" s="40" t="str">
        <x:v>Analyst economic exposure; issuer GICS not verified</x:v>
      </x:c>
    </x:row>
    <x:row r="135" ht="45" customHeight="1">
      <x:c r="A135" s="40" t="str">
        <x:v>WINA</x:v>
      </x:c>
      <x:c r="B135" s="40" t="str">
        <x:v>E064</x:v>
      </x:c>
      <x:c r="C135" s="40" t="str">
        <x:v>Resale franchising and service-led retail</x:v>
      </x:c>
      <x:c r="D135" s="40" t="str">
        <x:v>Consumer Discretionary</x:v>
      </x:c>
      <x:c r="E135" s="40" t="str">
        <x:v>Analyst economic exposure; issuer GICS not verified</x:v>
      </x:c>
    </x:row>
    <x:row r="136" ht="45" customHeight="1">
      <x:c r="A136" s="40" t="str">
        <x:v>ORLY</x:v>
      </x:c>
      <x:c r="B136" s="40" t="str">
        <x:v>E064</x:v>
      </x:c>
      <x:c r="C136" s="40" t="str">
        <x:v>Resale franchising and service-led retail</x:v>
      </x:c>
      <x:c r="D136" s="40" t="str">
        <x:v>Consumer Discretionary</x:v>
      </x:c>
      <x:c r="E136" s="40" t="str">
        <x:v>Analyst economic exposure; issuer GICS not verified</x:v>
      </x:c>
    </x:row>
    <x:row r="137" ht="45" customHeight="1">
      <x:c r="A137" s="40" t="str">
        <x:v>COST</x:v>
      </x:c>
      <x:c r="B137" s="40" t="str">
        <x:v>E065</x:v>
      </x:c>
      <x:c r="C137" s="40" t="str">
        <x:v>Grocery and membership warehouses</x:v>
      </x:c>
      <x:c r="D137" s="40" t="str">
        <x:v>Consumer Staples</x:v>
      </x:c>
      <x:c r="E137" s="40" t="str">
        <x:v>Analyst economic exposure; issuer GICS not verified</x:v>
      </x:c>
    </x:row>
    <x:row r="138" ht="45" customHeight="1">
      <x:c r="A138" s="40" t="str">
        <x:v>KR</x:v>
      </x:c>
      <x:c r="B138" s="40" t="str">
        <x:v>E065</x:v>
      </x:c>
      <x:c r="C138" s="40" t="str">
        <x:v>Grocery and membership warehouses</x:v>
      </x:c>
      <x:c r="D138" s="40" t="str">
        <x:v>Consumer Staples</x:v>
      </x:c>
      <x:c r="E138" s="40" t="str">
        <x:v>Analyst economic exposure; issuer GICS not verified</x:v>
      </x:c>
    </x:row>
    <x:row r="139" ht="45" customHeight="1">
      <x:c r="A139" s="40" t="str">
        <x:v>SYY</x:v>
      </x:c>
      <x:c r="B139" s="40" t="str">
        <x:v>E066</x:v>
      </x:c>
      <x:c r="C139" s="40" t="str">
        <x:v>Food and staple distribution</x:v>
      </x:c>
      <x:c r="D139" s="40" t="str">
        <x:v>Consumer Staples</x:v>
      </x:c>
      <x:c r="E139" s="40" t="str">
        <x:v>Analyst economic exposure; issuer GICS not verified</x:v>
      </x:c>
    </x:row>
    <x:row r="140" ht="45" customHeight="1">
      <x:c r="A140" s="40" t="str">
        <x:v>PFGC</x:v>
      </x:c>
      <x:c r="B140" s="40" t="str">
        <x:v>E066</x:v>
      </x:c>
      <x:c r="C140" s="40" t="str">
        <x:v>Food and staple distribution</x:v>
      </x:c>
      <x:c r="D140" s="40" t="str">
        <x:v>Consumer Staples</x:v>
      </x:c>
      <x:c r="E140" s="40" t="str">
        <x:v>Analyst economic exposure; issuer GICS not verified</x:v>
      </x:c>
    </x:row>
    <x:row r="141" ht="45" customHeight="1">
      <x:c r="A141" s="40" t="str">
        <x:v>KO</x:v>
      </x:c>
      <x:c r="B141" s="40" t="str">
        <x:v>E067</x:v>
      </x:c>
      <x:c r="C141" s="40" t="str">
        <x:v>Nonalcoholic brands and concentrates</x:v>
      </x:c>
      <x:c r="D141" s="40" t="str">
        <x:v>Consumer Staples</x:v>
      </x:c>
      <x:c r="E141" s="40" t="str">
        <x:v>Analyst economic exposure; issuer GICS not verified</x:v>
      </x:c>
    </x:row>
    <x:row r="142" ht="45" customHeight="1">
      <x:c r="A142" s="40" t="str">
        <x:v>MNST</x:v>
      </x:c>
      <x:c r="B142" s="40" t="str">
        <x:v>E067</x:v>
      </x:c>
      <x:c r="C142" s="40" t="str">
        <x:v>Nonalcoholic brands and concentrates</x:v>
      </x:c>
      <x:c r="D142" s="40" t="str">
        <x:v>Consumer Staples</x:v>
      </x:c>
      <x:c r="E142" s="40" t="str">
        <x:v>Analyst economic exposure; issuer GICS not verified</x:v>
      </x:c>
    </x:row>
    <x:row r="143" ht="45" customHeight="1">
      <x:c r="A143" s="40" t="str">
        <x:v>STZ</x:v>
      </x:c>
      <x:c r="B143" s="40" t="str">
        <x:v>E068</x:v>
      </x:c>
      <x:c r="C143" s="40" t="str">
        <x:v>Beer, spirits and wine</x:v>
      </x:c>
      <x:c r="D143" s="40" t="str">
        <x:v>Consumer Staples</x:v>
      </x:c>
      <x:c r="E143" s="40" t="str">
        <x:v>Analyst economic exposure; issuer GICS not verified</x:v>
      </x:c>
    </x:row>
    <x:row r="144" ht="45" customHeight="1">
      <x:c r="A144" s="40" t="str">
        <x:v>DEO</x:v>
      </x:c>
      <x:c r="B144" s="40" t="str">
        <x:v>E068</x:v>
      </x:c>
      <x:c r="C144" s="40" t="str">
        <x:v>Beer, spirits and wine</x:v>
      </x:c>
      <x:c r="D144" s="40" t="str">
        <x:v>Consumer Staples</x:v>
      </x:c>
      <x:c r="E144" s="40" t="str">
        <x:v>Analyst economic exposure; issuer GICS not verified</x:v>
      </x:c>
    </x:row>
    <x:row r="145" ht="45" customHeight="1">
      <x:c r="A145" s="40" t="str">
        <x:v>GIS</x:v>
      </x:c>
      <x:c r="B145" s="40" t="str">
        <x:v>E069</x:v>
      </x:c>
      <x:c r="C145" s="40" t="str">
        <x:v>Branded packaged foods</x:v>
      </x:c>
      <x:c r="D145" s="40" t="str">
        <x:v>Consumer Staples</x:v>
      </x:c>
      <x:c r="E145" s="40" t="str">
        <x:v>Analyst economic exposure; issuer GICS not verified</x:v>
      </x:c>
    </x:row>
    <x:row r="146" ht="45" customHeight="1">
      <x:c r="A146" s="40" t="str">
        <x:v>HSY</x:v>
      </x:c>
      <x:c r="B146" s="40" t="str">
        <x:v>E069</x:v>
      </x:c>
      <x:c r="C146" s="40" t="str">
        <x:v>Branded packaged foods</x:v>
      </x:c>
      <x:c r="D146" s="40" t="str">
        <x:v>Consumer Staples</x:v>
      </x:c>
      <x:c r="E146" s="40" t="str">
        <x:v>Analyst economic exposure; issuer GICS not verified</x:v>
      </x:c>
    </x:row>
    <x:row r="147" ht="45" customHeight="1">
      <x:c r="A147" s="40" t="str">
        <x:v>VITL</x:v>
      </x:c>
      <x:c r="B147" s="40" t="str">
        <x:v>E070</x:v>
      </x:c>
      <x:c r="C147" s="40" t="str">
        <x:v>Agricultural, protein and differentiated fresh supply</x:v>
      </x:c>
      <x:c r="D147" s="40" t="str">
        <x:v>Consumer Staples</x:v>
      </x:c>
      <x:c r="E147" s="40" t="str">
        <x:v>Analyst economic exposure; issuer GICS not verified</x:v>
      </x:c>
    </x:row>
    <x:row r="148" ht="45" customHeight="1">
      <x:c r="A148" s="40" t="str">
        <x:v>TSN</x:v>
      </x:c>
      <x:c r="B148" s="40" t="str">
        <x:v>E070</x:v>
      </x:c>
      <x:c r="C148" s="40" t="str">
        <x:v>Agricultural, protein and differentiated fresh supply</x:v>
      </x:c>
      <x:c r="D148" s="40" t="str">
        <x:v>Consumer Staples</x:v>
      </x:c>
      <x:c r="E148" s="40" t="str">
        <x:v>Analyst economic exposure; issuer GICS not verified</x:v>
      </x:c>
    </x:row>
    <x:row r="149" ht="45" customHeight="1">
      <x:c r="A149" s="40" t="str">
        <x:v>PM</x:v>
      </x:c>
      <x:c r="B149" s="40" t="str">
        <x:v>E071</x:v>
      </x:c>
      <x:c r="C149" s="40" t="str">
        <x:v>Combustible and alternative nicotine franchises</x:v>
      </x:c>
      <x:c r="D149" s="40" t="str">
        <x:v>Consumer Staples</x:v>
      </x:c>
      <x:c r="E149" s="40" t="str">
        <x:v>Analyst economic exposure; issuer GICS not verified</x:v>
      </x:c>
    </x:row>
    <x:row r="150" ht="45" customHeight="1">
      <x:c r="A150" s="40" t="str">
        <x:v>MO</x:v>
      </x:c>
      <x:c r="B150" s="40" t="str">
        <x:v>E071</x:v>
      </x:c>
      <x:c r="C150" s="40" t="str">
        <x:v>Combustible and alternative nicotine franchises</x:v>
      </x:c>
      <x:c r="D150" s="40" t="str">
        <x:v>Consumer Staples</x:v>
      </x:c>
      <x:c r="E150" s="40" t="str">
        <x:v>Analyst economic exposure; issuer GICS not verified</x:v>
      </x:c>
    </x:row>
    <x:row r="151" ht="45" customHeight="1">
      <x:c r="A151" s="40" t="str">
        <x:v>PG</x:v>
      </x:c>
      <x:c r="B151" s="40" t="str">
        <x:v>E072</x:v>
      </x:c>
      <x:c r="C151" s="40" t="str">
        <x:v>Household cleaning and essential brands</x:v>
      </x:c>
      <x:c r="D151" s="40" t="str">
        <x:v>Consumer Staples</x:v>
      </x:c>
      <x:c r="E151" s="40" t="str">
        <x:v>Analyst economic exposure; issuer GICS not verified</x:v>
      </x:c>
    </x:row>
    <x:row r="152" ht="45" customHeight="1">
      <x:c r="A152" s="40" t="str">
        <x:v>CHD</x:v>
      </x:c>
      <x:c r="B152" s="40" t="str">
        <x:v>E072</x:v>
      </x:c>
      <x:c r="C152" s="40" t="str">
        <x:v>Household cleaning and essential brands</x:v>
      </x:c>
      <x:c r="D152" s="40" t="str">
        <x:v>Consumer Staples</x:v>
      </x:c>
      <x:c r="E152" s="40" t="str">
        <x:v>Analyst economic exposure; issuer GICS not verified</x:v>
      </x:c>
    </x:row>
    <x:row r="153" ht="45" customHeight="1">
      <x:c r="A153" s="40" t="str">
        <x:v>ELF</x:v>
      </x:c>
      <x:c r="B153" s="40" t="str">
        <x:v>E073</x:v>
      </x:c>
      <x:c r="C153" s="40" t="str">
        <x:v>Beauty and personal-care brands</x:v>
      </x:c>
      <x:c r="D153" s="40" t="str">
        <x:v>Consumer Staples</x:v>
      </x:c>
      <x:c r="E153" s="40" t="str">
        <x:v>Analyst economic exposure; issuer GICS not verified</x:v>
      </x:c>
    </x:row>
    <x:row r="154" ht="45" customHeight="1">
      <x:c r="A154" s="40" t="str">
        <x:v>EL</x:v>
      </x:c>
      <x:c r="B154" s="40" t="str">
        <x:v>E073</x:v>
      </x:c>
      <x:c r="C154" s="40" t="str">
        <x:v>Beauty and personal-care brands</x:v>
      </x:c>
      <x:c r="D154" s="40" t="str">
        <x:v>Consumer Staples</x:v>
      </x:c>
      <x:c r="E154" s="40" t="str">
        <x:v>Analyst economic exposure; issuer GICS not verified</x:v>
      </x:c>
    </x:row>
    <x:row r="155" ht="45" customHeight="1">
      <x:c r="A155" s="40" t="str">
        <x:v>LMAT</x:v>
      </x:c>
      <x:c r="B155" s="40" t="str">
        <x:v>E074</x:v>
      </x:c>
      <x:c r="C155" s="40" t="str">
        <x:v>Procedure-based implants and disposables</x:v>
      </x:c>
      <x:c r="D155" s="40" t="str">
        <x:v>Health Care</x:v>
      </x:c>
      <x:c r="E155" s="40" t="str">
        <x:v>Analyst economic exposure; issuer GICS not verified</x:v>
      </x:c>
    </x:row>
    <x:row r="156" ht="45" customHeight="1">
      <x:c r="A156" s="40" t="str">
        <x:v>SYK</x:v>
      </x:c>
      <x:c r="B156" s="40" t="str">
        <x:v>E074</x:v>
      </x:c>
      <x:c r="C156" s="40" t="str">
        <x:v>Procedure-based implants and disposables</x:v>
      </x:c>
      <x:c r="D156" s="40" t="str">
        <x:v>Health Care</x:v>
      </x:c>
      <x:c r="E156" s="40" t="str">
        <x:v>Analyst economic exposure; issuer GICS not verified</x:v>
      </x:c>
    </x:row>
    <x:row r="157" ht="45" customHeight="1">
      <x:c r="A157" s="40" t="str">
        <x:v>ISRG</x:v>
      </x:c>
      <x:c r="B157" s="40" t="str">
        <x:v>E075</x:v>
      </x:c>
      <x:c r="C157" s="40" t="str">
        <x:v>Capital equipment with captive consumables</x:v>
      </x:c>
      <x:c r="D157" s="40" t="str">
        <x:v>Health Care</x:v>
      </x:c>
      <x:c r="E157" s="40" t="str">
        <x:v>Analyst economic exposure; issuer GICS not verified</x:v>
      </x:c>
    </x:row>
    <x:row r="158" ht="45" customHeight="1">
      <x:c r="A158" s="40" t="str">
        <x:v>ABT</x:v>
      </x:c>
      <x:c r="B158" s="40" t="str">
        <x:v>E075</x:v>
      </x:c>
      <x:c r="C158" s="40" t="str">
        <x:v>Capital equipment with captive consumables</x:v>
      </x:c>
      <x:c r="D158" s="40" t="str">
        <x:v>Health Care</x:v>
      </x:c>
      <x:c r="E158" s="40" t="str">
        <x:v>Analyst economic exposure; issuer GICS not verified</x:v>
      </x:c>
    </x:row>
    <x:row r="159" ht="45" customHeight="1">
      <x:c r="A159" s="40" t="str">
        <x:v>HCA</x:v>
      </x:c>
      <x:c r="B159" s="40" t="str">
        <x:v>E076</x:v>
      </x:c>
      <x:c r="C159" s="40" t="str">
        <x:v>Hospitals and specialized providers</x:v>
      </x:c>
      <x:c r="D159" s="40" t="str">
        <x:v>Health Care</x:v>
      </x:c>
      <x:c r="E159" s="40" t="str">
        <x:v>Analyst economic exposure; issuer GICS not verified</x:v>
      </x:c>
    </x:row>
    <x:row r="160" ht="45" customHeight="1">
      <x:c r="A160" s="40" t="str">
        <x:v>ADUS</x:v>
      </x:c>
      <x:c r="B160" s="40" t="str">
        <x:v>E076</x:v>
      </x:c>
      <x:c r="C160" s="40" t="str">
        <x:v>Hospitals and specialized providers</x:v>
      </x:c>
      <x:c r="D160" s="40" t="str">
        <x:v>Health Care</x:v>
      </x:c>
      <x:c r="E160" s="40" t="str">
        <x:v>Analyst economic exposure; issuer GICS not verified</x:v>
      </x:c>
    </x:row>
    <x:row r="161" ht="45" customHeight="1">
      <x:c r="A161" s="40" t="str">
        <x:v>UNH</x:v>
      </x:c>
      <x:c r="B161" s="40" t="str">
        <x:v>E077</x:v>
      </x:c>
      <x:c r="C161" s="40" t="str">
        <x:v>Managed care and risk-bearing services</x:v>
      </x:c>
      <x:c r="D161" s="40" t="str">
        <x:v>Health Care</x:v>
      </x:c>
      <x:c r="E161" s="40" t="str">
        <x:v>Analyst economic exposure; issuer GICS not verified</x:v>
      </x:c>
    </x:row>
    <x:row r="162" ht="45" customHeight="1">
      <x:c r="A162" s="40" t="str">
        <x:v>ELV</x:v>
      </x:c>
      <x:c r="B162" s="40" t="str">
        <x:v>E077</x:v>
      </x:c>
      <x:c r="C162" s="40" t="str">
        <x:v>Managed care and risk-bearing services</x:v>
      </x:c>
      <x:c r="D162" s="40" t="str">
        <x:v>Health Care</x:v>
      </x:c>
      <x:c r="E162" s="40" t="str">
        <x:v>Analyst economic exposure; issuer GICS not verified</x:v>
      </x:c>
    </x:row>
    <x:row r="163" ht="45" customHeight="1">
      <x:c r="A163" s="40" t="str">
        <x:v>MCK</x:v>
      </x:c>
      <x:c r="B163" s="40" t="str">
        <x:v>E078</x:v>
      </x:c>
      <x:c r="C163" s="40" t="str">
        <x:v>Drug distribution and specialty channels</x:v>
      </x:c>
      <x:c r="D163" s="40" t="str">
        <x:v>Health Care</x:v>
      </x:c>
      <x:c r="E163" s="40" t="str">
        <x:v>Analyst economic exposure; issuer GICS not verified</x:v>
      </x:c>
    </x:row>
    <x:row r="164" ht="45" customHeight="1">
      <x:c r="A164" s="40" t="str">
        <x:v>COR</x:v>
      </x:c>
      <x:c r="B164" s="40" t="str">
        <x:v>E078</x:v>
      </x:c>
      <x:c r="C164" s="40" t="str">
        <x:v>Drug distribution and specialty channels</x:v>
      </x:c>
      <x:c r="D164" s="40" t="str">
        <x:v>Health Care</x:v>
      </x:c>
      <x:c r="E164" s="40" t="str">
        <x:v>Analyst economic exposure; issuer GICS not verified</x:v>
      </x:c>
    </x:row>
    <x:row r="165" ht="45" customHeight="1">
      <x:c r="A165" s="40" t="str">
        <x:v>DOCS</x:v>
      </x:c>
      <x:c r="B165" s="40" t="str">
        <x:v>E079</x:v>
      </x:c>
      <x:c r="C165" s="40" t="str">
        <x:v>Clinical and administrative workflow software</x:v>
      </x:c>
      <x:c r="D165" s="40" t="str">
        <x:v>Health Care</x:v>
      </x:c>
      <x:c r="E165" s="40" t="str">
        <x:v>Analyst economic exposure; issuer GICS not verified</x:v>
      </x:c>
    </x:row>
    <x:row r="166" ht="45" customHeight="1">
      <x:c r="A166" s="40" t="str">
        <x:v>VEEV</x:v>
      </x:c>
      <x:c r="B166" s="40" t="str">
        <x:v>E079</x:v>
      </x:c>
      <x:c r="C166" s="40" t="str">
        <x:v>Clinical and administrative workflow software</x:v>
      </x:c>
      <x:c r="D166" s="40" t="str">
        <x:v>Health Care</x:v>
      </x:c>
      <x:c r="E166" s="40" t="str">
        <x:v>Analyst economic exposure; issuer GICS not verified</x:v>
      </x:c>
    </x:row>
    <x:row r="167" ht="45" customHeight="1">
      <x:c r="A167" s="40" t="str">
        <x:v>CRSP</x:v>
      </x:c>
      <x:c r="B167" s="40" t="str">
        <x:v>E080</x:v>
      </x:c>
      <x:c r="C167" s="40" t="str">
        <x:v>Single-asset clinical biotechnology</x:v>
      </x:c>
      <x:c r="D167" s="40" t="str">
        <x:v>Health Care</x:v>
      </x:c>
      <x:c r="E167" s="40" t="str">
        <x:v>Analyst economic exposure; issuer GICS not verified</x:v>
      </x:c>
    </x:row>
    <x:row r="168" ht="45" customHeight="1">
      <x:c r="A168" s="40" t="str">
        <x:v>NTLA</x:v>
      </x:c>
      <x:c r="B168" s="40" t="str">
        <x:v>E080</x:v>
      </x:c>
      <x:c r="C168" s="40" t="str">
        <x:v>Single-asset clinical biotechnology</x:v>
      </x:c>
      <x:c r="D168" s="40" t="str">
        <x:v>Health Care</x:v>
      </x:c>
      <x:c r="E168" s="40" t="str">
        <x:v>Analyst economic exposure; issuer GICS not verified</x:v>
      </x:c>
    </x:row>
    <x:row r="169" ht="45" customHeight="1">
      <x:c r="A169" s="40" t="str">
        <x:v>VRTX</x:v>
      </x:c>
      <x:c r="B169" s="40" t="str">
        <x:v>E081</x:v>
      </x:c>
      <x:c r="C169" s="40" t="str">
        <x:v>Commercial biotechnology platforms</x:v>
      </x:c>
      <x:c r="D169" s="40" t="str">
        <x:v>Health Care</x:v>
      </x:c>
      <x:c r="E169" s="40" t="str">
        <x:v>Analyst economic exposure; issuer GICS not verified</x:v>
      </x:c>
    </x:row>
    <x:row r="170" ht="45" customHeight="1">
      <x:c r="A170" s="40" t="str">
        <x:v>REGN</x:v>
      </x:c>
      <x:c r="B170" s="40" t="str">
        <x:v>E081</x:v>
      </x:c>
      <x:c r="C170" s="40" t="str">
        <x:v>Commercial biotechnology platforms</x:v>
      </x:c>
      <x:c r="D170" s="40" t="str">
        <x:v>Health Care</x:v>
      </x:c>
      <x:c r="E170" s="40" t="str">
        <x:v>Analyst economic exposure; issuer GICS not verified</x:v>
      </x:c>
    </x:row>
    <x:row r="171" ht="45" customHeight="1">
      <x:c r="A171" s="40" t="str">
        <x:v>RGEN</x:v>
      </x:c>
      <x:c r="B171" s="40" t="str">
        <x:v>E082</x:v>
      </x:c>
      <x:c r="C171" s="40" t="str">
        <x:v>Bioprocess consumables and filtration</x:v>
      </x:c>
      <x:c r="D171" s="40" t="str">
        <x:v>Health Care</x:v>
      </x:c>
      <x:c r="E171" s="40" t="str">
        <x:v>Analyst economic exposure; issuer GICS not verified</x:v>
      </x:c>
    </x:row>
    <x:row r="172" ht="45" customHeight="1">
      <x:c r="A172" s="40" t="str">
        <x:v>DHR</x:v>
      </x:c>
      <x:c r="B172" s="40" t="str">
        <x:v>E082</x:v>
      </x:c>
      <x:c r="C172" s="40" t="str">
        <x:v>Bioprocess consumables and filtration</x:v>
      </x:c>
      <x:c r="D172" s="40" t="str">
        <x:v>Health Care</x:v>
      </x:c>
      <x:c r="E172" s="40" t="str">
        <x:v>Analyst economic exposure; issuer GICS not verified</x:v>
      </x:c>
    </x:row>
    <x:row r="173" ht="45" customHeight="1">
      <x:c r="A173" s="40" t="str">
        <x:v>TMO</x:v>
      </x:c>
      <x:c r="B173" s="40" t="str">
        <x:v>E083</x:v>
      </x:c>
      <x:c r="C173" s="40" t="str">
        <x:v>Laboratory instruments and research tools</x:v>
      </x:c>
      <x:c r="D173" s="40" t="str">
        <x:v>Health Care</x:v>
      </x:c>
      <x:c r="E173" s="40" t="str">
        <x:v>Analyst economic exposure; issuer GICS not verified</x:v>
      </x:c>
    </x:row>
    <x:row r="174" ht="45" customHeight="1">
      <x:c r="A174" s="40" t="str">
        <x:v>A</x:v>
      </x:c>
      <x:c r="B174" s="40" t="str">
        <x:v>E083</x:v>
      </x:c>
      <x:c r="C174" s="40" t="str">
        <x:v>Laboratory instruments and research tools</x:v>
      </x:c>
      <x:c r="D174" s="40" t="str">
        <x:v>Health Care</x:v>
      </x:c>
      <x:c r="E174" s="40" t="str">
        <x:v>Analyst economic exposure; issuer GICS not verified</x:v>
      </x:c>
    </x:row>
    <x:row r="175" ht="45" customHeight="1">
      <x:c r="A175" s="40" t="str">
        <x:v>IQV</x:v>
      </x:c>
      <x:c r="B175" s="40" t="str">
        <x:v>E084</x:v>
      </x:c>
      <x:c r="C175" s="40" t="str">
        <x:v>Clinical research outsourcing</x:v>
      </x:c>
      <x:c r="D175" s="40" t="str">
        <x:v>Health Care</x:v>
      </x:c>
      <x:c r="E175" s="40" t="str">
        <x:v>Analyst economic exposure; issuer GICS not verified</x:v>
      </x:c>
    </x:row>
    <x:row r="176" ht="45" customHeight="1">
      <x:c r="A176" s="40" t="str">
        <x:v>MEDP</x:v>
      </x:c>
      <x:c r="B176" s="40" t="str">
        <x:v>E084</x:v>
      </x:c>
      <x:c r="C176" s="40" t="str">
        <x:v>Clinical research outsourcing</x:v>
      </x:c>
      <x:c r="D176" s="40" t="str">
        <x:v>Health Care</x:v>
      </x:c>
      <x:c r="E176" s="40" t="str">
        <x:v>Analyst economic exposure; issuer GICS not verified</x:v>
      </x:c>
    </x:row>
    <x:row r="177" ht="45" customHeight="1">
      <x:c r="A177" s="40" t="str">
        <x:v>LLY</x:v>
      </x:c>
      <x:c r="B177" s="40" t="str">
        <x:v>E085</x:v>
      </x:c>
      <x:c r="C177" s="40" t="str">
        <x:v>Patent-protected pharmaceutical portfolios</x:v>
      </x:c>
      <x:c r="D177" s="40" t="str">
        <x:v>Health Care</x:v>
      </x:c>
      <x:c r="E177" s="40" t="str">
        <x:v>Analyst economic exposure; issuer GICS not verified</x:v>
      </x:c>
    </x:row>
    <x:row r="178" ht="45" customHeight="1">
      <x:c r="A178" s="40" t="str">
        <x:v>MRK</x:v>
      </x:c>
      <x:c r="B178" s="40" t="str">
        <x:v>E085</x:v>
      </x:c>
      <x:c r="C178" s="40" t="str">
        <x:v>Patent-protected pharmaceutical portfolios</x:v>
      </x:c>
      <x:c r="D178" s="40" t="str">
        <x:v>Health Care</x:v>
      </x:c>
      <x:c r="E178" s="40" t="str">
        <x:v>Analyst economic exposure; issuer GICS not verified</x:v>
      </x:c>
    </x:row>
    <x:row r="179" ht="45" customHeight="1">
      <x:c r="A179" s="40" t="str">
        <x:v>TEVA</x:v>
      </x:c>
      <x:c r="B179" s="40" t="str">
        <x:v>E086</x:v>
      </x:c>
      <x:c r="C179" s="40" t="str">
        <x:v>Generics and specialty pharmaceuticals</x:v>
      </x:c>
      <x:c r="D179" s="40" t="str">
        <x:v>Health Care</x:v>
      </x:c>
      <x:c r="E179" s="40" t="str">
        <x:v>Analyst economic exposure; issuer GICS not verified</x:v>
      </x:c>
    </x:row>
    <x:row r="180" ht="45" customHeight="1">
      <x:c r="A180" s="40" t="str">
        <x:v>SUPN</x:v>
      </x:c>
      <x:c r="B180" s="40" t="str">
        <x:v>E086</x:v>
      </x:c>
      <x:c r="C180" s="40" t="str">
        <x:v>Generics and specialty pharmaceuticals</x:v>
      </x:c>
      <x:c r="D180" s="40" t="str">
        <x:v>Health Care</x:v>
      </x:c>
      <x:c r="E180" s="40" t="str">
        <x:v>Analyst economic exposure; issuer GICS not verified</x:v>
      </x:c>
    </x:row>
    <x:row r="181" ht="45" customHeight="1">
      <x:c r="A181" s="40" t="str">
        <x:v>CFR</x:v>
      </x:c>
      <x:c r="B181" s="40" t="str">
        <x:v>E087</x:v>
      </x:c>
      <x:c r="C181" s="40" t="str">
        <x:v>Relationship and niche deposit banks</x:v>
      </x:c>
      <x:c r="D181" s="40" t="str">
        <x:v>Financials</x:v>
      </x:c>
      <x:c r="E181" s="40" t="str">
        <x:v>Analyst economic exposure; issuer GICS not verified</x:v>
      </x:c>
    </x:row>
    <x:row r="182" ht="45" customHeight="1">
      <x:c r="A182" s="40" t="str">
        <x:v>FFIN</x:v>
      </x:c>
      <x:c r="B182" s="40" t="str">
        <x:v>E087</x:v>
      </x:c>
      <x:c r="C182" s="40" t="str">
        <x:v>Relationship and niche deposit banks</x:v>
      </x:c>
      <x:c r="D182" s="40" t="str">
        <x:v>Financials</x:v>
      </x:c>
      <x:c r="E182" s="40" t="str">
        <x:v>Analyst economic exposure; issuer GICS not verified</x:v>
      </x:c>
    </x:row>
    <x:row r="183" ht="45" customHeight="1">
      <x:c r="A183" s="40" t="str">
        <x:v>WAL</x:v>
      </x:c>
      <x:c r="B183" s="40" t="str">
        <x:v>E088</x:v>
      </x:c>
      <x:c r="C183" s="40" t="str">
        <x:v>Rate-sensitive regional banks</x:v>
      </x:c>
      <x:c r="D183" s="40" t="str">
        <x:v>Financials</x:v>
      </x:c>
      <x:c r="E183" s="40" t="str">
        <x:v>Analyst economic exposure; issuer GICS not verified</x:v>
      </x:c>
    </x:row>
    <x:row r="184" ht="45" customHeight="1">
      <x:c r="A184" s="40" t="str">
        <x:v>OZK</x:v>
      </x:c>
      <x:c r="B184" s="40" t="str">
        <x:v>E088</x:v>
      </x:c>
      <x:c r="C184" s="40" t="str">
        <x:v>Rate-sensitive regional banks</x:v>
      </x:c>
      <x:c r="D184" s="40" t="str">
        <x:v>Financials</x:v>
      </x:c>
      <x:c r="E184" s="40" t="str">
        <x:v>Analyst economic exposure; issuer GICS not verified</x:v>
      </x:c>
    </x:row>
    <x:row r="185" ht="45" customHeight="1">
      <x:c r="A185" s="40" t="str">
        <x:v>V</x:v>
      </x:c>
      <x:c r="B185" s="40" t="str">
        <x:v>E089</x:v>
      </x:c>
      <x:c r="C185" s="40" t="str">
        <x:v>Payment networks and merchant processing</x:v>
      </x:c>
      <x:c r="D185" s="40" t="str">
        <x:v>Financials</x:v>
      </x:c>
      <x:c r="E185" s="40" t="str">
        <x:v>Analyst economic exposure; issuer GICS not verified</x:v>
      </x:c>
    </x:row>
    <x:row r="186" ht="45" customHeight="1">
      <x:c r="A186" s="40" t="str">
        <x:v>MA</x:v>
      </x:c>
      <x:c r="B186" s="40" t="str">
        <x:v>E089</x:v>
      </x:c>
      <x:c r="C186" s="40" t="str">
        <x:v>Payment networks and merchant processing</x:v>
      </x:c>
      <x:c r="D186" s="40" t="str">
        <x:v>Financials</x:v>
      </x:c>
      <x:c r="E186" s="40" t="str">
        <x:v>Analyst economic exposure; issuer GICS not verified</x:v>
      </x:c>
    </x:row>
    <x:row r="187" ht="45" customHeight="1">
      <x:c r="A187" s="40" t="str">
        <x:v>FOUR</x:v>
      </x:c>
      <x:c r="B187" s="40" t="str">
        <x:v>E089</x:v>
      </x:c>
      <x:c r="C187" s="40" t="str">
        <x:v>Payment networks and merchant processing</x:v>
      </x:c>
      <x:c r="D187" s="40" t="str">
        <x:v>Financials</x:v>
      </x:c>
      <x:c r="E187" s="40" t="str">
        <x:v>Analyst economic exposure; issuer GICS not verified</x:v>
      </x:c>
    </x:row>
    <x:row r="188" ht="45" customHeight="1">
      <x:c r="A188" s="40" t="str">
        <x:v>BRK-B</x:v>
      </x:c>
      <x:c r="B188" s="40" t="str">
        <x:v>E090</x:v>
      </x:c>
      <x:c r="C188" s="40" t="str">
        <x:v>Financial holding companies and specialty finance</x:v>
      </x:c>
      <x:c r="D188" s="40" t="str">
        <x:v>Financials</x:v>
      </x:c>
      <x:c r="E188" s="40" t="str">
        <x:v>Analyst economic exposure; issuer GICS not verified</x:v>
      </x:c>
    </x:row>
    <x:row r="189" ht="45" customHeight="1">
      <x:c r="A189" s="40" t="str">
        <x:v>BN</x:v>
      </x:c>
      <x:c r="B189" s="40" t="str">
        <x:v>E090</x:v>
      </x:c>
      <x:c r="C189" s="40" t="str">
        <x:v>Financial holding companies and specialty finance</x:v>
      </x:c>
      <x:c r="D189" s="40" t="str">
        <x:v>Financials</x:v>
      </x:c>
      <x:c r="E189" s="40" t="str">
        <x:v>Analyst economic exposure; issuer GICS not verified</x:v>
      </x:c>
    </x:row>
    <x:row r="190" ht="45" customHeight="1">
      <x:c r="A190" s="40" t="str">
        <x:v>OMF</x:v>
      </x:c>
      <x:c r="B190" s="40" t="str">
        <x:v>E091</x:v>
      </x:c>
      <x:c r="C190" s="40" t="str">
        <x:v>Consumer installment, card and auto lenders</x:v>
      </x:c>
      <x:c r="D190" s="40" t="str">
        <x:v>Financials</x:v>
      </x:c>
      <x:c r="E190" s="40" t="str">
        <x:v>Analyst economic exposure; issuer GICS not verified</x:v>
      </x:c>
    </x:row>
    <x:row r="191" ht="45" customHeight="1">
      <x:c r="A191" s="40" t="str">
        <x:v>SYF</x:v>
      </x:c>
      <x:c r="B191" s="40" t="str">
        <x:v>E091</x:v>
      </x:c>
      <x:c r="C191" s="40" t="str">
        <x:v>Consumer installment, card and auto lenders</x:v>
      </x:c>
      <x:c r="D191" s="40" t="str">
        <x:v>Financials</x:v>
      </x:c>
      <x:c r="E191" s="40" t="str">
        <x:v>Analyst economic exposure; issuer GICS not verified</x:v>
      </x:c>
    </x:row>
    <x:row r="192" ht="45" customHeight="1">
      <x:c r="A192" s="40" t="str">
        <x:v>CME</x:v>
      </x:c>
      <x:c r="B192" s="40" t="str">
        <x:v>E092</x:v>
      </x:c>
      <x:c r="C192" s="40" t="str">
        <x:v>Exchanges and financial data</x:v>
      </x:c>
      <x:c r="D192" s="40" t="str">
        <x:v>Financials</x:v>
      </x:c>
      <x:c r="E192" s="40" t="str">
        <x:v>Analyst economic exposure; issuer GICS not verified</x:v>
      </x:c>
    </x:row>
    <x:row r="193" ht="45" customHeight="1">
      <x:c r="A193" s="40" t="str">
        <x:v>ICE</x:v>
      </x:c>
      <x:c r="B193" s="40" t="str">
        <x:v>E092</x:v>
      </x:c>
      <x:c r="C193" s="40" t="str">
        <x:v>Exchanges and financial data</x:v>
      </x:c>
      <x:c r="D193" s="40" t="str">
        <x:v>Financials</x:v>
      </x:c>
      <x:c r="E193" s="40" t="str">
        <x:v>Analyst economic exposure; issuer GICS not verified</x:v>
      </x:c>
    </x:row>
    <x:row r="194" ht="45" customHeight="1">
      <x:c r="A194" s="40" t="str">
        <x:v>MKTX</x:v>
      </x:c>
      <x:c r="B194" s="40" t="str">
        <x:v>E092</x:v>
      </x:c>
      <x:c r="C194" s="40" t="str">
        <x:v>Exchanges and financial data</x:v>
      </x:c>
      <x:c r="D194" s="40" t="str">
        <x:v>Financials</x:v>
      </x:c>
      <x:c r="E194" s="40" t="str">
        <x:v>Analyst economic exposure; issuer GICS not verified</x:v>
      </x:c>
    </x:row>
    <x:row r="195" ht="45" customHeight="1">
      <x:c r="A195" s="40" t="str">
        <x:v>TROW</x:v>
      </x:c>
      <x:c r="B195" s="40" t="str">
        <x:v>E093</x:v>
      </x:c>
      <x:c r="C195" s="40" t="str">
        <x:v>Asset managers and alternative platforms</x:v>
      </x:c>
      <x:c r="D195" s="40" t="str">
        <x:v>Financials</x:v>
      </x:c>
      <x:c r="E195" s="40" t="str">
        <x:v>Analyst economic exposure; issuer GICS not verified</x:v>
      </x:c>
    </x:row>
    <x:row r="196" ht="45" customHeight="1">
      <x:c r="A196" s="40" t="str">
        <x:v>APO</x:v>
      </x:c>
      <x:c r="B196" s="40" t="str">
        <x:v>E093</x:v>
      </x:c>
      <x:c r="C196" s="40" t="str">
        <x:v>Asset managers and alternative platforms</x:v>
      </x:c>
      <x:c r="D196" s="40" t="str">
        <x:v>Financials</x:v>
      </x:c>
      <x:c r="E196" s="40" t="str">
        <x:v>Analyst economic exposure; issuer GICS not verified</x:v>
      </x:c>
    </x:row>
    <x:row r="197" ht="45" customHeight="1">
      <x:c r="A197" s="40" t="str">
        <x:v>AMG</x:v>
      </x:c>
      <x:c r="B197" s="40" t="str">
        <x:v>E093</x:v>
      </x:c>
      <x:c r="C197" s="40" t="str">
        <x:v>Asset managers and alternative platforms</x:v>
      </x:c>
      <x:c r="D197" s="40" t="str">
        <x:v>Financials</x:v>
      </x:c>
      <x:c r="E197" s="40" t="str">
        <x:v>Analyst economic exposure; issuer GICS not verified</x:v>
      </x:c>
    </x:row>
    <x:row r="198" ht="45" customHeight="1">
      <x:c r="A198" s="40" t="str">
        <x:v>IBKR</x:v>
      </x:c>
      <x:c r="B198" s="40" t="str">
        <x:v>E094</x:v>
      </x:c>
      <x:c r="C198" s="40" t="str">
        <x:v>Brokers and capital-markets activity</x:v>
      </x:c>
      <x:c r="D198" s="40" t="str">
        <x:v>Financials</x:v>
      </x:c>
      <x:c r="E198" s="40" t="str">
        <x:v>Analyst economic exposure; issuer GICS not verified</x:v>
      </x:c>
    </x:row>
    <x:row r="199" ht="45" customHeight="1">
      <x:c r="A199" s="40" t="str">
        <x:v>PIPR</x:v>
      </x:c>
      <x:c r="B199" s="40" t="str">
        <x:v>E094</x:v>
      </x:c>
      <x:c r="C199" s="40" t="str">
        <x:v>Brokers and capital-markets activity</x:v>
      </x:c>
      <x:c r="D199" s="40" t="str">
        <x:v>Financials</x:v>
      </x:c>
      <x:c r="E199" s="40" t="str">
        <x:v>Analyst economic exposure; issuer GICS not verified</x:v>
      </x:c>
    </x:row>
    <x:row r="200" ht="45" customHeight="1">
      <x:c r="A200" s="40" t="str">
        <x:v>AGNC</x:v>
      </x:c>
      <x:c r="B200" s="40" t="str">
        <x:v>E095</x:v>
      </x:c>
      <x:c r="C200" s="40" t="str">
        <x:v>Agency mortgage carry</x:v>
      </x:c>
      <x:c r="D200" s="40" t="str">
        <x:v>Financials</x:v>
      </x:c>
      <x:c r="E200" s="40" t="str">
        <x:v>Analyst economic exposure; issuer GICS not verified</x:v>
      </x:c>
    </x:row>
    <x:row r="201" ht="45" customHeight="1">
      <x:c r="A201" s="40" t="str">
        <x:v>NLY</x:v>
      </x:c>
      <x:c r="B201" s="40" t="str">
        <x:v>E095</x:v>
      </x:c>
      <x:c r="C201" s="40" t="str">
        <x:v>Agency mortgage carry</x:v>
      </x:c>
      <x:c r="D201" s="40" t="str">
        <x:v>Financials</x:v>
      </x:c>
      <x:c r="E201" s="40" t="str">
        <x:v>Analyst economic exposure; issuer GICS not verified</x:v>
      </x:c>
    </x:row>
    <x:row r="202" ht="45" customHeight="1">
      <x:c r="A202" s="40" t="str">
        <x:v>BXMT</x:v>
      </x:c>
      <x:c r="B202" s="40" t="str">
        <x:v>E096</x:v>
      </x:c>
      <x:c r="C202" s="40" t="str">
        <x:v>Commercial mortgage credit</x:v>
      </x:c>
      <x:c r="D202" s="40" t="str">
        <x:v>Financials</x:v>
      </x:c>
      <x:c r="E202" s="40" t="str">
        <x:v>Analyst economic exposure; issuer GICS not verified</x:v>
      </x:c>
    </x:row>
    <x:row r="203" ht="45" customHeight="1">
      <x:c r="A203" s="40" t="str">
        <x:v>STWD</x:v>
      </x:c>
      <x:c r="B203" s="40" t="str">
        <x:v>E096</x:v>
      </x:c>
      <x:c r="C203" s="40" t="str">
        <x:v>Commercial mortgage credit</x:v>
      </x:c>
      <x:c r="D203" s="40" t="str">
        <x:v>Financials</x:v>
      </x:c>
      <x:c r="E203" s="40" t="str">
        <x:v>Analyst economic exposure; issuer GICS not verified</x:v>
      </x:c>
    </x:row>
    <x:row r="204" ht="45" customHeight="1">
      <x:c r="A204" s="40" t="str">
        <x:v>KNSL</x:v>
      </x:c>
      <x:c r="B204" s="40" t="str">
        <x:v>E097</x:v>
      </x:c>
      <x:c r="C204" s="40" t="str">
        <x:v>Specialty property and casualty underwriting</x:v>
      </x:c>
      <x:c r="D204" s="40" t="str">
        <x:v>Financials</x:v>
      </x:c>
      <x:c r="E204" s="40" t="str">
        <x:v>Analyst economic exposure; issuer GICS not verified</x:v>
      </x:c>
    </x:row>
    <x:row r="205" ht="45" customHeight="1">
      <x:c r="A205" s="40" t="str">
        <x:v>RLI</x:v>
      </x:c>
      <x:c r="B205" s="40" t="str">
        <x:v>E097</x:v>
      </x:c>
      <x:c r="C205" s="40" t="str">
        <x:v>Specialty property and casualty underwriting</x:v>
      </x:c>
      <x:c r="D205" s="40" t="str">
        <x:v>Financials</x:v>
      </x:c>
      <x:c r="E205" s="40" t="str">
        <x:v>Analyst economic exposure; issuer GICS not verified</x:v>
      </x:c>
    </x:row>
    <x:row r="206" ht="45" customHeight="1">
      <x:c r="A206" s="40" t="str">
        <x:v>BRO</x:v>
      </x:c>
      <x:c r="B206" s="40" t="str">
        <x:v>E098</x:v>
      </x:c>
      <x:c r="C206" s="40" t="str">
        <x:v>Insurance brokers and distributors</x:v>
      </x:c>
      <x:c r="D206" s="40" t="str">
        <x:v>Financials</x:v>
      </x:c>
      <x:c r="E206" s="40" t="str">
        <x:v>Analyst economic exposure; issuer GICS not verified</x:v>
      </x:c>
    </x:row>
    <x:row r="207" ht="45" customHeight="1">
      <x:c r="A207" s="40" t="str">
        <x:v>GSHD</x:v>
      </x:c>
      <x:c r="B207" s="40" t="str">
        <x:v>E098</x:v>
      </x:c>
      <x:c r="C207" s="40" t="str">
        <x:v>Insurance brokers and distributors</x:v>
      </x:c>
      <x:c r="D207" s="40" t="str">
        <x:v>Financials</x:v>
      </x:c>
      <x:c r="E207" s="40" t="str">
        <x:v>Analyst economic exposure; issuer GICS not verified</x:v>
      </x:c>
    </x:row>
    <x:row r="208" ht="45" customHeight="1">
      <x:c r="A208" s="40" t="str">
        <x:v>MET</x:v>
      </x:c>
      <x:c r="B208" s="40" t="str">
        <x:v>E099</x:v>
      </x:c>
      <x:c r="C208" s="40" t="str">
        <x:v>Life, annuity and reinsurance balance sheets</x:v>
      </x:c>
      <x:c r="D208" s="40" t="str">
        <x:v>Financials</x:v>
      </x:c>
      <x:c r="E208" s="40" t="str">
        <x:v>Analyst economic exposure; issuer GICS not verified</x:v>
      </x:c>
    </x:row>
    <x:row r="209" ht="45" customHeight="1">
      <x:c r="A209" s="40" t="str">
        <x:v>RNR</x:v>
      </x:c>
      <x:c r="B209" s="40" t="str">
        <x:v>E099</x:v>
      </x:c>
      <x:c r="C209" s="40" t="str">
        <x:v>Life, annuity and reinsurance balance sheets</x:v>
      </x:c>
      <x:c r="D209" s="40" t="str">
        <x:v>Financials</x:v>
      </x:c>
      <x:c r="E209" s="40" t="str">
        <x:v>Analyst economic exposure; issuer GICS not verified</x:v>
      </x:c>
    </x:row>
    <x:row r="210" ht="45" customHeight="1">
      <x:c r="A210" s="40" t="str">
        <x:v>ACN</x:v>
      </x:c>
      <x:c r="B210" s="40" t="str">
        <x:v>E100</x:v>
      </x:c>
      <x:c r="C210" s="40" t="str">
        <x:v>IT consulting and project delivery</x:v>
      </x:c>
      <x:c r="D210" s="40" t="str">
        <x:v>Information Technology</x:v>
      </x:c>
      <x:c r="E210" s="40" t="str">
        <x:v>Analyst economic exposure; issuer GICS not verified</x:v>
      </x:c>
    </x:row>
    <x:row r="211" ht="45" customHeight="1">
      <x:c r="A211" s="40" t="str">
        <x:v>EPAM</x:v>
      </x:c>
      <x:c r="B211" s="40" t="str">
        <x:v>E100</x:v>
      </x:c>
      <x:c r="C211" s="40" t="str">
        <x:v>IT consulting and project delivery</x:v>
      </x:c>
      <x:c r="D211" s="40" t="str">
        <x:v>Information Technology</x:v>
      </x:c>
      <x:c r="E211" s="40" t="str">
        <x:v>Analyst economic exposure; issuer GICS not verified</x:v>
      </x:c>
    </x:row>
    <x:row r="212" ht="45" customHeight="1">
      <x:c r="A212" s="40" t="str">
        <x:v>GIB</x:v>
      </x:c>
      <x:c r="B212" s="40" t="str">
        <x:v>E101</x:v>
      </x:c>
      <x:c r="C212" s="40" t="str">
        <x:v>Managed infrastructure and recurring IT services</x:v>
      </x:c>
      <x:c r="D212" s="40" t="str">
        <x:v>Information Technology</x:v>
      </x:c>
      <x:c r="E212" s="40" t="str">
        <x:v>Analyst economic exposure; issuer GICS not verified</x:v>
      </x:c>
    </x:row>
    <x:row r="213" ht="45" customHeight="1">
      <x:c r="A213" s="40" t="str">
        <x:v>KD</x:v>
      </x:c>
      <x:c r="B213" s="40" t="str">
        <x:v>E101</x:v>
      </x:c>
      <x:c r="C213" s="40" t="str">
        <x:v>Managed infrastructure and recurring IT services</x:v>
      </x:c>
      <x:c r="D213" s="40" t="str">
        <x:v>Information Technology</x:v>
      </x:c>
      <x:c r="E213" s="40" t="str">
        <x:v>Analyst economic exposure; issuer GICS not verified</x:v>
      </x:c>
    </x:row>
    <x:row r="214" ht="45" customHeight="1">
      <x:c r="A214" s="40" t="str">
        <x:v>APPF</x:v>
      </x:c>
      <x:c r="B214" s="40" t="str">
        <x:v>E102</x:v>
      </x:c>
      <x:c r="C214" s="40" t="str">
        <x:v>Vertical workflow software</x:v>
      </x:c>
      <x:c r="D214" s="40" t="str">
        <x:v>Information Technology</x:v>
      </x:c>
      <x:c r="E214" s="40" t="str">
        <x:v>Analyst economic exposure; issuer GICS not verified</x:v>
      </x:c>
    </x:row>
    <x:row r="215" ht="45" customHeight="1">
      <x:c r="A215" s="40" t="str">
        <x:v>TYL</x:v>
      </x:c>
      <x:c r="B215" s="40" t="str">
        <x:v>E102</x:v>
      </x:c>
      <x:c r="C215" s="40" t="str">
        <x:v>Vertical workflow software</x:v>
      </x:c>
      <x:c r="D215" s="40" t="str">
        <x:v>Information Technology</x:v>
      </x:c>
      <x:c r="E215" s="40" t="str">
        <x:v>Analyst economic exposure; issuer GICS not verified</x:v>
      </x:c>
    </x:row>
    <x:row r="216" ht="45" customHeight="1">
      <x:c r="A216" s="40" t="str">
        <x:v>CSU@CA</x:v>
      </x:c>
      <x:c r="B216" s="40" t="str">
        <x:v>E102</x:v>
      </x:c>
      <x:c r="C216" s="40" t="str">
        <x:v>Vertical workflow software</x:v>
      </x:c>
      <x:c r="D216" s="40" t="str">
        <x:v>Information Technology</x:v>
      </x:c>
      <x:c r="E216" s="40" t="str">
        <x:v>Analyst economic exposure; issuer GICS not verified</x:v>
      </x:c>
    </x:row>
    <x:row r="217" ht="45" customHeight="1">
      <x:c r="A217" s="40" t="str">
        <x:v>CRM</x:v>
      </x:c>
      <x:c r="B217" s="40" t="str">
        <x:v>E103</x:v>
      </x:c>
      <x:c r="C217" s="40" t="str">
        <x:v>Enterprise application software</x:v>
      </x:c>
      <x:c r="D217" s="40" t="str">
        <x:v>Information Technology</x:v>
      </x:c>
      <x:c r="E217" s="40" t="str">
        <x:v>Analyst economic exposure; issuer GICS not verified</x:v>
      </x:c>
    </x:row>
    <x:row r="218" ht="45" customHeight="1">
      <x:c r="A218" s="40" t="str">
        <x:v>NOW</x:v>
      </x:c>
      <x:c r="B218" s="40" t="str">
        <x:v>E103</x:v>
      </x:c>
      <x:c r="C218" s="40" t="str">
        <x:v>Enterprise application software</x:v>
      </x:c>
      <x:c r="D218" s="40" t="str">
        <x:v>Information Technology</x:v>
      </x:c>
      <x:c r="E218" s="40" t="str">
        <x:v>Analyst economic exposure; issuer GICS not verified</x:v>
      </x:c>
    </x:row>
    <x:row r="219" ht="45" customHeight="1">
      <x:c r="A219" s="40" t="str">
        <x:v>CRWD</x:v>
      </x:c>
      <x:c r="B219" s="40" t="str">
        <x:v>E104</x:v>
      </x:c>
      <x:c r="C219" s="40" t="str">
        <x:v>Cybersecurity platforms</x:v>
      </x:c>
      <x:c r="D219" s="40" t="str">
        <x:v>Information Technology</x:v>
      </x:c>
      <x:c r="E219" s="40" t="str">
        <x:v>Analyst economic exposure; issuer GICS not verified</x:v>
      </x:c>
    </x:row>
    <x:row r="220" ht="45" customHeight="1">
      <x:c r="A220" s="40" t="str">
        <x:v>PANW</x:v>
      </x:c>
      <x:c r="B220" s="40" t="str">
        <x:v>E104</x:v>
      </x:c>
      <x:c r="C220" s="40" t="str">
        <x:v>Cybersecurity platforms</x:v>
      </x:c>
      <x:c r="D220" s="40" t="str">
        <x:v>Information Technology</x:v>
      </x:c>
      <x:c r="E220" s="40" t="str">
        <x:v>Analyst economic exposure; issuer GICS not verified</x:v>
      </x:c>
    </x:row>
    <x:row r="221" ht="45" customHeight="1">
      <x:c r="A221" s="40" t="str">
        <x:v>SNOW</x:v>
      </x:c>
      <x:c r="B221" s="40" t="str">
        <x:v>E105</x:v>
      </x:c>
      <x:c r="C221" s="40" t="str">
        <x:v>Database, design and infrastructure software</x:v>
      </x:c>
      <x:c r="D221" s="40" t="str">
        <x:v>Information Technology</x:v>
      </x:c>
      <x:c r="E221" s="40" t="str">
        <x:v>Analyst economic exposure; issuer GICS not verified</x:v>
      </x:c>
    </x:row>
    <x:row r="222" ht="45" customHeight="1">
      <x:c r="A222" s="40" t="str">
        <x:v>SNPS</x:v>
      </x:c>
      <x:c r="B222" s="40" t="str">
        <x:v>E105</x:v>
      </x:c>
      <x:c r="C222" s="40" t="str">
        <x:v>Database, design and infrastructure software</x:v>
      </x:c>
      <x:c r="D222" s="40" t="str">
        <x:v>Information Technology</x:v>
      </x:c>
      <x:c r="E222" s="40" t="str">
        <x:v>Analyst economic exposure; issuer GICS not verified</x:v>
      </x:c>
    </x:row>
    <x:row r="223" ht="45" customHeight="1">
      <x:c r="A223" s="40" t="str">
        <x:v>CDNS</x:v>
      </x:c>
      <x:c r="B223" s="40" t="str">
        <x:v>E105</x:v>
      </x:c>
      <x:c r="C223" s="40" t="str">
        <x:v>Database, design and infrastructure software</x:v>
      </x:c>
      <x:c r="D223" s="40" t="str">
        <x:v>Information Technology</x:v>
      </x:c>
      <x:c r="E223" s="40" t="str">
        <x:v>Analyst economic exposure; issuer GICS not verified</x:v>
      </x:c>
    </x:row>
    <x:row r="224" ht="45" customHeight="1">
      <x:c r="A224" s="40" t="str">
        <x:v>ANET</x:v>
      </x:c>
      <x:c r="B224" s="40" t="str">
        <x:v>E106</x:v>
      </x:c>
      <x:c r="C224" s="40" t="str">
        <x:v>Network switching and routing</x:v>
      </x:c>
      <x:c r="D224" s="40" t="str">
        <x:v>Information Technology</x:v>
      </x:c>
      <x:c r="E224" s="40" t="str">
        <x:v>Analyst economic exposure; issuer GICS not verified</x:v>
      </x:c>
    </x:row>
    <x:row r="225" ht="45" customHeight="1">
      <x:c r="A225" s="40" t="str">
        <x:v>CSCO</x:v>
      </x:c>
      <x:c r="B225" s="40" t="str">
        <x:v>E106</x:v>
      </x:c>
      <x:c r="C225" s="40" t="str">
        <x:v>Network switching and routing</x:v>
      </x:c>
      <x:c r="D225" s="40" t="str">
        <x:v>Information Technology</x:v>
      </x:c>
      <x:c r="E225" s="40" t="str">
        <x:v>Analyst economic exposure; issuer GICS not verified</x:v>
      </x:c>
    </x:row>
    <x:row r="226" ht="45" customHeight="1">
      <x:c r="A226" s="40" t="str">
        <x:v>CIEN</x:v>
      </x:c>
      <x:c r="B226" s="40" t="str">
        <x:v>E107</x:v>
      </x:c>
      <x:c r="C226" s="40" t="str">
        <x:v>Optical transport systems</x:v>
      </x:c>
      <x:c r="D226" s="40" t="str">
        <x:v>Information Technology</x:v>
      </x:c>
      <x:c r="E226" s="40" t="str">
        <x:v>Analyst economic exposure; issuer GICS not verified</x:v>
      </x:c>
    </x:row>
    <x:row r="227" ht="45" customHeight="1">
      <x:c r="A227" s="40" t="str">
        <x:v>NOK</x:v>
      </x:c>
      <x:c r="B227" s="40" t="str">
        <x:v>E107</x:v>
      </x:c>
      <x:c r="C227" s="40" t="str">
        <x:v>Optical transport systems</x:v>
      </x:c>
      <x:c r="D227" s="40" t="str">
        <x:v>Information Technology</x:v>
      </x:c>
      <x:c r="E227" s="40" t="str">
        <x:v>Analyst economic exposure; issuer GICS not verified</x:v>
      </x:c>
    </x:row>
    <x:row r="228" ht="45" customHeight="1">
      <x:c r="A228" s="40" t="str">
        <x:v>DELL</x:v>
      </x:c>
      <x:c r="B228" s="40" t="str">
        <x:v>E108</x:v>
      </x:c>
      <x:c r="C228" s="40" t="str">
        <x:v>Servers and enterprise compute hardware</x:v>
      </x:c>
      <x:c r="D228" s="40" t="str">
        <x:v>Information Technology</x:v>
      </x:c>
      <x:c r="E228" s="40" t="str">
        <x:v>Analyst economic exposure; issuer GICS not verified</x:v>
      </x:c>
    </x:row>
    <x:row r="229" ht="45" customHeight="1">
      <x:c r="A229" s="40" t="str">
        <x:v>HPE</x:v>
      </x:c>
      <x:c r="B229" s="40" t="str">
        <x:v>E108</x:v>
      </x:c>
      <x:c r="C229" s="40" t="str">
        <x:v>Servers and enterprise compute hardware</x:v>
      </x:c>
      <x:c r="D229" s="40" t="str">
        <x:v>Information Technology</x:v>
      </x:c>
      <x:c r="E229" s="40" t="str">
        <x:v>Analyst economic exposure; issuer GICS not verified</x:v>
      </x:c>
    </x:row>
    <x:row r="230" ht="45" customHeight="1">
      <x:c r="A230" s="40" t="str">
        <x:v>STX</x:v>
      </x:c>
      <x:c r="B230" s="40" t="str">
        <x:v>E109</x:v>
      </x:c>
      <x:c r="C230" s="40" t="str">
        <x:v>Storage and personal-device ecosystems</x:v>
      </x:c>
      <x:c r="D230" s="40" t="str">
        <x:v>Information Technology</x:v>
      </x:c>
      <x:c r="E230" s="40" t="str">
        <x:v>Analyst economic exposure; issuer GICS not verified</x:v>
      </x:c>
    </x:row>
    <x:row r="231" ht="45" customHeight="1">
      <x:c r="A231" s="40" t="str">
        <x:v>AAPL</x:v>
      </x:c>
      <x:c r="B231" s="40" t="str">
        <x:v>E109</x:v>
      </x:c>
      <x:c r="C231" s="40" t="str">
        <x:v>Storage and personal-device ecosystems</x:v>
      </x:c>
      <x:c r="D231" s="40" t="str">
        <x:v>Information Technology</x:v>
      </x:c>
      <x:c r="E231" s="40" t="str">
        <x:v>Analyst economic exposure; issuer GICS not verified</x:v>
      </x:c>
    </x:row>
    <x:row r="232" ht="45" customHeight="1">
      <x:c r="A232" s="40" t="str">
        <x:v>AAOI</x:v>
      </x:c>
      <x:c r="B232" s="40" t="str">
        <x:v>E110</x:v>
      </x:c>
      <x:c r="C232" s="40" t="str">
        <x:v>Optical modules, interconnect and components</x:v>
      </x:c>
      <x:c r="D232" s="40" t="str">
        <x:v>Information Technology</x:v>
      </x:c>
      <x:c r="E232" s="40" t="str">
        <x:v>Analyst economic exposure; issuer GICS not verified</x:v>
      </x:c>
    </x:row>
    <x:row r="233" ht="45" customHeight="1">
      <x:c r="A233" s="40" t="str">
        <x:v>COHR</x:v>
      </x:c>
      <x:c r="B233" s="40" t="str">
        <x:v>E110</x:v>
      </x:c>
      <x:c r="C233" s="40" t="str">
        <x:v>Optical modules, interconnect and components</x:v>
      </x:c>
      <x:c r="D233" s="40" t="str">
        <x:v>Information Technology</x:v>
      </x:c>
      <x:c r="E233" s="40" t="str">
        <x:v>Analyst economic exposure; issuer GICS not verified</x:v>
      </x:c>
    </x:row>
    <x:row r="234" ht="45" customHeight="1">
      <x:c r="A234" s="40" t="str">
        <x:v>APH</x:v>
      </x:c>
      <x:c r="B234" s="40" t="str">
        <x:v>E110</x:v>
      </x:c>
      <x:c r="C234" s="40" t="str">
        <x:v>Optical modules, interconnect and components</x:v>
      </x:c>
      <x:c r="D234" s="40" t="str">
        <x:v>Information Technology</x:v>
      </x:c>
      <x:c r="E234" s="40" t="str">
        <x:v>Analyst economic exposure; issuer GICS not verified</x:v>
      </x:c>
    </x:row>
    <x:row r="235" ht="45" customHeight="1">
      <x:c r="A235" s="40" t="str">
        <x:v>BMI</x:v>
      </x:c>
      <x:c r="B235" s="40" t="str">
        <x:v>E111</x:v>
      </x:c>
      <x:c r="C235" s="40" t="str">
        <x:v>Precision sensing, test and water instrumentation</x:v>
      </x:c>
      <x:c r="D235" s="40" t="str">
        <x:v>Information Technology</x:v>
      </x:c>
      <x:c r="E235" s="40" t="str">
        <x:v>Analyst economic exposure; issuer GICS not verified</x:v>
      </x:c>
    </x:row>
    <x:row r="236" ht="45" customHeight="1">
      <x:c r="A236" s="40" t="str">
        <x:v>KEYS</x:v>
      </x:c>
      <x:c r="B236" s="40" t="str">
        <x:v>E111</x:v>
      </x:c>
      <x:c r="C236" s="40" t="str">
        <x:v>Precision sensing, test and water instrumentation</x:v>
      </x:c>
      <x:c r="D236" s="40" t="str">
        <x:v>Information Technology</x:v>
      </x:c>
      <x:c r="E236" s="40" t="str">
        <x:v>Analyst economic exposure; issuer GICS not verified</x:v>
      </x:c>
    </x:row>
    <x:row r="237" ht="45" customHeight="1">
      <x:c r="A237" s="40" t="str">
        <x:v>CLS</x:v>
      </x:c>
      <x:c r="B237" s="40" t="str">
        <x:v>E112</x:v>
      </x:c>
      <x:c r="C237" s="40" t="str">
        <x:v>Electronic manufacturing and distribution</x:v>
      </x:c>
      <x:c r="D237" s="40" t="str">
        <x:v>Information Technology</x:v>
      </x:c>
      <x:c r="E237" s="40" t="str">
        <x:v>Analyst economic exposure; issuer GICS not verified</x:v>
      </x:c>
    </x:row>
    <x:row r="238" ht="45" customHeight="1">
      <x:c r="A238" s="40" t="str">
        <x:v>JBL</x:v>
      </x:c>
      <x:c r="B238" s="40" t="str">
        <x:v>E112</x:v>
      </x:c>
      <x:c r="C238" s="40" t="str">
        <x:v>Electronic manufacturing and distribution</x:v>
      </x:c>
      <x:c r="D238" s="40" t="str">
        <x:v>Information Technology</x:v>
      </x:c>
      <x:c r="E238" s="40" t="str">
        <x:v>Analyst economic exposure; issuer GICS not verified</x:v>
      </x:c>
    </x:row>
    <x:row r="239" ht="45" customHeight="1">
      <x:c r="A239" s="40" t="str">
        <x:v>AVT</x:v>
      </x:c>
      <x:c r="B239" s="40" t="str">
        <x:v>E112</x:v>
      </x:c>
      <x:c r="C239" s="40" t="str">
        <x:v>Electronic manufacturing and distribution</x:v>
      </x:c>
      <x:c r="D239" s="40" t="str">
        <x:v>Information Technology</x:v>
      </x:c>
      <x:c r="E239" s="40" t="str">
        <x:v>Analyst economic exposure; issuer GICS not verified</x:v>
      </x:c>
    </x:row>
    <x:row r="240" ht="45" customHeight="1">
      <x:c r="A240" s="40" t="str">
        <x:v>MU</x:v>
      </x:c>
      <x:c r="B240" s="40" t="str">
        <x:v>E113</x:v>
      </x:c>
      <x:c r="C240" s="40" t="str">
        <x:v>Memory: DRAM, NAND and HBM</x:v>
      </x:c>
      <x:c r="D240" s="40" t="str">
        <x:v>Information Technology</x:v>
      </x:c>
      <x:c r="E240" s="40" t="str">
        <x:v>Analyst economic exposure; issuer GICS not verified</x:v>
      </x:c>
    </x:row>
    <x:row r="241" ht="45" customHeight="1">
      <x:c r="A241" s="40" t="str">
        <x:v>SNDK</x:v>
      </x:c>
      <x:c r="B241" s="40" t="str">
        <x:v>E113</x:v>
      </x:c>
      <x:c r="C241" s="40" t="str">
        <x:v>Memory: DRAM, NAND and HBM</x:v>
      </x:c>
      <x:c r="D241" s="40" t="str">
        <x:v>Information Technology</x:v>
      </x:c>
      <x:c r="E241" s="40" t="str">
        <x:v>Analyst economic exposure; issuer GICS not verified</x:v>
      </x:c>
    </x:row>
    <x:row r="242" ht="45" customHeight="1">
      <x:c r="A242" s="40" t="str">
        <x:v>NVDA</x:v>
      </x:c>
      <x:c r="B242" s="40" t="str">
        <x:v>E114</x:v>
      </x:c>
      <x:c r="C242" s="40" t="str">
        <x:v>Fabless compute and connectivity silicon</x:v>
      </x:c>
      <x:c r="D242" s="40" t="str">
        <x:v>Information Technology</x:v>
      </x:c>
      <x:c r="E242" s="40" t="str">
        <x:v>Analyst economic exposure; issuer GICS not verified</x:v>
      </x:c>
    </x:row>
    <x:row r="243" ht="45" customHeight="1">
      <x:c r="A243" s="40" t="str">
        <x:v>AMD</x:v>
      </x:c>
      <x:c r="B243" s="40" t="str">
        <x:v>E114</x:v>
      </x:c>
      <x:c r="C243" s="40" t="str">
        <x:v>Fabless compute and connectivity silicon</x:v>
      </x:c>
      <x:c r="D243" s="40" t="str">
        <x:v>Information Technology</x:v>
      </x:c>
      <x:c r="E243" s="40" t="str">
        <x:v>Analyst economic exposure; issuer GICS not verified</x:v>
      </x:c>
    </x:row>
    <x:row r="244" ht="45" customHeight="1">
      <x:c r="A244" s="40" t="str">
        <x:v>MRVL</x:v>
      </x:c>
      <x:c r="B244" s="40" t="str">
        <x:v>E114</x:v>
      </x:c>
      <x:c r="C244" s="40" t="str">
        <x:v>Fabless compute and connectivity silicon</x:v>
      </x:c>
      <x:c r="D244" s="40" t="str">
        <x:v>Information Technology</x:v>
      </x:c>
      <x:c r="E244" s="40" t="str">
        <x:v>Analyst economic exposure; issuer GICS not verified</x:v>
      </x:c>
    </x:row>
    <x:row r="245" ht="45" customHeight="1">
      <x:c r="A245" s="40" t="str">
        <x:v>CRDO</x:v>
      </x:c>
      <x:c r="B245" s="40" t="str">
        <x:v>E114</x:v>
      </x:c>
      <x:c r="C245" s="40" t="str">
        <x:v>Fabless compute and connectivity silicon</x:v>
      </x:c>
      <x:c r="D245" s="40" t="str">
        <x:v>Information Technology</x:v>
      </x:c>
      <x:c r="E245" s="40" t="str">
        <x:v>Analyst economic exposure; issuer GICS not verified</x:v>
      </x:c>
    </x:row>
    <x:row r="246" ht="45" customHeight="1">
      <x:c r="A246" s="40" t="str">
        <x:v>TXN</x:v>
      </x:c>
      <x:c r="B246" s="40" t="str">
        <x:v>E115</x:v>
      </x:c>
      <x:c r="C246" s="40" t="str">
        <x:v>Analog, power and embedded semiconductors</x:v>
      </x:c>
      <x:c r="D246" s="40" t="str">
        <x:v>Information Technology</x:v>
      </x:c>
      <x:c r="E246" s="40" t="str">
        <x:v>Analyst economic exposure; issuer GICS not verified</x:v>
      </x:c>
    </x:row>
    <x:row r="247" ht="45" customHeight="1">
      <x:c r="A247" s="40" t="str">
        <x:v>ADI</x:v>
      </x:c>
      <x:c r="B247" s="40" t="str">
        <x:v>E115</x:v>
      </x:c>
      <x:c r="C247" s="40" t="str">
        <x:v>Analog, power and embedded semiconductors</x:v>
      </x:c>
      <x:c r="D247" s="40" t="str">
        <x:v>Information Technology</x:v>
      </x:c>
      <x:c r="E247" s="40" t="str">
        <x:v>Analyst economic exposure; issuer GICS not verified</x:v>
      </x:c>
    </x:row>
    <x:row r="248" ht="45" customHeight="1">
      <x:c r="A248" s="40" t="str">
        <x:v>ON</x:v>
      </x:c>
      <x:c r="B248" s="40" t="str">
        <x:v>E115</x:v>
      </x:c>
      <x:c r="C248" s="40" t="str">
        <x:v>Analog, power and embedded semiconductors</x:v>
      </x:c>
      <x:c r="D248" s="40" t="str">
        <x:v>Information Technology</x:v>
      </x:c>
      <x:c r="E248" s="40" t="str">
        <x:v>Analyst economic exposure; issuer GICS not verified</x:v>
      </x:c>
    </x:row>
    <x:row r="249" ht="45" customHeight="1">
      <x:c r="A249" s="40" t="str">
        <x:v>TSM</x:v>
      </x:c>
      <x:c r="B249" s="40" t="str">
        <x:v>E116</x:v>
      </x:c>
      <x:c r="C249" s="40" t="str">
        <x:v>Foundry and manufacturing services</x:v>
      </x:c>
      <x:c r="D249" s="40" t="str">
        <x:v>Information Technology</x:v>
      </x:c>
      <x:c r="E249" s="40" t="str">
        <x:v>Analyst economic exposure; issuer GICS not verified</x:v>
      </x:c>
    </x:row>
    <x:row r="250" ht="45" customHeight="1">
      <x:c r="A250" s="40" t="str">
        <x:v>GFS</x:v>
      </x:c>
      <x:c r="B250" s="40" t="str">
        <x:v>E116</x:v>
      </x:c>
      <x:c r="C250" s="40" t="str">
        <x:v>Foundry and manufacturing services</x:v>
      </x:c>
      <x:c r="D250" s="40" t="str">
        <x:v>Information Technology</x:v>
      </x:c>
      <x:c r="E250" s="40" t="str">
        <x:v>Analyst economic exposure; issuer GICS not verified</x:v>
      </x:c>
    </x:row>
    <x:row r="251" ht="45" customHeight="1">
      <x:c r="A251" s="40" t="str">
        <x:v>AMAT</x:v>
      </x:c>
      <x:c r="B251" s="40" t="str">
        <x:v>E117</x:v>
      </x:c>
      <x:c r="C251" s="40" t="str">
        <x:v>Wafer fabrication equipment</x:v>
      </x:c>
      <x:c r="D251" s="40" t="str">
        <x:v>Information Technology</x:v>
      </x:c>
      <x:c r="E251" s="40" t="str">
        <x:v>Analyst economic exposure; issuer GICS not verified</x:v>
      </x:c>
    </x:row>
    <x:row r="252" ht="45" customHeight="1">
      <x:c r="A252" s="40" t="str">
        <x:v>LRCX</x:v>
      </x:c>
      <x:c r="B252" s="40" t="str">
        <x:v>E117</x:v>
      </x:c>
      <x:c r="C252" s="40" t="str">
        <x:v>Wafer fabrication equipment</x:v>
      </x:c>
      <x:c r="D252" s="40" t="str">
        <x:v>Information Technology</x:v>
      </x:c>
      <x:c r="E252" s="40" t="str">
        <x:v>Analyst economic exposure; issuer GICS not verified</x:v>
      </x:c>
    </x:row>
    <x:row r="253" ht="45" customHeight="1">
      <x:c r="A253" s="40" t="str">
        <x:v>ASML</x:v>
      </x:c>
      <x:c r="B253" s="40" t="str">
        <x:v>E117</x:v>
      </x:c>
      <x:c r="C253" s="40" t="str">
        <x:v>Wafer fabrication equipment</x:v>
      </x:c>
      <x:c r="D253" s="40" t="str">
        <x:v>Information Technology</x:v>
      </x:c>
      <x:c r="E253" s="40" t="str">
        <x:v>Analyst economic exposure; issuer GICS not verified</x:v>
      </x:c>
    </x:row>
    <x:row r="254" ht="45" customHeight="1">
      <x:c r="A254" s="40" t="str">
        <x:v>COHU</x:v>
      </x:c>
      <x:c r="B254" s="40" t="str">
        <x:v>E118</x:v>
      </x:c>
      <x:c r="C254" s="40" t="str">
        <x:v>Advanced packaging, inspection and test</x:v>
      </x:c>
      <x:c r="D254" s="40" t="str">
        <x:v>Information Technology</x:v>
      </x:c>
      <x:c r="E254" s="40" t="str">
        <x:v>Analyst economic exposure; issuer GICS not verified</x:v>
      </x:c>
    </x:row>
    <x:row r="255" ht="45" customHeight="1">
      <x:c r="A255" s="40" t="str">
        <x:v>CAMT</x:v>
      </x:c>
      <x:c r="B255" s="40" t="str">
        <x:v>E118</x:v>
      </x:c>
      <x:c r="C255" s="40" t="str">
        <x:v>Advanced packaging, inspection and test</x:v>
      </x:c>
      <x:c r="D255" s="40" t="str">
        <x:v>Information Technology</x:v>
      </x:c>
      <x:c r="E255" s="40" t="str">
        <x:v>Analyst economic exposure; issuer GICS not verified</x:v>
      </x:c>
    </x:row>
    <x:row r="256" ht="45" customHeight="1">
      <x:c r="A256" s="40" t="str">
        <x:v>ONTO</x:v>
      </x:c>
      <x:c r="B256" s="40" t="str">
        <x:v>E118</x:v>
      </x:c>
      <x:c r="C256" s="40" t="str">
        <x:v>Advanced packaging, inspection and test</x:v>
      </x:c>
      <x:c r="D256" s="40" t="str">
        <x:v>Information Technology</x:v>
      </x:c>
      <x:c r="E256" s="40" t="str">
        <x:v>Analyst economic exposure; issuer GICS not verified</x:v>
      </x:c>
    </x:row>
    <x:row r="257" ht="45" customHeight="1">
      <x:c r="A257" s="40" t="str">
        <x:v>KLAC</x:v>
      </x:c>
      <x:c r="B257" s="40" t="str">
        <x:v>E118</x:v>
      </x:c>
      <x:c r="C257" s="40" t="str">
        <x:v>Advanced packaging, inspection and test</x:v>
      </x:c>
      <x:c r="D257" s="40" t="str">
        <x:v>Information Technology</x:v>
      </x:c>
      <x:c r="E257" s="40" t="str">
        <x:v>Analyst economic exposure; issuer GICS not verified</x:v>
      </x:c>
    </x:row>
    <x:row r="258" ht="45" customHeight="1">
      <x:c r="A258" s="40" t="str">
        <x:v>CMCSA</x:v>
      </x:c>
      <x:c r="B258" s="40" t="str">
        <x:v>E119</x:v>
      </x:c>
      <x:c r="C258" s="40" t="str">
        <x:v>Fixed broadband and fiber access</x:v>
      </x:c>
      <x:c r="D258" s="40" t="str">
        <x:v>Communication Services</x:v>
      </x:c>
      <x:c r="E258" s="40" t="str">
        <x:v>Analyst economic exposure; issuer GICS not verified</x:v>
      </x:c>
    </x:row>
    <x:row r="259" ht="45" customHeight="1">
      <x:c r="A259" s="40" t="str">
        <x:v>T</x:v>
      </x:c>
      <x:c r="B259" s="40" t="str">
        <x:v>E119</x:v>
      </x:c>
      <x:c r="C259" s="40" t="str">
        <x:v>Fixed broadband and fiber access</x:v>
      </x:c>
      <x:c r="D259" s="40" t="str">
        <x:v>Communication Services</x:v>
      </x:c>
      <x:c r="E259" s="40" t="str">
        <x:v>Analyst economic exposure; issuer GICS not verified</x:v>
      </x:c>
    </x:row>
    <x:row r="260" ht="45" customHeight="1">
      <x:c r="A260" s="40" t="str">
        <x:v>T</x:v>
      </x:c>
      <x:c r="B260" s="40" t="str">
        <x:v>E120</x:v>
      </x:c>
      <x:c r="C260" s="40" t="str">
        <x:v>Integrated telecom services</x:v>
      </x:c>
      <x:c r="D260" s="40" t="str">
        <x:v>Communication Services</x:v>
      </x:c>
      <x:c r="E260" s="40" t="str">
        <x:v>Analyst economic exposure; issuer GICS not verified</x:v>
      </x:c>
    </x:row>
    <x:row r="261" ht="45" customHeight="1">
      <x:c r="A261" s="40" t="str">
        <x:v>VZ</x:v>
      </x:c>
      <x:c r="B261" s="40" t="str">
        <x:v>E120</x:v>
      </x:c>
      <x:c r="C261" s="40" t="str">
        <x:v>Integrated telecom services</x:v>
      </x:c>
      <x:c r="D261" s="40" t="str">
        <x:v>Communication Services</x:v>
      </x:c>
      <x:c r="E261" s="40" t="str">
        <x:v>Analyst economic exposure; issuer GICS not verified</x:v>
      </x:c>
    </x:row>
    <x:row r="262" ht="45" customHeight="1">
      <x:c r="A262" s="40" t="str">
        <x:v>TMUS</x:v>
      </x:c>
      <x:c r="B262" s="40" t="str">
        <x:v>E121</x:v>
      </x:c>
      <x:c r="C262" s="40" t="str">
        <x:v>Wireless operators</x:v>
      </x:c>
      <x:c r="D262" s="40" t="str">
        <x:v>Communication Services</x:v>
      </x:c>
      <x:c r="E262" s="40" t="str">
        <x:v>Analyst economic exposure; issuer GICS not verified</x:v>
      </x:c>
    </x:row>
    <x:row r="263" ht="45" customHeight="1">
      <x:c r="A263" s="40" t="str">
        <x:v>SKM</x:v>
      </x:c>
      <x:c r="B263" s="40" t="str">
        <x:v>E121</x:v>
      </x:c>
      <x:c r="C263" s="40" t="str">
        <x:v>Wireless operators</x:v>
      </x:c>
      <x:c r="D263" s="40" t="str">
        <x:v>Communication Services</x:v>
      </x:c>
      <x:c r="E263" s="40" t="str">
        <x:v>Analyst economic exposure; issuer GICS not verified</x:v>
      </x:c>
    </x:row>
    <x:row r="264" ht="45" customHeight="1">
      <x:c r="A264" s="40" t="str">
        <x:v>ZD</x:v>
      </x:c>
      <x:c r="B264" s="40" t="str">
        <x:v>E122</x:v>
      </x:c>
      <x:c r="C264" s="40" t="str">
        <x:v>Advertising-supported publishing and broadcast</x:v>
      </x:c>
      <x:c r="D264" s="40" t="str">
        <x:v>Communication Services</x:v>
      </x:c>
      <x:c r="E264" s="40" t="str">
        <x:v>Analyst economic exposure; issuer GICS not verified</x:v>
      </x:c>
    </x:row>
    <x:row r="265" ht="45" customHeight="1">
      <x:c r="A265" s="40" t="str">
        <x:v>NXST</x:v>
      </x:c>
      <x:c r="B265" s="40" t="str">
        <x:v>E122</x:v>
      </x:c>
      <x:c r="C265" s="40" t="str">
        <x:v>Advertising-supported publishing and broadcast</x:v>
      </x:c>
      <x:c r="D265" s="40" t="str">
        <x:v>Communication Services</x:v>
      </x:c>
      <x:c r="E265" s="40" t="str">
        <x:v>Analyst economic exposure; issuer GICS not verified</x:v>
      </x:c>
    </x:row>
    <x:row r="266" ht="45" customHeight="1">
      <x:c r="A266" s="40" t="str">
        <x:v>NWSA</x:v>
      </x:c>
      <x:c r="B266" s="40" t="str">
        <x:v>E123</x:v>
      </x:c>
      <x:c r="C266" s="40" t="str">
        <x:v>Subscription information and cable media</x:v>
      </x:c>
      <x:c r="D266" s="40" t="str">
        <x:v>Communication Services</x:v>
      </x:c>
      <x:c r="E266" s="40" t="str">
        <x:v>Analyst economic exposure; issuer GICS not verified</x:v>
      </x:c>
    </x:row>
    <x:row r="267" ht="45" customHeight="1">
      <x:c r="A267" s="40" t="str">
        <x:v>NYT</x:v>
      </x:c>
      <x:c r="B267" s="40" t="str">
        <x:v>E123</x:v>
      </x:c>
      <x:c r="C267" s="40" t="str">
        <x:v>Subscription information and cable media</x:v>
      </x:c>
      <x:c r="D267" s="40" t="str">
        <x:v>Communication Services</x:v>
      </x:c>
      <x:c r="E267" s="40" t="str">
        <x:v>Analyst economic exposure; issuer GICS not verified</x:v>
      </x:c>
    </x:row>
    <x:row r="268" ht="45" customHeight="1">
      <x:c r="A268" s="40" t="str">
        <x:v>NFLX</x:v>
      </x:c>
      <x:c r="B268" s="40" t="str">
        <x:v>E124</x:v>
      </x:c>
      <x:c r="C268" s="40" t="str">
        <x:v>Streaming and filmed entertainment</x:v>
      </x:c>
      <x:c r="D268" s="40" t="str">
        <x:v>Communication Services</x:v>
      </x:c>
      <x:c r="E268" s="40" t="str">
        <x:v>Analyst economic exposure; issuer GICS not verified</x:v>
      </x:c>
    </x:row>
    <x:row r="269" ht="45" customHeight="1">
      <x:c r="A269" s="40" t="str">
        <x:v>DIS</x:v>
      </x:c>
      <x:c r="B269" s="40" t="str">
        <x:v>E124</x:v>
      </x:c>
      <x:c r="C269" s="40" t="str">
        <x:v>Streaming and filmed entertainment</x:v>
      </x:c>
      <x:c r="D269" s="40" t="str">
        <x:v>Communication Services</x:v>
      </x:c>
      <x:c r="E269" s="40" t="str">
        <x:v>Analyst economic exposure; issuer GICS not verified</x:v>
      </x:c>
    </x:row>
    <x:row r="270" ht="45" customHeight="1">
      <x:c r="A270" s="40" t="str">
        <x:v>TTWO</x:v>
      </x:c>
      <x:c r="B270" s="40" t="str">
        <x:v>E125</x:v>
      </x:c>
      <x:c r="C270" s="40" t="str">
        <x:v>Video games and live entertainment</x:v>
      </x:c>
      <x:c r="D270" s="40" t="str">
        <x:v>Communication Services</x:v>
      </x:c>
      <x:c r="E270" s="40" t="str">
        <x:v>Analyst economic exposure; issuer GICS not verified</x:v>
      </x:c>
    </x:row>
    <x:row r="271" ht="45" customHeight="1">
      <x:c r="A271" s="40" t="str">
        <x:v>LYV</x:v>
      </x:c>
      <x:c r="B271" s="40" t="str">
        <x:v>E125</x:v>
      </x:c>
      <x:c r="C271" s="40" t="str">
        <x:v>Video games and live entertainment</x:v>
      </x:c>
      <x:c r="D271" s="40" t="str">
        <x:v>Communication Services</x:v>
      </x:c>
      <x:c r="E271" s="40" t="str">
        <x:v>Analyst economic exposure; issuer GICS not verified</x:v>
      </x:c>
    </x:row>
    <x:row r="272" ht="45" customHeight="1">
      <x:c r="A272" s="40" t="str">
        <x:v>META</x:v>
      </x:c>
      <x:c r="B272" s="40" t="str">
        <x:v>E126</x:v>
      </x:c>
      <x:c r="C272" s="40" t="str">
        <x:v>Social, search and digital marketplaces</x:v>
      </x:c>
      <x:c r="D272" s="40" t="str">
        <x:v>Communication Services</x:v>
      </x:c>
      <x:c r="E272" s="40" t="str">
        <x:v>Analyst economic exposure; issuer GICS not verified</x:v>
      </x:c>
    </x:row>
    <x:row r="273" ht="45" customHeight="1">
      <x:c r="A273" s="40" t="str">
        <x:v>GOOGL</x:v>
      </x:c>
      <x:c r="B273" s="40" t="str">
        <x:v>E126</x:v>
      </x:c>
      <x:c r="C273" s="40" t="str">
        <x:v>Social, search and digital marketplaces</x:v>
      </x:c>
      <x:c r="D273" s="40" t="str">
        <x:v>Communication Services</x:v>
      </x:c>
      <x:c r="E273" s="40" t="str">
        <x:v>Analyst economic exposure; issuer GICS not verified</x:v>
      </x:c>
    </x:row>
    <x:row r="274" ht="45" customHeight="1">
      <x:c r="A274" s="40" t="str">
        <x:v>PINS</x:v>
      </x:c>
      <x:c r="B274" s="40" t="str">
        <x:v>E126</x:v>
      </x:c>
      <x:c r="C274" s="40" t="str">
        <x:v>Social, search and digital marketplaces</x:v>
      </x:c>
      <x:c r="D274" s="40" t="str">
        <x:v>Communication Services</x:v>
      </x:c>
      <x:c r="E274" s="40" t="str">
        <x:v>Analyst economic exposure; issuer GICS not verified</x:v>
      </x:c>
    </x:row>
    <x:row r="275" ht="45" customHeight="1">
      <x:c r="A275" s="40" t="str">
        <x:v>AEP</x:v>
      </x:c>
      <x:c r="B275" s="40" t="str">
        <x:v>E127</x:v>
      </x:c>
      <x:c r="C275" s="40" t="str">
        <x:v>Regulated electric transmission and distribution</x:v>
      </x:c>
      <x:c r="D275" s="40" t="str">
        <x:v>Utilities</x:v>
      </x:c>
      <x:c r="E275" s="40" t="str">
        <x:v>Analyst economic exposure; issuer GICS not verified</x:v>
      </x:c>
    </x:row>
    <x:row r="276" ht="45" customHeight="1">
      <x:c r="A276" s="40" t="str">
        <x:v>D</x:v>
      </x:c>
      <x:c r="B276" s="40" t="str">
        <x:v>E127</x:v>
      </x:c>
      <x:c r="C276" s="40" t="str">
        <x:v>Regulated electric transmission and distribution</x:v>
      </x:c>
      <x:c r="D276" s="40" t="str">
        <x:v>Utilities</x:v>
      </x:c>
      <x:c r="E276" s="40" t="str">
        <x:v>Analyst economic exposure; issuer GICS not verified</x:v>
      </x:c>
    </x:row>
    <x:row r="277" ht="45" customHeight="1">
      <x:c r="A277" s="40" t="str">
        <x:v>SO</x:v>
      </x:c>
      <x:c r="B277" s="40" t="str">
        <x:v>E128</x:v>
      </x:c>
      <x:c r="C277" s="40" t="str">
        <x:v>Integrated regulated electric generation</x:v>
      </x:c>
      <x:c r="D277" s="40" t="str">
        <x:v>Utilities</x:v>
      </x:c>
      <x:c r="E277" s="40" t="str">
        <x:v>Analyst economic exposure; issuer GICS not verified</x:v>
      </x:c>
    </x:row>
    <x:row r="278" ht="45" customHeight="1">
      <x:c r="A278" s="40" t="str">
        <x:v>DUK</x:v>
      </x:c>
      <x:c r="B278" s="40" t="str">
        <x:v>E128</x:v>
      </x:c>
      <x:c r="C278" s="40" t="str">
        <x:v>Integrated regulated electric generation</x:v>
      </x:c>
      <x:c r="D278" s="40" t="str">
        <x:v>Utilities</x:v>
      </x:c>
      <x:c r="E278" s="40" t="str">
        <x:v>Analyst economic exposure; issuer GICS not verified</x:v>
      </x:c>
    </x:row>
    <x:row r="279" ht="45" customHeight="1">
      <x:c r="A279" s="40" t="str">
        <x:v>ATO</x:v>
      </x:c>
      <x:c r="B279" s="40" t="str">
        <x:v>E129</x:v>
      </x:c>
      <x:c r="C279" s="40" t="str">
        <x:v>Regulated gas distribution</x:v>
      </x:c>
      <x:c r="D279" s="40" t="str">
        <x:v>Utilities</x:v>
      </x:c>
      <x:c r="E279" s="40" t="str">
        <x:v>Analyst economic exposure; issuer GICS not verified</x:v>
      </x:c>
    </x:row>
    <x:row r="280" ht="45" customHeight="1">
      <x:c r="A280" s="40" t="str">
        <x:v>OGS</x:v>
      </x:c>
      <x:c r="B280" s="40" t="str">
        <x:v>E129</x:v>
      </x:c>
      <x:c r="C280" s="40" t="str">
        <x:v>Regulated gas distribution</x:v>
      </x:c>
      <x:c r="D280" s="40" t="str">
        <x:v>Utilities</x:v>
      </x:c>
      <x:c r="E280" s="40" t="str">
        <x:v>Analyst economic exposure; issuer GICS not verified</x:v>
      </x:c>
    </x:row>
    <x:row r="281" ht="45" customHeight="1">
      <x:c r="A281" s="40" t="str">
        <x:v>SRE</x:v>
      </x:c>
      <x:c r="B281" s="40" t="str">
        <x:v>E130</x:v>
      </x:c>
      <x:c r="C281" s="40" t="str">
        <x:v>Multiservice regulated portfolios</x:v>
      </x:c>
      <x:c r="D281" s="40" t="str">
        <x:v>Utilities</x:v>
      </x:c>
      <x:c r="E281" s="40" t="str">
        <x:v>Analyst economic exposure; issuer GICS not verified</x:v>
      </x:c>
    </x:row>
    <x:row r="282" ht="45" customHeight="1">
      <x:c r="A282" s="40" t="str">
        <x:v>DTE</x:v>
      </x:c>
      <x:c r="B282" s="40" t="str">
        <x:v>E130</x:v>
      </x:c>
      <x:c r="C282" s="40" t="str">
        <x:v>Multiservice regulated portfolios</x:v>
      </x:c>
      <x:c r="D282" s="40" t="str">
        <x:v>Utilities</x:v>
      </x:c>
      <x:c r="E282" s="40" t="str">
        <x:v>Analyst economic exposure; issuer GICS not verified</x:v>
      </x:c>
    </x:row>
    <x:row r="283" ht="45" customHeight="1">
      <x:c r="A283" s="40" t="str">
        <x:v>AWK</x:v>
      </x:c>
      <x:c r="B283" s="40" t="str">
        <x:v>E131</x:v>
      </x:c>
      <x:c r="C283" s="40" t="str">
        <x:v>Regulated water and wastewater</x:v>
      </x:c>
      <x:c r="D283" s="40" t="str">
        <x:v>Utilities</x:v>
      </x:c>
      <x:c r="E283" s="40" t="str">
        <x:v>Analyst economic exposure; issuer GICS not verified</x:v>
      </x:c>
    </x:row>
    <x:row r="284" ht="45" customHeight="1">
      <x:c r="A284" s="40" t="str">
        <x:v>WTRG</x:v>
      </x:c>
      <x:c r="B284" s="40" t="str">
        <x:v>E131</x:v>
      </x:c>
      <x:c r="C284" s="40" t="str">
        <x:v>Regulated water and wastewater</x:v>
      </x:c>
      <x:c r="D284" s="40" t="str">
        <x:v>Utilities</x:v>
      </x:c>
      <x:c r="E284" s="40" t="str">
        <x:v>Analyst economic exposure; issuer GICS not verified</x:v>
      </x:c>
    </x:row>
    <x:row r="285" ht="45" customHeight="1">
      <x:c r="A285" s="40" t="str">
        <x:v>NRG</x:v>
      </x:c>
      <x:c r="B285" s="40" t="str">
        <x:v>E132</x:v>
      </x:c>
      <x:c r="C285" s="40" t="str">
        <x:v>Merchant generation and retail power</x:v>
      </x:c>
      <x:c r="D285" s="40" t="str">
        <x:v>Utilities</x:v>
      </x:c>
      <x:c r="E285" s="40" t="str">
        <x:v>Analyst economic exposure; issuer GICS not verified</x:v>
      </x:c>
    </x:row>
    <x:row r="286" ht="45" customHeight="1">
      <x:c r="A286" s="40" t="str">
        <x:v>VST</x:v>
      </x:c>
      <x:c r="B286" s="40" t="str">
        <x:v>E132</x:v>
      </x:c>
      <x:c r="C286" s="40" t="str">
        <x:v>Merchant generation and retail power</x:v>
      </x:c>
      <x:c r="D286" s="40" t="str">
        <x:v>Utilities</x:v>
      </x:c>
      <x:c r="E286" s="40" t="str">
        <x:v>Analyst economic exposure; issuer GICS not verified</x:v>
      </x:c>
    </x:row>
    <x:row r="287" ht="45" customHeight="1">
      <x:c r="A287" s="40" t="str">
        <x:v>BEP</x:v>
      </x:c>
      <x:c r="B287" s="40" t="str">
        <x:v>E133</x:v>
      </x:c>
      <x:c r="C287" s="40" t="str">
        <x:v>Renewable and contracted power developers</x:v>
      </x:c>
      <x:c r="D287" s="40" t="str">
        <x:v>Utilities</x:v>
      </x:c>
      <x:c r="E287" s="40" t="str">
        <x:v>Analyst economic exposure; issuer GICS not verified</x:v>
      </x:c>
    </x:row>
    <x:row r="288" ht="45" customHeight="1">
      <x:c r="A288" s="40" t="str">
        <x:v>CWEN</x:v>
      </x:c>
      <x:c r="B288" s="40" t="str">
        <x:v>E133</x:v>
      </x:c>
      <x:c r="C288" s="40" t="str">
        <x:v>Renewable and contracted power developers</x:v>
      </x:c>
      <x:c r="D288" s="40" t="str">
        <x:v>Utilities</x:v>
      </x:c>
      <x:c r="E288" s="40" t="str">
        <x:v>Analyst economic exposure; issuer GICS not verified</x:v>
      </x:c>
    </x:row>
    <x:row r="289" ht="45" customHeight="1">
      <x:c r="A289" s="40" t="str">
        <x:v>BNL</x:v>
      </x:c>
      <x:c r="B289" s="40" t="str">
        <x:v>E134</x:v>
      </x:c>
      <x:c r="C289" s="40" t="str">
        <x:v>Diversified property portfolios</x:v>
      </x:c>
      <x:c r="D289" s="40" t="str">
        <x:v>Real Estate</x:v>
      </x:c>
      <x:c r="E289" s="40" t="str">
        <x:v>Analyst economic exposure; issuer GICS not verified</x:v>
      </x:c>
    </x:row>
    <x:row r="290" ht="45" customHeight="1">
      <x:c r="A290" s="40" t="str">
        <x:v>AAT</x:v>
      </x:c>
      <x:c r="B290" s="40" t="str">
        <x:v>E134</x:v>
      </x:c>
      <x:c r="C290" s="40" t="str">
        <x:v>Diversified property portfolios</x:v>
      </x:c>
      <x:c r="D290" s="40" t="str">
        <x:v>Real Estate</x:v>
      </x:c>
      <x:c r="E290" s="40" t="str">
        <x:v>Analyst economic exposure; issuer GICS not verified</x:v>
      </x:c>
    </x:row>
    <x:row r="291" ht="45" customHeight="1">
      <x:c r="A291" s="40" t="str">
        <x:v>PLD</x:v>
      </x:c>
      <x:c r="B291" s="40" t="str">
        <x:v>E135</x:v>
      </x:c>
      <x:c r="C291" s="40" t="str">
        <x:v>Logistics and industrial property</x:v>
      </x:c>
      <x:c r="D291" s="40" t="str">
        <x:v>Real Estate</x:v>
      </x:c>
      <x:c r="E291" s="40" t="str">
        <x:v>Analyst economic exposure; issuer GICS not verified</x:v>
      </x:c>
    </x:row>
    <x:row r="292" ht="45" customHeight="1">
      <x:c r="A292" s="40" t="str">
        <x:v>EGP</x:v>
      </x:c>
      <x:c r="B292" s="40" t="str">
        <x:v>E135</x:v>
      </x:c>
      <x:c r="C292" s="40" t="str">
        <x:v>Logistics and industrial property</x:v>
      </x:c>
      <x:c r="D292" s="40" t="str">
        <x:v>Real Estate</x:v>
      </x:c>
      <x:c r="E292" s="40" t="str">
        <x:v>Analyst economic exposure; issuer GICS not verified</x:v>
      </x:c>
    </x:row>
    <x:row r="293" ht="45" customHeight="1">
      <x:c r="A293" s="40" t="str">
        <x:v>HST</x:v>
      </x:c>
      <x:c r="B293" s="40" t="str">
        <x:v>E136</x:v>
      </x:c>
      <x:c r="C293" s="40" t="str">
        <x:v>Hotel and resort property ownership</x:v>
      </x:c>
      <x:c r="D293" s="40" t="str">
        <x:v>Real Estate</x:v>
      </x:c>
      <x:c r="E293" s="40" t="str">
        <x:v>Analyst economic exposure; issuer GICS not verified</x:v>
      </x:c>
    </x:row>
    <x:row r="294" ht="45" customHeight="1">
      <x:c r="A294" s="40" t="str">
        <x:v>PEB</x:v>
      </x:c>
      <x:c r="B294" s="40" t="str">
        <x:v>E136</x:v>
      </x:c>
      <x:c r="C294" s="40" t="str">
        <x:v>Hotel and resort property ownership</x:v>
      </x:c>
      <x:c r="D294" s="40" t="str">
        <x:v>Real Estate</x:v>
      </x:c>
      <x:c r="E294" s="40" t="str">
        <x:v>Analyst economic exposure; issuer GICS not verified</x:v>
      </x:c>
    </x:row>
    <x:row r="295" ht="45" customHeight="1">
      <x:c r="A295" s="40" t="str">
        <x:v>BXP</x:v>
      </x:c>
      <x:c r="B295" s="40" t="str">
        <x:v>E137</x:v>
      </x:c>
      <x:c r="C295" s="40" t="str">
        <x:v>Office and specialized workplace assets</x:v>
      </x:c>
      <x:c r="D295" s="40" t="str">
        <x:v>Real Estate</x:v>
      </x:c>
      <x:c r="E295" s="40" t="str">
        <x:v>Analyst economic exposure; issuer GICS not verified</x:v>
      </x:c>
    </x:row>
    <x:row r="296" ht="45" customHeight="1">
      <x:c r="A296" s="40" t="str">
        <x:v>SLG</x:v>
      </x:c>
      <x:c r="B296" s="40" t="str">
        <x:v>E137</x:v>
      </x:c>
      <x:c r="C296" s="40" t="str">
        <x:v>Office and specialized workplace assets</x:v>
      </x:c>
      <x:c r="D296" s="40" t="str">
        <x:v>Real Estate</x:v>
      </x:c>
      <x:c r="E296" s="40" t="str">
        <x:v>Analyst economic exposure; issuer GICS not verified</x:v>
      </x:c>
    </x:row>
    <x:row r="297" ht="45" customHeight="1">
      <x:c r="A297" s="40" t="str">
        <x:v>WELL</x:v>
      </x:c>
      <x:c r="B297" s="40" t="str">
        <x:v>E138</x:v>
      </x:c>
      <x:c r="C297" s="40" t="str">
        <x:v>Senior housing and health-care property</x:v>
      </x:c>
      <x:c r="D297" s="40" t="str">
        <x:v>Real Estate</x:v>
      </x:c>
      <x:c r="E297" s="40" t="str">
        <x:v>Analyst economic exposure; issuer GICS not verified</x:v>
      </x:c>
    </x:row>
    <x:row r="298" ht="45" customHeight="1">
      <x:c r="A298" s="40" t="str">
        <x:v>VTR</x:v>
      </x:c>
      <x:c r="B298" s="40" t="str">
        <x:v>E138</x:v>
      </x:c>
      <x:c r="C298" s="40" t="str">
        <x:v>Senior housing and health-care property</x:v>
      </x:c>
      <x:c r="D298" s="40" t="str">
        <x:v>Real Estate</x:v>
      </x:c>
      <x:c r="E298" s="40" t="str">
        <x:v>Analyst economic exposure; issuer GICS not verified</x:v>
      </x:c>
    </x:row>
    <x:row r="299" ht="45" customHeight="1">
      <x:c r="A299" s="40" t="str">
        <x:v>IRT</x:v>
      </x:c>
      <x:c r="B299" s="40" t="str">
        <x:v>E139</x:v>
      </x:c>
      <x:c r="C299" s="40" t="str">
        <x:v>Multifamily residential property</x:v>
      </x:c>
      <x:c r="D299" s="40" t="str">
        <x:v>Real Estate</x:v>
      </x:c>
      <x:c r="E299" s="40" t="str">
        <x:v>Analyst economic exposure; issuer GICS not verified</x:v>
      </x:c>
    </x:row>
    <x:row r="300" ht="45" customHeight="1">
      <x:c r="A300" s="40" t="str">
        <x:v>MAA</x:v>
      </x:c>
      <x:c r="B300" s="40" t="str">
        <x:v>E139</x:v>
      </x:c>
      <x:c r="C300" s="40" t="str">
        <x:v>Multifamily residential property</x:v>
      </x:c>
      <x:c r="D300" s="40" t="str">
        <x:v>Real Estate</x:v>
      </x:c>
      <x:c r="E300" s="40" t="str">
        <x:v>Analyst economic exposure; issuer GICS not verified</x:v>
      </x:c>
    </x:row>
    <x:row r="301" ht="45" customHeight="1">
      <x:c r="A301" s="40" t="str">
        <x:v>INVH</x:v>
      </x:c>
      <x:c r="B301" s="40" t="str">
        <x:v>E140</x:v>
      </x:c>
      <x:c r="C301" s="40" t="str">
        <x:v>Single-family and manufactured housing rentals</x:v>
      </x:c>
      <x:c r="D301" s="40" t="str">
        <x:v>Real Estate</x:v>
      </x:c>
      <x:c r="E301" s="40" t="str">
        <x:v>Analyst economic exposure; issuer GICS not verified</x:v>
      </x:c>
    </x:row>
    <x:row r="302" ht="45" customHeight="1">
      <x:c r="A302" s="40" t="str">
        <x:v>ELS</x:v>
      </x:c>
      <x:c r="B302" s="40" t="str">
        <x:v>E140</x:v>
      </x:c>
      <x:c r="C302" s="40" t="str">
        <x:v>Single-family and manufactured housing rentals</x:v>
      </x:c>
      <x:c r="D302" s="40" t="str">
        <x:v>Real Estate</x:v>
      </x:c>
      <x:c r="E302" s="40" t="str">
        <x:v>Analyst economic exposure; issuer GICS not verified</x:v>
      </x:c>
    </x:row>
    <x:row r="303" ht="45" customHeight="1">
      <x:c r="A303" s="40" t="str">
        <x:v>KIM</x:v>
      </x:c>
      <x:c r="B303" s="40" t="str">
        <x:v>E141</x:v>
      </x:c>
      <x:c r="C303" s="40" t="str">
        <x:v>Grocery-anchored and open-air retail property</x:v>
      </x:c>
      <x:c r="D303" s="40" t="str">
        <x:v>Real Estate</x:v>
      </x:c>
      <x:c r="E303" s="40" t="str">
        <x:v>Analyst economic exposure; issuer GICS not verified</x:v>
      </x:c>
    </x:row>
    <x:row r="304" ht="45" customHeight="1">
      <x:c r="A304" s="40" t="str">
        <x:v>REG</x:v>
      </x:c>
      <x:c r="B304" s="40" t="str">
        <x:v>E141</x:v>
      </x:c>
      <x:c r="C304" s="40" t="str">
        <x:v>Grocery-anchored and open-air retail property</x:v>
      </x:c>
      <x:c r="D304" s="40" t="str">
        <x:v>Real Estate</x:v>
      </x:c>
      <x:c r="E304" s="40" t="str">
        <x:v>Analyst economic exposure; issuer GICS not verified</x:v>
      </x:c>
    </x:row>
    <x:row r="305" ht="45" customHeight="1">
      <x:c r="A305" s="40" t="str">
        <x:v>SPG</x:v>
      </x:c>
      <x:c r="B305" s="40" t="str">
        <x:v>E142</x:v>
      </x:c>
      <x:c r="C305" s="40" t="str">
        <x:v>Malls and experiential retail assets</x:v>
      </x:c>
      <x:c r="D305" s="40" t="str">
        <x:v>Real Estate</x:v>
      </x:c>
      <x:c r="E305" s="40" t="str">
        <x:v>Analyst economic exposure; issuer GICS not verified</x:v>
      </x:c>
    </x:row>
    <x:row r="306" ht="45" customHeight="1">
      <x:c r="A306" s="40" t="str">
        <x:v>MAC</x:v>
      </x:c>
      <x:c r="B306" s="40" t="str">
        <x:v>E142</x:v>
      </x:c>
      <x:c r="C306" s="40" t="str">
        <x:v>Malls and experiential retail assets</x:v>
      </x:c>
      <x:c r="D306" s="40" t="str">
        <x:v>Real Estate</x:v>
      </x:c>
      <x:c r="E306" s="40" t="str">
        <x:v>Analyst economic exposure; issuer GICS not verified</x:v>
      </x:c>
    </x:row>
    <x:row r="307" ht="45" customHeight="1">
      <x:c r="A307" s="40" t="str">
        <x:v>EQIX</x:v>
      </x:c>
      <x:c r="B307" s="40" t="str">
        <x:v>E143</x:v>
      </x:c>
      <x:c r="C307" s="40" t="str">
        <x:v>Data-center real estate</x:v>
      </x:c>
      <x:c r="D307" s="40" t="str">
        <x:v>Real Estate</x:v>
      </x:c>
      <x:c r="E307" s="40" t="str">
        <x:v>Analyst economic exposure; issuer GICS not verified</x:v>
      </x:c>
    </x:row>
    <x:row r="308" ht="45" customHeight="1">
      <x:c r="A308" s="40" t="str">
        <x:v>DLR</x:v>
      </x:c>
      <x:c r="B308" s="40" t="str">
        <x:v>E143</x:v>
      </x:c>
      <x:c r="C308" s="40" t="str">
        <x:v>Data-center real estate</x:v>
      </x:c>
      <x:c r="D308" s="40" t="str">
        <x:v>Real Estate</x:v>
      </x:c>
      <x:c r="E308" s="40" t="str">
        <x:v>Analyst economic exposure; issuer GICS not verified</x:v>
      </x:c>
    </x:row>
    <x:row r="309" ht="45" customHeight="1">
      <x:c r="A309" s="40" t="str">
        <x:v>AMT</x:v>
      </x:c>
      <x:c r="B309" s="40" t="str">
        <x:v>E144</x:v>
      </x:c>
      <x:c r="C309" s="40" t="str">
        <x:v>Communications towers</x:v>
      </x:c>
      <x:c r="D309" s="40" t="str">
        <x:v>Real Estate</x:v>
      </x:c>
      <x:c r="E309" s="40" t="str">
        <x:v>Analyst economic exposure; issuer GICS not verified</x:v>
      </x:c>
    </x:row>
    <x:row r="310" ht="45" customHeight="1">
      <x:c r="A310" s="40" t="str">
        <x:v>SBAC</x:v>
      </x:c>
      <x:c r="B310" s="40" t="str">
        <x:v>E144</x:v>
      </x:c>
      <x:c r="C310" s="40" t="str">
        <x:v>Communications towers</x:v>
      </x:c>
      <x:c r="D310" s="40" t="str">
        <x:v>Real Estate</x:v>
      </x:c>
      <x:c r="E310" s="40" t="str">
        <x:v>Analyst economic exposure; issuer GICS not verified</x:v>
      </x:c>
    </x:row>
    <x:row r="311" ht="45" customHeight="1">
      <x:c r="A311" s="40" t="str">
        <x:v>PSA</x:v>
      </x:c>
      <x:c r="B311" s="40" t="str">
        <x:v>E145</x:v>
      </x:c>
      <x:c r="C311" s="40" t="str">
        <x:v>Self-storage property</x:v>
      </x:c>
      <x:c r="D311" s="40" t="str">
        <x:v>Real Estate</x:v>
      </x:c>
      <x:c r="E311" s="40" t="str">
        <x:v>Analyst economic exposure; issuer GICS not verified</x:v>
      </x:c>
    </x:row>
    <x:row r="312" ht="45" customHeight="1">
      <x:c r="A312" s="40" t="str">
        <x:v>EXR</x:v>
      </x:c>
      <x:c r="B312" s="40" t="str">
        <x:v>E145</x:v>
      </x:c>
      <x:c r="C312" s="40" t="str">
        <x:v>Self-storage property</x:v>
      </x:c>
      <x:c r="D312" s="40" t="str">
        <x:v>Real Estate</x:v>
      </x:c>
      <x:c r="E312" s="40" t="str">
        <x:v>Analyst economic exposure; issuer GICS not verified</x:v>
      </x:c>
    </x:row>
    <x:row r="313" ht="45" customHeight="1">
      <x:c r="A313" s="40" t="str">
        <x:v>WY</x:v>
      </x:c>
      <x:c r="B313" s="40" t="str">
        <x:v>E146</x:v>
      </x:c>
      <x:c r="C313" s="40" t="str">
        <x:v>Timber and alternative specialized leases</x:v>
      </x:c>
      <x:c r="D313" s="40" t="str">
        <x:v>Real Estate</x:v>
      </x:c>
      <x:c r="E313" s="40" t="str">
        <x:v>Analyst economic exposure; issuer GICS not verified</x:v>
      </x:c>
    </x:row>
    <x:row r="314" ht="45" customHeight="1">
      <x:c r="A314" s="40" t="str">
        <x:v>VICI</x:v>
      </x:c>
      <x:c r="B314" s="40" t="str">
        <x:v>E146</x:v>
      </x:c>
      <x:c r="C314" s="40" t="str">
        <x:v>Timber and alternative specialized leases</x:v>
      </x:c>
      <x:c r="D314" s="40" t="str">
        <x:v>Real Estate</x:v>
      </x:c>
      <x:c r="E314" s="40" t="str">
        <x:v>Analyst economic exposure; issuer GICS not verified</x:v>
      </x:c>
    </x:row>
    <x:row r="315" ht="45" customHeight="1">
      <x:c r="A315" s="40" t="str">
        <x:v>CBRE</x:v>
      </x:c>
      <x:c r="B315" s="40" t="str">
        <x:v>E147</x:v>
      </x:c>
      <x:c r="C315" s="40" t="str">
        <x:v>Property services and asset management</x:v>
      </x:c>
      <x:c r="D315" s="40" t="str">
        <x:v>Real Estate</x:v>
      </x:c>
      <x:c r="E315" s="40" t="str">
        <x:v>Analyst economic exposure; issuer GICS not verified</x:v>
      </x:c>
    </x:row>
    <x:row r="316" ht="45" customHeight="1">
      <x:c r="A316" s="40" t="str">
        <x:v>JLL</x:v>
      </x:c>
      <x:c r="B316" s="40" t="str">
        <x:v>E147</x:v>
      </x:c>
      <x:c r="C316" s="40" t="str">
        <x:v>Property services and asset management</x:v>
      </x:c>
      <x:c r="D316" s="40" t="str">
        <x:v>Real Estate</x:v>
      </x:c>
      <x:c r="E316" s="40" t="str">
        <x:v>Analyst economic exposure; issuer GICS not verified</x:v>
      </x:c>
    </x:row>
    <x:row r="317" ht="45" customHeight="1">
      <x:c r="A317" s="40" t="str">
        <x:v>HHH</x:v>
      </x:c>
      <x:c r="B317" s="40" t="str">
        <x:v>E148</x:v>
      </x:c>
      <x:c r="C317" s="40" t="str">
        <x:v>Property development and land ownership</x:v>
      </x:c>
      <x:c r="D317" s="40" t="str">
        <x:v>Real Estate</x:v>
      </x:c>
      <x:c r="E317" s="40" t="str">
        <x:v>Analyst economic exposure; issuer GICS not verified</x:v>
      </x:c>
    </x:row>
    <x:row r="318" ht="45" customHeight="1">
      <x:c r="A318" s="40" t="str">
        <x:v>JOE</x:v>
      </x:c>
      <x:c r="B318" s="40" t="str">
        <x:v>E148</x:v>
      </x:c>
      <x:c r="C318" s="40" t="str">
        <x:v>Property development and land ownership</x:v>
      </x:c>
      <x:c r="D318" s="40" t="str">
        <x:v>Real Estate</x:v>
      </x:c>
      <x:c r="E318" s="40" t="str">
        <x:v>Analyst economic exposure; issuer GICS not verified</x:v>
      </x:c>
    </x:row>
    <x:row r="319" ht="45" customHeight="1">
      <x:c r="A319" s="40" t="str">
        <x:v>AZZ</x:v>
      </x:c>
      <x:c r="B319" s="40" t="str">
        <x:v>E149</x:v>
      </x:c>
      <x:c r="C319" s="40" t="str">
        <x:v>Industrial corrosion protection and coil coating</x:v>
      </x:c>
      <x:c r="D319" s="40" t="str">
        <x:v>Industrials</x:v>
      </x:c>
      <x:c r="E319" s="40" t="str">
        <x:v>Analyst economic exposure; issuer GICS not verified</x:v>
      </x:c>
    </x:row>
    <x:row r="320" ht="45" customHeight="1">
      <x:c r="A320" s="40" t="str">
        <x:v>NSSC</x:v>
      </x:c>
      <x:c r="B320" s="40" t="str">
        <x:v>E150</x:v>
      </x:c>
      <x:c r="C320" s="40" t="str">
        <x:v>Security communicators and recurring connectivity</x:v>
      </x:c>
      <x:c r="D320" s="40" t="str">
        <x:v>Information Technology</x:v>
      </x:c>
      <x:c r="E320" s="40" t="str">
        <x:v>Analyst economic exposure; issuer GICS not verified</x:v>
      </x:c>
    </x:row>
    <x:row r="321" ht="45" customHeight="1">
      <x:c r="A321" s="40" t="str">
        <x:v>ALRM</x:v>
      </x:c>
      <x:c r="B321" s="40" t="str">
        <x:v>E150</x:v>
      </x:c>
      <x:c r="C321" s="40" t="str">
        <x:v>Security communicators and recurring connectivity</x:v>
      </x:c>
      <x:c r="D321" s="40" t="str">
        <x:v>Information Technology</x:v>
      </x:c>
      <x:c r="E321" s="40" t="str">
        <x:v>Analyst economic exposure; issuer GICS not verified</x:v>
      </x:c>
    </x:row>
    <x:row r="322" ht="45" customHeight="1">
      <x:c r="A322" s="40" t="str">
        <x:v>PEBO</x:v>
      </x:c>
      <x:c r="B322" s="40" t="str">
        <x:v>E087</x:v>
      </x:c>
      <x:c r="C322" s="40" t="str">
        <x:v>Relationship and niche deposit banks</x:v>
      </x:c>
      <x:c r="D322" s="40" t="str">
        <x:v>Financials</x:v>
      </x:c>
      <x:c r="E322" s="40" t="str">
        <x:v>Issuer release plus analyst economic mapping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637f3fe4cad343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15" hidden="0" customWidth="1"/>
    <x:col min="4" max="4" width="35" hidden="0" customWidth="1"/>
    <x:col min="5" max="5" width="14" hidden="0" customWidth="1"/>
    <x:col min="6" max="6" width="29" hidden="0" customWidth="1"/>
    <x:col min="7" max="7" width="16" hidden="0" customWidth="1"/>
    <x:col min="8" max="8" width="38" hidden="0" customWidth="1"/>
    <x:col min="9" max="9" width="38" hidden="0" customWidth="1"/>
  </x:cols>
  <x:sheetData>
    <x:row r="1">
      <x:c r="A1" s="24" t="str">
        <x:v>All 74 GICS industries mapped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Taxonomy organizes coverage; individual economic nodes and issuer proof are tracked separately.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Sector</x:v>
      </x:c>
      <x:c r="B5" s="34" t="str">
        <x:v>Industry group</x:v>
      </x:c>
      <x:c r="C5" s="34" t="str">
        <x:v>Industry code</x:v>
      </x:c>
      <x:c r="D5" s="34" t="str">
        <x:v>Industry</x:v>
      </x:c>
      <x:c r="E5" s="34" t="str">
        <x:v>Economic nodes</x:v>
      </x:c>
      <x:c r="F5" s="34" t="str">
        <x:v>Node IDs</x:v>
      </x:c>
      <x:c r="G5" s="34" t="str">
        <x:v>Current-check nodes</x:v>
      </x:c>
      <x:c r="H5" s="34" t="str">
        <x:v>Valuation lenses</x:v>
      </x:c>
      <x:c r="I5" s="34" t="str">
        <x:v>Accounting tests</x:v>
      </x:c>
    </x:row>
    <x:row r="6" ht="82" customHeight="1">
      <x:c r="A6" s="40" t="str">
        <x:v>Energy</x:v>
      </x:c>
      <x:c r="B6" s="40" t="str">
        <x:v>Energy</x:v>
      </x:c>
      <x:c r="C6" s="40" t="str">
        <x:v>101010</x:v>
      </x:c>
      <x:c r="D6" s="40" t="str">
        <x:v>Energy Equipment &amp; Services</x:v>
      </x:c>
      <x:c r="E6" s="52" t="n">
        <x:f>COUNTIF('Economic Maps'!$C$6:$C$155,D6)</x:f>
        <x:v>3</x:v>
      </x:c>
      <x:c r="F6" s="40" t="str">
        <x:v>E001;E002;E003</x:v>
      </x:c>
      <x:c r="G6" s="52" t="n">
        <x:f>COUNTIFS('Economic Maps'!$C$6:$C$155,D6,'Economic Maps'!$N$6:$N$155,"Selected current issuer check")</x:f>
        <x:v>1</x:v>
      </x:c>
      <x:c r="H6" s="40" t="str">
        <x:v>EV/EBITDA, EV/FCF, replacement value, mid-cycle earnings.</x:v>
      </x:c>
      <x:c r="I6" s="40" t="str">
        <x:v>Capitalized equipment costs, maintenance vs growth capex, contract backlog quality, asset impairments.</x:v>
      </x:c>
    </x:row>
    <x:row r="7" ht="82" customHeight="1">
      <x:c r="A7" s="40" t="str">
        <x:v>Energy</x:v>
      </x:c>
      <x:c r="B7" s="40" t="str">
        <x:v>Energy</x:v>
      </x:c>
      <x:c r="C7" s="40" t="str">
        <x:v>101020</x:v>
      </x:c>
      <x:c r="D7" s="40" t="str">
        <x:v>Oil, Gas &amp; Consumable Fuels</x:v>
      </x:c>
      <x:c r="E7" s="52" t="n">
        <x:f>COUNTIF('Economic Maps'!$C$6:$C$155,D7)</x:f>
        <x:v>4</x:v>
      </x:c>
      <x:c r="F7" s="40" t="str">
        <x:v>E004;E005;E006;E007</x:v>
      </x:c>
      <x:c r="G7" s="52" t="n">
        <x:f>COUNTIFS('Economic Maps'!$C$6:$C$155,D7,'Economic Maps'!$N$6:$N$155,"Selected current issuer check")</x:f>
        <x:v>0</x:v>
      </x:c>
      <x:c r="H7" s="40" t="str">
        <x:v>NAV, EV/EBITDA, FCF yield, EV/boe/d, P/NAV; DCF for contracted midstream.</x:v>
      </x:c>
      <x:c r="I7" s="40" t="str">
        <x:v>Reserve estimates, hedging, asset retirement obligations, maintenance capex, working-capital swings, MLP adjustments.</x:v>
      </x:c>
    </x:row>
    <x:row r="8" ht="82" customHeight="1">
      <x:c r="A8" s="40" t="str">
        <x:v>Materials</x:v>
      </x:c>
      <x:c r="B8" s="40" t="str">
        <x:v>Materials</x:v>
      </x:c>
      <x:c r="C8" s="40" t="str">
        <x:v>151010</x:v>
      </x:c>
      <x:c r="D8" s="40" t="str">
        <x:v>Chemicals</x:v>
      </x:c>
      <x:c r="E8" s="52" t="n">
        <x:f>COUNTIF('Economic Maps'!$C$6:$C$155,D8)</x:f>
        <x:v>4</x:v>
      </x:c>
      <x:c r="F8" s="40" t="str">
        <x:v>E008;E009;E010;E011</x:v>
      </x:c>
      <x:c r="G8" s="52" t="n">
        <x:f>COUNTIFS('Economic Maps'!$C$6:$C$155,D8,'Economic Maps'!$N$6:$N$155,"Selected current issuer check")</x:f>
        <x:v>1</x:v>
      </x:c>
      <x:c r="H8" s="40" t="str">
        <x:v>EV/EBITDA, normalized FCF, P/E, replacement cost; specialty names may warrant ROIC-based DCF.</x:v>
      </x:c>
      <x:c r="I8" s="40" t="str">
        <x:v>Inventory gains/losses, restructuring add-backs, environmental liabilities, pension costs, maintenance capex.</x:v>
      </x:c>
    </x:row>
    <x:row r="9" ht="82" customHeight="1">
      <x:c r="A9" s="40" t="str">
        <x:v>Materials</x:v>
      </x:c>
      <x:c r="B9" s="40" t="str">
        <x:v>Materials</x:v>
      </x:c>
      <x:c r="C9" s="40" t="str">
        <x:v>151020</x:v>
      </x:c>
      <x:c r="D9" s="40" t="str">
        <x:v>Construction Materials</x:v>
      </x:c>
      <x:c r="E9" s="52" t="n">
        <x:f>COUNTIF('Economic Maps'!$C$6:$C$155,D9)</x:f>
        <x:v>1</x:v>
      </x:c>
      <x:c r="F9" s="40" t="str">
        <x:v>E012</x:v>
      </x:c>
      <x:c r="G9" s="52" t="n">
        <x:f>COUNTIFS('Economic Maps'!$C$6:$C$155,D9,'Economic Maps'!$N$6:$N$155,"Selected current issuer check")</x:f>
        <x:v>0</x:v>
      </x:c>
      <x:c r="H9" s="40" t="str">
        <x:v>EV/EBITDA, FCF, value per reserve ton, replacement value.</x:v>
      </x:c>
      <x:c r="I9" s="40" t="str">
        <x:v>Depletion, reclamation liabilities, acquisition accounting, weather normalization, land values.</x:v>
      </x:c>
    </x:row>
    <x:row r="10" ht="82" customHeight="1">
      <x:c r="A10" s="40" t="str">
        <x:v>Materials</x:v>
      </x:c>
      <x:c r="B10" s="40" t="str">
        <x:v>Materials</x:v>
      </x:c>
      <x:c r="C10" s="40" t="str">
        <x:v>151030</x:v>
      </x:c>
      <x:c r="D10" s="40" t="str">
        <x:v>Containers &amp; Packaging</x:v>
      </x:c>
      <x:c r="E10" s="52" t="n">
        <x:f>COUNTIF('Economic Maps'!$C$6:$C$155,D10)</x:f>
        <x:v>2</x:v>
      </x:c>
      <x:c r="F10" s="40" t="str">
        <x:v>E013;E014</x:v>
      </x:c>
      <x:c r="G10" s="52" t="n">
        <x:f>COUNTIFS('Economic Maps'!$C$6:$C$155,D10,'Economic Maps'!$N$6:$N$155,"Selected current issuer check")</x:f>
        <x:v>0</x:v>
      </x:c>
      <x:c r="H10" s="40" t="str">
        <x:v>EV/EBITDA, FCF yield, normalized margins.</x:v>
      </x:c>
      <x:c r="I10" s="40" t="str">
        <x:v>Pass-through timing, restructuring charges, pension, lease obligations, maintenance capex.</x:v>
      </x:c>
    </x:row>
    <x:row r="11" ht="82" customHeight="1">
      <x:c r="A11" s="40" t="str">
        <x:v>Materials</x:v>
      </x:c>
      <x:c r="B11" s="40" t="str">
        <x:v>Materials</x:v>
      </x:c>
      <x:c r="C11" s="40" t="str">
        <x:v>151040</x:v>
      </x:c>
      <x:c r="D11" s="40" t="str">
        <x:v>Metals &amp; Mining</x:v>
      </x:c>
      <x:c r="E11" s="52" t="n">
        <x:f>COUNTIF('Economic Maps'!$C$6:$C$155,D11)</x:f>
        <x:v>3</x:v>
      </x:c>
      <x:c r="F11" s="40" t="str">
        <x:v>E015;E016;E017</x:v>
      </x:c>
      <x:c r="G11" s="52" t="n">
        <x:f>COUNTIFS('Economic Maps'!$C$6:$C$155,D11,'Economic Maps'!$N$6:$N$155,"Selected current issuer check")</x:f>
        <x:v>0</x:v>
      </x:c>
      <x:c r="H11" s="40" t="str">
        <x:v>NAV, P/NAV, EV/EBITDA, FCF yield, EV/reserve unit.</x:v>
      </x:c>
      <x:c r="I11" s="40" t="str">
        <x:v>Reserve assumptions, stripping capitalization, impairment, reclamation, royalties, by-product credits.</x:v>
      </x:c>
    </x:row>
    <x:row r="12" ht="82" customHeight="1">
      <x:c r="A12" s="40" t="str">
        <x:v>Materials</x:v>
      </x:c>
      <x:c r="B12" s="40" t="str">
        <x:v>Materials</x:v>
      </x:c>
      <x:c r="C12" s="40" t="str">
        <x:v>151050</x:v>
      </x:c>
      <x:c r="D12" s="40" t="str">
        <x:v>Paper &amp; Forest Products</x:v>
      </x:c>
      <x:c r="E12" s="52" t="n">
        <x:f>COUNTIF('Economic Maps'!$C$6:$C$155,D12)</x:f>
        <x:v>2</x:v>
      </x:c>
      <x:c r="F12" s="40" t="str">
        <x:v>E018;E019</x:v>
      </x:c>
      <x:c r="G12" s="52" t="n">
        <x:f>COUNTIFS('Economic Maps'!$C$6:$C$155,D12,'Economic Maps'!$N$6:$N$155,"Selected current issuer check")</x:f>
        <x:v>0</x:v>
      </x:c>
      <x:c r="H12" s="40" t="str">
        <x:v>EV/EBITDA, FCF yield, timberland NAV, replacement value.</x:v>
      </x:c>
      <x:c r="I12" s="40" t="str">
        <x:v>Biological asset accounting, depletion, maintenance capex, pension, restructuring.</x:v>
      </x:c>
    </x:row>
    <x:row r="13" ht="82" customHeight="1">
      <x:c r="A13" s="40" t="str">
        <x:v>Industrials</x:v>
      </x:c>
      <x:c r="B13" s="40" t="str">
        <x:v>Capital Goods</x:v>
      </x:c>
      <x:c r="C13" s="40" t="str">
        <x:v>201010</x:v>
      </x:c>
      <x:c r="D13" s="40" t="str">
        <x:v>Aerospace &amp; Defense</x:v>
      </x:c>
      <x:c r="E13" s="52" t="n">
        <x:f>COUNTIF('Economic Maps'!$C$6:$C$155,D13)</x:f>
        <x:v>3</x:v>
      </x:c>
      <x:c r="F13" s="40" t="str">
        <x:v>E020;E021;E022</x:v>
      </x:c>
      <x:c r="G13" s="52" t="n">
        <x:f>COUNTIFS('Economic Maps'!$C$6:$C$155,D13,'Economic Maps'!$N$6:$N$155,"Selected current issuer check")</x:f>
        <x:v>1</x:v>
      </x:c>
      <x:c r="H13" s="40" t="str">
        <x:v>EV/EBITDA, P/E, FCF yield, sum-of-parts; aftermarket deserves higher multiple than OE.</x:v>
      </x:c>
      <x:c r="I13" s="40" t="str">
        <x:v>Program accounting, customer advances, pension, warranty, development capitalization, one-time contract charges.</x:v>
      </x:c>
    </x:row>
    <x:row r="14" ht="82" customHeight="1">
      <x:c r="A14" s="40" t="str">
        <x:v>Industrials</x:v>
      </x:c>
      <x:c r="B14" s="40" t="str">
        <x:v>Capital Goods</x:v>
      </x:c>
      <x:c r="C14" s="40" t="str">
        <x:v>201020</x:v>
      </x:c>
      <x:c r="D14" s="40" t="str">
        <x:v>Building Products</x:v>
      </x:c>
      <x:c r="E14" s="52" t="n">
        <x:f>COUNTIF('Economic Maps'!$C$6:$C$155,D14)</x:f>
        <x:v>2</x:v>
      </x:c>
      <x:c r="F14" s="40" t="str">
        <x:v>E023;E024</x:v>
      </x:c>
      <x:c r="G14" s="52" t="n">
        <x:f>COUNTIFS('Economic Maps'!$C$6:$C$155,D14,'Economic Maps'!$N$6:$N$155,"Selected current issuer check")</x:f>
        <x:v>2</x:v>
      </x:c>
      <x:c r="H14" s="40" t="str">
        <x:v>P/E, EV/EBITDA, FCF, through-cycle margins.</x:v>
      </x:c>
      <x:c r="I14" s="40" t="str">
        <x:v>Channel inventory, rebates, acquisition intangibles, warranty reserves, housing-cycle normalization.</x:v>
      </x:c>
    </x:row>
    <x:row r="15" ht="82" customHeight="1">
      <x:c r="A15" s="40" t="str">
        <x:v>Industrials</x:v>
      </x:c>
      <x:c r="B15" s="40" t="str">
        <x:v>Capital Goods</x:v>
      </x:c>
      <x:c r="C15" s="40" t="str">
        <x:v>201030</x:v>
      </x:c>
      <x:c r="D15" s="40" t="str">
        <x:v>Construction &amp; Engineering</x:v>
      </x:c>
      <x:c r="E15" s="52" t="n">
        <x:f>COUNTIF('Economic Maps'!$C$6:$C$155,D15)</x:f>
        <x:v>2</x:v>
      </x:c>
      <x:c r="F15" s="40" t="str">
        <x:v>E025;E026</x:v>
      </x:c>
      <x:c r="G15" s="52" t="n">
        <x:f>COUNTIFS('Economic Maps'!$C$6:$C$155,D15,'Economic Maps'!$N$6:$N$155,"Selected current issuer check")</x:f>
        <x:v>1</x:v>
      </x:c>
      <x:c r="H15" s="40" t="str">
        <x:v>EV/EBITDA, FCF, backlog quality, P/E; avoid valuing pass-through revenue like value-add revenue.</x:v>
      </x:c>
      <x:c r="I15" s="40" t="str">
        <x:v>Percentage-of-completion estimates, claims, change orders, retainage, customer advances, JV liabilities.</x:v>
      </x:c>
    </x:row>
    <x:row r="16" ht="82" customHeight="1">
      <x:c r="A16" s="40" t="str">
        <x:v>Industrials</x:v>
      </x:c>
      <x:c r="B16" s="40" t="str">
        <x:v>Capital Goods</x:v>
      </x:c>
      <x:c r="C16" s="40" t="str">
        <x:v>201040</x:v>
      </x:c>
      <x:c r="D16" s="40" t="str">
        <x:v>Electrical Equipment</x:v>
      </x:c>
      <x:c r="E16" s="52" t="n">
        <x:f>COUNTIF('Economic Maps'!$C$6:$C$155,D16)</x:f>
        <x:v>2</x:v>
      </x:c>
      <x:c r="F16" s="40" t="str">
        <x:v>E027;E028</x:v>
      </x:c>
      <x:c r="G16" s="52" t="n">
        <x:f>COUNTIFS('Economic Maps'!$C$6:$C$155,D16,'Economic Maps'!$N$6:$N$155,"Selected current issuer check")</x:f>
        <x:v>1</x:v>
      </x:c>
      <x:c r="H16" s="40" t="str">
        <x:v>EV/EBITDA, P/E, FCF; backlog-adjusted earnings and normalized margin sensitivity.</x:v>
      </x:c>
      <x:c r="I16" s="40" t="str">
        <x:v>Backlog definitions, advances, copper pass-through, project accounting, growth capex.</x:v>
      </x:c>
    </x:row>
    <x:row r="17" ht="82" customHeight="1">
      <x:c r="A17" s="40" t="str">
        <x:v>Industrials</x:v>
      </x:c>
      <x:c r="B17" s="40" t="str">
        <x:v>Capital Goods</x:v>
      </x:c>
      <x:c r="C17" s="40" t="str">
        <x:v>201050</x:v>
      </x:c>
      <x:c r="D17" s="40" t="str">
        <x:v>Industrial Conglomerates</x:v>
      </x:c>
      <x:c r="E17" s="52" t="n">
        <x:f>COUNTIF('Economic Maps'!$C$6:$C$155,D17)</x:f>
        <x:v>1</x:v>
      </x:c>
      <x:c r="F17" s="40" t="str">
        <x:v>E034</x:v>
      </x:c>
      <x:c r="G17" s="52" t="n">
        <x:f>COUNTIFS('Economic Maps'!$C$6:$C$155,D17,'Economic Maps'!$N$6:$N$155,"Selected current issuer check")</x:f>
        <x:v>0</x:v>
      </x:c>
      <x:c r="H17" s="40" t="str">
        <x:v>SOTP, FCF yield, EV/EBITDA, ROIC; compare implied segment multiples.</x:v>
      </x:c>
      <x:c r="I17" s="40" t="str">
        <x:v>Corporate allocations, pension, intercompany items, acquisition adjustments, stranded costs.</x:v>
      </x:c>
    </x:row>
    <x:row r="18" ht="82" customHeight="1">
      <x:c r="A18" s="40" t="str">
        <x:v>Industrials</x:v>
      </x:c>
      <x:c r="B18" s="40" t="str">
        <x:v>Capital Goods</x:v>
      </x:c>
      <x:c r="C18" s="40" t="str">
        <x:v>201060</x:v>
      </x:c>
      <x:c r="D18" s="40" t="str">
        <x:v>Machinery</x:v>
      </x:c>
      <x:c r="E18" s="52" t="n">
        <x:f>COUNTIF('Economic Maps'!$C$6:$C$155,D18)</x:f>
        <x:v>4</x:v>
      </x:c>
      <x:c r="F18" s="40" t="str">
        <x:v>E029;E030;E031;E149</x:v>
      </x:c>
      <x:c r="G18" s="52" t="n">
        <x:f>COUNTIFS('Economic Maps'!$C$6:$C$155,D18,'Economic Maps'!$N$6:$N$155,"Selected current issuer check")</x:f>
        <x:v>1</x:v>
      </x:c>
      <x:c r="H18" s="40" t="str">
        <x:v>EV/EBITDA, P/E, FCF, normalized mid-cycle margins.</x:v>
      </x:c>
      <x:c r="I18" s="40" t="str">
        <x:v>Dealer financing, inventory, warranty, pension, restructuring, acquisition intangibles.</x:v>
      </x:c>
    </x:row>
    <x:row r="19" ht="82" customHeight="1">
      <x:c r="A19" s="40" t="str">
        <x:v>Industrials</x:v>
      </x:c>
      <x:c r="B19" s="40" t="str">
        <x:v>Capital Goods</x:v>
      </x:c>
      <x:c r="C19" s="40" t="str">
        <x:v>201070</x:v>
      </x:c>
      <x:c r="D19" s="40" t="str">
        <x:v>Trading Companies &amp; Distributors</x:v>
      </x:c>
      <x:c r="E19" s="52" t="n">
        <x:f>COUNTIF('Economic Maps'!$C$6:$C$155,D19)</x:f>
        <x:v>2</x:v>
      </x:c>
      <x:c r="F19" s="40" t="str">
        <x:v>E032;E033</x:v>
      </x:c>
      <x:c r="G19" s="52" t="n">
        <x:f>COUNTIFS('Economic Maps'!$C$6:$C$155,D19,'Economic Maps'!$N$6:$N$155,"Selected current issuer check")</x:f>
        <x:v>0</x:v>
      </x:c>
      <x:c r="H19" s="40" t="str">
        <x:v>P/E, EV/EBITDA, FCF, ROIC; working-capital-normalized FCF.</x:v>
      </x:c>
      <x:c r="I19" s="40" t="str">
        <x:v>LIFO/FIFO, inventory gains, supplier rebates, acquisition add-backs, receivables.</x:v>
      </x:c>
    </x:row>
    <x:row r="20" ht="82" customHeight="1">
      <x:c r="A20" s="40" t="str">
        <x:v>Industrials</x:v>
      </x:c>
      <x:c r="B20" s="40" t="str">
        <x:v>Commercial &amp; Professional Services</x:v>
      </x:c>
      <x:c r="C20" s="40" t="str">
        <x:v>202010</x:v>
      </x:c>
      <x:c r="D20" s="40" t="str">
        <x:v>Commercial Services &amp; Supplies</x:v>
      </x:c>
      <x:c r="E20" s="52" t="n">
        <x:f>COUNTIF('Economic Maps'!$C$6:$C$155,D20)</x:f>
        <x:v>2</x:v>
      </x:c>
      <x:c r="F20" s="40" t="str">
        <x:v>E035;E036</x:v>
      </x:c>
      <x:c r="G20" s="52" t="n">
        <x:f>COUNTIFS('Economic Maps'!$C$6:$C$155,D20,'Economic Maps'!$N$6:$N$155,"Selected current issuer check")</x:f>
        <x:v>0</x:v>
      </x:c>
      <x:c r="H20" s="40" t="str">
        <x:v>P/E, EV/EBITDA, FCF yield, ROIC; route businesses often deserve DCF on local density economics.</x:v>
      </x:c>
      <x:c r="I20" s="40" t="str">
        <x:v>Acquisition adjustments, environmental reserves, landfill closure, lease classification, labor normalization.</x:v>
      </x:c>
    </x:row>
    <x:row r="21" ht="82" customHeight="1">
      <x:c r="A21" s="40" t="str">
        <x:v>Industrials</x:v>
      </x:c>
      <x:c r="B21" s="40" t="str">
        <x:v>Commercial &amp; Professional Services</x:v>
      </x:c>
      <x:c r="C21" s="40" t="str">
        <x:v>202020</x:v>
      </x:c>
      <x:c r="D21" s="40" t="str">
        <x:v>Professional Services</x:v>
      </x:c>
      <x:c r="E21" s="52" t="n">
        <x:f>COUNTIF('Economic Maps'!$C$6:$C$155,D21)</x:f>
        <x:v>2</x:v>
      </x:c>
      <x:c r="F21" s="40" t="str">
        <x:v>E037;E038</x:v>
      </x:c>
      <x:c r="G21" s="52" t="n">
        <x:f>COUNTIFS('Economic Maps'!$C$6:$C$155,D21,'Economic Maps'!$N$6:$N$155,"Selected current issuer check")</x:f>
        <x:v>0</x:v>
      </x:c>
      <x:c r="H21" s="40" t="str">
        <x:v>P/E, EV/EBITDA, FCF; revenue-per-employee and organic growth quality.</x:v>
      </x:c>
      <x:c r="I21" s="40" t="str">
        <x:v>Capitalized software, stock comp, acquisition earnouts, billable vs non-billable headcount.</x:v>
      </x:c>
    </x:row>
    <x:row r="22" ht="82" customHeight="1">
      <x:c r="A22" s="40" t="str">
        <x:v>Industrials</x:v>
      </x:c>
      <x:c r="B22" s="40" t="str">
        <x:v>Transportation</x:v>
      </x:c>
      <x:c r="C22" s="40" t="str">
        <x:v>203010</x:v>
      </x:c>
      <x:c r="D22" s="40" t="str">
        <x:v>Air Freight &amp; Logistics</x:v>
      </x:c>
      <x:c r="E22" s="52" t="n">
        <x:f>COUNTIF('Economic Maps'!$C$6:$C$155,D22)</x:f>
        <x:v>2</x:v>
      </x:c>
      <x:c r="F22" s="40" t="str">
        <x:v>E039;E040</x:v>
      </x:c>
      <x:c r="G22" s="52" t="n">
        <x:f>COUNTIFS('Economic Maps'!$C$6:$C$155,D22,'Economic Maps'!$N$6:$N$155,"Selected current issuer check")</x:f>
        <x:v>0</x:v>
      </x:c>
      <x:c r="H22" s="40" t="str">
        <x:v>EV/EBITDA, P/E, FCF; mid-cycle margins.</x:v>
      </x:c>
      <x:c r="I22" s="40" t="str">
        <x:v>Fuel surcharges, purchased transportation gross vs net reporting, leases, pension.</x:v>
      </x:c>
    </x:row>
    <x:row r="23" ht="82" customHeight="1">
      <x:c r="A23" s="40" t="str">
        <x:v>Industrials</x:v>
      </x:c>
      <x:c r="B23" s="40" t="str">
        <x:v>Transportation</x:v>
      </x:c>
      <x:c r="C23" s="40" t="str">
        <x:v>203020</x:v>
      </x:c>
      <x:c r="D23" s="40" t="str">
        <x:v>Passenger Airlines</x:v>
      </x:c>
      <x:c r="E23" s="52" t="n">
        <x:f>COUNTIF('Economic Maps'!$C$6:$C$155,D23)</x:f>
        <x:v>1</x:v>
      </x:c>
      <x:c r="F23" s="40" t="str">
        <x:v>E041</x:v>
      </x:c>
      <x:c r="G23" s="52" t="n">
        <x:f>COUNTIFS('Economic Maps'!$C$6:$C$155,D23,'Economic Maps'!$N$6:$N$155,"Selected current issuer check")</x:f>
        <x:v>0</x:v>
      </x:c>
      <x:c r="H23" s="40" t="str">
        <x:v>EV/EBITDAR, FCF, normalized EPS; value loyalty separately when material.</x:v>
      </x:c>
      <x:c r="I23" s="40" t="str">
        <x:v>Aircraft leases, loyalty deferred revenue, pension, special items, maintenance timing.</x:v>
      </x:c>
    </x:row>
    <x:row r="24" ht="82" customHeight="1">
      <x:c r="A24" s="40" t="str">
        <x:v>Industrials</x:v>
      </x:c>
      <x:c r="B24" s="40" t="str">
        <x:v>Transportation</x:v>
      </x:c>
      <x:c r="C24" s="40" t="str">
        <x:v>203030</x:v>
      </x:c>
      <x:c r="D24" s="40" t="str">
        <x:v>Marine Transportation</x:v>
      </x:c>
      <x:c r="E24" s="52" t="n">
        <x:f>COUNTIF('Economic Maps'!$C$6:$C$155,D24)</x:f>
        <x:v>1</x:v>
      </x:c>
      <x:c r="F24" s="40" t="str">
        <x:v>E042</x:v>
      </x:c>
      <x:c r="G24" s="52" t="n">
        <x:f>COUNTIFS('Economic Maps'!$C$6:$C$155,D24,'Economic Maps'!$N$6:$N$155,"Selected current issuer check")</x:f>
        <x:v>0</x:v>
      </x:c>
      <x:c r="H24" s="40" t="str">
        <x:v>NAV, EV/EBITDA, FCF yield, fleet value.</x:v>
      </x:c>
      <x:c r="I24" s="40" t="str">
        <x:v>Vessel values, depreciation, charter accounting, drydock capex.</x:v>
      </x:c>
    </x:row>
    <x:row r="25" ht="82" customHeight="1">
      <x:c r="A25" s="40" t="str">
        <x:v>Industrials</x:v>
      </x:c>
      <x:c r="B25" s="40" t="str">
        <x:v>Transportation</x:v>
      </x:c>
      <x:c r="C25" s="40" t="str">
        <x:v>203040</x:v>
      </x:c>
      <x:c r="D25" s="40" t="str">
        <x:v>Ground Transportation</x:v>
      </x:c>
      <x:c r="E25" s="52" t="n">
        <x:f>COUNTIF('Economic Maps'!$C$6:$C$155,D25)</x:f>
        <x:v>2</x:v>
      </x:c>
      <x:c r="F25" s="40" t="str">
        <x:v>E043;E044</x:v>
      </x:c>
      <x:c r="G25" s="52" t="n">
        <x:f>COUNTIFS('Economic Maps'!$C$6:$C$155,D25,'Economic Maps'!$N$6:$N$155,"Selected current issuer check")</x:f>
        <x:v>0</x:v>
      </x:c>
      <x:c r="H25" s="40" t="str">
        <x:v>EV/EBITDA, P/E, FCF; rail normalized OR and capex.</x:v>
      </x:c>
      <x:c r="I25" s="40" t="str">
        <x:v>Equipment leases, fuel surcharges, pension, owner-operator classification.</x:v>
      </x:c>
    </x:row>
    <x:row r="26" ht="82" customHeight="1">
      <x:c r="A26" s="40" t="str">
        <x:v>Industrials</x:v>
      </x:c>
      <x:c r="B26" s="40" t="str">
        <x:v>Transportation</x:v>
      </x:c>
      <x:c r="C26" s="40" t="str">
        <x:v>203050</x:v>
      </x:c>
      <x:c r="D26" s="40" t="str">
        <x:v>Transportation Infrastructure</x:v>
      </x:c>
      <x:c r="E26" s="52" t="n">
        <x:f>COUNTIF('Economic Maps'!$C$6:$C$155,D26)</x:f>
        <x:v>1</x:v>
      </x:c>
      <x:c r="F26" s="40" t="str">
        <x:v>E045</x:v>
      </x:c>
      <x:c r="G26" s="52" t="n">
        <x:f>COUNTIFS('Economic Maps'!$C$6:$C$155,D26,'Economic Maps'!$N$6:$N$155,"Selected current issuer check")</x:f>
        <x:v>0</x:v>
      </x:c>
      <x:c r="H26" s="40" t="str">
        <x:v>DCF, EV/EBITDA, concession NAV, dividend yield.</x:v>
      </x:c>
      <x:c r="I26" s="40" t="str">
        <x:v>Concession liabilities, capitalized interest, regulatory assets, maintenance capex.</x:v>
      </x:c>
    </x:row>
    <x:row r="27" ht="82" customHeight="1">
      <x:c r="A27" s="40" t="str">
        <x:v>Consumer Discretionary</x:v>
      </x:c>
      <x:c r="B27" s="40" t="str">
        <x:v>Automobiles &amp; Components</x:v>
      </x:c>
      <x:c r="C27" s="40" t="str">
        <x:v>251010</x:v>
      </x:c>
      <x:c r="D27" s="40" t="str">
        <x:v>Automobile Components</x:v>
      </x:c>
      <x:c r="E27" s="52" t="n">
        <x:f>COUNTIF('Economic Maps'!$C$6:$C$155,D27)</x:f>
        <x:v>2</x:v>
      </x:c>
      <x:c r="F27" s="40" t="str">
        <x:v>E046;E047</x:v>
      </x:c>
      <x:c r="G27" s="52" t="n">
        <x:f>COUNTIFS('Economic Maps'!$C$6:$C$155,D27,'Economic Maps'!$N$6:$N$155,"Selected current issuer check")</x:f>
        <x:v>0</x:v>
      </x:c>
      <x:c r="H27" s="40" t="str">
        <x:v>EV/EBITDA, P/E, FCF; normalize cycle and launch costs.</x:v>
      </x:c>
      <x:c r="I27" s="40" t="str">
        <x:v>Tooling reimbursements, warranty, restructuring, pension, program capitalized costs.</x:v>
      </x:c>
    </x:row>
    <x:row r="28" ht="82" customHeight="1">
      <x:c r="A28" s="40" t="str">
        <x:v>Consumer Discretionary</x:v>
      </x:c>
      <x:c r="B28" s="40" t="str">
        <x:v>Automobiles &amp; Components</x:v>
      </x:c>
      <x:c r="C28" s="40" t="str">
        <x:v>251020</x:v>
      </x:c>
      <x:c r="D28" s="40" t="str">
        <x:v>Automobiles</x:v>
      </x:c>
      <x:c r="E28" s="52" t="n">
        <x:f>COUNTIF('Economic Maps'!$C$6:$C$155,D28)</x:f>
        <x:v>2</x:v>
      </x:c>
      <x:c r="F28" s="40" t="str">
        <x:v>E048;E049</x:v>
      </x:c>
      <x:c r="G28" s="52" t="n">
        <x:f>COUNTIFS('Economic Maps'!$C$6:$C$155,D28,'Economic Maps'!$N$6:$N$155,"Selected current issuer check")</x:f>
        <x:v>0</x:v>
      </x:c>
      <x:c r="H28" s="40" t="str">
        <x:v>EV/EBITDA, P/E, FCF, sum-of-parts, enterprise value per unit/capacity.</x:v>
      </x:c>
      <x:c r="I28" s="40" t="str">
        <x:v>Lease residuals, warranty, captive finance credit, regulatory credits, capitalized development.</x:v>
      </x:c>
    </x:row>
    <x:row r="29" ht="82" customHeight="1">
      <x:c r="A29" s="40" t="str">
        <x:v>Consumer Discretionary</x:v>
      </x:c>
      <x:c r="B29" s="40" t="str">
        <x:v>Consumer Durables &amp; Apparel</x:v>
      </x:c>
      <x:c r="C29" s="40" t="str">
        <x:v>252010</x:v>
      </x:c>
      <x:c r="D29" s="40" t="str">
        <x:v>Household Durables</x:v>
      </x:c>
      <x:c r="E29" s="52" t="n">
        <x:f>COUNTIF('Economic Maps'!$C$6:$C$155,D29)</x:f>
        <x:v>2</x:v>
      </x:c>
      <x:c r="F29" s="40" t="str">
        <x:v>E050;E051</x:v>
      </x:c>
      <x:c r="G29" s="52" t="n">
        <x:f>COUNTIFS('Economic Maps'!$C$6:$C$155,D29,'Economic Maps'!$N$6:$N$155,"Selected current issuer check")</x:f>
        <x:v>0</x:v>
      </x:c>
      <x:c r="H29" s="40" t="str">
        <x:v>P/E, EV/EBITDA, P/B for builders, FCF; builders on normalized ROE/tangible book.</x:v>
      </x:c>
      <x:c r="I29" s="40" t="str">
        <x:v>Land impairments, incentives, inventory capitalization, warranty, channel stuffing.</x:v>
      </x:c>
    </x:row>
    <x:row r="30" ht="82" customHeight="1">
      <x:c r="A30" s="40" t="str">
        <x:v>Consumer Discretionary</x:v>
      </x:c>
      <x:c r="B30" s="40" t="str">
        <x:v>Consumer Durables &amp; Apparel</x:v>
      </x:c>
      <x:c r="C30" s="40" t="str">
        <x:v>252020</x:v>
      </x:c>
      <x:c r="D30" s="40" t="str">
        <x:v>Leisure Products</x:v>
      </x:c>
      <x:c r="E30" s="52" t="n">
        <x:f>COUNTIF('Economic Maps'!$C$6:$C$155,D30)</x:f>
        <x:v>2</x:v>
      </x:c>
      <x:c r="F30" s="40" t="str">
        <x:v>E052;E053</x:v>
      </x:c>
      <x:c r="G30" s="52" t="n">
        <x:f>COUNTIFS('Economic Maps'!$C$6:$C$155,D30,'Economic Maps'!$N$6:$N$155,"Selected current issuer check")</x:f>
        <x:v>0</x:v>
      </x:c>
      <x:c r="H30" s="40" t="str">
        <x:v>P/E, EV/EBITDA, FCF; normalize pandemic-like demand spikes.</x:v>
      </x:c>
      <x:c r="I30" s="40" t="str">
        <x:v>Dealer inventory, returns, capitalized development, promotional allowances.</x:v>
      </x:c>
    </x:row>
    <x:row r="31" ht="82" customHeight="1">
      <x:c r="A31" s="40" t="str">
        <x:v>Consumer Discretionary</x:v>
      </x:c>
      <x:c r="B31" s="40" t="str">
        <x:v>Consumer Durables &amp; Apparel</x:v>
      </x:c>
      <x:c r="C31" s="40" t="str">
        <x:v>252030</x:v>
      </x:c>
      <x:c r="D31" s="40" t="str">
        <x:v>Textiles, Apparel &amp; Luxury Goods</x:v>
      </x:c>
      <x:c r="E31" s="52" t="n">
        <x:f>COUNTIF('Economic Maps'!$C$6:$C$155,D31)</x:f>
        <x:v>2</x:v>
      </x:c>
      <x:c r="F31" s="40" t="str">
        <x:v>E054;E055</x:v>
      </x:c>
      <x:c r="G31" s="52" t="n">
        <x:f>COUNTIFS('Economic Maps'!$C$6:$C$155,D31,'Economic Maps'!$N$6:$N$155,"Selected current issuer check")</x:f>
        <x:v>0</x:v>
      </x:c>
      <x:c r="H31" s="40" t="str">
        <x:v>P/E, EV/EBITDA, FCF; brand/IP DCF; watch inventory-adjusted margins.</x:v>
      </x:c>
      <x:c r="I31" s="40" t="str">
        <x:v>Inventory reserves, wholesale returns, lease liabilities, marketing capitalization narratives.</x:v>
      </x:c>
    </x:row>
    <x:row r="32" ht="82" customHeight="1">
      <x:c r="A32" s="40" t="str">
        <x:v>Consumer Discretionary</x:v>
      </x:c>
      <x:c r="B32" s="40" t="str">
        <x:v>Consumer Services</x:v>
      </x:c>
      <x:c r="C32" s="40" t="str">
        <x:v>253010</x:v>
      </x:c>
      <x:c r="D32" s="40" t="str">
        <x:v>Hotels, Restaurants &amp; Leisure</x:v>
      </x:c>
      <x:c r="E32" s="52" t="n">
        <x:f>COUNTIF('Economic Maps'!$C$6:$C$155,D32)</x:f>
        <x:v>4</x:v>
      </x:c>
      <x:c r="F32" s="40" t="str">
        <x:v>E056;E057;E058;E059</x:v>
      </x:c>
      <x:c r="G32" s="52" t="n">
        <x:f>COUNTIFS('Economic Maps'!$C$6:$C$155,D32,'Economic Maps'!$N$6:$N$155,"Selected current issuer check")</x:f>
        <x:v>0</x:v>
      </x:c>
      <x:c r="H32" s="40" t="str">
        <x:v>P/E, EV/EBITDA, FCF; EV/room or unit economics where relevant.</x:v>
      </x:c>
      <x:c r="I32" s="40" t="str">
        <x:v>Franchise vs company-owned mix, pre-opening costs, loyalty liabilities, lease accounting.</x:v>
      </x:c>
    </x:row>
    <x:row r="33" ht="82" customHeight="1">
      <x:c r="A33" s="40" t="str">
        <x:v>Consumer Discretionary</x:v>
      </x:c>
      <x:c r="B33" s="40" t="str">
        <x:v>Consumer Services</x:v>
      </x:c>
      <x:c r="C33" s="40" t="str">
        <x:v>253020</x:v>
      </x:c>
      <x:c r="D33" s="40" t="str">
        <x:v>Diversified Consumer Services</x:v>
      </x:c>
      <x:c r="E33" s="52" t="n">
        <x:f>COUNTIF('Economic Maps'!$C$6:$C$155,D33)</x:f>
        <x:v>1</x:v>
      </x:c>
      <x:c r="F33" s="40" t="str">
        <x:v>E060</x:v>
      </x:c>
      <x:c r="G33" s="52" t="n">
        <x:f>COUNTIFS('Economic Maps'!$C$6:$C$155,D33,'Economic Maps'!$N$6:$N$155,"Selected current issuer check")</x:f>
        <x:v>0</x:v>
      </x:c>
      <x:c r="H33" s="40" t="str">
        <x:v>P/E, EV/EBITDA, FCF; cohort/unit economics.</x:v>
      </x:c>
      <x:c r="I33" s="40" t="str">
        <x:v>Deferred revenue, student financing, regulatory reserves, acquisition costs.</x:v>
      </x:c>
    </x:row>
    <x:row r="34" ht="82" customHeight="1">
      <x:c r="A34" s="40" t="str">
        <x:v>Consumer Discretionary</x:v>
      </x:c>
      <x:c r="B34" s="40" t="str">
        <x:v>Consumer Discretionary Distribution &amp; Retail</x:v>
      </x:c>
      <x:c r="C34" s="40" t="str">
        <x:v>255010</x:v>
      </x:c>
      <x:c r="D34" s="40" t="str">
        <x:v>Distributors</x:v>
      </x:c>
      <x:c r="E34" s="52" t="n">
        <x:f>COUNTIF('Economic Maps'!$C$6:$C$155,D34)</x:f>
        <x:v>1</x:v>
      </x:c>
      <x:c r="F34" s="40" t="str">
        <x:v>E061</x:v>
      </x:c>
      <x:c r="G34" s="52" t="n">
        <x:f>COUNTIFS('Economic Maps'!$C$6:$C$155,D34,'Economic Maps'!$N$6:$N$155,"Selected current issuer check")</x:f>
        <x:v>0</x:v>
      </x:c>
      <x:c r="H34" s="40" t="str">
        <x:v>EV/EBITDA, P/E, FCF; working-capital normalized.</x:v>
      </x:c>
      <x:c r="I34" s="40" t="str">
        <x:v>Inventory, rebates, returns, supplier incentives.</x:v>
      </x:c>
    </x:row>
    <x:row r="35" ht="82" customHeight="1">
      <x:c r="A35" s="40" t="str">
        <x:v>Consumer Discretionary</x:v>
      </x:c>
      <x:c r="B35" s="40" t="str">
        <x:v>Consumer Discretionary Distribution &amp; Retail</x:v>
      </x:c>
      <x:c r="C35" s="40" t="str">
        <x:v>255030</x:v>
      </x:c>
      <x:c r="D35" s="40" t="str">
        <x:v>Broadline Retail</x:v>
      </x:c>
      <x:c r="E35" s="52" t="n">
        <x:f>COUNTIF('Economic Maps'!$C$6:$C$155,D35)</x:f>
        <x:v>1</x:v>
      </x:c>
      <x:c r="F35" s="40" t="str">
        <x:v>E062</x:v>
      </x:c>
      <x:c r="G35" s="52" t="n">
        <x:f>COUNTIFS('Economic Maps'!$C$6:$C$155,D35,'Economic Maps'!$N$6:$N$155,"Selected current issuer check")</x:f>
        <x:v>0</x:v>
      </x:c>
      <x:c r="H35" s="40" t="str">
        <x:v>P/E, EV/EBITDA, FCF, GMV-based unit economics where relevant.</x:v>
      </x:c>
      <x:c r="I35" s="40" t="str">
        <x:v>Third-party gross vs net revenue, inventory, lease liabilities, fulfillment capex.</x:v>
      </x:c>
    </x:row>
    <x:row r="36" ht="82" customHeight="1">
      <x:c r="A36" s="40" t="str">
        <x:v>Consumer Discretionary</x:v>
      </x:c>
      <x:c r="B36" s="40" t="str">
        <x:v>Consumer Discretionary Distribution &amp; Retail</x:v>
      </x:c>
      <x:c r="C36" s="40" t="str">
        <x:v>255040</x:v>
      </x:c>
      <x:c r="D36" s="40" t="str">
        <x:v>Specialty Retail</x:v>
      </x:c>
      <x:c r="E36" s="52" t="n">
        <x:f>COUNTIF('Economic Maps'!$C$6:$C$155,D36)</x:f>
        <x:v>2</x:v>
      </x:c>
      <x:c r="F36" s="40" t="str">
        <x:v>E063;E064</x:v>
      </x:c>
      <x:c r="G36" s="52" t="n">
        <x:f>COUNTIFS('Economic Maps'!$C$6:$C$155,D36,'Economic Maps'!$N$6:$N$155,"Selected current issuer check")</x:f>
        <x:v>2</x:v>
      </x:c>
      <x:c r="H36" s="40" t="str">
        <x:v>P/E, EV/EBITDA, FCF; unit economics and lease-adjusted returns.</x:v>
      </x:c>
      <x:c r="I36" s="40" t="str">
        <x:v>Inventory reserves, leases, vendor allowances, loyalty liabilities.</x:v>
      </x:c>
    </x:row>
    <x:row r="37" ht="82" customHeight="1">
      <x:c r="A37" s="40" t="str">
        <x:v>Consumer Staples</x:v>
      </x:c>
      <x:c r="B37" s="40" t="str">
        <x:v>Consumer Staples Distribution &amp; Retail</x:v>
      </x:c>
      <x:c r="C37" s="40" t="str">
        <x:v>301010</x:v>
      </x:c>
      <x:c r="D37" s="40" t="str">
        <x:v>Consumer Staples Distribution &amp; Retail</x:v>
      </x:c>
      <x:c r="E37" s="52" t="n">
        <x:f>COUNTIF('Economic Maps'!$C$6:$C$155,D37)</x:f>
        <x:v>2</x:v>
      </x:c>
      <x:c r="F37" s="40" t="str">
        <x:v>E065;E066</x:v>
      </x:c>
      <x:c r="G37" s="52" t="n">
        <x:f>COUNTIFS('Economic Maps'!$C$6:$C$155,D37,'Economic Maps'!$N$6:$N$155,"Selected current issuer check")</x:f>
        <x:v>0</x:v>
      </x:c>
      <x:c r="H37" s="40" t="str">
        <x:v>P/E, EV/EBITDA, FCF, ROIC; inventory-turn adjusted.</x:v>
      </x:c>
      <x:c r="I37" s="40" t="str">
        <x:v>LIFO, supplier allowances, shrink reserves, leases.</x:v>
      </x:c>
    </x:row>
    <x:row r="38" ht="82" customHeight="1">
      <x:c r="A38" s="40" t="str">
        <x:v>Consumer Staples</x:v>
      </x:c>
      <x:c r="B38" s="40" t="str">
        <x:v>Food, Beverage &amp; Tobacco</x:v>
      </x:c>
      <x:c r="C38" s="40" t="str">
        <x:v>302010</x:v>
      </x:c>
      <x:c r="D38" s="40" t="str">
        <x:v>Beverages</x:v>
      </x:c>
      <x:c r="E38" s="52" t="n">
        <x:f>COUNTIF('Economic Maps'!$C$6:$C$155,D38)</x:f>
        <x:v>2</x:v>
      </x:c>
      <x:c r="F38" s="40" t="str">
        <x:v>E067;E068</x:v>
      </x:c>
      <x:c r="G38" s="52" t="n">
        <x:f>COUNTIFS('Economic Maps'!$C$6:$C$155,D38,'Economic Maps'!$N$6:$N$155,"Selected current issuer check")</x:f>
        <x:v>0</x:v>
      </x:c>
      <x:c r="H38" s="40" t="str">
        <x:v>P/E, EV/EBITDA, FCF, ROIC.</x:v>
      </x:c>
      <x:c r="I38" s="40" t="str">
        <x:v>Bottler consolidation, FX, commodity hedges, marketing spend.</x:v>
      </x:c>
    </x:row>
    <x:row r="39" ht="82" customHeight="1">
      <x:c r="A39" s="40" t="str">
        <x:v>Consumer Staples</x:v>
      </x:c>
      <x:c r="B39" s="40" t="str">
        <x:v>Food, Beverage &amp; Tobacco</x:v>
      </x:c>
      <x:c r="C39" s="40" t="str">
        <x:v>302020</x:v>
      </x:c>
      <x:c r="D39" s="40" t="str">
        <x:v>Food Products</x:v>
      </x:c>
      <x:c r="E39" s="52" t="n">
        <x:f>COUNTIF('Economic Maps'!$C$6:$C$155,D39)</x:f>
        <x:v>2</x:v>
      </x:c>
      <x:c r="F39" s="40" t="str">
        <x:v>E069;E070</x:v>
      </x:c>
      <x:c r="G39" s="52" t="n">
        <x:f>COUNTIFS('Economic Maps'!$C$6:$C$155,D39,'Economic Maps'!$N$6:$N$155,"Selected current issuer check")</x:f>
        <x:v>1</x:v>
      </x:c>
      <x:c r="H39" s="40" t="str">
        <x:v>P/E, EV/EBITDA, FCF, ROIC.</x:v>
      </x:c>
      <x:c r="I39" s="40" t="str">
        <x:v>Commodity hedges, biological/ag inputs, restructuring, trade spend.</x:v>
      </x:c>
    </x:row>
    <x:row r="40" ht="82" customHeight="1">
      <x:c r="A40" s="40" t="str">
        <x:v>Consumer Staples</x:v>
      </x:c>
      <x:c r="B40" s="40" t="str">
        <x:v>Food, Beverage &amp; Tobacco</x:v>
      </x:c>
      <x:c r="C40" s="40" t="str">
        <x:v>302030</x:v>
      </x:c>
      <x:c r="D40" s="40" t="str">
        <x:v>Tobacco</x:v>
      </x:c>
      <x:c r="E40" s="52" t="n">
        <x:f>COUNTIF('Economic Maps'!$C$6:$C$155,D40)</x:f>
        <x:v>1</x:v>
      </x:c>
      <x:c r="F40" s="40" t="str">
        <x:v>E071</x:v>
      </x:c>
      <x:c r="G40" s="52" t="n">
        <x:f>COUNTIFS('Economic Maps'!$C$6:$C$155,D40,'Economic Maps'!$N$6:$N$155,"Selected current issuer check")</x:f>
        <x:v>0</x:v>
      </x:c>
      <x:c r="H40" s="40" t="str">
        <x:v>P/E, FCF yield, dividend yield, DCF with declining volumes.</x:v>
      </x:c>
      <x:c r="I40" s="40" t="str">
        <x:v>Litigation reserves, excise taxes, pension, regulatory provisions.</x:v>
      </x:c>
    </x:row>
    <x:row r="41" ht="82" customHeight="1">
      <x:c r="A41" s="40" t="str">
        <x:v>Consumer Staples</x:v>
      </x:c>
      <x:c r="B41" s="40" t="str">
        <x:v>Household &amp; Personal Products</x:v>
      </x:c>
      <x:c r="C41" s="40" t="str">
        <x:v>303010</x:v>
      </x:c>
      <x:c r="D41" s="40" t="str">
        <x:v>Household Products</x:v>
      </x:c>
      <x:c r="E41" s="52" t="n">
        <x:f>COUNTIF('Economic Maps'!$C$6:$C$155,D41)</x:f>
        <x:v>1</x:v>
      </x:c>
      <x:c r="F41" s="40" t="str">
        <x:v>E072</x:v>
      </x:c>
      <x:c r="G41" s="52" t="n">
        <x:f>COUNTIFS('Economic Maps'!$C$6:$C$155,D41,'Economic Maps'!$N$6:$N$155,"Selected current issuer check")</x:f>
        <x:v>0</x:v>
      </x:c>
      <x:c r="H41" s="40" t="str">
        <x:v>P/E, EV/EBITDA, FCF, ROIC.</x:v>
      </x:c>
      <x:c r="I41" s="40" t="str">
        <x:v>Restructuring, trade spend, commodity hedges, FX.</x:v>
      </x:c>
    </x:row>
    <x:row r="42" ht="82" customHeight="1">
      <x:c r="A42" s="40" t="str">
        <x:v>Consumer Staples</x:v>
      </x:c>
      <x:c r="B42" s="40" t="str">
        <x:v>Household &amp; Personal Products</x:v>
      </x:c>
      <x:c r="C42" s="40" t="str">
        <x:v>303020</x:v>
      </x:c>
      <x:c r="D42" s="40" t="str">
        <x:v>Personal Care Products</x:v>
      </x:c>
      <x:c r="E42" s="52" t="n">
        <x:f>COUNTIF('Economic Maps'!$C$6:$C$155,D42)</x:f>
        <x:v>1</x:v>
      </x:c>
      <x:c r="F42" s="40" t="str">
        <x:v>E073</x:v>
      </x:c>
      <x:c r="G42" s="52" t="n">
        <x:f>COUNTIFS('Economic Maps'!$C$6:$C$155,D42,'Economic Maps'!$N$6:$N$155,"Selected current issuer check")</x:f>
        <x:v>0</x:v>
      </x:c>
      <x:c r="H42" s="40" t="str">
        <x:v>P/E, EV/EBITDA, FCF; cohort economics for DTC-heavy names.</x:v>
      </x:c>
      <x:c r="I42" s="40" t="str">
        <x:v>Channel inventory, returns, marketing capitalization narratives, acquisition intangibles.</x:v>
      </x:c>
    </x:row>
    <x:row r="43" ht="82" customHeight="1">
      <x:c r="A43" s="40" t="str">
        <x:v>Health Care</x:v>
      </x:c>
      <x:c r="B43" s="40" t="str">
        <x:v>Health Care Equipment &amp; Services</x:v>
      </x:c>
      <x:c r="C43" s="40" t="str">
        <x:v>351010</x:v>
      </x:c>
      <x:c r="D43" s="40" t="str">
        <x:v>Health Care Equipment &amp; Supplies</x:v>
      </x:c>
      <x:c r="E43" s="52" t="n">
        <x:f>COUNTIF('Economic Maps'!$C$6:$C$155,D43)</x:f>
        <x:v>2</x:v>
      </x:c>
      <x:c r="F43" s="40" t="str">
        <x:v>E074;E075</x:v>
      </x:c>
      <x:c r="G43" s="52" t="n">
        <x:f>COUNTIFS('Economic Maps'!$C$6:$C$155,D43,'Economic Maps'!$N$6:$N$155,"Selected current issuer check")</x:f>
        <x:v>1</x:v>
      </x:c>
      <x:c r="H43" s="40" t="str">
        <x:v>P/E, EV/EBITDA, DCF; installed-base plus consumables model.</x:v>
      </x:c>
      <x:c r="I43" s="40" t="str">
        <x:v>Capitalized R&amp;D/acquired IPR&amp;D, stock comp, contingent consideration, warranty.</x:v>
      </x:c>
    </x:row>
    <x:row r="44" ht="82" customHeight="1">
      <x:c r="A44" s="40" t="str">
        <x:v>Health Care</x:v>
      </x:c>
      <x:c r="B44" s="40" t="str">
        <x:v>Health Care Equipment &amp; Services</x:v>
      </x:c>
      <x:c r="C44" s="40" t="str">
        <x:v>351020</x:v>
      </x:c>
      <x:c r="D44" s="40" t="str">
        <x:v>Health Care Providers &amp; Services</x:v>
      </x:c>
      <x:c r="E44" s="52" t="n">
        <x:f>COUNTIF('Economic Maps'!$C$6:$C$155,D44)</x:f>
        <x:v>3</x:v>
      </x:c>
      <x:c r="F44" s="40" t="str">
        <x:v>E076;E077;E078</x:v>
      </x:c>
      <x:c r="G44" s="52" t="n">
        <x:f>COUNTIFS('Economic Maps'!$C$6:$C$155,D44,'Economic Maps'!$N$6:$N$155,"Selected current issuer check")</x:f>
        <x:v>0</x:v>
      </x:c>
      <x:c r="H44" s="40" t="str">
        <x:v>EV/EBITDA, P/E, FCF; payors on P/E/tangible capital; facilities on leverage-adjusted FCF.</x:v>
      </x:c>
      <x:c r="I44" s="40" t="str">
        <x:v>Risk adjustment, medical reserves, provider receivables, leases, supplemental payments.</x:v>
      </x:c>
    </x:row>
    <x:row r="45" ht="82" customHeight="1">
      <x:c r="A45" s="40" t="str">
        <x:v>Health Care</x:v>
      </x:c>
      <x:c r="B45" s="40" t="str">
        <x:v>Health Care Equipment &amp; Services</x:v>
      </x:c>
      <x:c r="C45" s="40" t="str">
        <x:v>351030</x:v>
      </x:c>
      <x:c r="D45" s="40" t="str">
        <x:v>Health Care Technology</x:v>
      </x:c>
      <x:c r="E45" s="52" t="n">
        <x:f>COUNTIF('Economic Maps'!$C$6:$C$155,D45)</x:f>
        <x:v>1</x:v>
      </x:c>
      <x:c r="F45" s="40" t="str">
        <x:v>E079</x:v>
      </x:c>
      <x:c r="G45" s="52" t="n">
        <x:f>COUNTIFS('Economic Maps'!$C$6:$C$155,D45,'Economic Maps'!$N$6:$N$155,"Selected current issuer check")</x:f>
        <x:v>0</x:v>
      </x:c>
      <x:c r="H45" s="40" t="str">
        <x:v>EV/ARR, EV/FCF, P/E for mature; Rule-of-40 style unit economics with caution.</x:v>
      </x:c>
      <x:c r="I45" s="40" t="str">
        <x:v>Capitalized implementation/software, stock comp, contract assets, acquisition intangibles.</x:v>
      </x:c>
    </x:row>
    <x:row r="46" ht="82" customHeight="1">
      <x:c r="A46" s="40" t="str">
        <x:v>Health Care</x:v>
      </x:c>
      <x:c r="B46" s="40" t="str">
        <x:v>Pharmaceuticals, Biotechnology &amp; Life Sciences</x:v>
      </x:c>
      <x:c r="C46" s="40" t="str">
        <x:v>352010</x:v>
      </x:c>
      <x:c r="D46" s="40" t="str">
        <x:v>Biotechnology</x:v>
      </x:c>
      <x:c r="E46" s="52" t="n">
        <x:f>COUNTIF('Economic Maps'!$C$6:$C$155,D46)</x:f>
        <x:v>2</x:v>
      </x:c>
      <x:c r="F46" s="40" t="str">
        <x:v>E080;E081</x:v>
      </x:c>
      <x:c r="G46" s="52" t="n">
        <x:f>COUNTIFS('Economic Maps'!$C$6:$C$155,D46,'Economic Maps'!$N$6:$N$155,"Selected current issuer check")</x:f>
        <x:v>0</x:v>
      </x:c>
      <x:c r="H46" s="40" t="str">
        <x:v>rNPV, probability-adjusted DCF, EV/cash for preclinical context—not conventional P/E.</x:v>
      </x:c>
      <x:c r="I46" s="40" t="str">
        <x:v>R&amp;D capitalization narratives, milestone accounting, stock-based comp, warrant dilution.</x:v>
      </x:c>
    </x:row>
    <x:row r="47" ht="82" customHeight="1">
      <x:c r="A47" s="40" t="str">
        <x:v>Health Care</x:v>
      </x:c>
      <x:c r="B47" s="40" t="str">
        <x:v>Pharmaceuticals, Biotechnology &amp; Life Sciences</x:v>
      </x:c>
      <x:c r="C47" s="40" t="str">
        <x:v>352020</x:v>
      </x:c>
      <x:c r="D47" s="40" t="str">
        <x:v>Pharmaceuticals</x:v>
      </x:c>
      <x:c r="E47" s="52" t="n">
        <x:f>COUNTIF('Economic Maps'!$C$6:$C$155,D47)</x:f>
        <x:v>2</x:v>
      </x:c>
      <x:c r="F47" s="40" t="str">
        <x:v>E085;E086</x:v>
      </x:c>
      <x:c r="G47" s="52" t="n">
        <x:f>COUNTIFS('Economic Maps'!$C$6:$C$155,D47,'Economic Maps'!$N$6:$N$155,"Selected current issuer check")</x:f>
        <x:v>0</x:v>
      </x:c>
      <x:c r="H47" s="40" t="str">
        <x:v>P/E, EV/EBITDA, DCF by product, SOTP/rNPV.</x:v>
      </x:c>
      <x:c r="I47" s="40" t="str">
        <x:v>Gross-to-net accruals, acquired IPR&amp;D, milestone payments, restructuring.</x:v>
      </x:c>
    </x:row>
    <x:row r="48" ht="82" customHeight="1">
      <x:c r="A48" s="40" t="str">
        <x:v>Health Care</x:v>
      </x:c>
      <x:c r="B48" s="40" t="str">
        <x:v>Pharmaceuticals, Biotechnology &amp; Life Sciences</x:v>
      </x:c>
      <x:c r="C48" s="40" t="str">
        <x:v>352030</x:v>
      </x:c>
      <x:c r="D48" s="40" t="str">
        <x:v>Life Sciences Tools &amp; Services</x:v>
      </x:c>
      <x:c r="E48" s="52" t="n">
        <x:f>COUNTIF('Economic Maps'!$C$6:$C$155,D48)</x:f>
        <x:v>3</x:v>
      </x:c>
      <x:c r="F48" s="40" t="str">
        <x:v>E082;E083;E084</x:v>
      </x:c>
      <x:c r="G48" s="52" t="n">
        <x:f>COUNTIFS('Economic Maps'!$C$6:$C$155,D48,'Economic Maps'!$N$6:$N$155,"Selected current issuer check")</x:f>
        <x:v>1</x:v>
      </x:c>
      <x:c r="H48" s="40" t="str">
        <x:v>P/E, EV/EBITDA, FCF, installed-base DCF.</x:v>
      </x:c>
      <x:c r="I48" s="40" t="str">
        <x:v>Channel inventory, COVID normalization, acquired intangibles, restructuring.</x:v>
      </x:c>
    </x:row>
    <x:row r="49" ht="82" customHeight="1">
      <x:c r="A49" s="40" t="str">
        <x:v>Financials</x:v>
      </x:c>
      <x:c r="B49" s="40" t="str">
        <x:v>Banks</x:v>
      </x:c>
      <x:c r="C49" s="40" t="str">
        <x:v>401010</x:v>
      </x:c>
      <x:c r="D49" s="40" t="str">
        <x:v>Banks</x:v>
      </x:c>
      <x:c r="E49" s="52" t="n">
        <x:f>COUNTIF('Economic Maps'!$C$6:$C$155,D49)</x:f>
        <x:v>2</x:v>
      </x:c>
      <x:c r="F49" s="40" t="str">
        <x:v>E087;E088</x:v>
      </x:c>
      <x:c r="G49" s="52" t="n">
        <x:f>COUNTIFS('Economic Maps'!$C$6:$C$155,D49,'Economic Maps'!$N$6:$N$155,"Selected current issuer check")</x:f>
        <x:v>1</x:v>
      </x:c>
      <x:c r="H49" s="40" t="str">
        <x:v>P/TBV, P/E, ROTCE, dividend discount.</x:v>
      </x:c>
      <x:c r="I49" s="40" t="str">
        <x:v>CECL reserves, AOCI, held-to-maturity marks, nonaccruals, deposit classification.</x:v>
      </x:c>
    </x:row>
    <x:row r="50" ht="82" customHeight="1">
      <x:c r="A50" s="40" t="str">
        <x:v>Financials</x:v>
      </x:c>
      <x:c r="B50" s="40" t="str">
        <x:v>Financial Services</x:v>
      </x:c>
      <x:c r="C50" s="40" t="str">
        <x:v>402010</x:v>
      </x:c>
      <x:c r="D50" s="40" t="str">
        <x:v>Financial Services</x:v>
      </x:c>
      <x:c r="E50" s="52" t="n">
        <x:f>COUNTIF('Economic Maps'!$C$6:$C$155,D50)</x:f>
        <x:v>2</x:v>
      </x:c>
      <x:c r="F50" s="40" t="str">
        <x:v>E089;E090</x:v>
      </x:c>
      <x:c r="G50" s="52" t="n">
        <x:f>COUNTIFS('Economic Maps'!$C$6:$C$155,D50,'Economic Maps'!$N$6:$N$155,"Selected current issuer check")</x:f>
        <x:v>0</x:v>
      </x:c>
      <x:c r="H50" s="40" t="str">
        <x:v>P/E, P/TBV, EV/EBITDA for fee businesses, DCF/SOTP.</x:v>
      </x:c>
      <x:c r="I50" s="40" t="str">
        <x:v>Securitization, gain-on-sale, fair value, CECL, regulatory capital.</x:v>
      </x:c>
    </x:row>
    <x:row r="51" ht="82" customHeight="1">
      <x:c r="A51" s="40" t="str">
        <x:v>Financials</x:v>
      </x:c>
      <x:c r="B51" s="40" t="str">
        <x:v>Financial Services</x:v>
      </x:c>
      <x:c r="C51" s="40" t="str">
        <x:v>402020</x:v>
      </x:c>
      <x:c r="D51" s="40" t="str">
        <x:v>Consumer Finance</x:v>
      </x:c>
      <x:c r="E51" s="52" t="n">
        <x:f>COUNTIF('Economic Maps'!$C$6:$C$155,D51)</x:f>
        <x:v>1</x:v>
      </x:c>
      <x:c r="F51" s="40" t="str">
        <x:v>E091</x:v>
      </x:c>
      <x:c r="G51" s="52" t="n">
        <x:f>COUNTIFS('Economic Maps'!$C$6:$C$155,D51,'Economic Maps'!$N$6:$N$155,"Selected current issuer check")</x:f>
        <x:v>0</x:v>
      </x:c>
      <x:c r="H51" s="40" t="str">
        <x:v>P/E, P/TBV, ROE, excess capital DCF.</x:v>
      </x:c>
      <x:c r="I51" s="40" t="str">
        <x:v>CECL, gain-on-sale, securitization residuals, deferred acquisition costs.</x:v>
      </x:c>
    </x:row>
    <x:row r="52" ht="82" customHeight="1">
      <x:c r="A52" s="40" t="str">
        <x:v>Financials</x:v>
      </x:c>
      <x:c r="B52" s="40" t="str">
        <x:v>Financial Services</x:v>
      </x:c>
      <x:c r="C52" s="40" t="str">
        <x:v>402030</x:v>
      </x:c>
      <x:c r="D52" s="40" t="str">
        <x:v>Capital Markets</x:v>
      </x:c>
      <x:c r="E52" s="52" t="n">
        <x:f>COUNTIF('Economic Maps'!$C$6:$C$155,D52)</x:f>
        <x:v>3</x:v>
      </x:c>
      <x:c r="F52" s="40" t="str">
        <x:v>E092;E093;E094</x:v>
      </x:c>
      <x:c r="G52" s="52" t="n">
        <x:f>COUNTIFS('Economic Maps'!$C$6:$C$155,D52,'Economic Maps'!$N$6:$N$155,"Selected current issuer check")</x:f>
        <x:v>0</x:v>
      </x:c>
      <x:c r="H52" s="40" t="str">
        <x:v>P/E, EV/EBITDA, FCF; exchanges on recurring data/volume mix; asset managers on AUM/fees.</x:v>
      </x:c>
      <x:c r="I52" s="40" t="str">
        <x:v>Performance fees, seed investments, compensation accruals, fair-value marks.</x:v>
      </x:c>
    </x:row>
    <x:row r="53" ht="82" customHeight="1">
      <x:c r="A53" s="40" t="str">
        <x:v>Financials</x:v>
      </x:c>
      <x:c r="B53" s="40" t="str">
        <x:v>Financial Services</x:v>
      </x:c>
      <x:c r="C53" s="40" t="str">
        <x:v>402040</x:v>
      </x:c>
      <x:c r="D53" s="40" t="str">
        <x:v>Mortgage REITs</x:v>
      </x:c>
      <x:c r="E53" s="52" t="n">
        <x:f>COUNTIF('Economic Maps'!$C$6:$C$155,D53)</x:f>
        <x:v>2</x:v>
      </x:c>
      <x:c r="F53" s="40" t="str">
        <x:v>E095;E096</x:v>
      </x:c>
      <x:c r="G53" s="52" t="n">
        <x:f>COUNTIFS('Economic Maps'!$C$6:$C$155,D53,'Economic Maps'!$N$6:$N$155,"Selected current issuer check")</x:f>
        <x:v>0</x:v>
      </x:c>
      <x:c r="H53" s="40" t="str">
        <x:v>P/B, dividend yield, ROE on book.</x:v>
      </x:c>
      <x:c r="I53" s="40" t="str">
        <x:v>Fair-value marks, hedge accounting, non-GAAP distributable earnings.</x:v>
      </x:c>
    </x:row>
    <x:row r="54" ht="82" customHeight="1">
      <x:c r="A54" s="40" t="str">
        <x:v>Financials</x:v>
      </x:c>
      <x:c r="B54" s="40" t="str">
        <x:v>Insurance</x:v>
      </x:c>
      <x:c r="C54" s="40" t="str">
        <x:v>403010</x:v>
      </x:c>
      <x:c r="D54" s="40" t="str">
        <x:v>Insurance</x:v>
      </x:c>
      <x:c r="E54" s="52" t="n">
        <x:f>COUNTIF('Economic Maps'!$C$6:$C$155,D54)</x:f>
        <x:v>3</x:v>
      </x:c>
      <x:c r="F54" s="40" t="str">
        <x:v>E097;E098;E099</x:v>
      </x:c>
      <x:c r="G54" s="52" t="n">
        <x:f>COUNTIFS('Economic Maps'!$C$6:$C$155,D54,'Economic Maps'!$N$6:$N$155,"Selected current issuer check")</x:f>
        <x:v>1</x:v>
      </x:c>
      <x:c r="H54" s="40" t="str">
        <x:v>P/B, P/E, ROE, tangible book growth; sum underwriting + investment income.</x:v>
      </x:c>
      <x:c r="I54" s="40" t="str">
        <x:v>Reserve releases, catastrophe normalization, unrealized investment marks, reinsurance recoverables.</x:v>
      </x:c>
    </x:row>
    <x:row r="55" ht="82" customHeight="1">
      <x:c r="A55" s="40" t="str">
        <x:v>Information Technology</x:v>
      </x:c>
      <x:c r="B55" s="40" t="str">
        <x:v>Software &amp; Services</x:v>
      </x:c>
      <x:c r="C55" s="40" t="str">
        <x:v>451020</x:v>
      </x:c>
      <x:c r="D55" s="40" t="str">
        <x:v>IT Services</x:v>
      </x:c>
      <x:c r="E55" s="52" t="n">
        <x:f>COUNTIF('Economic Maps'!$C$6:$C$155,D55)</x:f>
        <x:v>2</x:v>
      </x:c>
      <x:c r="F55" s="40" t="str">
        <x:v>E100;E101</x:v>
      </x:c>
      <x:c r="G55" s="52" t="n">
        <x:f>COUNTIFS('Economic Maps'!$C$6:$C$155,D55,'Economic Maps'!$N$6:$N$155,"Selected current issuer check")</x:f>
        <x:v>0</x:v>
      </x:c>
      <x:c r="H55" s="40" t="str">
        <x:v>P/E, EV/EBITDA, FCF; organic growth and margin quality.</x:v>
      </x:c>
      <x:c r="I55" s="40" t="str">
        <x:v>Capitalized software, restructuring, stock comp, pass-through cloud revenue.</x:v>
      </x:c>
    </x:row>
    <x:row r="56" ht="82" customHeight="1">
      <x:c r="A56" s="40" t="str">
        <x:v>Information Technology</x:v>
      </x:c>
      <x:c r="B56" s="40" t="str">
        <x:v>Software &amp; Services</x:v>
      </x:c>
      <x:c r="C56" s="40" t="str">
        <x:v>451030</x:v>
      </x:c>
      <x:c r="D56" s="40" t="str">
        <x:v>Software</x:v>
      </x:c>
      <x:c r="E56" s="52" t="n">
        <x:f>COUNTIF('Economic Maps'!$C$6:$C$155,D56)</x:f>
        <x:v>4</x:v>
      </x:c>
      <x:c r="F56" s="40" t="str">
        <x:v>E102;E103;E104;E105</x:v>
      </x:c>
      <x:c r="G56" s="52" t="n">
        <x:f>COUNTIFS('Economic Maps'!$C$6:$C$155,D56,'Economic Maps'!$N$6:$N$155,"Selected current issuer check")</x:f>
        <x:v>1</x:v>
      </x:c>
      <x:c r="H56" s="40" t="str">
        <x:v>EV/ARR, EV/FCF, P/E for mature, DCF; growth + FCF quality.</x:v>
      </x:c>
      <x:c r="I56" s="40" t="str">
        <x:v>SBC, capitalized commissions/R&amp;D, billings vs revenue, acquisition adjustments.</x:v>
      </x:c>
    </x:row>
    <x:row r="57" ht="82" customHeight="1">
      <x:c r="A57" s="40" t="str">
        <x:v>Information Technology</x:v>
      </x:c>
      <x:c r="B57" s="40" t="str">
        <x:v>Technology Hardware &amp; Equipment</x:v>
      </x:c>
      <x:c r="C57" s="40" t="str">
        <x:v>452010</x:v>
      </x:c>
      <x:c r="D57" s="40" t="str">
        <x:v>Communications Equipment</x:v>
      </x:c>
      <x:c r="E57" s="52" t="n">
        <x:f>COUNTIF('Economic Maps'!$C$6:$C$155,D57)</x:f>
        <x:v>2</x:v>
      </x:c>
      <x:c r="F57" s="40" t="str">
        <x:v>E106;E107</x:v>
      </x:c>
      <x:c r="G57" s="52" t="n">
        <x:f>COUNTIFS('Economic Maps'!$C$6:$C$155,D57,'Economic Maps'!$N$6:$N$155,"Selected current issuer check")</x:f>
        <x:v>0</x:v>
      </x:c>
      <x:c r="H57" s="40" t="str">
        <x:v>P/E, EV/EBITDA, FCF, SOTP recurring software/service.</x:v>
      </x:c>
      <x:c r="I57" s="40" t="str">
        <x:v>Deferred revenue, channel inventory, component purchase commitments, acquisitions.</x:v>
      </x:c>
    </x:row>
    <x:row r="58" ht="82" customHeight="1">
      <x:c r="A58" s="40" t="str">
        <x:v>Information Technology</x:v>
      </x:c>
      <x:c r="B58" s="40" t="str">
        <x:v>Technology Hardware &amp; Equipment</x:v>
      </x:c>
      <x:c r="C58" s="40" t="str">
        <x:v>452020</x:v>
      </x:c>
      <x:c r="D58" s="40" t="str">
        <x:v>Technology Hardware, Storage &amp; Peripherals</x:v>
      </x:c>
      <x:c r="E58" s="52" t="n">
        <x:f>COUNTIF('Economic Maps'!$C$6:$C$155,D58)</x:f>
        <x:v>2</x:v>
      </x:c>
      <x:c r="F58" s="40" t="str">
        <x:v>E108;E109</x:v>
      </x:c>
      <x:c r="G58" s="52" t="n">
        <x:f>COUNTIFS('Economic Maps'!$C$6:$C$155,D58,'Economic Maps'!$N$6:$N$155,"Selected current issuer check")</x:f>
        <x:v>0</x:v>
      </x:c>
      <x:c r="H58" s="40" t="str">
        <x:v>P/E, EV/EBITDA, FCF; SOTP services.</x:v>
      </x:c>
      <x:c r="I58" s="40" t="str">
        <x:v>Channel inventory, warranty, supplier commitments, capitalized software.</x:v>
      </x:c>
    </x:row>
    <x:row r="59" ht="82" customHeight="1">
      <x:c r="A59" s="40" t="str">
        <x:v>Information Technology</x:v>
      </x:c>
      <x:c r="B59" s="40" t="str">
        <x:v>Technology Hardware &amp; Equipment</x:v>
      </x:c>
      <x:c r="C59" s="40" t="str">
        <x:v>452030</x:v>
      </x:c>
      <x:c r="D59" s="40" t="str">
        <x:v>Electronic Equipment, Instruments &amp; Components</x:v>
      </x:c>
      <x:c r="E59" s="52" t="n">
        <x:f>COUNTIF('Economic Maps'!$C$6:$C$155,D59)</x:f>
        <x:v>4</x:v>
      </x:c>
      <x:c r="F59" s="40" t="str">
        <x:v>E110;E111;E112;E150</x:v>
      </x:c>
      <x:c r="G59" s="52" t="n">
        <x:f>COUNTIFS('Economic Maps'!$C$6:$C$155,D59,'Economic Maps'!$N$6:$N$155,"Selected current issuer check")</x:f>
        <x:v>3</x:v>
      </x:c>
      <x:c r="H59" s="40" t="str">
        <x:v>P/E, EV/EBITDA, FCF; design-win pipeline and normalized margins.</x:v>
      </x:c>
      <x:c r="I59" s="40" t="str">
        <x:v>Distributor gross vs net, inventory reserves, customer-owned tooling, acquisition intangibles.</x:v>
      </x:c>
    </x:row>
    <x:row r="60" ht="82" customHeight="1">
      <x:c r="A60" s="40" t="str">
        <x:v>Information Technology</x:v>
      </x:c>
      <x:c r="B60" s="40" t="str">
        <x:v>Semiconductors &amp; Semiconductor Equipment</x:v>
      </x:c>
      <x:c r="C60" s="40" t="str">
        <x:v>453010</x:v>
      </x:c>
      <x:c r="D60" s="40" t="str">
        <x:v>Semiconductors &amp; Semiconductor Equipment</x:v>
      </x:c>
      <x:c r="E60" s="52" t="n">
        <x:f>COUNTIF('Economic Maps'!$C$6:$C$155,D60)</x:f>
        <x:v>6</x:v>
      </x:c>
      <x:c r="F60" s="40" t="str">
        <x:v>E113;E114;E115;E116;E117;E118</x:v>
      </x:c>
      <x:c r="G60" s="52" t="n">
        <x:f>COUNTIFS('Economic Maps'!$C$6:$C$155,D60,'Economic Maps'!$N$6:$N$155,"Selected current issuer check")</x:f>
        <x:v>1</x:v>
      </x:c>
      <x:c r="H60" s="40" t="str">
        <x:v>P/E, EV/EBITDA, FCF, replacement cost; normalized mid-cycle plus secular content model.</x:v>
      </x:c>
      <x:c r="I60" s="40" t="str">
        <x:v>Inventory, capital intensity, depreciation, stock comp, customer prepayments, export controls.</x:v>
      </x:c>
    </x:row>
    <x:row r="61" ht="82" customHeight="1">
      <x:c r="A61" s="40" t="str">
        <x:v>Communication Services</x:v>
      </x:c>
      <x:c r="B61" s="40" t="str">
        <x:v>Telecommunication Services</x:v>
      </x:c>
      <x:c r="C61" s="40" t="str">
        <x:v>501010</x:v>
      </x:c>
      <x:c r="D61" s="40" t="str">
        <x:v>Diversified Telecommunication Services</x:v>
      </x:c>
      <x:c r="E61" s="52" t="n">
        <x:f>COUNTIF('Economic Maps'!$C$6:$C$155,D61)</x:f>
        <x:v>2</x:v>
      </x:c>
      <x:c r="F61" s="40" t="str">
        <x:v>E119;E120</x:v>
      </x:c>
      <x:c r="G61" s="52" t="n">
        <x:f>COUNTIFS('Economic Maps'!$C$6:$C$155,D61,'Economic Maps'!$N$6:$N$155,"Selected current issuer check")</x:f>
        <x:v>0</x:v>
      </x:c>
      <x:c r="H61" s="40" t="str">
        <x:v>EV/EBITDA, FCF yield, sum-of-parts, subscriber/household metrics.</x:v>
      </x:c>
      <x:c r="I61" s="40" t="str">
        <x:v>Leases, spectrum capitalization, pension, restructuring, handset financing.</x:v>
      </x:c>
    </x:row>
    <x:row r="62" ht="82" customHeight="1">
      <x:c r="A62" s="40" t="str">
        <x:v>Communication Services</x:v>
      </x:c>
      <x:c r="B62" s="40" t="str">
        <x:v>Telecommunication Services</x:v>
      </x:c>
      <x:c r="C62" s="40" t="str">
        <x:v>501020</x:v>
      </x:c>
      <x:c r="D62" s="40" t="str">
        <x:v>Wireless Telecommunication Services</x:v>
      </x:c>
      <x:c r="E62" s="52" t="n">
        <x:f>COUNTIF('Economic Maps'!$C$6:$C$155,D62)</x:f>
        <x:v>1</x:v>
      </x:c>
      <x:c r="F62" s="40" t="str">
        <x:v>E121</x:v>
      </x:c>
      <x:c r="G62" s="52" t="n">
        <x:f>COUNTIFS('Economic Maps'!$C$6:$C$155,D62,'Economic Maps'!$N$6:$N$155,"Selected current issuer check")</x:f>
        <x:v>0</x:v>
      </x:c>
      <x:c r="H62" s="40" t="str">
        <x:v>EV/EBITDA, FCF yield, subscriber value.</x:v>
      </x:c>
      <x:c r="I62" s="40" t="str">
        <x:v>Spectrum amortization, leases, handset receivables, tower contracts.</x:v>
      </x:c>
    </x:row>
    <x:row r="63" ht="82" customHeight="1">
      <x:c r="A63" s="40" t="str">
        <x:v>Communication Services</x:v>
      </x:c>
      <x:c r="B63" s="40" t="str">
        <x:v>Media &amp; Entertainment</x:v>
      </x:c>
      <x:c r="C63" s="40" t="str">
        <x:v>502010</x:v>
      </x:c>
      <x:c r="D63" s="40" t="str">
        <x:v>Media</x:v>
      </x:c>
      <x:c r="E63" s="52" t="n">
        <x:f>COUNTIF('Economic Maps'!$C$6:$C$155,D63)</x:f>
        <x:v>2</x:v>
      </x:c>
      <x:c r="F63" s="40" t="str">
        <x:v>E122;E123</x:v>
      </x:c>
      <x:c r="G63" s="52" t="n">
        <x:f>COUNTIFS('Economic Maps'!$C$6:$C$155,D63,'Economic Maps'!$N$6:$N$155,"Selected current issuer check")</x:f>
        <x:v>1</x:v>
      </x:c>
      <x:c r="H63" s="40" t="str">
        <x:v>P/E, EV/EBITDA, FCF, SOTP; subscriber LTV where relevant.</x:v>
      </x:c>
      <x:c r="I63" s="40" t="str">
        <x:v>Content amortization, retransmission, political ad normalization, goodwill.</x:v>
      </x:c>
    </x:row>
    <x:row r="64" ht="82" customHeight="1">
      <x:c r="A64" s="40" t="str">
        <x:v>Communication Services</x:v>
      </x:c>
      <x:c r="B64" s="40" t="str">
        <x:v>Media &amp; Entertainment</x:v>
      </x:c>
      <x:c r="C64" s="40" t="str">
        <x:v>502020</x:v>
      </x:c>
      <x:c r="D64" s="40" t="str">
        <x:v>Entertainment</x:v>
      </x:c>
      <x:c r="E64" s="52" t="n">
        <x:f>COUNTIF('Economic Maps'!$C$6:$C$155,D64)</x:f>
        <x:v>2</x:v>
      </x:c>
      <x:c r="F64" s="40" t="str">
        <x:v>E124;E125</x:v>
      </x:c>
      <x:c r="G64" s="52" t="n">
        <x:f>COUNTIFS('Economic Maps'!$C$6:$C$155,D64,'Economic Maps'!$N$6:$N$155,"Selected current issuer check")</x:f>
        <x:v>0</x:v>
      </x:c>
      <x:c r="H64" s="40" t="str">
        <x:v>P/E, EV/EBITDA, FCF, franchise SOTP; game bookings-based models.</x:v>
      </x:c>
      <x:c r="I64" s="40" t="str">
        <x:v>Content capitalization/amortization, deferred revenue, participations, impairment.</x:v>
      </x:c>
    </x:row>
    <x:row r="65" ht="82" customHeight="1">
      <x:c r="A65" s="40" t="str">
        <x:v>Communication Services</x:v>
      </x:c>
      <x:c r="B65" s="40" t="str">
        <x:v>Media &amp; Entertainment</x:v>
      </x:c>
      <x:c r="C65" s="40" t="str">
        <x:v>502030</x:v>
      </x:c>
      <x:c r="D65" s="40" t="str">
        <x:v>Interactive Media &amp; Services</x:v>
      </x:c>
      <x:c r="E65" s="52" t="n">
        <x:f>COUNTIF('Economic Maps'!$C$6:$C$155,D65)</x:f>
        <x:v>1</x:v>
      </x:c>
      <x:c r="F65" s="40" t="str">
        <x:v>E126</x:v>
      </x:c>
      <x:c r="G65" s="52" t="n">
        <x:f>COUNTIFS('Economic Maps'!$C$6:$C$155,D65,'Economic Maps'!$N$6:$N$155,"Selected current issuer check")</x:f>
        <x:v>0</x:v>
      </x:c>
      <x:c r="H65" s="40" t="str">
        <x:v>P/E, EV/FCF, DCF; user economics and ad load.</x:v>
      </x:c>
      <x:c r="I65" s="40" t="str">
        <x:v>SBC, traffic acquisition costs, capex, gross vs net ad/commerce revenue.</x:v>
      </x:c>
    </x:row>
    <x:row r="66" ht="82" customHeight="1">
      <x:c r="A66" s="40" t="str">
        <x:v>Utilities</x:v>
      </x:c>
      <x:c r="B66" s="40" t="str">
        <x:v>Utilities</x:v>
      </x:c>
      <x:c r="C66" s="40" t="str">
        <x:v>551010</x:v>
      </x:c>
      <x:c r="D66" s="40" t="str">
        <x:v>Electric Utilities</x:v>
      </x:c>
      <x:c r="E66" s="52" t="n">
        <x:f>COUNTIF('Economic Maps'!$C$6:$C$155,D66)</x:f>
        <x:v>2</x:v>
      </x:c>
      <x:c r="F66" s="40" t="str">
        <x:v>E127;E128</x:v>
      </x:c>
      <x:c r="G66" s="52" t="n">
        <x:f>COUNTIFS('Economic Maps'!$C$6:$C$155,D66,'Economic Maps'!$N$6:$N$155,"Selected current issuer check")</x:f>
        <x:v>0</x:v>
      </x:c>
      <x:c r="H66" s="40" t="str">
        <x:v>P/E, P/B, dividend yield, DCF on rate base.</x:v>
      </x:c>
      <x:c r="I66" s="40" t="str">
        <x:v>Regulatory assets/liabilities, storm costs, pension, nuclear decommissioning.</x:v>
      </x:c>
    </x:row>
    <x:row r="67" ht="82" customHeight="1">
      <x:c r="A67" s="40" t="str">
        <x:v>Utilities</x:v>
      </x:c>
      <x:c r="B67" s="40" t="str">
        <x:v>Utilities</x:v>
      </x:c>
      <x:c r="C67" s="40" t="str">
        <x:v>551020</x:v>
      </x:c>
      <x:c r="D67" s="40" t="str">
        <x:v>Gas Utilities</x:v>
      </x:c>
      <x:c r="E67" s="52" t="n">
        <x:f>COUNTIF('Economic Maps'!$C$6:$C$155,D67)</x:f>
        <x:v>1</x:v>
      </x:c>
      <x:c r="F67" s="40" t="str">
        <x:v>E129</x:v>
      </x:c>
      <x:c r="G67" s="52" t="n">
        <x:f>COUNTIFS('Economic Maps'!$C$6:$C$155,D67,'Economic Maps'!$N$6:$N$155,"Selected current issuer check")</x:f>
        <x:v>0</x:v>
      </x:c>
      <x:c r="H67" s="40" t="str">
        <x:v>P/E, P/B, dividend yield.</x:v>
      </x:c>
      <x:c r="I67" s="40" t="str">
        <x:v>Regulatory assets, pension, environmental obligations.</x:v>
      </x:c>
    </x:row>
    <x:row r="68" ht="82" customHeight="1">
      <x:c r="A68" s="40" t="str">
        <x:v>Utilities</x:v>
      </x:c>
      <x:c r="B68" s="40" t="str">
        <x:v>Utilities</x:v>
      </x:c>
      <x:c r="C68" s="40" t="str">
        <x:v>551030</x:v>
      </x:c>
      <x:c r="D68" s="40" t="str">
        <x:v>Multi-Utilities</x:v>
      </x:c>
      <x:c r="E68" s="52" t="n">
        <x:f>COUNTIF('Economic Maps'!$C$6:$C$155,D68)</x:f>
        <x:v>1</x:v>
      </x:c>
      <x:c r="F68" s="40" t="str">
        <x:v>E130</x:v>
      </x:c>
      <x:c r="G68" s="52" t="n">
        <x:f>COUNTIFS('Economic Maps'!$C$6:$C$155,D68,'Economic Maps'!$N$6:$N$155,"Selected current issuer check")</x:f>
        <x:v>0</x:v>
      </x:c>
      <x:c r="H68" s="40" t="str">
        <x:v>P/E, P/B, DCF/SOTP.</x:v>
      </x:c>
      <x:c r="I68" s="40" t="str">
        <x:v>Regulatory assets, pension, segment allocations.</x:v>
      </x:c>
    </x:row>
    <x:row r="69" ht="82" customHeight="1">
      <x:c r="A69" s="40" t="str">
        <x:v>Utilities</x:v>
      </x:c>
      <x:c r="B69" s="40" t="str">
        <x:v>Utilities</x:v>
      </x:c>
      <x:c r="C69" s="40" t="str">
        <x:v>551040</x:v>
      </x:c>
      <x:c r="D69" s="40" t="str">
        <x:v>Water Utilities</x:v>
      </x:c>
      <x:c r="E69" s="52" t="n">
        <x:f>COUNTIF('Economic Maps'!$C$6:$C$155,D69)</x:f>
        <x:v>1</x:v>
      </x:c>
      <x:c r="F69" s="40" t="str">
        <x:v>E131</x:v>
      </x:c>
      <x:c r="G69" s="52" t="n">
        <x:f>COUNTIFS('Economic Maps'!$C$6:$C$155,D69,'Economic Maps'!$N$6:$N$155,"Selected current issuer check")</x:f>
        <x:v>0</x:v>
      </x:c>
      <x:c r="H69" s="40" t="str">
        <x:v>P/E, EV/EBITDA, dividend yield, rate-base DCF.</x:v>
      </x:c>
      <x:c r="I69" s="40" t="str">
        <x:v>Regulatory assets, acquisition premiums, infrastructure surcharge accounting.</x:v>
      </x:c>
    </x:row>
    <x:row r="70" ht="82" customHeight="1">
      <x:c r="A70" s="40" t="str">
        <x:v>Utilities</x:v>
      </x:c>
      <x:c r="B70" s="40" t="str">
        <x:v>Utilities</x:v>
      </x:c>
      <x:c r="C70" s="40" t="str">
        <x:v>551050</x:v>
      </x:c>
      <x:c r="D70" s="40" t="str">
        <x:v>Independent Power and Renewable Electricity Producers</x:v>
      </x:c>
      <x:c r="E70" s="52" t="n">
        <x:f>COUNTIF('Economic Maps'!$C$6:$C$155,D70)</x:f>
        <x:v>2</x:v>
      </x:c>
      <x:c r="F70" s="40" t="str">
        <x:v>E132;E133</x:v>
      </x:c>
      <x:c r="G70" s="52" t="n">
        <x:f>COUNTIFS('Economic Maps'!$C$6:$C$155,D70,'Economic Maps'!$N$6:$N$155,"Selected current issuer check")</x:f>
        <x:v>1</x:v>
      </x:c>
      <x:c r="H70" s="40" t="str">
        <x:v>DCF by asset/PPA, EV/MW, EV/EBITDA, CAFD yield.</x:v>
      </x:c>
      <x:c r="I70" s="40" t="str">
        <x:v>Tax equity, project finance, derivative marks, development pipeline probabilities.</x:v>
      </x:c>
    </x:row>
    <x:row r="71" ht="82" customHeight="1">
      <x:c r="A71" s="40" t="str">
        <x:v>Real Estate</x:v>
      </x:c>
      <x:c r="B71" s="40" t="str">
        <x:v>Equity REITs</x:v>
      </x:c>
      <x:c r="C71" s="40" t="str">
        <x:v>601010</x:v>
      </x:c>
      <x:c r="D71" s="40" t="str">
        <x:v>Diversified REITs</x:v>
      </x:c>
      <x:c r="E71" s="52" t="n">
        <x:f>COUNTIF('Economic Maps'!$C$6:$C$155,D71)</x:f>
        <x:v>1</x:v>
      </x:c>
      <x:c r="F71" s="40" t="str">
        <x:v>E134</x:v>
      </x:c>
      <x:c r="G71" s="52" t="n">
        <x:f>COUNTIFS('Economic Maps'!$C$6:$C$155,D71,'Economic Maps'!$N$6:$N$155,"Selected current issuer check")</x:f>
        <x:v>0</x:v>
      </x:c>
      <x:c r="H71" s="40" t="str">
        <x:v>P/NAV, P/AFFO, implied cap rate, DCF.</x:v>
      </x:c>
      <x:c r="I71" s="40" t="str">
        <x:v>AFFO adjustments, straight-line rent, recurring capex, JV accounting.</x:v>
      </x:c>
    </x:row>
    <x:row r="72" ht="82" customHeight="1">
      <x:c r="A72" s="40" t="str">
        <x:v>Real Estate</x:v>
      </x:c>
      <x:c r="B72" s="40" t="str">
        <x:v>Equity REITs</x:v>
      </x:c>
      <x:c r="C72" s="40" t="str">
        <x:v>601025</x:v>
      </x:c>
      <x:c r="D72" s="40" t="str">
        <x:v>Industrial REITs</x:v>
      </x:c>
      <x:c r="E72" s="52" t="n">
        <x:f>COUNTIF('Economic Maps'!$C$6:$C$155,D72)</x:f>
        <x:v>1</x:v>
      </x:c>
      <x:c r="F72" s="40" t="str">
        <x:v>E135</x:v>
      </x:c>
      <x:c r="G72" s="52" t="n">
        <x:f>COUNTIFS('Economic Maps'!$C$6:$C$155,D72,'Economic Maps'!$N$6:$N$155,"Selected current issuer check")</x:f>
        <x:v>0</x:v>
      </x:c>
      <x:c r="H72" s="40" t="str">
        <x:v>P/NAV, P/AFFO, implied cap rate, development NAV.</x:v>
      </x:c>
      <x:c r="I72" s="40" t="str">
        <x:v>Straight-line rent, tenant improvements, recurring capex, JV development.</x:v>
      </x:c>
    </x:row>
    <x:row r="73" ht="82" customHeight="1">
      <x:c r="A73" s="40" t="str">
        <x:v>Real Estate</x:v>
      </x:c>
      <x:c r="B73" s="40" t="str">
        <x:v>Equity REITs</x:v>
      </x:c>
      <x:c r="C73" s="40" t="str">
        <x:v>601030</x:v>
      </x:c>
      <x:c r="D73" s="40" t="str">
        <x:v>Hotel &amp; Resort REITs</x:v>
      </x:c>
      <x:c r="E73" s="52" t="n">
        <x:f>COUNTIF('Economic Maps'!$C$6:$C$155,D73)</x:f>
        <x:v>1</x:v>
      </x:c>
      <x:c r="F73" s="40" t="str">
        <x:v>E136</x:v>
      </x:c>
      <x:c r="G73" s="52" t="n">
        <x:f>COUNTIFS('Economic Maps'!$C$6:$C$155,D73,'Economic Maps'!$N$6:$N$155,"Selected current issuer check")</x:f>
        <x:v>0</x:v>
      </x:c>
      <x:c r="H73" s="40" t="str">
        <x:v>P/NAV, EV/EBITDA, FFO/AFFO, value per key.</x:v>
      </x:c>
      <x:c r="I73" s="40" t="str">
        <x:v>FF&amp;E reserves, management fees, renovations, seasonality.</x:v>
      </x:c>
    </x:row>
    <x:row r="74" ht="82" customHeight="1">
      <x:c r="A74" s="40" t="str">
        <x:v>Real Estate</x:v>
      </x:c>
      <x:c r="B74" s="40" t="str">
        <x:v>Equity REITs</x:v>
      </x:c>
      <x:c r="C74" s="40" t="str">
        <x:v>601040</x:v>
      </x:c>
      <x:c r="D74" s="40" t="str">
        <x:v>Office REITs</x:v>
      </x:c>
      <x:c r="E74" s="52" t="n">
        <x:f>COUNTIF('Economic Maps'!$C$6:$C$155,D74)</x:f>
        <x:v>1</x:v>
      </x:c>
      <x:c r="F74" s="40" t="str">
        <x:v>E137</x:v>
      </x:c>
      <x:c r="G74" s="52" t="n">
        <x:f>COUNTIFS('Economic Maps'!$C$6:$C$155,D74,'Economic Maps'!$N$6:$N$155,"Selected current issuer check")</x:f>
        <x:v>0</x:v>
      </x:c>
      <x:c r="H74" s="40" t="str">
        <x:v>P/NAV, implied cap rate, FFO adjusted for TI/LC.</x:v>
      </x:c>
      <x:c r="I74" s="40" t="str">
        <x:v>Straight-line rent, concessions, tenant improvements, capex capitalization.</x:v>
      </x:c>
    </x:row>
    <x:row r="75" ht="82" customHeight="1">
      <x:c r="A75" s="40" t="str">
        <x:v>Real Estate</x:v>
      </x:c>
      <x:c r="B75" s="40" t="str">
        <x:v>Equity REITs</x:v>
      </x:c>
      <x:c r="C75" s="40" t="str">
        <x:v>601050</x:v>
      </x:c>
      <x:c r="D75" s="40" t="str">
        <x:v>Health Care REITs</x:v>
      </x:c>
      <x:c r="E75" s="52" t="n">
        <x:f>COUNTIF('Economic Maps'!$C$6:$C$155,D75)</x:f>
        <x:v>1</x:v>
      </x:c>
      <x:c r="F75" s="40" t="str">
        <x:v>E138</x:v>
      </x:c>
      <x:c r="G75" s="52" t="n">
        <x:f>COUNTIFS('Economic Maps'!$C$6:$C$155,D75,'Economic Maps'!$N$6:$N$155,"Selected current issuer check")</x:f>
        <x:v>0</x:v>
      </x:c>
      <x:c r="H75" s="40" t="str">
        <x:v>P/NAV, P/AFFO, implied cap rate.</x:v>
      </x:c>
      <x:c r="I75" s="40" t="str">
        <x:v>Operator loans, straight-line rent, development, recurring capex.</x:v>
      </x:c>
    </x:row>
    <x:row r="76" ht="82" customHeight="1">
      <x:c r="A76" s="40" t="str">
        <x:v>Real Estate</x:v>
      </x:c>
      <x:c r="B76" s="40" t="str">
        <x:v>Equity REITs</x:v>
      </x:c>
      <x:c r="C76" s="40" t="str">
        <x:v>601060</x:v>
      </x:c>
      <x:c r="D76" s="40" t="str">
        <x:v>Residential REITs</x:v>
      </x:c>
      <x:c r="E76" s="52" t="n">
        <x:f>COUNTIF('Economic Maps'!$C$6:$C$155,D76)</x:f>
        <x:v>2</x:v>
      </x:c>
      <x:c r="F76" s="40" t="str">
        <x:v>E139;E140</x:v>
      </x:c>
      <x:c r="G76" s="52" t="n">
        <x:f>COUNTIFS('Economic Maps'!$C$6:$C$155,D76,'Economic Maps'!$N$6:$N$155,"Selected current issuer check")</x:f>
        <x:v>1</x:v>
      </x:c>
      <x:c r="H76" s="40" t="str">
        <x:v>P/NAV, P/AFFO, implied cap rate.</x:v>
      </x:c>
      <x:c r="I76" s="40" t="str">
        <x:v>Concessions, capitalized renovations, same-store definitions.</x:v>
      </x:c>
    </x:row>
    <x:row r="77" ht="82" customHeight="1">
      <x:c r="A77" s="40" t="str">
        <x:v>Real Estate</x:v>
      </x:c>
      <x:c r="B77" s="40" t="str">
        <x:v>Equity REITs</x:v>
      </x:c>
      <x:c r="C77" s="40" t="str">
        <x:v>601070</x:v>
      </x:c>
      <x:c r="D77" s="40" t="str">
        <x:v>Retail REITs</x:v>
      </x:c>
      <x:c r="E77" s="52" t="n">
        <x:f>COUNTIF('Economic Maps'!$C$6:$C$155,D77)</x:f>
        <x:v>2</x:v>
      </x:c>
      <x:c r="F77" s="40" t="str">
        <x:v>E141;E142</x:v>
      </x:c>
      <x:c r="G77" s="52" t="n">
        <x:f>COUNTIFS('Economic Maps'!$C$6:$C$155,D77,'Economic Maps'!$N$6:$N$155,"Selected current issuer check")</x:f>
        <x:v>0</x:v>
      </x:c>
      <x:c r="H77" s="40" t="str">
        <x:v>P/NAV, P/AFFO, implied cap rate.</x:v>
      </x:c>
      <x:c r="I77" s="40" t="str">
        <x:v>Straight-line rent, redevelopment capitalization, tenant allowances.</x:v>
      </x:c>
    </x:row>
    <x:row r="78" ht="82" customHeight="1">
      <x:c r="A78" s="40" t="str">
        <x:v>Real Estate</x:v>
      </x:c>
      <x:c r="B78" s="40" t="str">
        <x:v>Equity REITs</x:v>
      </x:c>
      <x:c r="C78" s="40" t="str">
        <x:v>601080</x:v>
      </x:c>
      <x:c r="D78" s="40" t="str">
        <x:v>Specialized REITs</x:v>
      </x:c>
      <x:c r="E78" s="52" t="n">
        <x:f>COUNTIF('Economic Maps'!$C$6:$C$155,D78)</x:f>
        <x:v>4</x:v>
      </x:c>
      <x:c r="F78" s="40" t="str">
        <x:v>E143;E144;E145;E146</x:v>
      </x:c>
      <x:c r="G78" s="52" t="n">
        <x:f>COUNTIFS('Economic Maps'!$C$6:$C$155,D78,'Economic Maps'!$N$6:$N$155,"Selected current issuer check")</x:f>
        <x:v>0</x:v>
      </x:c>
      <x:c r="H78" s="40" t="str">
        <x:v>P/NAV, P/AFFO, EV/EBITDA, asset-specific DCF.</x:v>
      </x:c>
      <x:c r="I78" s="40" t="str">
        <x:v>Development capex, straight-line rent, power pass-through, customer concentration.</x:v>
      </x:c>
    </x:row>
    <x:row r="79" ht="82" customHeight="1">
      <x:c r="A79" s="40" t="str">
        <x:v>Real Estate</x:v>
      </x:c>
      <x:c r="B79" s="40" t="str">
        <x:v>Real Estate Management &amp; Development</x:v>
      </x:c>
      <x:c r="C79" s="40" t="str">
        <x:v>602010</x:v>
      </x:c>
      <x:c r="D79" s="40" t="str">
        <x:v>Real Estate Management &amp; Development</x:v>
      </x:c>
      <x:c r="E79" s="52" t="n">
        <x:f>COUNTIF('Economic Maps'!$C$6:$C$155,D79)</x:f>
        <x:v>2</x:v>
      </x:c>
      <x:c r="F79" s="40" t="str">
        <x:v>E147;E148</x:v>
      </x:c>
      <x:c r="G79" s="52" t="n">
        <x:f>COUNTIFS('Economic Maps'!$C$6:$C$155,D79,'Economic Maps'!$N$6:$N$155,"Selected current issuer check")</x:f>
        <x:v>0</x:v>
      </x:c>
      <x:c r="H79" s="40" t="str">
        <x:v>NAV/SOTP, P/E for fee businesses, P/B for developers.</x:v>
      </x:c>
      <x:c r="I79" s="40" t="str">
        <x:v>Land valuation, capitalized interest, JV/off-balance-sheet debt, percentage-of-completion.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4796996dc4bd42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5" hidden="0" customWidth="1"/>
    <x:col min="4" max="4" width="24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36" hidden="0" customWidth="1"/>
    <x:col min="11" max="11" width="20" hidden="0" customWidth="1"/>
    <x:col min="12" max="12" width="18" hidden="0" customWidth="1"/>
    <x:col min="13" max="13" width="37" hidden="0" customWidth="1"/>
  </x:cols>
  <x:sheetData>
    <x:row r="1">
      <x:c r="A1" s="24" t="str">
        <x:v>65 testable indicator specifications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Proposed triggers are not validated trading rules. Linked observations are partial snapshots, not complete historical series.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Indicator ID</x:v>
      </x:c>
      <x:c r="B5" s="34" t="str">
        <x:v>Sector</x:v>
      </x:c>
      <x:c r="C5" s="34" t="str">
        <x:v>Indicator</x:v>
      </x:c>
      <x:c r="D5" s="34" t="str">
        <x:v>Cadence</x:v>
      </x:c>
      <x:c r="E5" s="34" t="str">
        <x:v>Transformation</x:v>
      </x:c>
      <x:c r="F5" s="34" t="str">
        <x:v>Proposed trigger</x:v>
      </x:c>
      <x:c r="G5" s="34" t="str">
        <x:v>Financial transmission</x:v>
      </x:c>
      <x:c r="H5" s="34" t="str">
        <x:v>False-positive test</x:v>
      </x:c>
      <x:c r="I5" s="34" t="str">
        <x:v>Stage</x:v>
      </x:c>
      <x:c r="J5" s="34" t="str">
        <x:v>Data status</x:v>
      </x:c>
      <x:c r="K5" s="34" t="str">
        <x:v>Observation IDs</x:v>
      </x:c>
      <x:c r="L5" s="34" t="str">
        <x:v>Source route</x:v>
      </x:c>
      <x:c r="M5" s="34" t="str">
        <x:v>Source URL</x:v>
      </x:c>
    </x:row>
    <x:row r="6" ht="104" customHeight="1">
      <x:c r="A6" s="40" t="str">
        <x:v>I001</x:v>
      </x:c>
      <x:c r="B6" s="40" t="str">
        <x:v>Energy</x:v>
      </x:c>
      <x:c r="C6" s="40" t="str">
        <x:v>Crude inventories and refinery runs</x:v>
      </x:c>
      <x:c r="D6" s="40" t="str">
        <x:v>Weekly</x:v>
      </x:c>
      <x:c r="E6" s="40" t="str">
        <x:v>Seasonally compare four-week changes; separate commercial stocks from strategic reserves</x:v>
      </x:c>
      <x:c r="F6" s="40" t="str">
        <x:v>Persistent draws alongside rising actual runs</x:v>
      </x:c>
      <x:c r="G6" s="40" t="str">
        <x:v>Tighter physical balance can improve realized price or refinery utilization</x:v>
      </x:c>
      <x:c r="H6" s="40" t="str">
        <x:v>Storm outages, inventory transfers and exports can distort one week</x:v>
      </x:c>
      <x:c r="I6" s="40" t="str">
        <x:v>Leading</x:v>
      </x:c>
      <x:c r="J6" s="40" t="str">
        <x:v>Definition complete; series not loaded</x:v>
      </x:c>
      <x:c r="K6" s="40" t="str"/>
      <x:c r="L6" s="40" t="str">
        <x:v>EIA</x:v>
      </x:c>
      <x:c r="M6" s="40" t="str">
        <x:v>https://www.eia.gov/</x:v>
      </x:c>
    </x:row>
    <x:row r="7" ht="104" customHeight="1">
      <x:c r="A7" s="40" t="str">
        <x:v>I002</x:v>
      </x:c>
      <x:c r="B7" s="40" t="str">
        <x:v>Energy</x:v>
      </x:c>
      <x:c r="C7" s="40" t="str">
        <x:v>Natural-gas storage and LNG feedgas</x:v>
      </x:c>
      <x:c r="D7" s="40" t="str">
        <x:v>Weekly</x:v>
      </x:c>
      <x:c r="E7" s="40" t="str">
        <x:v>Weather-adjust storage; compare feedgas with commissioned capacity</x:v>
      </x:c>
      <x:c r="F7" s="40" t="str">
        <x:v>Storage tightens with funded demand, not only colder weather</x:v>
      </x:c>
      <x:c r="G7" s="40" t="str">
        <x:v>Gas and compression activity respond through throughput and rates</x:v>
      </x:c>
      <x:c r="H7" s="40" t="str">
        <x:v>Pipeline outages can raise prices while hurting volumes</x:v>
      </x:c>
      <x:c r="I7" s="40" t="str">
        <x:v>Leading</x:v>
      </x:c>
      <x:c r="J7" s="40" t="str">
        <x:v>Definition complete; series not loaded</x:v>
      </x:c>
      <x:c r="K7" s="40" t="str"/>
      <x:c r="L7" s="40" t="str">
        <x:v>EIA</x:v>
      </x:c>
      <x:c r="M7" s="40" t="str">
        <x:v>https://www.eia.gov/</x:v>
      </x:c>
    </x:row>
    <x:row r="8" ht="104" customHeight="1">
      <x:c r="A8" s="40" t="str">
        <x:v>I003</x:v>
      </x:c>
      <x:c r="B8" s="40" t="str">
        <x:v>Energy</x:v>
      </x:c>
      <x:c r="C8" s="40" t="str">
        <x:v>Producer capital budgets and service tenders</x:v>
      </x:c>
      <x:c r="D8" s="40" t="str">
        <x:v>Quarterly / contract event</x:v>
      </x:c>
      <x:c r="E8" s="40" t="str">
        <x:v>Aggregate comparable producer budgets and firm tenders, excluding duplicate projects</x:v>
      </x:c>
      <x:c r="F8" s="40" t="str">
        <x:v>Budgets translate into signed equipment or service awards</x:v>
      </x:c>
      <x:c r="G8" s="40" t="str">
        <x:v>Utilization and service pricing lead contractor margins</x:v>
      </x:c>
      <x:c r="H8" s="40" t="str">
        <x:v>Budget aspirations do not equal drilling starts</x:v>
      </x:c>
      <x:c r="I8" s="40" t="str">
        <x:v>Leading</x:v>
      </x:c>
      <x:c r="J8" s="40" t="str">
        <x:v>Definition complete; series not loaded</x:v>
      </x:c>
      <x:c r="K8" s="40" t="str"/>
      <x:c r="L8" s="40" t="str">
        <x:v>EDGAR</x:v>
      </x:c>
      <x:c r="M8" s="40" t="str">
        <x:v>https://www.sec.gov/edgar/search/</x:v>
      </x:c>
    </x:row>
    <x:row r="9" ht="104" customHeight="1">
      <x:c r="A9" s="40" t="str">
        <x:v>I004</x:v>
      </x:c>
      <x:c r="B9" s="40" t="str">
        <x:v>Energy</x:v>
      </x:c>
      <x:c r="C9" s="40" t="str">
        <x:v>Compression utilization and renewal rate</x:v>
      </x:c>
      <x:c r="D9" s="40" t="str">
        <x:v>Quarterly</x:v>
      </x:c>
      <x:c r="E9" s="40" t="str">
        <x:v>Track active horsepower, idle units, rate resets and maintenance together</x:v>
      </x:c>
      <x:c r="F9" s="40" t="str">
        <x:v>Renewed contracts improve contribution after maintenance</x:v>
      </x:c>
      <x:c r="G9" s="40" t="str">
        <x:v>High utilization only creates value if realized rates and cash improve</x:v>
      </x:c>
      <x:c r="H9" s="40" t="str">
        <x:v>Fleet sales can mechanically increase utilization</x:v>
      </x:c>
      <x:c r="I9" s="40" t="str">
        <x:v>Leading</x:v>
      </x:c>
      <x:c r="J9" s="40" t="str">
        <x:v>Partial snapshot/proxy; full multi-variable test not populated</x:v>
      </x:c>
      <x:c r="K9" s="40" t="str">
        <x:v>O064</x:v>
      </x:c>
      <x:c r="L9" s="40" t="str">
        <x:v>AROC26</x:v>
      </x:c>
      <x:c r="M9" s="40" t="str">
        <x:v>https://investors.archrock.com/news/news-details/2026/Archrock-Reports-Second-Quarter-2026-Results/default.aspx</x:v>
      </x:c>
    </x:row>
    <x:row r="10" ht="104" customHeight="1">
      <x:c r="A10" s="40" t="str">
        <x:v>I005</x:v>
      </x:c>
      <x:c r="B10" s="40" t="str">
        <x:v>Materials</x:v>
      </x:c>
      <x:c r="C10" s="40" t="str">
        <x:v>Industrial utilization and inventory divergence</x:v>
      </x:c>
      <x:c r="D10" s="40" t="str">
        <x:v>Monthly</x:v>
      </x:c>
      <x:c r="E10" s="40" t="str">
        <x:v>Three-month utilization direction against inventory-to-sales</x:v>
      </x:c>
      <x:c r="F10" s="40" t="str">
        <x:v>Utilization improves after customer inventory normalizes</x:v>
      </x:c>
      <x:c r="G10" s="40" t="str">
        <x:v>Fixed-cost absorption and restocking lift plant profit</x:v>
      </x:c>
      <x:c r="H10" s="40" t="str">
        <x:v>Broad manufacturing may diverge from the specific chemical product</x:v>
      </x:c>
      <x:c r="I10" s="40" t="str">
        <x:v>Leading</x:v>
      </x:c>
      <x:c r="J10" s="40" t="str">
        <x:v>Partial snapshot/proxy; full multi-variable test not populated</x:v>
      </x:c>
      <x:c r="K10" s="40" t="str">
        <x:v>O088</x:v>
      </x:c>
      <x:c r="L10" s="40" t="str">
        <x:v>G17</x:v>
      </x:c>
      <x:c r="M10" s="40" t="str">
        <x:v>https://www.federalreserve.gov/releases/g17/20260818/default.htm</x:v>
      </x:c>
    </x:row>
    <x:row r="11" ht="104" customHeight="1">
      <x:c r="A11" s="40" t="str">
        <x:v>I006</x:v>
      </x:c>
      <x:c r="B11" s="40" t="str">
        <x:v>Materials</x:v>
      </x:c>
      <x:c r="C11" s="40" t="str">
        <x:v>Price-cost spread by product</x:v>
      </x:c>
      <x:c r="D11" s="40" t="str">
        <x:v>Quarterly / input-price weekly</x:v>
      </x:c>
      <x:c r="E11" s="40" t="str">
        <x:v>Selling price minus matched feedstock and conversion cost at actual lags</x:v>
      </x:c>
      <x:c r="F11" s="40" t="str">
        <x:v>Spread widens without customer volume destruction</x:v>
      </x:c>
      <x:c r="G11" s="40" t="str">
        <x:v>Margin moves before consolidated EPS</x:v>
      </x:c>
      <x:c r="H11" s="40" t="str">
        <x:v>FIFO gains or hedging can distort accounting spreads</x:v>
      </x:c>
      <x:c r="I11" s="40" t="str">
        <x:v>Leading</x:v>
      </x:c>
      <x:c r="J11" s="40" t="str">
        <x:v>Definition complete; series not loaded</x:v>
      </x:c>
      <x:c r="K11" s="40" t="str"/>
      <x:c r="L11" s="40" t="str">
        <x:v>EDGAR</x:v>
      </x:c>
      <x:c r="M11" s="40" t="str">
        <x:v>https://www.sec.gov/edgar/search/</x:v>
      </x:c>
    </x:row>
    <x:row r="12" ht="104" customHeight="1">
      <x:c r="A12" s="40" t="str">
        <x:v>I007</x:v>
      </x:c>
      <x:c r="B12" s="40" t="str">
        <x:v>Materials</x:v>
      </x:c>
      <x:c r="C12" s="40" t="str">
        <x:v>Announced versus commissioned mineral supply</x:v>
      </x:c>
      <x:c r="D12" s="40" t="str">
        <x:v>Project milestone</x:v>
      </x:c>
      <x:c r="E12" s="40" t="str">
        <x:v>Classify permitted, financed, constructing and saleable output separately</x:v>
      </x:c>
      <x:c r="F12" s="40" t="str">
        <x:v>Demand growth outruns probable saleable supply</x:v>
      </x:c>
      <x:c r="G12" s="40" t="str">
        <x:v>Scarcity affects commodity price and producer cash</x:v>
      </x:c>
      <x:c r="H12" s="40" t="str">
        <x:v>Nameplate output and usable chemical quality differ</x:v>
      </x:c>
      <x:c r="I12" s="40" t="str">
        <x:v>Leading</x:v>
      </x:c>
      <x:c r="J12" s="40" t="str">
        <x:v>Definition complete; series not loaded</x:v>
      </x:c>
      <x:c r="K12" s="40" t="str"/>
      <x:c r="L12" s="40" t="str">
        <x:v>IEA26</x:v>
      </x:c>
      <x:c r="M12" s="40" t="str">
        <x:v>https://www.iea.org/reports/global-critical-minerals-outlook-2026/executive-summary</x:v>
      </x:c>
    </x:row>
    <x:row r="13" ht="104" customHeight="1">
      <x:c r="A13" s="40" t="str">
        <x:v>I008</x:v>
      </x:c>
      <x:c r="B13" s="40" t="str">
        <x:v>Materials</x:v>
      </x:c>
      <x:c r="C13" s="40" t="str">
        <x:v>Construction materials local tons and price</x:v>
      </x:c>
      <x:c r="D13" s="40" t="str">
        <x:v>Monthly / quarterly</x:v>
      </x:c>
      <x:c r="E13" s="40" t="str">
        <x:v>Map public and private construction to quarry transport radius</x:v>
      </x:c>
      <x:c r="F13" s="40" t="str">
        <x:v>Local shipments stabilize while realized price holds</x:v>
      </x:c>
      <x:c r="G13" s="40" t="str">
        <x:v>Density and fixed-cost absorption improve</x:v>
      </x:c>
      <x:c r="H13" s="40" t="str">
        <x:v>National construction totals may miss regional overcapacity</x:v>
      </x:c>
      <x:c r="I13" s="40" t="str">
        <x:v>Leading</x:v>
      </x:c>
      <x:c r="J13" s="40" t="str">
        <x:v>Definition complete; series not loaded</x:v>
      </x:c>
      <x:c r="K13" s="40" t="str"/>
      <x:c r="L13" s="40" t="str">
        <x:v>CENSUS</x:v>
      </x:c>
      <x:c r="M13" s="40" t="str">
        <x:v>https://www.census.gov/economic-indicators/</x:v>
      </x:c>
    </x:row>
    <x:row r="14" ht="104" customHeight="1">
      <x:c r="A14" s="40" t="str">
        <x:v>I009</x:v>
      </x:c>
      <x:c r="B14" s="40" t="str">
        <x:v>Materials</x:v>
      </x:c>
      <x:c r="C14" s="40" t="str">
        <x:v>Packaging capacity exits</x:v>
      </x:c>
      <x:c r="D14" s="40" t="str">
        <x:v>Quarterly</x:v>
      </x:c>
      <x:c r="E14" s="40" t="str">
        <x:v>Permanent closures less new capacity, weighted by product substitutability</x:v>
      </x:c>
      <x:c r="F14" s="40" t="str">
        <x:v>Closures tighten the actual regional supply market</x:v>
      </x:c>
      <x:c r="G14" s="40" t="str">
        <x:v>Utilization can lift paper or container spreads</x:v>
      </x:c>
      <x:c r="H14" s="40" t="str">
        <x:v>Temporary maintenance shutdowns are not permanent exits</x:v>
      </x:c>
      <x:c r="I14" s="40" t="str">
        <x:v>Leading</x:v>
      </x:c>
      <x:c r="J14" s="40" t="str">
        <x:v>Definition complete; series not loaded</x:v>
      </x:c>
      <x:c r="K14" s="40" t="str"/>
      <x:c r="L14" s="40" t="str">
        <x:v>EDGAR</x:v>
      </x:c>
      <x:c r="M14" s="40" t="str">
        <x:v>https://www.sec.gov/edgar/search/</x:v>
      </x:c>
    </x:row>
    <x:row r="15" ht="104" customHeight="1">
      <x:c r="A15" s="40" t="str">
        <x:v>I010</x:v>
      </x:c>
      <x:c r="B15" s="40" t="str">
        <x:v>Industrials</x:v>
      </x:c>
      <x:c r="C15" s="40" t="str">
        <x:v>Electrical backlog conversion quality</x:v>
      </x:c>
      <x:c r="D15" s="40" t="str">
        <x:v>Quarterly</x:v>
      </x:c>
      <x:c r="E15" s="40" t="str">
        <x:v>Bookings, cancellations, shipments and expected delivery buckets</x:v>
      </x:c>
      <x:c r="F15" s="40" t="str">
        <x:v>New firm work replaces shipments at adequate margins</x:v>
      </x:c>
      <x:c r="G15" s="40" t="str">
        <x:v>Revenue visibility and factory absorption improve</x:v>
      </x:c>
      <x:c r="H15" s="40" t="str">
        <x:v>Mega-project timing and definition changes distort book-to-bill</x:v>
      </x:c>
      <x:c r="I15" s="40" t="str">
        <x:v>Leading</x:v>
      </x:c>
      <x:c r="J15" s="40" t="str">
        <x:v>Partial snapshot/proxy; full multi-variable test not populated</x:v>
      </x:c>
      <x:c r="K15" s="40" t="str">
        <x:v>O022</x:v>
      </x:c>
      <x:c r="L15" s="40" t="str">
        <x:v>POWL26</x:v>
      </x:c>
      <x:c r="M15" s="40" t="str">
        <x:v>https://powellindustriesinc.gcs-web.com/news-releases/news-release-details/powell-industries-announces-third-quarter-fiscal-2026-results</x:v>
      </x:c>
    </x:row>
    <x:row r="16" ht="104" customHeight="1">
      <x:c r="A16" s="40" t="str">
        <x:v>I011</x:v>
      </x:c>
      <x:c r="B16" s="40" t="str">
        <x:v>Industrials</x:v>
      </x:c>
      <x:c r="C16" s="40" t="str">
        <x:v>Thermal margin recovery bridge</x:v>
      </x:c>
      <x:c r="D16" s="40" t="str">
        <x:v>Quarterly</x:v>
      </x:c>
      <x:c r="E16" s="40" t="str">
        <x:v>Separate warranty, price/mix, startup, materials and capacity utilization</x:v>
      </x:c>
      <x:c r="F16" s="40" t="str">
        <x:v>Recurring margin improves alongside cash conversion</x:v>
      </x:c>
      <x:c r="G16" s="40" t="str">
        <x:v>Gross profit can rise on a larger revenue base</x:v>
      </x:c>
      <x:c r="H16" s="40" t="str">
        <x:v>Prior-year warranty settlements invalidate mechanical peak-margin targets</x:v>
      </x:c>
      <x:c r="I16" s="40" t="str">
        <x:v>Leading</x:v>
      </x:c>
      <x:c r="J16" s="40" t="str">
        <x:v>Partial snapshot/proxy; full multi-variable test not populated</x:v>
      </x:c>
      <x:c r="K16" s="40" t="str">
        <x:v>O002</x:v>
      </x:c>
      <x:c r="L16" s="40" t="str">
        <x:v>MOD26</x:v>
      </x:c>
      <x:c r="M16" s="40" t="str">
        <x:v>https://investors.modine.com/news/news-details/2026/Modine-Reports-First-Quarter-Fiscal-2027-Results/default.aspx</x:v>
      </x:c>
    </x:row>
    <x:row r="17" ht="104" customHeight="1">
      <x:c r="A17" s="40" t="str">
        <x:v>I012</x:v>
      </x:c>
      <x:c r="B17" s="40" t="str">
        <x:v>Industrials</x:v>
      </x:c>
      <x:c r="C17" s="40" t="str">
        <x:v>Contractor RPO versus nonbinding pipeline</x:v>
      </x:c>
      <x:c r="D17" s="40" t="str">
        <x:v>Quarterly</x:v>
      </x:c>
      <x:c r="E17" s="40" t="str">
        <x:v>Reconcile RPO, additional backlog, LOIs and project starts without double counting</x:v>
      </x:c>
      <x:c r="F17" s="40" t="str">
        <x:v>LOIs become funded enforceable projects with work authorization</x:v>
      </x:c>
      <x:c r="G17" s="40" t="str">
        <x:v>Labor deployment and execution drive future margin</x:v>
      </x:c>
      <x:c r="H17" s="40" t="str">
        <x:v>A deposit or signature may not create enforceability</x:v>
      </x:c>
      <x:c r="I17" s="40" t="str">
        <x:v>Leading</x:v>
      </x:c>
      <x:c r="J17" s="40" t="str">
        <x:v>Partial snapshot/proxy; full multi-variable test not populated</x:v>
      </x:c>
      <x:c r="K17" s="40" t="str">
        <x:v>O034</x:v>
      </x:c>
      <x:c r="L17" s="40" t="str">
        <x:v>IESC26</x:v>
      </x:c>
      <x:c r="M17" s="40" t="str">
        <x:v>https://investors.ies-corporate.com/news-releases/news-release-details/ies-holdings-reports-fiscal-2026-third-quarter-results-and</x:v>
      </x:c>
    </x:row>
    <x:row r="18" ht="104" customHeight="1">
      <x:c r="A18" s="40" t="str">
        <x:v>I013</x:v>
      </x:c>
      <x:c r="B18" s="40" t="str">
        <x:v>Industrials</x:v>
      </x:c>
      <x:c r="C18" s="40" t="str">
        <x:v>Transformer pricing and capacity</x:v>
      </x:c>
      <x:c r="D18" s="40" t="str">
        <x:v>Quarterly</x:v>
      </x:c>
      <x:c r="E18" s="40" t="str">
        <x:v>Delivered units, custom mix, pricing and saleable capacity</x:v>
      </x:c>
      <x:c r="F18" s="40" t="str">
        <x:v>Margins improve without lengthening receivables or rising cancellations</x:v>
      </x:c>
      <x:c r="G18" s="40" t="str">
        <x:v>Scarce factory slots can generate pricing and absorption</x:v>
      </x:c>
      <x:c r="H18" s="40" t="str">
        <x:v>Supply additions, product mix and share-based costs can obscure returns</x:v>
      </x:c>
      <x:c r="I18" s="40" t="str">
        <x:v>Leading</x:v>
      </x:c>
      <x:c r="J18" s="40" t="str">
        <x:v>Partial snapshot/proxy; full multi-variable test not populated</x:v>
      </x:c>
      <x:c r="K18" s="40" t="str">
        <x:v>O028</x:v>
      </x:c>
      <x:c r="L18" s="40" t="str">
        <x:v>HPS26</x:v>
      </x:c>
      <x:c r="M18" s="40" t="str">
        <x:v>https://emea.hammondpowersolutions.com/news/2026/july/Quarter-2-2026-Financial-Results</x:v>
      </x:c>
    </x:row>
    <x:row r="19" ht="104" customHeight="1">
      <x:c r="A19" s="40" t="str">
        <x:v>I014</x:v>
      </x:c>
      <x:c r="B19" s="40" t="str">
        <x:v>Industrials</x:v>
      </x:c>
      <x:c r="C19" s="40" t="str">
        <x:v>Aerospace aftermarket organic growth</x:v>
      </x:c>
      <x:c r="D19" s="40" t="str">
        <x:v>Quarterly</x:v>
      </x:c>
      <x:c r="E19" s="40" t="str">
        <x:v>Separate organic sales, acquired sales, working capital and cash interest</x:v>
      </x:c>
      <x:c r="F19" s="40" t="str">
        <x:v>Organic growth funds inventory and debt service</x:v>
      </x:c>
      <x:c r="G19" s="40" t="str">
        <x:v>Installed fleet drives repeat demand and operating leverage</x:v>
      </x:c>
      <x:c r="H19" s="40" t="str">
        <x:v>Purchased revenue growth can disguise weak per-share value</x:v>
      </x:c>
      <x:c r="I19" s="40" t="str">
        <x:v>Leading</x:v>
      </x:c>
      <x:c r="J19" s="40" t="str">
        <x:v>Partial snapshot/proxy; full multi-variable test not populated</x:v>
      </x:c>
      <x:c r="K19" s="40" t="str">
        <x:v>O045</x:v>
      </x:c>
      <x:c r="L19" s="40" t="str">
        <x:v>VSEC26</x:v>
      </x:c>
      <x:c r="M19" s="40" t="str">
        <x:v>https://ir.vsecorp.com/news/press-releases/detail/413/vse-corporation-announces-second-quarter-2026-results</x:v>
      </x:c>
    </x:row>
    <x:row r="20" ht="104" customHeight="1">
      <x:c r="A20" s="40" t="str">
        <x:v>I015</x:v>
      </x:c>
      <x:c r="B20" s="40" t="str">
        <x:v>Industrials</x:v>
      </x:c>
      <x:c r="C20" s="40" t="str">
        <x:v>Industrial acquisition returns</x:v>
      </x:c>
      <x:c r="D20" s="40" t="str">
        <x:v>Quarterly / deal</x:v>
      </x:c>
      <x:c r="E20" s="40" t="str">
        <x:v>Track purchase consideration, integration cash and incremental after-tax profit</x:v>
      </x:c>
      <x:c r="F20" s="40" t="str">
        <x:v>Cash ROIC on acquired cohorts exceeds opportunity cost</x:v>
      </x:c>
      <x:c r="G20" s="40" t="str">
        <x:v>Disciplined reinvestment can compound per-share value</x:v>
      </x:c>
      <x:c r="H20" s="40" t="str">
        <x:v>Adjusted EBITDA excludes debt, dilution and acquired-asset consumption</x:v>
      </x:c>
      <x:c r="I20" s="40" t="str">
        <x:v>Leading</x:v>
      </x:c>
      <x:c r="J20" s="40" t="str">
        <x:v>Partial snapshot/proxy; full multi-variable test not populated</x:v>
      </x:c>
      <x:c r="K20" s="40" t="str">
        <x:v>O025</x:v>
      </x:c>
      <x:c r="L20" s="40" t="str">
        <x:v>CSW26</x:v>
      </x:c>
      <x:c r="M20" s="40" t="str">
        <x:v>https://www.globenewswire.com/news-release/2026/07/30/3335879/0/en/csw-industrials-reports-impressive-fiscal-2027-first-quarter-with-all-time-record-results-contractor-solutions-segment-delivers-second-consecutive-quarter-of-positive-organic-growt.html</x:v>
      </x:c>
    </x:row>
    <x:row r="21" ht="104" customHeight="1">
      <x:c r="A21" s="40" t="str">
        <x:v>I016</x:v>
      </x:c>
      <x:c r="B21" s="40" t="str">
        <x:v>Industrials</x:v>
      </x:c>
      <x:c r="C21" s="40" t="str">
        <x:v>Freight capacity exit and rate spreads</x:v>
      </x:c>
      <x:c r="D21" s="40" t="str">
        <x:v>Monthly</x:v>
      </x:c>
      <x:c r="E21" s="40" t="str">
        <x:v>Capacity exits, contract resets and spot spreads jointly</x:v>
      </x:c>
      <x:c r="F21" s="40" t="str">
        <x:v>Rates stabilize after durable capacity exit</x:v>
      </x:c>
      <x:c r="G21" s="40" t="str">
        <x:v>Utilization and yield can lift carrier profit</x:v>
      </x:c>
      <x:c r="H21" s="40" t="str">
        <x:v>Temporary disruption can spike spot rates before underlying demand improves</x:v>
      </x:c>
      <x:c r="I21" s="40" t="str">
        <x:v>Leading</x:v>
      </x:c>
      <x:c r="J21" s="40" t="str">
        <x:v>Definition complete; series not loaded</x:v>
      </x:c>
      <x:c r="K21" s="40" t="str"/>
      <x:c r="L21" s="40" t="str">
        <x:v>EDGAR</x:v>
      </x:c>
      <x:c r="M21" s="40" t="str">
        <x:v>https://www.sec.gov/edgar/search/</x:v>
      </x:c>
    </x:row>
    <x:row r="22" ht="104" customHeight="1">
      <x:c r="A22" s="40" t="str">
        <x:v>I017</x:v>
      </x:c>
      <x:c r="B22" s="40" t="str">
        <x:v>Industrials</x:v>
      </x:c>
      <x:c r="C22" s="40" t="str">
        <x:v>Waste route density and retention</x:v>
      </x:c>
      <x:c r="D22" s="40" t="str">
        <x:v>Quarterly</x:v>
      </x:c>
      <x:c r="E22" s="40" t="str">
        <x:v>Same-route stops, price, churn and labor cost</x:v>
      </x:c>
      <x:c r="F22" s="40" t="str">
        <x:v>Price exceeds unit costs without rising churn</x:v>
      </x:c>
      <x:c r="G22" s="40" t="str">
        <x:v>Local density spreads truck and labor costs</x:v>
      </x:c>
      <x:c r="H22" s="40" t="str">
        <x:v>Acquisitions can disguise weak organic volume</x:v>
      </x:c>
      <x:c r="I22" s="40" t="str">
        <x:v>Leading</x:v>
      </x:c>
      <x:c r="J22" s="40" t="str">
        <x:v>Definition complete; series not loaded</x:v>
      </x:c>
      <x:c r="K22" s="40" t="str"/>
      <x:c r="L22" s="40" t="str">
        <x:v>EDGAR</x:v>
      </x:c>
      <x:c r="M22" s="40" t="str">
        <x:v>https://www.sec.gov/edgar/search/</x:v>
      </x:c>
    </x:row>
    <x:row r="23" ht="104" customHeight="1">
      <x:c r="A23" s="40" t="str">
        <x:v>I018</x:v>
      </x:c>
      <x:c r="B23" s="40" t="str">
        <x:v>Consumer Discretionary</x:v>
      </x:c>
      <x:c r="C23" s="40" t="str">
        <x:v>Housing permits versus starts</x:v>
      </x:c>
      <x:c r="D23" s="40" t="str">
        <x:v>Monthly</x:v>
      </x:c>
      <x:c r="E23" s="40" t="str">
        <x:v>Three-month averages; keep SAAR, revisions and confidence intervals</x:v>
      </x:c>
      <x:c r="F23" s="40" t="str">
        <x:v>Permits improve broadly and convert into starts</x:v>
      </x:c>
      <x:c r="G23" s="40" t="str">
        <x:v>Builder and supplier order flow may follow</x:v>
      </x:c>
      <x:c r="H23" s="40" t="str">
        <x:v>One volatile month or multifamily mix is not a turning point</x:v>
      </x:c>
      <x:c r="I23" s="40" t="str">
        <x:v>Leading</x:v>
      </x:c>
      <x:c r="J23" s="40" t="str">
        <x:v>Partial snapshot/proxy; full multi-variable test not populated</x:v>
      </x:c>
      <x:c r="K23" s="40" t="str">
        <x:v>O089</x:v>
      </x:c>
      <x:c r="L23" s="40" t="str">
        <x:v>HOUSING26</x:v>
      </x:c>
      <x:c r="M23" s="40" t="str">
        <x:v>https://www.census.gov/construction/nrc/current/index.html</x:v>
      </x:c>
    </x:row>
    <x:row r="24" ht="104" customHeight="1">
      <x:c r="A24" s="40" t="str">
        <x:v>I019</x:v>
      </x:c>
      <x:c r="B24" s="40" t="str">
        <x:v>Consumer Discretionary</x:v>
      </x:c>
      <x:c r="C24" s="40" t="str">
        <x:v>Retail traffic versus ticket</x:v>
      </x:c>
      <x:c r="D24" s="40" t="str">
        <x:v>Quarterly / comparable checks</x:v>
      </x:c>
      <x:c r="E24" s="40" t="str">
        <x:v>Split comparable sales into transactions, ticket and mix</x:v>
      </x:c>
      <x:c r="F24" s="40" t="str">
        <x:v>Traffic stabilizes without heavier promotions</x:v>
      </x:c>
      <x:c r="G24" s="40" t="str">
        <x:v>Volume and fixed-cost absorption improve</x:v>
      </x:c>
      <x:c r="H24" s="40" t="str">
        <x:v>Inflation can raise ticket while units decline</x:v>
      </x:c>
      <x:c r="I24" s="40" t="str">
        <x:v>Leading</x:v>
      </x:c>
      <x:c r="J24" s="40" t="str">
        <x:v>Partial snapshot/proxy; full multi-variable test not populated</x:v>
      </x:c>
      <x:c r="K24" s="40" t="str">
        <x:v>O076</x:v>
      </x:c>
      <x:c r="L24" s="40" t="str">
        <x:v>FND26</x:v>
      </x:c>
      <x:c r="M24" s="40" t="str">
        <x:v>https://ir.flooranddecor.com/news-events/press-releases/detail/301/floor-decor-holdings-inc-announces-second-quarter</x:v>
      </x:c>
    </x:row>
    <x:row r="25" ht="104" customHeight="1">
      <x:c r="A25" s="40" t="str">
        <x:v>I020</x:v>
      </x:c>
      <x:c r="B25" s="40" t="str">
        <x:v>Consumer Discretionary</x:v>
      </x:c>
      <x:c r="C25" s="40" t="str">
        <x:v>Retail inventory relative to sell-through</x:v>
      </x:c>
      <x:c r="D25" s="40" t="str">
        <x:v>Quarterly</x:v>
      </x:c>
      <x:c r="E25" s="40" t="str">
        <x:v>Category inventory growth minus unit sales growth</x:v>
      </x:c>
      <x:c r="F25" s="40" t="str">
        <x:v>Excess inventory falls without recurring margin damage</x:v>
      </x:c>
      <x:c r="G25" s="40" t="str">
        <x:v>Working capital release and fewer markdowns</x:v>
      </x:c>
      <x:c r="H25" s="40" t="str">
        <x:v>Inventory destruction or supplier payment delay can mimic cash improvement</x:v>
      </x:c>
      <x:c r="I25" s="40" t="str">
        <x:v>Leading</x:v>
      </x:c>
      <x:c r="J25" s="40" t="str">
        <x:v>Definition complete; series not loaded</x:v>
      </x:c>
      <x:c r="K25" s="40" t="str"/>
      <x:c r="L25" s="40" t="str">
        <x:v>EDGAR</x:v>
      </x:c>
      <x:c r="M25" s="40" t="str">
        <x:v>https://www.sec.gov/edgar/search/</x:v>
      </x:c>
    </x:row>
    <x:row r="26" ht="104" customHeight="1">
      <x:c r="A26" s="40" t="str">
        <x:v>I021</x:v>
      </x:c>
      <x:c r="B26" s="40" t="str">
        <x:v>Consumer Discretionary</x:v>
      </x:c>
      <x:c r="C26" s="40" t="str">
        <x:v>Franchisee fully loaded returns</x:v>
      </x:c>
      <x:c r="D26" s="40" t="str">
        <x:v>Annual / FDD update</x:v>
      </x:c>
      <x:c r="E26" s="40" t="str">
        <x:v>After labor at market wages, rent, royalties, upkeep and invested capital</x:v>
      </x:c>
      <x:c r="F26" s="40" t="str">
        <x:v>New cohorts earn acceptable returns and existing owners renew</x:v>
      </x:c>
      <x:c r="G26" s="40" t="str">
        <x:v>Healthy unit returns support franchisor growth</x:v>
      </x:c>
      <x:c r="H26" s="40" t="str">
        <x:v>Renewal alone does not establish store profitability or low required owner labor</x:v>
      </x:c>
      <x:c r="I26" s="40" t="str">
        <x:v>Leading</x:v>
      </x:c>
      <x:c r="J26" s="40" t="str">
        <x:v>Partial snapshot/proxy; full multi-variable test not populated</x:v>
      </x:c>
      <x:c r="K26" s="40" t="str">
        <x:v>O007</x:v>
      </x:c>
      <x:c r="L26" s="40" t="str">
        <x:v>WINA26</x:v>
      </x:c>
      <x:c r="M26" s="40" t="str">
        <x:v>https://www.sec.gov/Archives/edgar/data/908315/000090831526000028/wina-20260627x10q.htm</x:v>
      </x:c>
    </x:row>
    <x:row r="27" ht="104" customHeight="1">
      <x:c r="A27" s="40" t="str">
        <x:v>I022</x:v>
      </x:c>
      <x:c r="B27" s="40" t="str">
        <x:v>Consumer Discretionary</x:v>
      </x:c>
      <x:c r="C27" s="40" t="str">
        <x:v>Restaurant new-unit cohorts</x:v>
      </x:c>
      <x:c r="D27" s="40" t="str">
        <x:v>Quarterly</x:v>
      </x:c>
      <x:c r="E27" s="40" t="str">
        <x:v>Mature versus new-store contribution after occupancy and cannibalization</x:v>
      </x:c>
      <x:c r="F27" s="40" t="str">
        <x:v>New units match historic payback without excessive marketing</x:v>
      </x:c>
      <x:c r="G27" s="40" t="str">
        <x:v>Reinvestment runway supports compounding</x:v>
      </x:c>
      <x:c r="H27" s="40" t="str">
        <x:v>Blended averages hide deteriorating marginal unit economics</x:v>
      </x:c>
      <x:c r="I27" s="40" t="str">
        <x:v>Leading</x:v>
      </x:c>
      <x:c r="J27" s="40" t="str">
        <x:v>Definition complete; series not loaded</x:v>
      </x:c>
      <x:c r="K27" s="40" t="str"/>
      <x:c r="L27" s="40" t="str">
        <x:v>EDGAR</x:v>
      </x:c>
      <x:c r="M27" s="40" t="str">
        <x:v>https://www.sec.gov/edgar/search/</x:v>
      </x:c>
    </x:row>
    <x:row r="28" ht="104" customHeight="1">
      <x:c r="A28" s="40" t="str">
        <x:v>I023</x:v>
      </x:c>
      <x:c r="B28" s="40" t="str">
        <x:v>Consumer Discretionary</x:v>
      </x:c>
      <x:c r="C28" s="40" t="str">
        <x:v>Vehicle inventory and supplier content</x:v>
      </x:c>
      <x:c r="D28" s="40" t="str">
        <x:v>Monthly / program award</x:v>
      </x:c>
      <x:c r="E28" s="40" t="str">
        <x:v>Dealer days and incentives plus content per platform</x:v>
      </x:c>
      <x:c r="F28" s="40" t="str">
        <x:v>OEM schedules improve while supplier pricing and content hold</x:v>
      </x:c>
      <x:c r="G28" s="40" t="str">
        <x:v>Plant utilization amplifies supplier earnings</x:v>
      </x:c>
      <x:c r="H28" s="40" t="str">
        <x:v>Shipments to dealers can exceed final retail demand</x:v>
      </x:c>
      <x:c r="I28" s="40" t="str">
        <x:v>Leading</x:v>
      </x:c>
      <x:c r="J28" s="40" t="str">
        <x:v>Definition complete; series not loaded</x:v>
      </x:c>
      <x:c r="K28" s="40" t="str"/>
      <x:c r="L28" s="40" t="str">
        <x:v>CENSUS</x:v>
      </x:c>
      <x:c r="M28" s="40" t="str">
        <x:v>https://www.census.gov/economic-indicators/</x:v>
      </x:c>
    </x:row>
    <x:row r="29" ht="104" customHeight="1">
      <x:c r="A29" s="40" t="str">
        <x:v>I024</x:v>
      </x:c>
      <x:c r="B29" s="40" t="str">
        <x:v>Consumer Staples</x:v>
      </x:c>
      <x:c r="C29" s="40" t="str">
        <x:v>Brand volume and price elasticity</x:v>
      </x:c>
      <x:c r="D29" s="40" t="str">
        <x:v>Quarterly</x:v>
      </x:c>
      <x:c r="E29" s="40" t="str">
        <x:v>Units, price/mix and promotion separately</x:v>
      </x:c>
      <x:c r="F29" s="40" t="str">
        <x:v>Repeat unit demand holds after price changes</x:v>
      </x:c>
      <x:c r="G29" s="40" t="str">
        <x:v>Durable contribution margin demonstrates customer value</x:v>
      </x:c>
      <x:c r="H29" s="40" t="str">
        <x:v>Inflation-led sales growth can hide share loss</x:v>
      </x:c>
      <x:c r="I29" s="40" t="str">
        <x:v>Leading</x:v>
      </x:c>
      <x:c r="J29" s="40" t="str">
        <x:v>Definition complete; series not loaded</x:v>
      </x:c>
      <x:c r="K29" s="40" t="str"/>
      <x:c r="L29" s="40" t="str">
        <x:v>EDGAR</x:v>
      </x:c>
      <x:c r="M29" s="40" t="str">
        <x:v>https://www.sec.gov/edgar/search/</x:v>
      </x:c>
    </x:row>
    <x:row r="30" ht="104" customHeight="1">
      <x:c r="A30" s="40" t="str">
        <x:v>I025</x:v>
      </x:c>
      <x:c r="B30" s="40" t="str">
        <x:v>Consumer Staples</x:v>
      </x:c>
      <x:c r="C30" s="40" t="str">
        <x:v>Egg flock, commitments and realized mix</x:v>
      </x:c>
      <x:c r="D30" s="40" t="str">
        <x:v>Weekly / monthly</x:v>
      </x:c>
      <x:c r="E30" s="40" t="str">
        <x:v>Layer supply, retailer sell-through and long-term farm commitments</x:v>
      </x:c>
      <x:c r="F30" s="40" t="str">
        <x:v>Contracted supply aligns with premium retail demand</x:v>
      </x:c>
      <x:c r="G30" s="40" t="str">
        <x:v>Fewer distressed wholesale sales can restore margin</x:v>
      </x:c>
      <x:c r="H30" s="40" t="str">
        <x:v>Industry egg prices do not measure a premium brand's realized price</x:v>
      </x:c>
      <x:c r="I30" s="40" t="str">
        <x:v>Leading</x:v>
      </x:c>
      <x:c r="J30" s="40" t="str">
        <x:v>Partial snapshot/proxy; full multi-variable test not populated</x:v>
      </x:c>
      <x:c r="K30" s="40" t="str">
        <x:v>O074</x:v>
      </x:c>
      <x:c r="L30" s="40" t="str">
        <x:v>USDA</x:v>
      </x:c>
      <x:c r="M30" s="40" t="str">
        <x:v>https://www.nass.usda.gov/</x:v>
      </x:c>
    </x:row>
    <x:row r="31" ht="104" customHeight="1">
      <x:c r="A31" s="40" t="str">
        <x:v>I026</x:v>
      </x:c>
      <x:c r="B31" s="40" t="str">
        <x:v>Consumer Staples</x:v>
      </x:c>
      <x:c r="C31" s="40" t="str">
        <x:v>Grocery gross margin versus shrink</x:v>
      </x:c>
      <x:c r="D31" s="40" t="str">
        <x:v>Quarterly</x:v>
      </x:c>
      <x:c r="E31" s="40" t="str">
        <x:v>Gross profit less shrink and labor per transaction</x:v>
      </x:c>
      <x:c r="F31" s="40" t="str">
        <x:v>Better margin with stable traffic and cash turns</x:v>
      </x:c>
      <x:c r="G31" s="40" t="str">
        <x:v>Thin-margin retailers are sensitive to small execution gains</x:v>
      </x:c>
      <x:c r="H31" s="40" t="str">
        <x:v>Supplier timing and inflation inventory gains are nonrepeatable</x:v>
      </x:c>
      <x:c r="I31" s="40" t="str">
        <x:v>Leading</x:v>
      </x:c>
      <x:c r="J31" s="40" t="str">
        <x:v>Definition complete; series not loaded</x:v>
      </x:c>
      <x:c r="K31" s="40" t="str"/>
      <x:c r="L31" s="40" t="str">
        <x:v>EDGAR</x:v>
      </x:c>
      <x:c r="M31" s="40" t="str">
        <x:v>https://www.sec.gov/edgar/search/</x:v>
      </x:c>
    </x:row>
    <x:row r="32" ht="104" customHeight="1">
      <x:c r="A32" s="40" t="str">
        <x:v>I027</x:v>
      </x:c>
      <x:c r="B32" s="40" t="str">
        <x:v>Consumer Staples</x:v>
      </x:c>
      <x:c r="C32" s="40" t="str">
        <x:v>Commodity pass-through lags</x:v>
      </x:c>
      <x:c r="D32" s="40" t="str">
        <x:v>Monthly / quarterly</x:v>
      </x:c>
      <x:c r="E32" s="40" t="str">
        <x:v>Match input basket dates to retailer contract repricing</x:v>
      </x:c>
      <x:c r="F32" s="40" t="str">
        <x:v>Cost relief reaches margin without price giveback</x:v>
      </x:c>
      <x:c r="G32" s="40" t="str">
        <x:v>Price-cost lag can create a temporary earnings inflection</x:v>
      </x:c>
      <x:c r="H32" s="40" t="str">
        <x:v>A commodity hedge may delay or reverse the apparent benefit</x:v>
      </x:c>
      <x:c r="I32" s="40" t="str">
        <x:v>Leading</x:v>
      </x:c>
      <x:c r="J32" s="40" t="str">
        <x:v>Definition complete; series not loaded</x:v>
      </x:c>
      <x:c r="K32" s="40" t="str"/>
      <x:c r="L32" s="40" t="str">
        <x:v>BLS</x:v>
      </x:c>
      <x:c r="M32" s="40" t="str">
        <x:v>https://www.bls.gov/</x:v>
      </x:c>
    </x:row>
    <x:row r="33" ht="104" customHeight="1">
      <x:c r="A33" s="40" t="str">
        <x:v>I028</x:v>
      </x:c>
      <x:c r="B33" s="40" t="str">
        <x:v>Health Care</x:v>
      </x:c>
      <x:c r="C33" s="40" t="str">
        <x:v>Procedure volumes and consumable pull-through</x:v>
      </x:c>
      <x:c r="D33" s="40" t="str">
        <x:v>Quarterly</x:v>
      </x:c>
      <x:c r="E33" s="40" t="str">
        <x:v>Organic units, price and procedure exposure</x:v>
      </x:c>
      <x:c r="F33" s="40" t="str">
        <x:v>Growth persists across products with sound cash conversion</x:v>
      </x:c>
      <x:c r="G33" s="40" t="str">
        <x:v>Recurring clinically necessary use supports installed-base economics</x:v>
      </x:c>
      <x:c r="H33" s="40" t="str">
        <x:v>Distributor restocking is not the same as procedure demand</x:v>
      </x:c>
      <x:c r="I33" s="40" t="str">
        <x:v>Leading</x:v>
      </x:c>
      <x:c r="J33" s="40" t="str">
        <x:v>Partial snapshot/proxy; full multi-variable test not populated</x:v>
      </x:c>
      <x:c r="K33" s="40" t="str">
        <x:v>O050</x:v>
      </x:c>
      <x:c r="L33" s="40" t="str">
        <x:v>LMAT26</x:v>
      </x:c>
      <x:c r="M33" s="40" t="str">
        <x:v>https://ir.lemaitre.com/news-releases/news-release-details/lemaitre-q2-2026-financial-results</x:v>
      </x:c>
    </x:row>
    <x:row r="34" ht="104" customHeight="1">
      <x:c r="A34" s="40" t="str">
        <x:v>I029</x:v>
      </x:c>
      <x:c r="B34" s="40" t="str">
        <x:v>Health Care</x:v>
      </x:c>
      <x:c r="C34" s="40" t="str">
        <x:v>Bioprocess consumable order normalization</x:v>
      </x:c>
      <x:c r="D34" s="40" t="str">
        <x:v>Quarterly</x:v>
      </x:c>
      <x:c r="E34" s="40" t="str">
        <x:v>Customer inventory, orders and end-use production together</x:v>
      </x:c>
      <x:c r="F34" s="40" t="str">
        <x:v>Orders improve after inventory excess clears</x:v>
      </x:c>
      <x:c r="G34" s="40" t="str">
        <x:v>Utilization and recurring reagent use improve earnings</x:v>
      </x:c>
      <x:c r="H34" s="40" t="str">
        <x:v>One large order and non-GAAP adjustments can mimic a broad recovery</x:v>
      </x:c>
      <x:c r="I34" s="40" t="str">
        <x:v>Leading</x:v>
      </x:c>
      <x:c r="J34" s="40" t="str">
        <x:v>Partial snapshot/proxy; full multi-variable test not populated</x:v>
      </x:c>
      <x:c r="K34" s="40" t="str">
        <x:v>O069</x:v>
      </x:c>
      <x:c r="L34" s="40" t="str">
        <x:v>RGEN26</x:v>
      </x:c>
      <x:c r="M34" s="40" t="str">
        <x:v>https://investors.repligen.com/press-releases/news-details/2026/Repligen-Reports-Second-Quarter-2026-Financial-Results-and-Updates-Full-Year-2026-Financial-Guidance/default.aspx</x:v>
      </x:c>
    </x:row>
    <x:row r="35" ht="104" customHeight="1">
      <x:c r="A35" s="40" t="str">
        <x:v>I030</x:v>
      </x:c>
      <x:c r="B35" s="40" t="str">
        <x:v>Health Care</x:v>
      </x:c>
      <x:c r="C35" s="40" t="str">
        <x:v>Clinical endpoint and safety events</x:v>
      </x:c>
      <x:c r="D35" s="40" t="str">
        <x:v>Event-driven</x:v>
      </x:c>
      <x:c r="E35" s="40" t="str">
        <x:v>Pre-specified endpoints, effect size, confidence and adverse events</x:v>
      </x:c>
      <x:c r="F35" s="40" t="str">
        <x:v>A readout changes the probability of clinically meaningful benefit</x:v>
      </x:c>
      <x:c r="G35" s="40" t="str">
        <x:v>Technical and regulatory success alter product cash-flow probability</x:v>
      </x:c>
      <x:c r="H35" s="40" t="str">
        <x:v>Statistical significance alone does not establish reimbursement or adoption</x:v>
      </x:c>
      <x:c r="I35" s="40" t="str">
        <x:v>Leading</x:v>
      </x:c>
      <x:c r="J35" s="40" t="str">
        <x:v>Definition complete; series not loaded</x:v>
      </x:c>
      <x:c r="K35" s="40" t="str"/>
      <x:c r="L35" s="40" t="str">
        <x:v>FDA</x:v>
      </x:c>
      <x:c r="M35" s="40" t="str">
        <x:v>https://www.fda.gov/</x:v>
      </x:c>
    </x:row>
    <x:row r="36" ht="104" customHeight="1">
      <x:c r="A36" s="40" t="str">
        <x:v>I031</x:v>
      </x:c>
      <x:c r="B36" s="40" t="str">
        <x:v>Health Care</x:v>
      </x:c>
      <x:c r="C36" s="40" t="str">
        <x:v>Reimbursement and coverage decisions</x:v>
      </x:c>
      <x:c r="D36" s="40" t="str">
        <x:v>Rule or payer event</x:v>
      </x:c>
      <x:c r="E36" s="40" t="str">
        <x:v>Net reimbursement after eligibility and administration requirements</x:v>
      </x:c>
      <x:c r="F36" s="40" t="str">
        <x:v>Coverage improves provider or patient adoption economics</x:v>
      </x:c>
      <x:c r="G36" s="40" t="str">
        <x:v>Commercial uptake can change despite unchanged approval status</x:v>
      </x:c>
      <x:c r="H36" s="40" t="str">
        <x:v>Proposed rules are not final decisions; approval is not reimbursement</x:v>
      </x:c>
      <x:c r="I36" s="40" t="str">
        <x:v>Leading</x:v>
      </x:c>
      <x:c r="J36" s="40" t="str">
        <x:v>Definition complete; series not loaded</x:v>
      </x:c>
      <x:c r="K36" s="40" t="str"/>
      <x:c r="L36" s="40" t="str">
        <x:v>CMS</x:v>
      </x:c>
      <x:c r="M36" s="40" t="str">
        <x:v>https://www.cms.gov/</x:v>
      </x:c>
    </x:row>
    <x:row r="37" ht="104" customHeight="1">
      <x:c r="A37" s="40" t="str">
        <x:v>I032</x:v>
      </x:c>
      <x:c r="B37" s="40" t="str">
        <x:v>Health Care</x:v>
      </x:c>
      <x:c r="C37" s="40" t="str">
        <x:v>Provider labor versus net reimbursement</x:v>
      </x:c>
      <x:c r="D37" s="40" t="str">
        <x:v>Monthly / quarterly</x:v>
      </x:c>
      <x:c r="E37" s="40" t="str">
        <x:v>Wages, agency labor and revenue per encounter</x:v>
      </x:c>
      <x:c r="F37" s="40" t="str">
        <x:v>Net pricing catches labor while quality and volumes hold</x:v>
      </x:c>
      <x:c r="G37" s="40" t="str">
        <x:v>Operating margins improve in labor-heavy services</x:v>
      </x:c>
      <x:c r="H37" s="40" t="str">
        <x:v>Case mix and reserve releases can mask weak staffing economics</x:v>
      </x:c>
      <x:c r="I37" s="40" t="str">
        <x:v>Leading</x:v>
      </x:c>
      <x:c r="J37" s="40" t="str">
        <x:v>Definition complete; series not loaded</x:v>
      </x:c>
      <x:c r="K37" s="40" t="str"/>
      <x:c r="L37" s="40" t="str">
        <x:v>BLS</x:v>
      </x:c>
      <x:c r="M37" s="40" t="str">
        <x:v>https://www.bls.gov/</x:v>
      </x:c>
    </x:row>
    <x:row r="38" ht="104" customHeight="1">
      <x:c r="A38" s="40" t="str">
        <x:v>I033</x:v>
      </x:c>
      <x:c r="B38" s="40" t="str">
        <x:v>Health Care</x:v>
      </x:c>
      <x:c r="C38" s="40" t="str">
        <x:v>Equipment placements versus utilization</x:v>
      </x:c>
      <x:c r="D38" s="40" t="str">
        <x:v>Quarterly</x:v>
      </x:c>
      <x:c r="E38" s="40" t="str">
        <x:v>Placements, active systems, procedures per system and recurring revenue</x:v>
      </x:c>
      <x:c r="F38" s="40" t="str">
        <x:v>Placements generate actual repeat use and gross profit</x:v>
      </x:c>
      <x:c r="G38" s="40" t="str">
        <x:v>Installed equipment can become a recurring economic base</x:v>
      </x:c>
      <x:c r="H38" s="40" t="str">
        <x:v>Free or subsidized placements may never achieve profitable utilization</x:v>
      </x:c>
      <x:c r="I38" s="40" t="str">
        <x:v>Leading</x:v>
      </x:c>
      <x:c r="J38" s="40" t="str">
        <x:v>Definition complete; series not loaded</x:v>
      </x:c>
      <x:c r="K38" s="40" t="str"/>
      <x:c r="L38" s="40" t="str">
        <x:v>EDGAR</x:v>
      </x:c>
      <x:c r="M38" s="40" t="str">
        <x:v>https://www.sec.gov/edgar/search/</x:v>
      </x:c>
    </x:row>
    <x:row r="39" ht="104" customHeight="1">
      <x:c r="A39" s="40" t="str">
        <x:v>I034</x:v>
      </x:c>
      <x:c r="B39" s="40" t="str">
        <x:v>Financials</x:v>
      </x:c>
      <x:c r="C39" s="40" t="str">
        <x:v>Deposit repricing and asset yield</x:v>
      </x:c>
      <x:c r="D39" s="40" t="str">
        <x:v>Quarterly</x:v>
      </x:c>
      <x:c r="E39" s="40" t="str">
        <x:v>NIM bridge: asset yield, deposit beta, wholesale funding and mix</x:v>
      </x:c>
      <x:c r="F39" s="40" t="str">
        <x:v>Funding costs fall without deposit flight or worsening credit</x:v>
      </x:c>
      <x:c r="G39" s="40" t="str">
        <x:v>Net interest income can recover before loan growth</x:v>
      </x:c>
      <x:c r="H39" s="40" t="str">
        <x:v>Securities gains and temporary funding distort the spread</x:v>
      </x:c>
      <x:c r="I39" s="40" t="str">
        <x:v>Leading</x:v>
      </x:c>
      <x:c r="J39" s="40" t="str">
        <x:v>Partial snapshot/proxy; full multi-variable test not populated</x:v>
      </x:c>
      <x:c r="K39" s="40" t="str">
        <x:v>O080</x:v>
      </x:c>
      <x:c r="L39" s="40" t="str">
        <x:v>PEBO26</x:v>
      </x:c>
      <x:c r="M39" s="40" t="str">
        <x:v>https://www.prnewswire.com/news-releases/peoples-bancorp-inc-announces-results-for-the-second-quarter-2026-302829905.html</x:v>
      </x:c>
    </x:row>
    <x:row r="40" ht="104" customHeight="1">
      <x:c r="A40" s="40" t="str">
        <x:v>I035</x:v>
      </x:c>
      <x:c r="B40" s="40" t="str">
        <x:v>Financials</x:v>
      </x:c>
      <x:c r="C40" s="40" t="str">
        <x:v>Bank liquidity and economic tangible equity</x:v>
      </x:c>
      <x:c r="D40" s="40" t="str">
        <x:v>Quarterly / event</x:v>
      </x:c>
      <x:c r="E40" s="40" t="str">
        <x:v>Uninsured concentration, liquid assets, duration and stressed credit losses</x:v>
      </x:c>
      <x:c r="F40" s="40" t="str">
        <x:v>Capital remains adequate after liquidity and rate stress</x:v>
      </x:c>
      <x:c r="G40" s="40" t="str">
        <x:v>Survival allows participation in future earnings recovery</x:v>
      </x:c>
      <x:c r="H40" s="40" t="str">
        <x:v>Reported book and low current defaults do not capture duration losses</x:v>
      </x:c>
      <x:c r="I40" s="40" t="str">
        <x:v>Leading</x:v>
      </x:c>
      <x:c r="J40" s="40" t="str">
        <x:v>Partial snapshot/proxy; full multi-variable test not populated</x:v>
      </x:c>
      <x:c r="K40" s="40" t="str">
        <x:v>O092</x:v>
      </x:c>
      <x:c r="L40" s="40" t="str">
        <x:v>FDIC26</x:v>
      </x:c>
      <x:c r="M40" s="40" t="str">
        <x:v>https://www.fdic.gov/quarterly-banking-profile/quarterly-banking-profile-2q-2026</x:v>
      </x:c>
    </x:row>
    <x:row r="41" ht="104" customHeight="1">
      <x:c r="A41" s="40" t="str">
        <x:v>I036</x:v>
      </x:c>
      <x:c r="B41" s="40" t="str">
        <x:v>Financials</x:v>
      </x:c>
      <x:c r="C41" s="40" t="str">
        <x:v>Written versus earned insurance premiums</x:v>
      </x:c>
      <x:c r="D41" s="40" t="str">
        <x:v>Quarterly</x:v>
      </x:c>
      <x:c r="E41" s="40" t="str">
        <x:v>By product: rate, exposure, retention, written and earned premium</x:v>
      </x:c>
      <x:c r="F41" s="40" t="str">
        <x:v>Healthy new writings with price exceeding loss-cost trend</x:v>
      </x:c>
      <x:c r="G41" s="40" t="str">
        <x:v>New underwriting cohorts drive later earned earnings</x:v>
      </x:c>
      <x:c r="H41" s="40" t="str">
        <x:v>Earned premiums lag; property shrinkage can hide in aggregate results</x:v>
      </x:c>
      <x:c r="I41" s="40" t="str">
        <x:v>Leading</x:v>
      </x:c>
      <x:c r="J41" s="40" t="str">
        <x:v>Partial snapshot/proxy; full multi-variable test not populated</x:v>
      </x:c>
      <x:c r="K41" s="40" t="str">
        <x:v>O059</x:v>
      </x:c>
      <x:c r="L41" s="40" t="str">
        <x:v>KNSL26</x:v>
      </x:c>
      <x:c r="M41" s="40" t="str">
        <x:v>https://ir.kinsalecapitalgroup.com/news/news-details/2026/Kinsale-Capital-Group-Reports-Second-Quarter-2026-Results/default.aspx</x:v>
      </x:c>
    </x:row>
    <x:row r="42" ht="104" customHeight="1">
      <x:c r="A42" s="40" t="str">
        <x:v>I037</x:v>
      </x:c>
      <x:c r="B42" s="40" t="str">
        <x:v>Financials</x:v>
      </x:c>
      <x:c r="C42" s="40" t="str">
        <x:v>Insurance reserves and accident-year profit</x:v>
      </x:c>
      <x:c r="D42" s="40" t="str">
        <x:v>Quarterly / statutory filing</x:v>
      </x:c>
      <x:c r="E42" s="40" t="str">
        <x:v>Separate current accident-year results from reserve development</x:v>
      </x:c>
      <x:c r="F42" s="40" t="str">
        <x:v>Underlying loss ratio improves without favorable releases</x:v>
      </x:c>
      <x:c r="G42" s="40" t="str">
        <x:v>True underwriting returns can compound float and equity</x:v>
      </x:c>
      <x:c r="H42" s="40" t="str">
        <x:v>Reserve releases can inflate apparent current profitability</x:v>
      </x:c>
      <x:c r="I42" s="40" t="str">
        <x:v>Leading</x:v>
      </x:c>
      <x:c r="J42" s="40" t="str">
        <x:v>Definition complete; series not loaded</x:v>
      </x:c>
      <x:c r="K42" s="40" t="str"/>
      <x:c r="L42" s="40" t="str">
        <x:v>EDGAR</x:v>
      </x:c>
      <x:c r="M42" s="40" t="str">
        <x:v>https://www.sec.gov/edgar/search/</x:v>
      </x:c>
    </x:row>
    <x:row r="43" ht="104" customHeight="1">
      <x:c r="A43" s="40" t="str">
        <x:v>I038</x:v>
      </x:c>
      <x:c r="B43" s="40" t="str">
        <x:v>Financials</x:v>
      </x:c>
      <x:c r="C43" s="40" t="str">
        <x:v>Credit vintages and funding spread</x:v>
      </x:c>
      <x:c r="D43" s="40" t="str">
        <x:v>Monthly / quarterly</x:v>
      </x:c>
      <x:c r="E43" s="40" t="str">
        <x:v>Delinquency, roll rate and charge-off by origination vintage</x:v>
      </x:c>
      <x:c r="F43" s="40" t="str">
        <x:v>Losses stabilize on comparable seasoning and funding remains open</x:v>
      </x:c>
      <x:c r="G43" s="40" t="str">
        <x:v>Credit and interest spreads determine lender equity earnings</x:v>
      </x:c>
      <x:c r="H43" s="40" t="str">
        <x:v>Portfolio averages obscure younger or riskier cohorts</x:v>
      </x:c>
      <x:c r="I43" s="40" t="str">
        <x:v>Leading</x:v>
      </x:c>
      <x:c r="J43" s="40" t="str">
        <x:v>Definition complete; series not loaded</x:v>
      </x:c>
      <x:c r="K43" s="40" t="str"/>
      <x:c r="L43" s="40" t="str">
        <x:v>FDIC</x:v>
      </x:c>
      <x:c r="M43" s="40" t="str">
        <x:v>https://www.fdic.gov/analysis/</x:v>
      </x:c>
    </x:row>
    <x:row r="44" ht="104" customHeight="1">
      <x:c r="A44" s="40" t="str">
        <x:v>I039</x:v>
      </x:c>
      <x:c r="B44" s="40" t="str">
        <x:v>Financials</x:v>
      </x:c>
      <x:c r="C44" s="40" t="str">
        <x:v>Exchange volumes and recurring data</x:v>
      </x:c>
      <x:c r="D44" s="40" t="str">
        <x:v>Monthly / quarterly</x:v>
      </x:c>
      <x:c r="E44" s="40" t="str">
        <x:v>Trading units and monetization plus subscription renewals</x:v>
      </x:c>
      <x:c r="F44" s="40" t="str">
        <x:v>Recurring data grows independently of temporary volatility</x:v>
      </x:c>
      <x:c r="G44" s="40" t="str">
        <x:v>Network liquidity and operating leverage can compound</x:v>
      </x:c>
      <x:c r="H44" s="40" t="str">
        <x:v>A volatility spike is not a permanent revenue level</x:v>
      </x:c>
      <x:c r="I44" s="40" t="str">
        <x:v>Leading</x:v>
      </x:c>
      <x:c r="J44" s="40" t="str">
        <x:v>Definition complete; series not loaded</x:v>
      </x:c>
      <x:c r="K44" s="40" t="str"/>
      <x:c r="L44" s="40" t="str">
        <x:v>EDGAR</x:v>
      </x:c>
      <x:c r="M44" s="40" t="str">
        <x:v>https://www.sec.gov/edgar/search/</x:v>
      </x:c>
    </x:row>
    <x:row r="45" ht="104" customHeight="1">
      <x:c r="A45" s="40" t="str">
        <x:v>I040</x:v>
      </x:c>
      <x:c r="B45" s="40" t="str">
        <x:v>Financials</x:v>
      </x:c>
      <x:c r="C45" s="40" t="str">
        <x:v>Asset-manager organic flows</x:v>
      </x:c>
      <x:c r="D45" s="40" t="str">
        <x:v>Monthly / quarterly</x:v>
      </x:c>
      <x:c r="E45" s="40" t="str">
        <x:v>Net flows separate from asset-price appreciation and acquired AUM</x:v>
      </x:c>
      <x:c r="F45" s="40" t="str">
        <x:v>Persistent organic flows without fee compression</x:v>
      </x:c>
      <x:c r="G45" s="40" t="str">
        <x:v>Fee base expands with limited fixed cost growth</x:v>
      </x:c>
      <x:c r="H45" s="40" t="str">
        <x:v>Bull markets can hide client redemptions</x:v>
      </x:c>
      <x:c r="I45" s="40" t="str">
        <x:v>Leading</x:v>
      </x:c>
      <x:c r="J45" s="40" t="str">
        <x:v>Definition complete; series not loaded</x:v>
      </x:c>
      <x:c r="K45" s="40" t="str"/>
      <x:c r="L45" s="40" t="str">
        <x:v>EDGAR</x:v>
      </x:c>
      <x:c r="M45" s="40" t="str">
        <x:v>https://www.sec.gov/edgar/search/</x:v>
      </x:c>
    </x:row>
    <x:row r="46" ht="104" customHeight="1">
      <x:c r="A46" s="40" t="str">
        <x:v>I041</x:v>
      </x:c>
      <x:c r="B46" s="40" t="str">
        <x:v>Information Technology</x:v>
      </x:c>
      <x:c r="C46" s="40" t="str">
        <x:v>Semiconductor utilization and inventory</x:v>
      </x:c>
      <x:c r="D46" s="40" t="str">
        <x:v>Quarterly</x:v>
      </x:c>
      <x:c r="E46" s="40" t="str">
        <x:v>Test/fab utilization, finished inventory and customer capex jointly</x:v>
      </x:c>
      <x:c r="F46" s="40" t="str">
        <x:v>Utilization rises with new qualified capital orders</x:v>
      </x:c>
      <x:c r="G46" s="40" t="str">
        <x:v>Equipment demand and higher throughput improve cash earnings</x:v>
      </x:c>
      <x:c r="H46" s="40" t="str">
        <x:v>Installed-base spares are repeat demand, not necessarily contracted recurring revenue</x:v>
      </x:c>
      <x:c r="I46" s="40" t="str">
        <x:v>Leading</x:v>
      </x:c>
      <x:c r="J46" s="40" t="str">
        <x:v>Partial snapshot/proxy; full multi-variable test not populated</x:v>
      </x:c>
      <x:c r="K46" s="40" t="str">
        <x:v>O018</x:v>
      </x:c>
      <x:c r="L46" s="40" t="str">
        <x:v>COHU26</x:v>
      </x:c>
      <x:c r="M46" s="40" t="str">
        <x:v>https://ir.cohu.com/news-releases/news-release-details/cohu-reports-second-quarter-2026-results</x:v>
      </x:c>
    </x:row>
    <x:row r="47" ht="104" customHeight="1">
      <x:c r="A47" s="40" t="str">
        <x:v>I042</x:v>
      </x:c>
      <x:c r="B47" s="40" t="str">
        <x:v>Information Technology</x:v>
      </x:c>
      <x:c r="C47" s="40" t="str">
        <x:v>Memory product-specific supply balance</x:v>
      </x:c>
      <x:c r="D47" s="40" t="str">
        <x:v>Monthly / quarterly</x:v>
      </x:c>
      <x:c r="E47" s="40" t="str">
        <x:v>DRAM, NAND and HBM quantities/prices separately</x:v>
      </x:c>
      <x:c r="F47" s="40" t="str">
        <x:v>Qualified supply lags real product demand at sustainable pricing</x:v>
      </x:c>
      <x:c r="G47" s="40" t="str">
        <x:v>Mix and utilization can change profits nonlinearly</x:v>
      </x:c>
      <x:c r="H47" s="40" t="str">
        <x:v>Broad bit growth or spot price is a poor proxy for HBM economics</x:v>
      </x:c>
      <x:c r="I47" s="40" t="str">
        <x:v>Leading</x:v>
      </x:c>
      <x:c r="J47" s="40" t="str">
        <x:v>Definition complete; series not loaded</x:v>
      </x:c>
      <x:c r="K47" s="40" t="str"/>
      <x:c r="L47" s="40" t="str">
        <x:v>SIA</x:v>
      </x:c>
      <x:c r="M47" s="40" t="str">
        <x:v>https://www.semiconductors.org/</x:v>
      </x:c>
    </x:row>
    <x:row r="48" ht="104" customHeight="1">
      <x:c r="A48" s="40" t="str">
        <x:v>I043</x:v>
      </x:c>
      <x:c r="B48" s="40" t="str">
        <x:v>Information Technology</x:v>
      </x:c>
      <x:c r="C48" s="40" t="str">
        <x:v>Advanced packaging inspection intensity</x:v>
      </x:c>
      <x:c r="D48" s="40" t="str">
        <x:v>Quarterly / process transition</x:v>
      </x:c>
      <x:c r="E48" s="40" t="str">
        <x:v>Steps per package, inspection adoption, orders and shipment dates</x:v>
      </x:c>
      <x:c r="F48" s="40" t="str">
        <x:v>New process complexity increases paid inspection content</x:v>
      </x:c>
      <x:c r="G48" s="40" t="str">
        <x:v>Revenue can grow faster than semiconductor unit shipments</x:v>
      </x:c>
      <x:c r="H48" s="40" t="str">
        <x:v>A design win or customer roadmap is not a revenue commitment</x:v>
      </x:c>
      <x:c r="I48" s="40" t="str">
        <x:v>Leading</x:v>
      </x:c>
      <x:c r="J48" s="40" t="str">
        <x:v>Partial snapshot/proxy; full multi-variable test not populated</x:v>
      </x:c>
      <x:c r="K48" s="40" t="str">
        <x:v>O042</x:v>
      </x:c>
      <x:c r="L48" s="40" t="str">
        <x:v>CAMT26</x:v>
      </x:c>
      <x:c r="M48" s="40" t="str">
        <x:v>https://www.camtek.com/news-and-events/camtek-announces-results-for-the-second-quarter-of-2026/</x:v>
      </x:c>
    </x:row>
    <x:row r="49" ht="104" customHeight="1">
      <x:c r="A49" s="40" t="str">
        <x:v>I044</x:v>
      </x:c>
      <x:c r="B49" s="40" t="str">
        <x:v>Information Technology</x:v>
      </x:c>
      <x:c r="C49" s="40" t="str">
        <x:v>Optics qualification to cash conversion</x:v>
      </x:c>
      <x:c r="D49" s="40" t="str">
        <x:v>Quarterly / qualification</x:v>
      </x:c>
      <x:c r="E49" s="40" t="str">
        <x:v>Qualification, purchase order, shipped units, yield and receivable days</x:v>
      </x:c>
      <x:c r="F49" s="40" t="str">
        <x:v>Volume ramps with improving yield and operating cash</x:v>
      </x:c>
      <x:c r="G49" s="40" t="str">
        <x:v>Higher throughput may absorb fixed costs</x:v>
      </x:c>
      <x:c r="H49" s="40" t="str">
        <x:v>Revenue growth with lower margins and funding needs can destroy equity value</x:v>
      </x:c>
      <x:c r="I49" s="40" t="str">
        <x:v>Leading</x:v>
      </x:c>
      <x:c r="J49" s="40" t="str">
        <x:v>Partial snapshot/proxy; full multi-variable test not populated</x:v>
      </x:c>
      <x:c r="K49" s="40" t="str">
        <x:v>O037</x:v>
      </x:c>
      <x:c r="L49" s="40" t="str">
        <x:v>AAOI26</x:v>
      </x:c>
      <x:c r="M49" s="40" t="str">
        <x:v>https://investors.ao-inc.com/news-releases/news-release-details/applied-optoelectronics-reports-second-quarter-2026-results</x:v>
      </x:c>
    </x:row>
    <x:row r="50" ht="104" customHeight="1">
      <x:c r="A50" s="40" t="str">
        <x:v>I045</x:v>
      </x:c>
      <x:c r="B50" s="40" t="str">
        <x:v>Information Technology</x:v>
      </x:c>
      <x:c r="C50" s="40" t="str">
        <x:v>Network bandwidth and gross profit per rack</x:v>
      </x:c>
      <x:c r="D50" s="40" t="str">
        <x:v>Quarterly</x:v>
      </x:c>
      <x:c r="E50" s="40" t="str">
        <x:v>Ports, speed, optical content, ASP decline and power efficiency</x:v>
      </x:c>
      <x:c r="F50" s="40" t="str">
        <x:v>Gross profit content rises faster than dollars per bit fall</x:v>
      </x:c>
      <x:c r="G50" s="40" t="str">
        <x:v>New bandwidth generations create or shift profit pools</x:v>
      </x:c>
      <x:c r="H50" s="40" t="str">
        <x:v>Bandwidth growth alone does not establish vendor pricing power</x:v>
      </x:c>
      <x:c r="I50" s="40" t="str">
        <x:v>Leading</x:v>
      </x:c>
      <x:c r="J50" s="40" t="str">
        <x:v>Definition complete; series not loaded</x:v>
      </x:c>
      <x:c r="K50" s="40" t="str"/>
      <x:c r="L50" s="40" t="str">
        <x:v>EDGAR</x:v>
      </x:c>
      <x:c r="M50" s="40" t="str">
        <x:v>https://www.sec.gov/edgar/search/</x:v>
      </x:c>
    </x:row>
    <x:row r="51" ht="104" customHeight="1">
      <x:c r="A51" s="40" t="str">
        <x:v>I046</x:v>
      </x:c>
      <x:c r="B51" s="40" t="str">
        <x:v>Information Technology</x:v>
      </x:c>
      <x:c r="C51" s="40" t="str">
        <x:v>Vertical software retention</x:v>
      </x:c>
      <x:c r="D51" s="40" t="str">
        <x:v>Quarterly / cohort</x:v>
      </x:c>
      <x:c r="E51" s="40" t="str">
        <x:v>Gross retention, expansion, customer count and paid usage</x:v>
      </x:c>
      <x:c r="F51" s="40" t="str">
        <x:v>Core customer retention supports growth without excessive CAC</x:v>
      </x:c>
      <x:c r="G51" s="40" t="str">
        <x:v>Embedded workflows can compound high-margin revenue</x:v>
      </x:c>
      <x:c r="H51" s="40" t="str">
        <x:v>Price increases or acquired ARR can inflate net retention</x:v>
      </x:c>
      <x:c r="I51" s="40" t="str">
        <x:v>Leading</x:v>
      </x:c>
      <x:c r="J51" s="40" t="str">
        <x:v>Definition complete; series not loaded</x:v>
      </x:c>
      <x:c r="K51" s="40" t="str"/>
      <x:c r="L51" s="40" t="str">
        <x:v>EDGAR</x:v>
      </x:c>
      <x:c r="M51" s="40" t="str">
        <x:v>https://www.sec.gov/edgar/search/</x:v>
      </x:c>
    </x:row>
    <x:row r="52" ht="104" customHeight="1">
      <x:c r="A52" s="40" t="str">
        <x:v>I047</x:v>
      </x:c>
      <x:c r="B52" s="40" t="str">
        <x:v>Information Technology</x:v>
      </x:c>
      <x:c r="C52" s="40" t="str">
        <x:v>Property software monetization quality</x:v>
      </x:c>
      <x:c r="D52" s="40" t="str">
        <x:v>Quarterly</x:v>
      </x:c>
      <x:c r="E52" s="40" t="str">
        <x:v>Units, subscription revenue, payments and gross profit separately</x:v>
      </x:c>
      <x:c r="F52" s="40" t="str">
        <x:v>Unit growth plus profitable adoption exceeds support costs</x:v>
      </x:c>
      <x:c r="G52" s="40" t="str">
        <x:v>Expansion into customer workflows can lift contribution</x:v>
      </x:c>
      <x:c r="H52" s="40" t="str">
        <x:v>Total revenue is not equivalent to SaaS ARR; payment mix changes gross margin</x:v>
      </x:c>
      <x:c r="I52" s="40" t="str">
        <x:v>Leading</x:v>
      </x:c>
      <x:c r="J52" s="40" t="str">
        <x:v>Partial snapshot/proxy; full multi-variable test not populated</x:v>
      </x:c>
      <x:c r="K52" s="40" t="str">
        <x:v>O056</x:v>
      </x:c>
      <x:c r="L52" s="40" t="str">
        <x:v>APPF26</x:v>
      </x:c>
      <x:c r="M52" s="40" t="str">
        <x:v>https://ir.appfolioinc.com/news-releases/news-release-details/appfolio-inc-announces-second-quarter-2026-financial-results</x:v>
      </x:c>
    </x:row>
    <x:row r="53" ht="104" customHeight="1">
      <x:c r="A53" s="40" t="str">
        <x:v>I048</x:v>
      </x:c>
      <x:c r="B53" s="40" t="str">
        <x:v>Information Technology</x:v>
      </x:c>
      <x:c r="C53" s="40" t="str">
        <x:v>Security connectivity accounts</x:v>
      </x:c>
      <x:c r="D53" s="40" t="str">
        <x:v>Quarterly</x:v>
      </x:c>
      <x:c r="E53" s="40" t="str">
        <x:v>Gross additions minus disconnects; ARPU and carrier cost</x:v>
      </x:c>
      <x:c r="F53" s="40" t="str">
        <x:v>Net accounts grow with stable lifetime economics</x:v>
      </x:c>
      <x:c r="G53" s="40" t="str">
        <x:v>Hardware placements may create repeat service contribution</x:v>
      </x:c>
      <x:c r="H53" s="40" t="str">
        <x:v>Run-rate revenue and gross margin do not prove low churn or full net margin</x:v>
      </x:c>
      <x:c r="I53" s="40" t="str">
        <x:v>Leading</x:v>
      </x:c>
      <x:c r="J53" s="40" t="str">
        <x:v>Partial snapshot/proxy; full multi-variable test not populated</x:v>
      </x:c>
      <x:c r="K53" s="40" t="str">
        <x:v>O010</x:v>
      </x:c>
      <x:c r="L53" s="40" t="str">
        <x:v>NSSC26</x:v>
      </x:c>
      <x:c r="M53" s="40" t="str">
        <x:v>https://investor.napcosecurity.com/2026-08-24-NAPCO-Security-Technologies,-Inc-Reports-Fiscal-Q4-and-Full-Year-2026-Results</x:v>
      </x:c>
    </x:row>
    <x:row r="54" ht="104" customHeight="1">
      <x:c r="A54" s="40" t="str">
        <x:v>I049</x:v>
      </x:c>
      <x:c r="B54" s="40" t="str">
        <x:v>Information Technology</x:v>
      </x:c>
      <x:c r="C54" s="40" t="str">
        <x:v>Software dilution-adjusted cash conversion</x:v>
      </x:c>
      <x:c r="D54" s="40" t="str">
        <x:v>Quarterly</x:v>
      </x:c>
      <x:c r="E54" s="40" t="str">
        <x:v>Cash flow less economic dilution and required capitalized development</x:v>
      </x:c>
      <x:c r="F54" s="40" t="str">
        <x:v>Per-share owner cash grows with stable retention</x:v>
      </x:c>
      <x:c r="G54" s="40" t="str">
        <x:v>Operating leverage benefits shareholders rather than just corporate scale</x:v>
      </x:c>
      <x:c r="H54" s="40" t="str">
        <x:v>SBC addbacks and lower share count can be double-counted</x:v>
      </x:c>
      <x:c r="I54" s="40" t="str">
        <x:v>Leading</x:v>
      </x:c>
      <x:c r="J54" s="40" t="str">
        <x:v>Definition complete; series not loaded</x:v>
      </x:c>
      <x:c r="K54" s="40" t="str"/>
      <x:c r="L54" s="40" t="str">
        <x:v>EDGAR</x:v>
      </x:c>
      <x:c r="M54" s="40" t="str">
        <x:v>https://www.sec.gov/edgar/search/</x:v>
      </x:c>
    </x:row>
    <x:row r="55" ht="104" customHeight="1">
      <x:c r="A55" s="40" t="str">
        <x:v>I050</x:v>
      </x:c>
      <x:c r="B55" s="40" t="str">
        <x:v>Information Technology</x:v>
      </x:c>
      <x:c r="C55" s="40" t="str">
        <x:v>Electronics channel inventory</x:v>
      </x:c>
      <x:c r="D55" s="40" t="str">
        <x:v>Quarterly</x:v>
      </x:c>
      <x:c r="E55" s="40" t="str">
        <x:v>Distributor shipments versus final sell-through and purchase commitments</x:v>
      </x:c>
      <x:c r="F55" s="40" t="str">
        <x:v>Inventory normalizes across vendors and end customers</x:v>
      </x:c>
      <x:c r="G55" s="40" t="str">
        <x:v>Restocking can accelerate component and equipment orders</x:v>
      </x:c>
      <x:c r="H55" s="40" t="str">
        <x:v>Duplicate orders or acquisition mix can produce false recoveries</x:v>
      </x:c>
      <x:c r="I55" s="40" t="str">
        <x:v>Leading</x:v>
      </x:c>
      <x:c r="J55" s="40" t="str">
        <x:v>Definition complete; series not loaded</x:v>
      </x:c>
      <x:c r="K55" s="40" t="str"/>
      <x:c r="L55" s="40" t="str">
        <x:v>EDGAR</x:v>
      </x:c>
      <x:c r="M55" s="40" t="str">
        <x:v>https://www.sec.gov/edgar/search/</x:v>
      </x:c>
    </x:row>
    <x:row r="56" ht="104" customHeight="1">
      <x:c r="A56" s="40" t="str">
        <x:v>I051</x:v>
      </x:c>
      <x:c r="B56" s="40" t="str">
        <x:v>Communication Services</x:v>
      </x:c>
      <x:c r="C56" s="40" t="str">
        <x:v>Search referrals and owned-audience monetization</x:v>
      </x:c>
      <x:c r="D56" s="40" t="str">
        <x:v>Quarterly / channel change</x:v>
      </x:c>
      <x:c r="E56" s="40" t="str">
        <x:v>Traffic source, owned subscribers, conversion and gross profit</x:v>
      </x:c>
      <x:c r="F56" s="40" t="str">
        <x:v>Direct audience improves enough to offset external referral pressure</x:v>
      </x:c>
      <x:c r="G56" s="40" t="str">
        <x:v>Less platform dependence can stabilize digital-publisher cash</x:v>
      </x:c>
      <x:c r="H56" s="40" t="str">
        <x:v>Higher RPM may disguise falling useful traffic</x:v>
      </x:c>
      <x:c r="I56" s="40" t="str">
        <x:v>Leading</x:v>
      </x:c>
      <x:c r="J56" s="40" t="str">
        <x:v>Partial snapshot/proxy; full multi-variable test not populated</x:v>
      </x:c>
      <x:c r="K56" s="40" t="str">
        <x:v>O082</x:v>
      </x:c>
      <x:c r="L56" s="40" t="str">
        <x:v>ZD26</x:v>
      </x:c>
      <x:c r="M56" s="40" t="str">
        <x:v>https://investor.ziffdavis.com/</x:v>
      </x:c>
    </x:row>
    <x:row r="57" ht="104" customHeight="1">
      <x:c r="A57" s="40" t="str">
        <x:v>I052</x:v>
      </x:c>
      <x:c r="B57" s="40" t="str">
        <x:v>Communication Services</x:v>
      </x:c>
      <x:c r="C57" s="40" t="str">
        <x:v>Ad impressions versus pricing</x:v>
      </x:c>
      <x:c r="D57" s="40" t="str">
        <x:v>Quarterly</x:v>
      </x:c>
      <x:c r="E57" s="40" t="str">
        <x:v>Engagement, ad load, impression growth and realized CPM</x:v>
      </x:c>
      <x:c r="F57" s="40" t="str">
        <x:v>Revenue rises from useful engagement without user churn</x:v>
      </x:c>
      <x:c r="G57" s="40" t="str">
        <x:v>Monetization and operating leverage support earnings</x:v>
      </x:c>
      <x:c r="H57" s="40" t="str">
        <x:v>Rising ad load can damage future engagement</x:v>
      </x:c>
      <x:c r="I57" s="40" t="str">
        <x:v>Leading</x:v>
      </x:c>
      <x:c r="J57" s="40" t="str">
        <x:v>Definition complete; series not loaded</x:v>
      </x:c>
      <x:c r="K57" s="40" t="str"/>
      <x:c r="L57" s="40" t="str">
        <x:v>EDGAR</x:v>
      </x:c>
      <x:c r="M57" s="40" t="str">
        <x:v>https://www.sec.gov/edgar/search/</x:v>
      </x:c>
    </x:row>
    <x:row r="58" ht="104" customHeight="1">
      <x:c r="A58" s="40" t="str">
        <x:v>I053</x:v>
      </x:c>
      <x:c r="B58" s="40" t="str">
        <x:v>Communication Services</x:v>
      </x:c>
      <x:c r="C58" s="40" t="str">
        <x:v>Streaming cohort retention and content cash</x:v>
      </x:c>
      <x:c r="D58" s="40" t="str">
        <x:v>Quarterly</x:v>
      </x:c>
      <x:c r="E58" s="40" t="str">
        <x:v>Paid accounts, churn, ARPU and cash content spending</x:v>
      </x:c>
      <x:c r="F58" s="40" t="str">
        <x:v>Monetization improves after acquisition/content costs</x:v>
      </x:c>
      <x:c r="G58" s="40" t="str">
        <x:v>Higher contribution can finance a durable content franchise</x:v>
      </x:c>
      <x:c r="H58" s="40" t="str">
        <x:v>Amortized content expense may understate current cash commitments</x:v>
      </x:c>
      <x:c r="I58" s="40" t="str">
        <x:v>Leading</x:v>
      </x:c>
      <x:c r="J58" s="40" t="str">
        <x:v>Definition complete; series not loaded</x:v>
      </x:c>
      <x:c r="K58" s="40" t="str"/>
      <x:c r="L58" s="40" t="str">
        <x:v>EDGAR</x:v>
      </x:c>
      <x:c r="M58" s="40" t="str">
        <x:v>https://www.sec.gov/edgar/search/</x:v>
      </x:c>
    </x:row>
    <x:row r="59" ht="104" customHeight="1">
      <x:c r="A59" s="40" t="str">
        <x:v>I054</x:v>
      </x:c>
      <x:c r="B59" s="40" t="str">
        <x:v>Communication Services</x:v>
      </x:c>
      <x:c r="C59" s="40" t="str">
        <x:v>Telecom capex to maintenance cash flow</x:v>
      </x:c>
      <x:c r="D59" s="40" t="str">
        <x:v>Quarterly / rollout milestone</x:v>
      </x:c>
      <x:c r="E59" s="40" t="str">
        <x:v>Homes passed, connected, churn and sustaining network cost</x:v>
      </x:c>
      <x:c r="F59" s="40" t="str">
        <x:v>Penetration rises as buildout spend declines sustainably</x:v>
      </x:c>
      <x:c r="G59" s="40" t="str">
        <x:v>Free cash flow can inflect after heavy deployment</x:v>
      </x:c>
      <x:c r="H59" s="40" t="str">
        <x:v>Capex deferral is not a permanent efficiency gain</x:v>
      </x:c>
      <x:c r="I59" s="40" t="str">
        <x:v>Leading</x:v>
      </x:c>
      <x:c r="J59" s="40" t="str">
        <x:v>Definition complete; series not loaded</x:v>
      </x:c>
      <x:c r="K59" s="40" t="str"/>
      <x:c r="L59" s="40" t="str">
        <x:v>FCC</x:v>
      </x:c>
      <x:c r="M59" s="40" t="str">
        <x:v>https://www.fcc.gov/</x:v>
      </x:c>
    </x:row>
    <x:row r="60" ht="104" customHeight="1">
      <x:c r="A60" s="40" t="str">
        <x:v>I055</x:v>
      </x:c>
      <x:c r="B60" s="40" t="str">
        <x:v>Utilities</x:v>
      </x:c>
      <x:c r="C60" s="40" t="str">
        <x:v>Funded load rather than interconnection queue</x:v>
      </x:c>
      <x:c r="D60" s="40" t="str">
        <x:v>Project / rate-case event</x:v>
      </x:c>
      <x:c r="E60" s="40" t="str">
        <x:v>Site, power, deposit, cancellation terms and construction readiness</x:v>
      </x:c>
      <x:c r="F60" s="40" t="str">
        <x:v>Committed load supports an approved funded capital plan</x:v>
      </x:c>
      <x:c r="G60" s="40" t="str">
        <x:v>Investment may expand rate base or contracted generation earnings</x:v>
      </x:c>
      <x:c r="H60" s="40" t="str">
        <x:v>Duplicate speculative queue requests inflate demand</x:v>
      </x:c>
      <x:c r="I60" s="40" t="str">
        <x:v>Leading</x:v>
      </x:c>
      <x:c r="J60" s="40" t="str">
        <x:v>Definition complete; series not loaded</x:v>
      </x:c>
      <x:c r="K60" s="40" t="str"/>
      <x:c r="L60" s="40" t="str">
        <x:v>FERC</x:v>
      </x:c>
      <x:c r="M60" s="40" t="str">
        <x:v>https://www.ferc.gov/</x:v>
      </x:c>
    </x:row>
    <x:row r="61" ht="104" customHeight="1">
      <x:c r="A61" s="40" t="str">
        <x:v>I056</x:v>
      </x:c>
      <x:c r="B61" s="40" t="str">
        <x:v>Utilities</x:v>
      </x:c>
      <x:c r="C61" s="40" t="str">
        <x:v>Allowed versus earned equity return</x:v>
      </x:c>
      <x:c r="D61" s="40" t="str">
        <x:v>Rate-case / quarterly</x:v>
      </x:c>
      <x:c r="E61" s="40" t="str">
        <x:v>Rate base × equity fraction × allowed ROE; compare earned returns</x:v>
      </x:c>
      <x:c r="F61" s="40" t="str">
        <x:v>New capital receives timely cost recovery at adequate funding cost</x:v>
      </x:c>
      <x:c r="G61" s="40" t="str">
        <x:v>Regulated equity earnings grow only on the equity-funded share</x:v>
      </x:c>
      <x:c r="H61" s="40" t="str">
        <x:v>Multiplying all rate base by allowed equity ROE overstates profit</x:v>
      </x:c>
      <x:c r="I61" s="40" t="str">
        <x:v>Leading</x:v>
      </x:c>
      <x:c r="J61" s="40" t="str">
        <x:v>Definition complete; series not loaded</x:v>
      </x:c>
      <x:c r="K61" s="40" t="str"/>
      <x:c r="L61" s="40" t="str">
        <x:v>EDGAR</x:v>
      </x:c>
      <x:c r="M61" s="40" t="str">
        <x:v>https://www.sec.gov/edgar/search/</x:v>
      </x:c>
    </x:row>
    <x:row r="62" ht="104" customHeight="1">
      <x:c r="A62" s="40" t="str">
        <x:v>I057</x:v>
      </x:c>
      <x:c r="B62" s="40" t="str">
        <x:v>Utilities</x:v>
      </x:c>
      <x:c r="C62" s="40" t="str">
        <x:v>Merchant power price and hedged exposure</x:v>
      </x:c>
      <x:c r="D62" s="40" t="str">
        <x:v>Quarterly / forward-market</x:v>
      </x:c>
      <x:c r="E62" s="40" t="str">
        <x:v>Hedge tenor, retail obligations, capacity revenue and project debt</x:v>
      </x:c>
      <x:c r="F62" s="40" t="str">
        <x:v>Unhedged realization improves without offsetting retail losses</x:v>
      </x:c>
      <x:c r="G62" s="40" t="str">
        <x:v>Net—not gross—power exposure drives cash</x:v>
      </x:c>
      <x:c r="H62" s="40" t="str">
        <x:v>Derivative marks and acquisitions can inflate GAAP income</x:v>
      </x:c>
      <x:c r="I62" s="40" t="str">
        <x:v>Leading</x:v>
      </x:c>
      <x:c r="J62" s="40" t="str">
        <x:v>Partial snapshot/proxy; full multi-variable test not populated</x:v>
      </x:c>
      <x:c r="K62" s="40" t="str">
        <x:v>O083</x:v>
      </x:c>
      <x:c r="L62" s="40" t="str">
        <x:v>NRG26</x:v>
      </x:c>
      <x:c r="M62" s="40" t="str">
        <x:v>https://investors.nrg.com/news-releases/news-release-details/nrg-energy-reports-second-quarter-2026-results-and-reaffirms</x:v>
      </x:c>
    </x:row>
    <x:row r="63" ht="104" customHeight="1">
      <x:c r="A63" s="40" t="str">
        <x:v>I058</x:v>
      </x:c>
      <x:c r="B63" s="40" t="str">
        <x:v>Utilities</x:v>
      </x:c>
      <x:c r="C63" s="40" t="str">
        <x:v>Renewable pipeline probability</x:v>
      </x:c>
      <x:c r="D63" s="40" t="str">
        <x:v>Milestone / quarterly</x:v>
      </x:c>
      <x:c r="E63" s="40" t="str">
        <x:v>Land, interconnect, offtake, financing and notice to proceed</x:v>
      </x:c>
      <x:c r="F63" s="40" t="str">
        <x:v>Projects clear all critical gates at profitable installed cost</x:v>
      </x:c>
      <x:c r="G63" s="40" t="str">
        <x:v>Commissioned assets create contracted cash</x:v>
      </x:c>
      <x:c r="H63" s="40" t="str">
        <x:v>Pipeline MW is not probability-adjusted value</x:v>
      </x:c>
      <x:c r="I63" s="40" t="str">
        <x:v>Leading</x:v>
      </x:c>
      <x:c r="J63" s="40" t="str">
        <x:v>Definition complete; series not loaded</x:v>
      </x:c>
      <x:c r="K63" s="40" t="str"/>
      <x:c r="L63" s="40" t="str">
        <x:v>FERC</x:v>
      </x:c>
      <x:c r="M63" s="40" t="str">
        <x:v>https://www.ferc.gov/</x:v>
      </x:c>
    </x:row>
    <x:row r="64" ht="104" customHeight="1">
      <x:c r="A64" s="40" t="str">
        <x:v>I059</x:v>
      </x:c>
      <x:c r="B64" s="40" t="str">
        <x:v>Real Estate</x:v>
      </x:c>
      <x:c r="C64" s="40" t="str">
        <x:v>Apartment deliveries and new-lease rent</x:v>
      </x:c>
      <x:c r="D64" s="40" t="str">
        <x:v>Monthly / quarterly</x:v>
      </x:c>
      <x:c r="E64" s="40" t="str">
        <x:v>Submarket completions, concessions and effective signed rents</x:v>
      </x:c>
      <x:c r="F64" s="40" t="str">
        <x:v>Supply delivery peaks while net absorption and effective rent stabilize</x:v>
      </x:c>
      <x:c r="G64" s="40" t="str">
        <x:v>NOI improves as concessions roll off and occupancy holds</x:v>
      </x:c>
      <x:c r="H64" s="40" t="str">
        <x:v>National permits and asking rents miss local concessions</x:v>
      </x:c>
      <x:c r="I64" s="40" t="str">
        <x:v>Leading</x:v>
      </x:c>
      <x:c r="J64" s="40" t="str">
        <x:v>Partial snapshot/proxy; full multi-variable test not populated</x:v>
      </x:c>
      <x:c r="K64" s="40" t="str">
        <x:v>O090</x:v>
      </x:c>
      <x:c r="L64" s="40" t="str">
        <x:v>HOUSING26</x:v>
      </x:c>
      <x:c r="M64" s="40" t="str">
        <x:v>https://www.census.gov/construction/nrc/current/index.html</x:v>
      </x:c>
    </x:row>
    <x:row r="65" ht="104" customHeight="1">
      <x:c r="A65" s="40" t="str">
        <x:v>I060</x:v>
      </x:c>
      <x:c r="B65" s="40" t="str">
        <x:v>Real Estate</x:v>
      </x:c>
      <x:c r="C65" s="40" t="str">
        <x:v>Occupied versus leased and cash NOI</x:v>
      </x:c>
      <x:c r="D65" s="40" t="str">
        <x:v>Quarterly</x:v>
      </x:c>
      <x:c r="E65" s="40" t="str">
        <x:v>Occupied units, commenced contracts, rent roll and recurring property capex</x:v>
      </x:c>
      <x:c r="F65" s="40" t="str">
        <x:v>Actual effective cash rent increases after costs</x:v>
      </x:c>
      <x:c r="G65" s="40" t="str">
        <x:v>NOI and AFFO—not lease headlines—support equity returns</x:v>
      </x:c>
      <x:c r="H65" s="40" t="str">
        <x:v>Leased-but-not-commenced space does not generate current rent</x:v>
      </x:c>
      <x:c r="I65" s="40" t="str">
        <x:v>Leading</x:v>
      </x:c>
      <x:c r="J65" s="40" t="str">
        <x:v>Partial snapshot/proxy; full multi-variable test not populated</x:v>
      </x:c>
      <x:c r="K65" s="40" t="str">
        <x:v>O084</x:v>
      </x:c>
      <x:c r="L65" s="40" t="str">
        <x:v>IRT26</x:v>
      </x:c>
      <x:c r="M65" s="40" t="str">
        <x:v>https://investors.irtliving.com/press-releases/press-release/2026/Independence-Realty-Trust-Announces-Second-Quarter-2026-Financial-Results/default.aspx</x:v>
      </x:c>
    </x:row>
    <x:row r="66" ht="104" customHeight="1">
      <x:c r="A66" s="40" t="str">
        <x:v>I061</x:v>
      </x:c>
      <x:c r="B66" s="40" t="str">
        <x:v>Real Estate</x:v>
      </x:c>
      <x:c r="C66" s="40" t="str">
        <x:v>Industrial lease mark-to-market</x:v>
      </x:c>
      <x:c r="D66" s="40" t="str">
        <x:v>Quarterly</x:v>
      </x:c>
      <x:c r="E66" s="40" t="str">
        <x:v>Expiring cohort rent versus achievable market rent after TI/LC</x:v>
      </x:c>
      <x:c r="F66" s="40" t="str">
        <x:v>Leases reset above old rents without lost occupancy</x:v>
      </x:c>
      <x:c r="G66" s="40" t="str">
        <x:v>Embedded contractual resets can drive multi-year NOI</x:v>
      </x:c>
      <x:c r="H66" s="40" t="str">
        <x:v>Headline spreads may omit concessions and tenant investment</x:v>
      </x:c>
      <x:c r="I66" s="40" t="str">
        <x:v>Leading</x:v>
      </x:c>
      <x:c r="J66" s="40" t="str">
        <x:v>Definition complete; series not loaded</x:v>
      </x:c>
      <x:c r="K66" s="40" t="str"/>
      <x:c r="L66" s="40" t="str">
        <x:v>EDGAR</x:v>
      </x:c>
      <x:c r="M66" s="40" t="str">
        <x:v>https://www.sec.gov/edgar/search/</x:v>
      </x:c>
    </x:row>
    <x:row r="67" ht="104" customHeight="1">
      <x:c r="A67" s="40" t="str">
        <x:v>I062</x:v>
      </x:c>
      <x:c r="B67" s="40" t="str">
        <x:v>Real Estate</x:v>
      </x:c>
      <x:c r="C67" s="40" t="str">
        <x:v>Data-center power and development yield</x:v>
      </x:c>
      <x:c r="D67" s="40" t="str">
        <x:v>Quarterly / project milestone</x:v>
      </x:c>
      <x:c r="E67" s="40" t="str">
        <x:v>Available power, lease commitment, construction cost and financing</x:v>
      </x:c>
      <x:c r="F67" s="40" t="str">
        <x:v>Commissioned capacity leases at a yield above full capital cost</x:v>
      </x:c>
      <x:c r="G67" s="40" t="str">
        <x:v>Scarce powered sites can generate development profit</x:v>
      </x:c>
      <x:c r="H67" s="40" t="str">
        <x:v>Power announcements and unfinanced pipeline are not operating assets</x:v>
      </x:c>
      <x:c r="I67" s="40" t="str">
        <x:v>Leading</x:v>
      </x:c>
      <x:c r="J67" s="40" t="str">
        <x:v>Definition complete; series not loaded</x:v>
      </x:c>
      <x:c r="K67" s="40" t="str"/>
      <x:c r="L67" s="40" t="str">
        <x:v>EDGAR</x:v>
      </x:c>
      <x:c r="M67" s="40" t="str">
        <x:v>https://www.sec.gov/edgar/search/</x:v>
      </x:c>
    </x:row>
    <x:row r="68" ht="104" customHeight="1">
      <x:c r="A68" s="40" t="str">
        <x:v>I063</x:v>
      </x:c>
      <x:c r="B68" s="40" t="str">
        <x:v>Real Estate</x:v>
      </x:c>
      <x:c r="C68" s="40" t="str">
        <x:v>Debt maturity and refinancing leakage</x:v>
      </x:c>
      <x:c r="D68" s="40" t="str">
        <x:v>Quarterly</x:v>
      </x:c>
      <x:c r="E68" s="40" t="str">
        <x:v>Property cash yields, floating exposure and maturity ladder</x:v>
      </x:c>
      <x:c r="F68" s="40" t="str">
        <x:v>Cash NOI gain exceeds debt-cost and recurring capex increases</x:v>
      </x:c>
      <x:c r="G68" s="40" t="str">
        <x:v>Common-share cash can grow despite higher asset values</x:v>
      </x:c>
      <x:c r="H68" s="40" t="str">
        <x:v>FFO can look stable while refinancing erodes AFFO</x:v>
      </x:c>
      <x:c r="I68" s="40" t="str">
        <x:v>Leading</x:v>
      </x:c>
      <x:c r="J68" s="40" t="str">
        <x:v>Definition complete; series not loaded</x:v>
      </x:c>
      <x:c r="K68" s="40" t="str"/>
      <x:c r="L68" s="40" t="str">
        <x:v>EDGAR</x:v>
      </x:c>
      <x:c r="M68" s="40" t="str">
        <x:v>https://www.sec.gov/edgar/search/</x:v>
      </x:c>
    </x:row>
    <x:row r="69" ht="104" customHeight="1">
      <x:c r="A69" s="40" t="str">
        <x:v>I064</x:v>
      </x:c>
      <x:c r="B69" s="40" t="str">
        <x:v>Cross-sector</x:v>
      </x:c>
      <x:c r="C69" s="40" t="str">
        <x:v>Organic growth and accounting normalization</x:v>
      </x:c>
      <x:c r="D69" s="40" t="str">
        <x:v>Every earnings release</x:v>
      </x:c>
      <x:c r="E69" s="40" t="str">
        <x:v>Reported less acquisition/FX/pass-through/one-off effects</x:v>
      </x:c>
      <x:c r="F69" s="40" t="str">
        <x:v>Economic per-share cash improves on comparable scope</x:v>
      </x:c>
      <x:c r="G69" s="40" t="str">
        <x:v>Removes false inflections caused by presentation changes</x:v>
      </x:c>
      <x:c r="H69" s="40" t="str">
        <x:v>Mechanical non-GAAP acceptance can exclude recurring expenses</x:v>
      </x:c>
      <x:c r="I69" s="40" t="str">
        <x:v>Leading</x:v>
      </x:c>
      <x:c r="J69" s="40" t="str">
        <x:v>Definition complete; series not loaded</x:v>
      </x:c>
      <x:c r="K69" s="40" t="str"/>
      <x:c r="L69" s="40" t="str">
        <x:v>EDGAR</x:v>
      </x:c>
      <x:c r="M69" s="40" t="str">
        <x:v>https://www.sec.gov/edgar/search/</x:v>
      </x:c>
    </x:row>
    <x:row r="70" ht="104" customHeight="1">
      <x:c r="A70" s="40" t="str">
        <x:v>I065</x:v>
      </x:c>
      <x:c r="B70" s="40" t="str">
        <x:v>Cross-sector</x:v>
      </x:c>
      <x:c r="C70" s="40" t="str">
        <x:v>Expectations and valuation availability</x:v>
      </x:c>
      <x:c r="D70" s="40" t="str">
        <x:v>Every thesis update</x:v>
      </x:c>
      <x:c r="E70" s="40" t="str">
        <x:v>Management, timestamped consensus, price-implied and analyst scenarios separately</x:v>
      </x:c>
      <x:c r="F70" s="40" t="str">
        <x:v>A price-consistent outcome differs from evidence-backed scenarios</x:v>
      </x:c>
      <x:c r="G70" s="40" t="str">
        <x:v>Only an expectations gap can establish mispricing</x:v>
      </x:c>
      <x:c r="H70" s="40" t="str">
        <x:v>Missing consensus or reverse model is not evidence of market neglect</x:v>
      </x:c>
      <x:c r="I70" s="40" t="str">
        <x:v>Leading</x:v>
      </x:c>
      <x:c r="J70" s="40" t="str">
        <x:v>Definition complete; series not loaded</x:v>
      </x:c>
      <x:c r="K70" s="40" t="str"/>
      <x:c r="L70" s="40" t="str">
        <x:v>EDGAR</x:v>
      </x:c>
      <x:c r="M70" s="40" t="str">
        <x:v>https://www.sec.gov/edgar/search/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1bd2e32df9ca4ec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8" hidden="0" customWidth="1"/>
    <x:col min="4" max="4" width="37" hidden="0" customWidth="1"/>
    <x:col min="5" max="5" width="23" hidden="0" customWidth="1"/>
    <x:col min="6" max="6" width="18" hidden="0" customWidth="1"/>
    <x:col min="7" max="7" width="16" hidden="0" customWidth="1"/>
    <x:col min="8" max="8" width="16" hidden="0" customWidth="1"/>
    <x:col min="9" max="9" width="27" hidden="0" customWidth="1"/>
    <x:col min="10" max="10" width="15" hidden="0" customWidth="1"/>
    <x:col min="11" max="11" width="22" hidden="0" customWidth="1"/>
    <x:col min="12" max="12" width="17" hidden="0" customWidth="1"/>
    <x:col min="13" max="13" width="37" hidden="0" customWidth="1"/>
    <x:col min="14" max="14" width="40" hidden="0" customWidth="1"/>
    <x:col min="15" max="15" width="12" hidden="0" customWidth="1"/>
    <x:col min="16" max="16" width="19" hidden="0" customWidth="1"/>
    <x:col min="17" max="17" width="19" hidden="0" customWidth="1"/>
  </x:cols>
  <x:sheetData>
    <x:row r="1">
      <x:c r="A1" s="24" t="str">
        <x:v>96 sourced, date-stamped observations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Reported facts are separate from management estimates. Values use the units shown; missing values are blank, never imputed as zero.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Observation ID</x:v>
      </x:c>
      <x:c r="B5" s="34" t="str">
        <x:v>Sector</x:v>
      </x:c>
      <x:c r="C5" s="34" t="str">
        <x:v>Entity</x:v>
      </x:c>
      <x:c r="D5" s="34" t="str">
        <x:v>Metric</x:v>
      </x:c>
      <x:c r="E5" s="34" t="str">
        <x:v>Period</x:v>
      </x:c>
      <x:c r="F5" s="34" t="str">
        <x:v>Publication date</x:v>
      </x:c>
      <x:c r="G5" s="34" t="str">
        <x:v>Value</x:v>
      </x:c>
      <x:c r="H5" s="34" t="str">
        <x:v>Prior value</x:v>
      </x:c>
      <x:c r="I5" s="34" t="str">
        <x:v>Unit</x:v>
      </x:c>
      <x:c r="J5" s="34" t="str">
        <x:v>Comparison</x:v>
      </x:c>
      <x:c r="K5" s="34" t="str">
        <x:v>Kind</x:v>
      </x:c>
      <x:c r="L5" s="34" t="str">
        <x:v>Source ID</x:v>
      </x:c>
      <x:c r="M5" s="34" t="str">
        <x:v>Source URL</x:v>
      </x:c>
      <x:c r="N5" s="34" t="str">
        <x:v>Interpretation / limit</x:v>
      </x:c>
      <x:c r="O5" s="34" t="str">
        <x:v>Age, days</x:v>
      </x:c>
      <x:c r="P5" s="34" t="str">
        <x:v>Delta, stated units</x:v>
      </x:c>
      <x:c r="Q5" s="34" t="str">
        <x:v>Change, if comparable</x:v>
      </x:c>
    </x:row>
    <x:row r="6" ht="72" customHeight="1">
      <x:c r="A6" s="40" t="str">
        <x:v>O001</x:v>
      </x:c>
      <x:c r="B6" s="40" t="str">
        <x:v>Industrials</x:v>
      </x:c>
      <x:c r="C6" s="40" t="str">
        <x:v>MOD</x:v>
      </x:c>
      <x:c r="D6" s="40" t="str">
        <x:v>Data-center segment revenue</x:v>
      </x:c>
      <x:c r="E6" s="40" t="str">
        <x:v>Q1 FY2027</x:v>
      </x:c>
      <x:c r="F6" s="44" t="n">
        <x:v>46232</x:v>
      </x:c>
      <x:c r="G6" s="48" t="n">
        <x:v>348.6</x:v>
      </x:c>
      <x:c r="H6" s="48" t="n">
        <x:v>183.7</x:v>
      </x:c>
      <x:c r="I6" s="40" t="str">
        <x:v>USD m</x:v>
      </x:c>
      <x:c r="J6" s="40" t="str">
        <x:v>YoY</x:v>
      </x:c>
      <x:c r="K6" s="40" t="str">
        <x:v>Reported</x:v>
      </x:c>
      <x:c r="L6" s="40" t="str">
        <x:v>MOD26</x:v>
      </x:c>
      <x:c r="M6" s="40" t="str">
        <x:v>https://investors.modine.com/news/news-details/2026/Modine-Reports-First-Quarter-Fiscal-2027-Results/default.aspx</x:v>
      </x:c>
      <x:c r="N6" s="40" t="str"/>
      <x:c r="O6" s="52" t="n">
        <x:f>IF(F6="","",'Settings'!$B$3-F6)</x:f>
        <x:v>40</x:v>
      </x:c>
      <x:c r="P6" s="46" t="n">
        <x:f>IF(H6="","",G6-H6)</x:f>
        <x:v>164.90000000000003</x:v>
      </x:c>
      <x:c r="Q6" s="50" t="n">
        <x:f>IF(OR(H6="",H6&lt;=0,LEFT(I6,1)="%"),"",G6/H6-1)</x:f>
        <x:v>0.8976592270005446</x:v>
      </x:c>
    </x:row>
    <x:row r="7" ht="72" customHeight="1">
      <x:c r="A7" s="40" t="str">
        <x:v>O002</x:v>
      </x:c>
      <x:c r="B7" s="40" t="str">
        <x:v>Industrials</x:v>
      </x:c>
      <x:c r="C7" s="40" t="str">
        <x:v>MOD</x:v>
      </x:c>
      <x:c r="D7" s="40" t="str">
        <x:v>Data-center gross margin</x:v>
      </x:c>
      <x:c r="E7" s="40" t="str">
        <x:v>Q1 FY2027</x:v>
      </x:c>
      <x:c r="F7" s="44" t="n">
        <x:v>46232</x:v>
      </x:c>
      <x:c r="G7" s="48" t="n">
        <x:v>20.2</x:v>
      </x:c>
      <x:c r="H7" s="48" t="n">
        <x:v>29.8</x:v>
      </x:c>
      <x:c r="I7" s="40" t="str">
        <x:v>%</x:v>
      </x:c>
      <x:c r="J7" s="40" t="str">
        <x:v>YoY</x:v>
      </x:c>
      <x:c r="K7" s="40" t="str">
        <x:v>Reported</x:v>
      </x:c>
      <x:c r="L7" s="40" t="str">
        <x:v>MOD26</x:v>
      </x:c>
      <x:c r="M7" s="40" t="str">
        <x:v>https://investors.modine.com/news/news-details/2026/Modine-Reports-First-Quarter-Fiscal-2027-Results/default.aspx</x:v>
      </x:c>
      <x:c r="N7" s="40" t="str">
        <x:v>Prior-year favorable warranty settlement; full 960bp gap is not a clean recoverable cost bucket.</x:v>
      </x:c>
      <x:c r="O7" s="52" t="n">
        <x:f>IF(F7="","",'Settings'!$B$3-F7)</x:f>
        <x:v>40</x:v>
      </x:c>
      <x:c r="P7" s="46" t="n">
        <x:f>IF(H7="","",G7-H7)</x:f>
        <x:v>-9.600000000000001</x:v>
      </x:c>
      <x:c r="Q7" s="50" t="str">
        <x:f>IF(OR(H7="",H7&lt;=0,LEFT(I7,1)="%"),"",G7/H7-1)</x:f>
      </x:c>
    </x:row>
    <x:row r="8" ht="72" customHeight="1">
      <x:c r="A8" s="40" t="str">
        <x:v>O003</x:v>
      </x:c>
      <x:c r="B8" s="40" t="str">
        <x:v>Industrials</x:v>
      </x:c>
      <x:c r="C8" s="40" t="str">
        <x:v>MOD</x:v>
      </x:c>
      <x:c r="D8" s="40" t="str">
        <x:v>Data-center adjusted EBITDA</x:v>
      </x:c>
      <x:c r="E8" s="40" t="str">
        <x:v>Q1 FY2027</x:v>
      </x:c>
      <x:c r="F8" s="44" t="n">
        <x:v>46232</x:v>
      </x:c>
      <x:c r="G8" s="48" t="n">
        <x:v>51.7</x:v>
      </x:c>
      <x:c r="H8" s="48"/>
      <x:c r="I8" s="40" t="str">
        <x:v>USD m</x:v>
      </x:c>
      <x:c r="J8" s="40" t="str">
        <x:v>YoY</x:v>
      </x:c>
      <x:c r="K8" s="40" t="str">
        <x:v>Reported</x:v>
      </x:c>
      <x:c r="L8" s="40" t="str">
        <x:v>MOD26</x:v>
      </x:c>
      <x:c r="M8" s="40" t="str">
        <x:v>https://investors.modine.com/news/news-details/2026/Modine-Reports-First-Quarter-Fiscal-2027-Results/default.aspx</x:v>
      </x:c>
      <x:c r="N8" s="40" t="str"/>
      <x:c r="O8" s="52" t="n">
        <x:f>IF(F8="","",'Settings'!$B$3-F8)</x:f>
        <x:v>40</x:v>
      </x:c>
      <x:c r="P8" s="46" t="str">
        <x:f>IF(H8="","",G8-H8)</x:f>
      </x:c>
      <x:c r="Q8" s="50" t="str">
        <x:f>IF(OR(H8="",H8&lt;=0,LEFT(I8,1)="%"),"",G8/H8-1)</x:f>
      </x:c>
    </x:row>
    <x:row r="9" ht="72" customHeight="1">
      <x:c r="A9" s="40" t="str">
        <x:v>O004</x:v>
      </x:c>
      <x:c r="B9" s="40" t="str">
        <x:v>Industrials</x:v>
      </x:c>
      <x:c r="C9" s="40" t="str">
        <x:v>MOD</x:v>
      </x:c>
      <x:c r="D9" s="40" t="str">
        <x:v>Operating cash flow</x:v>
      </x:c>
      <x:c r="E9" s="40" t="str">
        <x:v>Q1 FY2027</x:v>
      </x:c>
      <x:c r="F9" s="44" t="n">
        <x:v>46232</x:v>
      </x:c>
      <x:c r="G9" s="48" t="n">
        <x:v>41.4</x:v>
      </x:c>
      <x:c r="H9" s="48"/>
      <x:c r="I9" s="40" t="str">
        <x:v>USD m</x:v>
      </x:c>
      <x:c r="J9" s="40" t="str">
        <x:v>YoY</x:v>
      </x:c>
      <x:c r="K9" s="40" t="str">
        <x:v>Reported</x:v>
      </x:c>
      <x:c r="L9" s="40" t="str">
        <x:v>MOD26</x:v>
      </x:c>
      <x:c r="M9" s="40" t="str">
        <x:v>https://investors.modine.com/news/news-details/2026/Modine-Reports-First-Quarter-Fiscal-2027-Results/default.aspx</x:v>
      </x:c>
      <x:c r="N9" s="40" t="str"/>
      <x:c r="O9" s="52" t="n">
        <x:f>IF(F9="","",'Settings'!$B$3-F9)</x:f>
        <x:v>40</x:v>
      </x:c>
      <x:c r="P9" s="46" t="str">
        <x:f>IF(H9="","",G9-H9)</x:f>
      </x:c>
      <x:c r="Q9" s="50" t="str">
        <x:f>IF(OR(H9="",H9&lt;=0,LEFT(I9,1)="%"),"",G9/H9-1)</x:f>
      </x:c>
    </x:row>
    <x:row r="10" ht="72" customHeight="1">
      <x:c r="A10" s="40" t="str">
        <x:v>O005</x:v>
      </x:c>
      <x:c r="B10" s="40" t="str">
        <x:v>Industrials</x:v>
      </x:c>
      <x:c r="C10" s="40" t="str">
        <x:v>MOD</x:v>
      </x:c>
      <x:c r="D10" s="40" t="str">
        <x:v>Company-defined free cash flow</x:v>
      </x:c>
      <x:c r="E10" s="40" t="str">
        <x:v>Q1 FY2027</x:v>
      </x:c>
      <x:c r="F10" s="44" t="n">
        <x:v>46232</x:v>
      </x:c>
      <x:c r="G10" s="48" t="n">
        <x:v>-5</x:v>
      </x:c>
      <x:c r="H10" s="48"/>
      <x:c r="I10" s="40" t="str">
        <x:v>USD m</x:v>
      </x:c>
      <x:c r="J10" s="40" t="str">
        <x:v>None</x:v>
      </x:c>
      <x:c r="K10" s="40" t="str">
        <x:v>Reported</x:v>
      </x:c>
      <x:c r="L10" s="40" t="str">
        <x:v>MOD26</x:v>
      </x:c>
      <x:c r="M10" s="40" t="str">
        <x:v>https://investors.modine.com/news/news-details/2026/Modine-Reports-First-Quarter-Fiscal-2027-Results/default.aspx</x:v>
      </x:c>
      <x:c r="N10" s="40" t="str">
        <x:v>Includes growth investment; not a maintenance-only earnings measure.</x:v>
      </x:c>
      <x:c r="O10" s="52" t="n">
        <x:f>IF(F10="","",'Settings'!$B$3-F10)</x:f>
        <x:v>40</x:v>
      </x:c>
      <x:c r="P10" s="46" t="str">
        <x:f>IF(H10="","",G10-H10)</x:f>
      </x:c>
      <x:c r="Q10" s="50" t="str">
        <x:f>IF(OR(H10="",H10&lt;=0,LEFT(I10,1)="%"),"",G10/H10-1)</x:f>
      </x:c>
    </x:row>
    <x:row r="11" ht="72" customHeight="1">
      <x:c r="A11" s="40" t="str">
        <x:v>O006</x:v>
      </x:c>
      <x:c r="B11" s="40" t="str">
        <x:v>Consumer Discretionary</x:v>
      </x:c>
      <x:c r="C11" s="40" t="str">
        <x:v>WINA</x:v>
      </x:c>
      <x:c r="D11" s="40" t="str">
        <x:v>Royalty revenue</x:v>
      </x:c>
      <x:c r="E11" s="40" t="str">
        <x:v>H1 2026</x:v>
      </x:c>
      <x:c r="F11" s="44" t="n">
        <x:v>46218</x:v>
      </x:c>
      <x:c r="G11" s="48" t="n">
        <x:v>39.3798</x:v>
      </x:c>
      <x:c r="H11" s="48"/>
      <x:c r="I11" s="40" t="str">
        <x:v>USD m</x:v>
      </x:c>
      <x:c r="J11" s="40" t="str">
        <x:v>YoY</x:v>
      </x:c>
      <x:c r="K11" s="40" t="str">
        <x:v>Reported</x:v>
      </x:c>
      <x:c r="L11" s="40" t="str">
        <x:v>WINA26</x:v>
      </x:c>
      <x:c r="M11" s="40" t="str">
        <x:v>https://www.sec.gov/Archives/edgar/data/908315/000090831526000028/wina-20260627x10q.htm</x:v>
      </x:c>
      <x:c r="N11" s="40" t="str"/>
      <x:c r="O11" s="52" t="n">
        <x:f>IF(F11="","",'Settings'!$B$3-F11)</x:f>
        <x:v>54</x:v>
      </x:c>
      <x:c r="P11" s="46" t="str">
        <x:f>IF(H11="","",G11-H11)</x:f>
      </x:c>
      <x:c r="Q11" s="50" t="str">
        <x:f>IF(OR(H11="",H11&lt;=0,LEFT(I11,1)="%"),"",G11/H11-1)</x:f>
      </x:c>
    </x:row>
    <x:row r="12" ht="72" customHeight="1">
      <x:c r="A12" s="40" t="str">
        <x:v>O007</x:v>
      </x:c>
      <x:c r="B12" s="40" t="str">
        <x:v>Consumer Discretionary</x:v>
      </x:c>
      <x:c r="C12" s="40" t="str">
        <x:v>WINA</x:v>
      </x:c>
      <x:c r="D12" s="40" t="str">
        <x:v>Royalty revenue growth</x:v>
      </x:c>
      <x:c r="E12" s="40" t="str">
        <x:v>H1 2026</x:v>
      </x:c>
      <x:c r="F12" s="44" t="n">
        <x:v>46218</x:v>
      </x:c>
      <x:c r="G12" s="48" t="n">
        <x:v>8.1</x:v>
      </x:c>
      <x:c r="H12" s="48"/>
      <x:c r="I12" s="40" t="str">
        <x:v>% YoY</x:v>
      </x:c>
      <x:c r="J12" s="40" t="str">
        <x:v>YoY</x:v>
      </x:c>
      <x:c r="K12" s="40" t="str">
        <x:v>Reported</x:v>
      </x:c>
      <x:c r="L12" s="40" t="str">
        <x:v>WINA26</x:v>
      </x:c>
      <x:c r="M12" s="40" t="str">
        <x:v>https://www.sec.gov/Archives/edgar/data/908315/000090831526000028/wina-20260627x10q.htm</x:v>
      </x:c>
      <x:c r="N12" s="40" t="str"/>
      <x:c r="O12" s="52" t="n">
        <x:f>IF(F12="","",'Settings'!$B$3-F12)</x:f>
        <x:v>54</x:v>
      </x:c>
      <x:c r="P12" s="46" t="str">
        <x:f>IF(H12="","",G12-H12)</x:f>
      </x:c>
      <x:c r="Q12" s="50" t="str">
        <x:f>IF(OR(H12="",H12&lt;=0,LEFT(I12,1)="%"),"",G12/H12-1)</x:f>
      </x:c>
    </x:row>
    <x:row r="13" ht="72" customHeight="1">
      <x:c r="A13" s="40" t="str">
        <x:v>O008</x:v>
      </x:c>
      <x:c r="B13" s="40" t="str">
        <x:v>Consumer Discretionary</x:v>
      </x:c>
      <x:c r="C13" s="40" t="str">
        <x:v>WINA</x:v>
      </x:c>
      <x:c r="D13" s="40" t="str">
        <x:v>Operating cash flow</x:v>
      </x:c>
      <x:c r="E13" s="40" t="str">
        <x:v>H1 2026</x:v>
      </x:c>
      <x:c r="F13" s="44" t="n">
        <x:v>46218</x:v>
      </x:c>
      <x:c r="G13" s="48" t="n">
        <x:v>22.6</x:v>
      </x:c>
      <x:c r="H13" s="48" t="n">
        <x:v>24.1</x:v>
      </x:c>
      <x:c r="I13" s="40" t="str">
        <x:v>USD m</x:v>
      </x:c>
      <x:c r="J13" s="40" t="str">
        <x:v>YoY</x:v>
      </x:c>
      <x:c r="K13" s="40" t="str">
        <x:v>Reported</x:v>
      </x:c>
      <x:c r="L13" s="40" t="str">
        <x:v>WINA26</x:v>
      </x:c>
      <x:c r="M13" s="40" t="str">
        <x:v>https://www.sec.gov/Archives/edgar/data/908315/000090831526000028/wina-20260627x10q.htm</x:v>
      </x:c>
      <x:c r="N13" s="40" t="str"/>
      <x:c r="O13" s="52" t="n">
        <x:f>IF(F13="","",'Settings'!$B$3-F13)</x:f>
        <x:v>54</x:v>
      </x:c>
      <x:c r="P13" s="46" t="n">
        <x:f>IF(H13="","",G13-H13)</x:f>
        <x:v>-1.5</x:v>
      </x:c>
      <x:c r="Q13" s="50" t="n">
        <x:f>IF(OR(H13="",H13&lt;=0,LEFT(I13,1)="%"),"",G13/H13-1)</x:f>
        <x:v>-0.06224066390041494</x:v>
      </x:c>
    </x:row>
    <x:row r="14" ht="72" customHeight="1">
      <x:c r="A14" s="40" t="str">
        <x:v>O009</x:v>
      </x:c>
      <x:c r="B14" s="40" t="str">
        <x:v>Consumer Discretionary</x:v>
      </x:c>
      <x:c r="C14" s="40" t="str">
        <x:v>WINA</x:v>
      </x:c>
      <x:c r="D14" s="40" t="str">
        <x:v>Investing cash outflow</x:v>
      </x:c>
      <x:c r="E14" s="40" t="str">
        <x:v>H1 2026</x:v>
      </x:c>
      <x:c r="F14" s="44" t="n">
        <x:v>46218</x:v>
      </x:c>
      <x:c r="G14" s="48" t="n">
        <x:v>2.3</x:v>
      </x:c>
      <x:c r="H14" s="48" t="n">
        <x:v>0.1</x:v>
      </x:c>
      <x:c r="I14" s="40" t="str">
        <x:v>USD m</x:v>
      </x:c>
      <x:c r="J14" s="40" t="str">
        <x:v>YoY</x:v>
      </x:c>
      <x:c r="K14" s="40" t="str">
        <x:v>Reported</x:v>
      </x:c>
      <x:c r="L14" s="40" t="str">
        <x:v>WINA26</x:v>
      </x:c>
      <x:c r="M14" s="40" t="str">
        <x:v>https://www.sec.gov/Archives/edgar/data/908315/000090831526000028/wina-20260627x10q.htm</x:v>
      </x:c>
      <x:c r="N14" s="40" t="str">
        <x:v>Mainly capitalized POS software modernization; cash outflows shown positive.</x:v>
      </x:c>
      <x:c r="O14" s="52" t="n">
        <x:f>IF(F14="","",'Settings'!$B$3-F14)</x:f>
        <x:v>54</x:v>
      </x:c>
      <x:c r="P14" s="46" t="n">
        <x:f>IF(H14="","",G14-H14)</x:f>
        <x:v>2.1999999999999997</x:v>
      </x:c>
      <x:c r="Q14" s="50" t="n">
        <x:f>IF(OR(H14="",H14&lt;=0,LEFT(I14,1)="%"),"",G14/H14-1)</x:f>
        <x:v>21.999999999999996</x:v>
      </x:c>
    </x:row>
    <x:row r="15" ht="72" customHeight="1">
      <x:c r="A15" s="40" t="str">
        <x:v>O010</x:v>
      </x:c>
      <x:c r="B15" s="40" t="str">
        <x:v>Information Technology</x:v>
      </x:c>
      <x:c r="C15" s="40" t="str">
        <x:v>NSSC</x:v>
      </x:c>
      <x:c r="D15" s="40" t="str">
        <x:v>Recurring service revenue</x:v>
      </x:c>
      <x:c r="E15" s="40" t="str">
        <x:v>FY2026</x:v>
      </x:c>
      <x:c r="F15" s="44" t="n">
        <x:v>46258</x:v>
      </x:c>
      <x:c r="G15" s="48" t="n">
        <x:v>97.5</x:v>
      </x:c>
      <x:c r="H15" s="48"/>
      <x:c r="I15" s="40" t="str">
        <x:v>USD m</x:v>
      </x:c>
      <x:c r="J15" s="40" t="str">
        <x:v>YoY</x:v>
      </x:c>
      <x:c r="K15" s="40" t="str">
        <x:v>Reported</x:v>
      </x:c>
      <x:c r="L15" s="40" t="str">
        <x:v>NSSC26</x:v>
      </x:c>
      <x:c r="M15" s="40" t="str">
        <x:v>https://investor.napcosecurity.com/2026-08-24-NAPCO-Security-Technologies,-Inc-Reports-Fiscal-Q4-and-Full-Year-2026-Results</x:v>
      </x:c>
      <x:c r="N15" s="40" t="str"/>
      <x:c r="O15" s="52" t="n">
        <x:f>IF(F15="","",'Settings'!$B$3-F15)</x:f>
        <x:v>14</x:v>
      </x:c>
      <x:c r="P15" s="46" t="str">
        <x:f>IF(H15="","",G15-H15)</x:f>
      </x:c>
      <x:c r="Q15" s="50" t="str">
        <x:f>IF(OR(H15="",H15&lt;=0,LEFT(I15,1)="%"),"",G15/H15-1)</x:f>
      </x:c>
    </x:row>
    <x:row r="16" ht="72" customHeight="1">
      <x:c r="A16" s="40" t="str">
        <x:v>O011</x:v>
      </x:c>
      <x:c r="B16" s="40" t="str">
        <x:v>Information Technology</x:v>
      </x:c>
      <x:c r="C16" s="40" t="str">
        <x:v>NSSC</x:v>
      </x:c>
      <x:c r="D16" s="40" t="str">
        <x:v>Recurring service revenue growth</x:v>
      </x:c>
      <x:c r="E16" s="40" t="str">
        <x:v>FY2026</x:v>
      </x:c>
      <x:c r="F16" s="44" t="n">
        <x:v>46258</x:v>
      </x:c>
      <x:c r="G16" s="48" t="n">
        <x:v>13</x:v>
      </x:c>
      <x:c r="H16" s="48"/>
      <x:c r="I16" s="40" t="str">
        <x:v>% YoY</x:v>
      </x:c>
      <x:c r="J16" s="40" t="str">
        <x:v>YoY</x:v>
      </x:c>
      <x:c r="K16" s="40" t="str">
        <x:v>Reported</x:v>
      </x:c>
      <x:c r="L16" s="40" t="str">
        <x:v>NSSC26</x:v>
      </x:c>
      <x:c r="M16" s="40" t="str">
        <x:v>https://investor.napcosecurity.com/2026-08-24-NAPCO-Security-Technologies,-Inc-Reports-Fiscal-Q4-and-Full-Year-2026-Results</x:v>
      </x:c>
      <x:c r="N16" s="40" t="str"/>
      <x:c r="O16" s="52" t="n">
        <x:f>IF(F16="","",'Settings'!$B$3-F16)</x:f>
        <x:v>14</x:v>
      </x:c>
      <x:c r="P16" s="46" t="str">
        <x:f>IF(H16="","",G16-H16)</x:f>
      </x:c>
      <x:c r="Q16" s="50" t="str">
        <x:f>IF(OR(H16="",H16&lt;=0,LEFT(I16,1)="%"),"",G16/H16-1)</x:f>
      </x:c>
    </x:row>
    <x:row r="17" ht="72" customHeight="1">
      <x:c r="A17" s="40" t="str">
        <x:v>O012</x:v>
      </x:c>
      <x:c r="B17" s="40" t="str">
        <x:v>Information Technology</x:v>
      </x:c>
      <x:c r="C17" s="40" t="str">
        <x:v>NSSC</x:v>
      </x:c>
      <x:c r="D17" s="40" t="str">
        <x:v>Total gross margin</x:v>
      </x:c>
      <x:c r="E17" s="40" t="str">
        <x:v>Q4 FY2026</x:v>
      </x:c>
      <x:c r="F17" s="44" t="n">
        <x:v>46258</x:v>
      </x:c>
      <x:c r="G17" s="48" t="n">
        <x:v>61.3</x:v>
      </x:c>
      <x:c r="H17" s="48"/>
      <x:c r="I17" s="40" t="str">
        <x:v>%</x:v>
      </x:c>
      <x:c r="J17" s="40" t="str">
        <x:v>None</x:v>
      </x:c>
      <x:c r="K17" s="40" t="str">
        <x:v>Reported</x:v>
      </x:c>
      <x:c r="L17" s="40" t="str">
        <x:v>NSSC26</x:v>
      </x:c>
      <x:c r="M17" s="40" t="str">
        <x:v>https://investor.napcosecurity.com/2026-08-24-NAPCO-Security-Technologies,-Inc-Reports-Fiscal-Q4-and-Full-Year-2026-Results</x:v>
      </x:c>
      <x:c r="N17" s="40" t="str">
        <x:v>Includes about 600 basis points from tariff refunds.</x:v>
      </x:c>
      <x:c r="O17" s="52" t="n">
        <x:f>IF(F17="","",'Settings'!$B$3-F17)</x:f>
        <x:v>14</x:v>
      </x:c>
      <x:c r="P17" s="46" t="str">
        <x:f>IF(H17="","",G17-H17)</x:f>
      </x:c>
      <x:c r="Q17" s="50" t="str">
        <x:f>IF(OR(H17="",H17&lt;=0,LEFT(I17,1)="%"),"",G17/H17-1)</x:f>
      </x:c>
    </x:row>
    <x:row r="18" ht="72" customHeight="1">
      <x:c r="A18" s="40" t="str">
        <x:v>O013</x:v>
      </x:c>
      <x:c r="B18" s="40" t="str">
        <x:v>Information Technology</x:v>
      </x:c>
      <x:c r="C18" s="40" t="str">
        <x:v>NSSC</x:v>
      </x:c>
      <x:c r="D18" s="40" t="str">
        <x:v>Tariff contribution to gross margin</x:v>
      </x:c>
      <x:c r="E18" s="40" t="str">
        <x:v>Q4 FY2026</x:v>
      </x:c>
      <x:c r="F18" s="44" t="n">
        <x:v>46258</x:v>
      </x:c>
      <x:c r="G18" s="48" t="n">
        <x:v>600</x:v>
      </x:c>
      <x:c r="H18" s="48"/>
      <x:c r="I18" s="40" t="str">
        <x:v>basis points</x:v>
      </x:c>
      <x:c r="J18" s="40" t="str">
        <x:v>None</x:v>
      </x:c>
      <x:c r="K18" s="40" t="str">
        <x:v>Reported</x:v>
      </x:c>
      <x:c r="L18" s="40" t="str">
        <x:v>NSSC26</x:v>
      </x:c>
      <x:c r="M18" s="40" t="str">
        <x:v>https://investor.napcosecurity.com/2026-08-24-NAPCO-Security-Technologies,-Inc-Reports-Fiscal-Q4-and-Full-Year-2026-Results</x:v>
      </x:c>
      <x:c r="N18" s="40" t="str">
        <x:v>Company estimate; remove before annualizing quarter.</x:v>
      </x:c>
      <x:c r="O18" s="52" t="n">
        <x:f>IF(F18="","",'Settings'!$B$3-F18)</x:f>
        <x:v>14</x:v>
      </x:c>
      <x:c r="P18" s="46" t="str">
        <x:f>IF(H18="","",G18-H18)</x:f>
      </x:c>
      <x:c r="Q18" s="50" t="str">
        <x:f>IF(OR(H18="",H18&lt;=0,LEFT(I18,1)="%"),"",G18/H18-1)</x:f>
      </x:c>
    </x:row>
    <x:row r="19" ht="72" customHeight="1">
      <x:c r="A19" s="40" t="str">
        <x:v>O014</x:v>
      </x:c>
      <x:c r="B19" s="40" t="str">
        <x:v>Information Technology</x:v>
      </x:c>
      <x:c r="C19" s="40" t="str">
        <x:v>NSSC</x:v>
      </x:c>
      <x:c r="D19" s="40" t="str">
        <x:v>Tariff contribution to EPS</x:v>
      </x:c>
      <x:c r="E19" s="40" t="str">
        <x:v>Q4 FY2026</x:v>
      </x:c>
      <x:c r="F19" s="44" t="n">
        <x:v>46258</x:v>
      </x:c>
      <x:c r="G19" s="48" t="n">
        <x:v>0.09</x:v>
      </x:c>
      <x:c r="H19" s="48"/>
      <x:c r="I19" s="40" t="str">
        <x:v>USD/share</x:v>
      </x:c>
      <x:c r="J19" s="40" t="str">
        <x:v>YoY</x:v>
      </x:c>
      <x:c r="K19" s="40" t="str">
        <x:v>Reported</x:v>
      </x:c>
      <x:c r="L19" s="40" t="str">
        <x:v>NSSC26</x:v>
      </x:c>
      <x:c r="M19" s="40" t="str">
        <x:v>https://investor.napcosecurity.com/2026-08-24-NAPCO-Security-Technologies,-Inc-Reports-Fiscal-Q4-and-Full-Year-2026-Results</x:v>
      </x:c>
      <x:c r="N19" s="40" t="str"/>
      <x:c r="O19" s="52" t="n">
        <x:f>IF(F19="","",'Settings'!$B$3-F19)</x:f>
        <x:v>14</x:v>
      </x:c>
      <x:c r="P19" s="46" t="str">
        <x:f>IF(H19="","",G19-H19)</x:f>
      </x:c>
      <x:c r="Q19" s="50" t="str">
        <x:f>IF(OR(H19="",H19&lt;=0,LEFT(I19,1)="%"),"",G19/H19-1)</x:f>
      </x:c>
    </x:row>
    <x:row r="20" ht="72" customHeight="1">
      <x:c r="A20" s="40" t="str">
        <x:v>O015</x:v>
      </x:c>
      <x:c r="B20" s="40" t="str">
        <x:v>Information Technology</x:v>
      </x:c>
      <x:c r="C20" s="40" t="str">
        <x:v>NSSC</x:v>
      </x:c>
      <x:c r="D20" s="40" t="str">
        <x:v>Litigation charge</x:v>
      </x:c>
      <x:c r="E20" s="40" t="str">
        <x:v>Q3 FY2026</x:v>
      </x:c>
      <x:c r="F20" s="44" t="n">
        <x:v>46258</x:v>
      </x:c>
      <x:c r="G20" s="48" t="n">
        <x:v>16</x:v>
      </x:c>
      <x:c r="H20" s="48"/>
      <x:c r="I20" s="40" t="str">
        <x:v>USD m</x:v>
      </x:c>
      <x:c r="J20" s="40" t="str">
        <x:v>None</x:v>
      </x:c>
      <x:c r="K20" s="40" t="str">
        <x:v>Reported</x:v>
      </x:c>
      <x:c r="L20" s="40" t="str">
        <x:v>NSSC26</x:v>
      </x:c>
      <x:c r="M20" s="40" t="str">
        <x:v>https://investor.napcosecurity.com/2026-08-24-NAPCO-Security-Technologies,-Inc-Reports-Fiscal-Q4-and-Full-Year-2026-Results</x:v>
      </x:c>
      <x:c r="N20" s="40" t="str">
        <x:v>Separate from recurring service economics.</x:v>
      </x:c>
      <x:c r="O20" s="52" t="n">
        <x:f>IF(F20="","",'Settings'!$B$3-F20)</x:f>
        <x:v>14</x:v>
      </x:c>
      <x:c r="P20" s="46" t="str">
        <x:f>IF(H20="","",G20-H20)</x:f>
      </x:c>
      <x:c r="Q20" s="50" t="str">
        <x:f>IF(OR(H20="",H20&lt;=0,LEFT(I20,1)="%"),"",G20/H20-1)</x:f>
      </x:c>
    </x:row>
    <x:row r="21" ht="72" customHeight="1">
      <x:c r="A21" s="40" t="str">
        <x:v>O016</x:v>
      </x:c>
      <x:c r="B21" s="40" t="str">
        <x:v>Information Technology</x:v>
      </x:c>
      <x:c r="C21" s="40" t="str">
        <x:v>COHU</x:v>
      </x:c>
      <x:c r="D21" s="40" t="str">
        <x:v>Revenue</x:v>
      </x:c>
      <x:c r="E21" s="40" t="str">
        <x:v>Q2 2026</x:v>
      </x:c>
      <x:c r="F21" s="44" t="n">
        <x:v>46233</x:v>
      </x:c>
      <x:c r="G21" s="48" t="n">
        <x:v>149</x:v>
      </x:c>
      <x:c r="H21" s="48" t="n">
        <x:v>125.1</x:v>
      </x:c>
      <x:c r="I21" s="40" t="str">
        <x:v>USD m</x:v>
      </x:c>
      <x:c r="J21" s="40" t="str">
        <x:v>QoQ</x:v>
      </x:c>
      <x:c r="K21" s="40" t="str">
        <x:v>Reported</x:v>
      </x:c>
      <x:c r="L21" s="40" t="str">
        <x:v>COHU26</x:v>
      </x:c>
      <x:c r="M21" s="40" t="str">
        <x:v>https://ir.cohu.com/news-releases/news-release-details/cohu-reports-second-quarter-2026-results</x:v>
      </x:c>
      <x:c r="N21" s="40" t="str"/>
      <x:c r="O21" s="52" t="n">
        <x:f>IF(F21="","",'Settings'!$B$3-F21)</x:f>
        <x:v>39</x:v>
      </x:c>
      <x:c r="P21" s="46" t="n">
        <x:f>IF(H21="","",G21-H21)</x:f>
        <x:v>23.900000000000006</x:v>
      </x:c>
      <x:c r="Q21" s="50" t="n">
        <x:f>IF(OR(H21="",H21&lt;=0,LEFT(I21,1)="%"),"",G21/H21-1)</x:f>
        <x:v>0.19104716227018392</x:v>
      </x:c>
    </x:row>
    <x:row r="22" ht="72" customHeight="1">
      <x:c r="A22" s="40" t="str">
        <x:v>O017</x:v>
      </x:c>
      <x:c r="B22" s="40" t="str">
        <x:v>Information Technology</x:v>
      </x:c>
      <x:c r="C22" s="40" t="str">
        <x:v>COHU</x:v>
      </x:c>
      <x:c r="D22" s="40" t="str">
        <x:v>Revenue growth</x:v>
      </x:c>
      <x:c r="E22" s="40" t="str">
        <x:v>Q2 2026</x:v>
      </x:c>
      <x:c r="F22" s="44" t="n">
        <x:v>46233</x:v>
      </x:c>
      <x:c r="G22" s="48" t="n">
        <x:v>38</x:v>
      </x:c>
      <x:c r="H22" s="48"/>
      <x:c r="I22" s="40" t="str">
        <x:v>% YoY</x:v>
      </x:c>
      <x:c r="J22" s="40" t="str">
        <x:v>YoY</x:v>
      </x:c>
      <x:c r="K22" s="40" t="str">
        <x:v>Reported</x:v>
      </x:c>
      <x:c r="L22" s="40" t="str">
        <x:v>COHU26</x:v>
      </x:c>
      <x:c r="M22" s="40" t="str">
        <x:v>https://ir.cohu.com/news-releases/news-release-details/cohu-reports-second-quarter-2026-results</x:v>
      </x:c>
      <x:c r="N22" s="40" t="str"/>
      <x:c r="O22" s="52" t="n">
        <x:f>IF(F22="","",'Settings'!$B$3-F22)</x:f>
        <x:v>39</x:v>
      </x:c>
      <x:c r="P22" s="46" t="str">
        <x:f>IF(H22="","",G22-H22)</x:f>
      </x:c>
      <x:c r="Q22" s="50" t="str">
        <x:f>IF(OR(H22="",H22&lt;=0,LEFT(I22,1)="%"),"",G22/H22-1)</x:f>
      </x:c>
    </x:row>
    <x:row r="23" ht="72" customHeight="1">
      <x:c r="A23" s="40" t="str">
        <x:v>O018</x:v>
      </x:c>
      <x:c r="B23" s="40" t="str">
        <x:v>Information Technology</x:v>
      </x:c>
      <x:c r="C23" s="40" t="str">
        <x:v>COHU</x:v>
      </x:c>
      <x:c r="D23" s="40" t="str">
        <x:v>Test-cell utilization</x:v>
      </x:c>
      <x:c r="E23" s="40" t="str">
        <x:v>June 2026 end</x:v>
      </x:c>
      <x:c r="F23" s="44" t="n">
        <x:v>46233</x:v>
      </x:c>
      <x:c r="G23" s="48" t="n">
        <x:v>80</x:v>
      </x:c>
      <x:c r="H23" s="48"/>
      <x:c r="I23" s="40" t="str">
        <x:v>%</x:v>
      </x:c>
      <x:c r="J23" s="40" t="str">
        <x:v>YoY</x:v>
      </x:c>
      <x:c r="K23" s="40" t="str">
        <x:v>Reported</x:v>
      </x:c>
      <x:c r="L23" s="40" t="str">
        <x:v>COHU26</x:v>
      </x:c>
      <x:c r="M23" s="40" t="str">
        <x:v>https://ir.cohu.com/news-releases/news-release-details/cohu-reports-second-quarter-2026-results</x:v>
      </x:c>
      <x:c r="N23" s="40" t="str"/>
      <x:c r="O23" s="52" t="n">
        <x:f>IF(F23="","",'Settings'!$B$3-F23)</x:f>
        <x:v>39</x:v>
      </x:c>
      <x:c r="P23" s="46" t="str">
        <x:f>IF(H23="","",G23-H23)</x:f>
      </x:c>
      <x:c r="Q23" s="50" t="str">
        <x:f>IF(OR(H23="",H23&lt;=0,LEFT(I23,1)="%"),"",G23/H23-1)</x:f>
      </x:c>
    </x:row>
    <x:row r="24" ht="72" customHeight="1">
      <x:c r="A24" s="40" t="str">
        <x:v>O019</x:v>
      </x:c>
      <x:c r="B24" s="40" t="str">
        <x:v>Information Technology</x:v>
      </x:c>
      <x:c r="C24" s="40" t="str">
        <x:v>COHU</x:v>
      </x:c>
      <x:c r="D24" s="40" t="str">
        <x:v>AI-compute opportunity pipeline</x:v>
      </x:c>
      <x:c r="E24" s="40" t="str">
        <x:v>Q2 2026 commentary</x:v>
      </x:c>
      <x:c r="F24" s="44" t="n">
        <x:v>46233</x:v>
      </x:c>
      <x:c r="G24" s="48" t="n">
        <x:v>850</x:v>
      </x:c>
      <x:c r="H24" s="48"/>
      <x:c r="I24" s="40" t="str">
        <x:v>USD m annual opportunity</x:v>
      </x:c>
      <x:c r="J24" s="40" t="str">
        <x:v>None</x:v>
      </x:c>
      <x:c r="K24" s="40" t="str">
        <x:v>Management estimate</x:v>
      </x:c>
      <x:c r="L24" s="40" t="str">
        <x:v>COHU26</x:v>
      </x:c>
      <x:c r="M24" s="40" t="str">
        <x:v>https://ir.cohu.com/news-releases/news-release-details/cohu-reports-second-quarter-2026-results</x:v>
      </x:c>
      <x:c r="N24" s="40" t="str">
        <x:v>Opportunity estimate, not orders or RPO.</x:v>
      </x:c>
      <x:c r="O24" s="52" t="n">
        <x:f>IF(F24="","",'Settings'!$B$3-F24)</x:f>
        <x:v>39</x:v>
      </x:c>
      <x:c r="P24" s="46" t="str">
        <x:f>IF(H24="","",G24-H24)</x:f>
      </x:c>
      <x:c r="Q24" s="50" t="str">
        <x:f>IF(OR(H24="",H24&lt;=0,LEFT(I24,1)="%"),"",G24/H24-1)</x:f>
      </x:c>
    </x:row>
    <x:row r="25" ht="72" customHeight="1">
      <x:c r="A25" s="40" t="str">
        <x:v>O020</x:v>
      </x:c>
      <x:c r="B25" s="40" t="str">
        <x:v>Industrials</x:v>
      </x:c>
      <x:c r="C25" s="40" t="str">
        <x:v>POWL</x:v>
      </x:c>
      <x:c r="D25" s="40" t="str">
        <x:v>Revenue</x:v>
      </x:c>
      <x:c r="E25" s="40" t="str">
        <x:v>Q3 FY2026</x:v>
      </x:c>
      <x:c r="F25" s="44" t="n">
        <x:v>46237</x:v>
      </x:c>
      <x:c r="G25" s="48" t="n">
        <x:v>312</x:v>
      </x:c>
      <x:c r="H25" s="48"/>
      <x:c r="I25" s="40" t="str">
        <x:v>USD m</x:v>
      </x:c>
      <x:c r="J25" s="40" t="str">
        <x:v>YoY</x:v>
      </x:c>
      <x:c r="K25" s="40" t="str">
        <x:v>Reported</x:v>
      </x:c>
      <x:c r="L25" s="40" t="str">
        <x:v>POWL26</x:v>
      </x:c>
      <x:c r="M25" s="40" t="str">
        <x:v>https://powellindustriesinc.gcs-web.com/news-releases/news-release-details/powell-industries-announces-third-quarter-fiscal-2026-results</x:v>
      </x:c>
      <x:c r="N25" s="40" t="str"/>
      <x:c r="O25" s="52" t="n">
        <x:f>IF(F25="","",'Settings'!$B$3-F25)</x:f>
        <x:v>35</x:v>
      </x:c>
      <x:c r="P25" s="46" t="str">
        <x:f>IF(H25="","",G25-H25)</x:f>
      </x:c>
      <x:c r="Q25" s="50" t="str">
        <x:f>IF(OR(H25="",H25&lt;=0,LEFT(I25,1)="%"),"",G25/H25-1)</x:f>
      </x:c>
    </x:row>
    <x:row r="26" ht="72" customHeight="1">
      <x:c r="A26" s="40" t="str">
        <x:v>O021</x:v>
      </x:c>
      <x:c r="B26" s="40" t="str">
        <x:v>Industrials</x:v>
      </x:c>
      <x:c r="C26" s="40" t="str">
        <x:v>POWL</x:v>
      </x:c>
      <x:c r="D26" s="40" t="str">
        <x:v>New orders</x:v>
      </x:c>
      <x:c r="E26" s="40" t="str">
        <x:v>Q3 FY2026</x:v>
      </x:c>
      <x:c r="F26" s="44" t="n">
        <x:v>46237</x:v>
      </x:c>
      <x:c r="G26" s="48" t="n">
        <x:v>934</x:v>
      </x:c>
      <x:c r="H26" s="48"/>
      <x:c r="I26" s="40" t="str">
        <x:v>USD m</x:v>
      </x:c>
      <x:c r="J26" s="40" t="str">
        <x:v>YoY</x:v>
      </x:c>
      <x:c r="K26" s="40" t="str">
        <x:v>Reported</x:v>
      </x:c>
      <x:c r="L26" s="40" t="str">
        <x:v>POWL26</x:v>
      </x:c>
      <x:c r="M26" s="40" t="str">
        <x:v>https://powellindustriesinc.gcs-web.com/news-releases/news-release-details/powell-industries-announces-third-quarter-fiscal-2026-results</x:v>
      </x:c>
      <x:c r="N26" s="40" t="str"/>
      <x:c r="O26" s="52" t="n">
        <x:f>IF(F26="","",'Settings'!$B$3-F26)</x:f>
        <x:v>35</x:v>
      </x:c>
      <x:c r="P26" s="46" t="str">
        <x:f>IF(H26="","",G26-H26)</x:f>
      </x:c>
      <x:c r="Q26" s="50" t="str">
        <x:f>IF(OR(H26="",H26&lt;=0,LEFT(I26,1)="%"),"",G26/H26-1)</x:f>
      </x:c>
    </x:row>
    <x:row r="27" ht="72" customHeight="1">
      <x:c r="A27" s="40" t="str">
        <x:v>O022</x:v>
      </x:c>
      <x:c r="B27" s="40" t="str">
        <x:v>Industrials</x:v>
      </x:c>
      <x:c r="C27" s="40" t="str">
        <x:v>POWL</x:v>
      </x:c>
      <x:c r="D27" s="40" t="str">
        <x:v>Backlog</x:v>
      </x:c>
      <x:c r="E27" s="40" t="str">
        <x:v>2026-06-30</x:v>
      </x:c>
      <x:c r="F27" s="44" t="n">
        <x:v>46237</x:v>
      </x:c>
      <x:c r="G27" s="48" t="n">
        <x:v>2400</x:v>
      </x:c>
      <x:c r="H27" s="48"/>
      <x:c r="I27" s="40" t="str">
        <x:v>USD m</x:v>
      </x:c>
      <x:c r="J27" s="40" t="str">
        <x:v>None</x:v>
      </x:c>
      <x:c r="K27" s="40" t="str">
        <x:v>Reported</x:v>
      </x:c>
      <x:c r="L27" s="40" t="str">
        <x:v>POWL26</x:v>
      </x:c>
      <x:c r="M27" s="40" t="str">
        <x:v>https://powellindustriesinc.gcs-web.com/news-releases/news-release-details/powell-industries-announces-third-quarter-fiscal-2026-results</x:v>
      </x:c>
      <x:c r="N27" s="40" t="str">
        <x:v>Company backlog definition; not interchangeable with IESC RPO.</x:v>
      </x:c>
      <x:c r="O27" s="52" t="n">
        <x:f>IF(F27="","",'Settings'!$B$3-F27)</x:f>
        <x:v>35</x:v>
      </x:c>
      <x:c r="P27" s="46" t="str">
        <x:f>IF(H27="","",G27-H27)</x:f>
      </x:c>
      <x:c r="Q27" s="50" t="str">
        <x:f>IF(OR(H27="",H27&lt;=0,LEFT(I27,1)="%"),"",G27/H27-1)</x:f>
      </x:c>
    </x:row>
    <x:row r="28" ht="72" customHeight="1">
      <x:c r="A28" s="40" t="str">
        <x:v>O023</x:v>
      </x:c>
      <x:c r="B28" s="40" t="str">
        <x:v>Industrials</x:v>
      </x:c>
      <x:c r="C28" s="40" t="str">
        <x:v>POWL</x:v>
      </x:c>
      <x:c r="D28" s="40" t="str">
        <x:v>Gross margin</x:v>
      </x:c>
      <x:c r="E28" s="40" t="str">
        <x:v>Q3 FY2026</x:v>
      </x:c>
      <x:c r="F28" s="44" t="n">
        <x:v>46237</x:v>
      </x:c>
      <x:c r="G28" s="48" t="n">
        <x:v>30.6</x:v>
      </x:c>
      <x:c r="H28" s="48"/>
      <x:c r="I28" s="40" t="str">
        <x:v>%</x:v>
      </x:c>
      <x:c r="J28" s="40" t="str">
        <x:v>YoY</x:v>
      </x:c>
      <x:c r="K28" s="40" t="str">
        <x:v>Reported</x:v>
      </x:c>
      <x:c r="L28" s="40" t="str">
        <x:v>POWL26</x:v>
      </x:c>
      <x:c r="M28" s="40" t="str">
        <x:v>https://powellindustriesinc.gcs-web.com/news-releases/news-release-details/powell-industries-announces-third-quarter-fiscal-2026-results</x:v>
      </x:c>
      <x:c r="N28" s="40" t="str"/>
      <x:c r="O28" s="52" t="n">
        <x:f>IF(F28="","",'Settings'!$B$3-F28)</x:f>
        <x:v>35</x:v>
      </x:c>
      <x:c r="P28" s="46" t="str">
        <x:f>IF(H28="","",G28-H28)</x:f>
      </x:c>
      <x:c r="Q28" s="50" t="str">
        <x:f>IF(OR(H28="",H28&lt;=0,LEFT(I28,1)="%"),"",G28/H28-1)</x:f>
      </x:c>
    </x:row>
    <x:row r="29" ht="72" customHeight="1">
      <x:c r="A29" s="40" t="str">
        <x:v>O024</x:v>
      </x:c>
      <x:c r="B29" s="40" t="str">
        <x:v>Industrials</x:v>
      </x:c>
      <x:c r="C29" s="40" t="str">
        <x:v>CSW</x:v>
      </x:c>
      <x:c r="D29" s="40" t="str">
        <x:v>Revenue</x:v>
      </x:c>
      <x:c r="E29" s="40" t="str">
        <x:v>Q1 FY2027</x:v>
      </x:c>
      <x:c r="F29" s="44" t="n">
        <x:v>46233</x:v>
      </x:c>
      <x:c r="G29" s="48" t="n">
        <x:v>350.6</x:v>
      </x:c>
      <x:c r="H29" s="48"/>
      <x:c r="I29" s="40" t="str">
        <x:v>USD m</x:v>
      </x:c>
      <x:c r="J29" s="40" t="str">
        <x:v>YoY</x:v>
      </x:c>
      <x:c r="K29" s="40" t="str">
        <x:v>Reported</x:v>
      </x:c>
      <x:c r="L29" s="40" t="str">
        <x:v>CSW26</x:v>
      </x:c>
      <x:c r="M29" s="40" t="str">
        <x:v>https://www.globenewswire.com/news-release/2026/07/30/3335879/0/en/csw-industrials-reports-impressive-fiscal-2027-first-quarter-with-all-time-record-results-contractor-solutions-segment-delivers-second-consecutive-quarter-of-positive-organic-growt.html</x:v>
      </x:c>
      <x:c r="N29" s="40" t="str"/>
      <x:c r="O29" s="52" t="n">
        <x:f>IF(F29="","",'Settings'!$B$3-F29)</x:f>
        <x:v>39</x:v>
      </x:c>
      <x:c r="P29" s="46" t="str">
        <x:f>IF(H29="","",G29-H29)</x:f>
      </x:c>
      <x:c r="Q29" s="50" t="str">
        <x:f>IF(OR(H29="",H29&lt;=0,LEFT(I29,1)="%"),"",G29/H29-1)</x:f>
      </x:c>
    </x:row>
    <x:row r="30" ht="72" customHeight="1">
      <x:c r="A30" s="40" t="str">
        <x:v>O025</x:v>
      </x:c>
      <x:c r="B30" s="40" t="str">
        <x:v>Industrials</x:v>
      </x:c>
      <x:c r="C30" s="40" t="str">
        <x:v>CSW</x:v>
      </x:c>
      <x:c r="D30" s="40" t="str">
        <x:v>Organic revenue growth</x:v>
      </x:c>
      <x:c r="E30" s="40" t="str">
        <x:v>Q1 FY2027</x:v>
      </x:c>
      <x:c r="F30" s="44" t="n">
        <x:v>46233</x:v>
      </x:c>
      <x:c r="G30" s="48" t="n">
        <x:v>5.3</x:v>
      </x:c>
      <x:c r="H30" s="48"/>
      <x:c r="I30" s="40" t="str">
        <x:v>% YoY</x:v>
      </x:c>
      <x:c r="J30" s="40" t="str">
        <x:v>YoY</x:v>
      </x:c>
      <x:c r="K30" s="40" t="str">
        <x:v>Reported</x:v>
      </x:c>
      <x:c r="L30" s="40" t="str">
        <x:v>CSW26</x:v>
      </x:c>
      <x:c r="M30" s="40" t="str">
        <x:v>https://www.globenewswire.com/news-release/2026/07/30/3335879/0/en/csw-industrials-reports-impressive-fiscal-2027-first-quarter-with-all-time-record-results-contractor-solutions-segment-delivers-second-consecutive-quarter-of-positive-organic-growt.html</x:v>
      </x:c>
      <x:c r="N30" s="40" t="str"/>
      <x:c r="O30" s="52" t="n">
        <x:f>IF(F30="","",'Settings'!$B$3-F30)</x:f>
        <x:v>39</x:v>
      </x:c>
      <x:c r="P30" s="46" t="str">
        <x:f>IF(H30="","",G30-H30)</x:f>
      </x:c>
      <x:c r="Q30" s="50" t="str">
        <x:f>IF(OR(H30="",H30&lt;=0,LEFT(I30,1)="%"),"",G30/H30-1)</x:f>
      </x:c>
    </x:row>
    <x:row r="31" ht="72" customHeight="1">
      <x:c r="A31" s="40" t="str">
        <x:v>O026</x:v>
      </x:c>
      <x:c r="B31" s="40" t="str">
        <x:v>Industrials</x:v>
      </x:c>
      <x:c r="C31" s="40" t="str">
        <x:v>CSW</x:v>
      </x:c>
      <x:c r="D31" s="40" t="str">
        <x:v>Acquisition revenue contribution</x:v>
      </x:c>
      <x:c r="E31" s="40" t="str">
        <x:v>Q1 FY2027</x:v>
      </x:c>
      <x:c r="F31" s="44" t="n">
        <x:v>46233</x:v>
      </x:c>
      <x:c r="G31" s="48" t="n">
        <x:v>73</x:v>
      </x:c>
      <x:c r="H31" s="48"/>
      <x:c r="I31" s="40" t="str">
        <x:v>USD m</x:v>
      </x:c>
      <x:c r="J31" s="40" t="str">
        <x:v>YoY</x:v>
      </x:c>
      <x:c r="K31" s="40" t="str">
        <x:v>Reported</x:v>
      </x:c>
      <x:c r="L31" s="40" t="str">
        <x:v>CSW26</x:v>
      </x:c>
      <x:c r="M31" s="40" t="str">
        <x:v>https://www.globenewswire.com/news-release/2026/07/30/3335879/0/en/csw-industrials-reports-impressive-fiscal-2027-first-quarter-with-all-time-record-results-contractor-solutions-segment-delivers-second-consecutive-quarter-of-positive-organic-growt.html</x:v>
      </x:c>
      <x:c r="N31" s="40" t="str"/>
      <x:c r="O31" s="52" t="n">
        <x:f>IF(F31="","",'Settings'!$B$3-F31)</x:f>
        <x:v>39</x:v>
      </x:c>
      <x:c r="P31" s="46" t="str">
        <x:f>IF(H31="","",G31-H31)</x:f>
      </x:c>
      <x:c r="Q31" s="50" t="str">
        <x:f>IF(OR(H31="",H31&lt;=0,LEFT(I31,1)="%"),"",G31/H31-1)</x:f>
      </x:c>
    </x:row>
    <x:row r="32" ht="72" customHeight="1">
      <x:c r="A32" s="40" t="str">
        <x:v>O027</x:v>
      </x:c>
      <x:c r="B32" s="40" t="str">
        <x:v>Industrials</x:v>
      </x:c>
      <x:c r="C32" s="40" t="str">
        <x:v>HPS.A@CA</x:v>
      </x:c>
      <x:c r="D32" s="40" t="str">
        <x:v>Revenue</x:v>
      </x:c>
      <x:c r="E32" s="40" t="str">
        <x:v>Q2 2026</x:v>
      </x:c>
      <x:c r="F32" s="44" t="n">
        <x:v>46233</x:v>
      </x:c>
      <x:c r="G32" s="48" t="n">
        <x:v>325</x:v>
      </x:c>
      <x:c r="H32" s="48"/>
      <x:c r="I32" s="40" t="str">
        <x:v>CAD m, rounded</x:v>
      </x:c>
      <x:c r="J32" s="40" t="str">
        <x:v>YoY</x:v>
      </x:c>
      <x:c r="K32" s="40" t="str">
        <x:v>Reported</x:v>
      </x:c>
      <x:c r="L32" s="40" t="str">
        <x:v>HPS26</x:v>
      </x:c>
      <x:c r="M32" s="40" t="str">
        <x:v>https://emea.hammondpowersolutions.com/news/2026/july/Quarter-2-2026-Financial-Results</x:v>
      </x:c>
      <x:c r="N32" s="40" t="str"/>
      <x:c r="O32" s="52" t="n">
        <x:f>IF(F32="","",'Settings'!$B$3-F32)</x:f>
        <x:v>39</x:v>
      </x:c>
      <x:c r="P32" s="46" t="str">
        <x:f>IF(H32="","",G32-H32)</x:f>
      </x:c>
      <x:c r="Q32" s="50" t="str">
        <x:f>IF(OR(H32="",H32&lt;=0,LEFT(I32,1)="%"),"",G32/H32-1)</x:f>
      </x:c>
    </x:row>
    <x:row r="33" ht="72" customHeight="1">
      <x:c r="A33" s="40" t="str">
        <x:v>O028</x:v>
      </x:c>
      <x:c r="B33" s="40" t="str">
        <x:v>Industrials</x:v>
      </x:c>
      <x:c r="C33" s="40" t="str">
        <x:v>HPS.A@CA</x:v>
      </x:c>
      <x:c r="D33" s="40" t="str">
        <x:v>Gross margin</x:v>
      </x:c>
      <x:c r="E33" s="40" t="str">
        <x:v>Q2 2026</x:v>
      </x:c>
      <x:c r="F33" s="44" t="n">
        <x:v>46233</x:v>
      </x:c>
      <x:c r="G33" s="48" t="n">
        <x:v>31.5</x:v>
      </x:c>
      <x:c r="H33" s="48" t="n">
        <x:v>30.1</x:v>
      </x:c>
      <x:c r="I33" s="40" t="str">
        <x:v>%</x:v>
      </x:c>
      <x:c r="J33" s="40" t="str">
        <x:v>QoQ</x:v>
      </x:c>
      <x:c r="K33" s="40" t="str">
        <x:v>Reported</x:v>
      </x:c>
      <x:c r="L33" s="40" t="str">
        <x:v>HPS26</x:v>
      </x:c>
      <x:c r="M33" s="40" t="str">
        <x:v>https://emea.hammondpowersolutions.com/news/2026/july/Quarter-2-2026-Financial-Results</x:v>
      </x:c>
      <x:c r="N33" s="40" t="str"/>
      <x:c r="O33" s="52" t="n">
        <x:f>IF(F33="","",'Settings'!$B$3-F33)</x:f>
        <x:v>39</x:v>
      </x:c>
      <x:c r="P33" s="46" t="n">
        <x:f>IF(H33="","",G33-H33)</x:f>
        <x:v>1.3999999999999986</x:v>
      </x:c>
      <x:c r="Q33" s="50" t="str">
        <x:f>IF(OR(H33="",H33&lt;=0,LEFT(I33,1)="%"),"",G33/H33-1)</x:f>
      </x:c>
    </x:row>
    <x:row r="34" ht="72" customHeight="1">
      <x:c r="A34" s="40" t="str">
        <x:v>O029</x:v>
      </x:c>
      <x:c r="B34" s="40" t="str">
        <x:v>Industrials</x:v>
      </x:c>
      <x:c r="C34" s="40" t="str">
        <x:v>HPS.A@CA</x:v>
      </x:c>
      <x:c r="D34" s="40" t="str">
        <x:v>Backlog growth</x:v>
      </x:c>
      <x:c r="E34" s="40" t="str">
        <x:v>Q2 2026</x:v>
      </x:c>
      <x:c r="F34" s="44" t="n">
        <x:v>46233</x:v>
      </x:c>
      <x:c r="G34" s="48" t="n">
        <x:v>96.9</x:v>
      </x:c>
      <x:c r="H34" s="48"/>
      <x:c r="I34" s="40" t="str">
        <x:v>% YoY</x:v>
      </x:c>
      <x:c r="J34" s="40" t="str">
        <x:v>YoY</x:v>
      </x:c>
      <x:c r="K34" s="40" t="str">
        <x:v>Reported</x:v>
      </x:c>
      <x:c r="L34" s="40" t="str">
        <x:v>HPS26</x:v>
      </x:c>
      <x:c r="M34" s="40" t="str">
        <x:v>https://emea.hammondpowersolutions.com/news/2026/july/Quarter-2-2026-Financial-Results</x:v>
      </x:c>
      <x:c r="N34" s="40" t="str"/>
      <x:c r="O34" s="52" t="n">
        <x:f>IF(F34="","",'Settings'!$B$3-F34)</x:f>
        <x:v>39</x:v>
      </x:c>
      <x:c r="P34" s="46" t="str">
        <x:f>IF(H34="","",G34-H34)</x:f>
      </x:c>
      <x:c r="Q34" s="50" t="str">
        <x:f>IF(OR(H34="",H34&lt;=0,LEFT(I34,1)="%"),"",G34/H34-1)</x:f>
      </x:c>
    </x:row>
    <x:row r="35" ht="72" customHeight="1">
      <x:c r="A35" s="40" t="str">
        <x:v>O030</x:v>
      </x:c>
      <x:c r="B35" s="40" t="str">
        <x:v>Industrials</x:v>
      </x:c>
      <x:c r="C35" s="40" t="str">
        <x:v>HPS.A@CA</x:v>
      </x:c>
      <x:c r="D35" s="40" t="str">
        <x:v>GAAP EPS</x:v>
      </x:c>
      <x:c r="E35" s="40" t="str">
        <x:v>Q2 2026</x:v>
      </x:c>
      <x:c r="F35" s="44" t="n">
        <x:v>46233</x:v>
      </x:c>
      <x:c r="G35" s="48" t="n">
        <x:v>0.79</x:v>
      </x:c>
      <x:c r="H35" s="48"/>
      <x:c r="I35" s="40" t="str">
        <x:v>CAD/share</x:v>
      </x:c>
      <x:c r="J35" s="40" t="str">
        <x:v>YoY</x:v>
      </x:c>
      <x:c r="K35" s="40" t="str">
        <x:v>Reported</x:v>
      </x:c>
      <x:c r="L35" s="40" t="str">
        <x:v>HPS26</x:v>
      </x:c>
      <x:c r="M35" s="40" t="str">
        <x:v>https://emea.hammondpowersolutions.com/news/2026/july/Quarter-2-2026-Financial-Results</x:v>
      </x:c>
      <x:c r="N35" s="40" t="str"/>
      <x:c r="O35" s="52" t="n">
        <x:f>IF(F35="","",'Settings'!$B$3-F35)</x:f>
        <x:v>39</x:v>
      </x:c>
      <x:c r="P35" s="46" t="str">
        <x:f>IF(H35="","",G35-H35)</x:f>
      </x:c>
      <x:c r="Q35" s="50" t="str">
        <x:f>IF(OR(H35="",H35&lt;=0,LEFT(I35,1)="%"),"",G35/H35-1)</x:f>
      </x:c>
    </x:row>
    <x:row r="36" ht="72" customHeight="1">
      <x:c r="A36" s="40" t="str">
        <x:v>O031</x:v>
      </x:c>
      <x:c r="B36" s="40" t="str">
        <x:v>Industrials</x:v>
      </x:c>
      <x:c r="C36" s="40" t="str">
        <x:v>HPS.A@CA</x:v>
      </x:c>
      <x:c r="D36" s="40" t="str">
        <x:v>Adjusted EPS</x:v>
      </x:c>
      <x:c r="E36" s="40" t="str">
        <x:v>Q2 2026</x:v>
      </x:c>
      <x:c r="F36" s="44" t="n">
        <x:v>46233</x:v>
      </x:c>
      <x:c r="G36" s="48" t="n">
        <x:v>2.76</x:v>
      </x:c>
      <x:c r="H36" s="48"/>
      <x:c r="I36" s="40" t="str">
        <x:v>CAD/share</x:v>
      </x:c>
      <x:c r="J36" s="40" t="str">
        <x:v>None</x:v>
      </x:c>
      <x:c r="K36" s="40" t="str">
        <x:v>Reported</x:v>
      </x:c>
      <x:c r="L36" s="40" t="str">
        <x:v>HPS26</x:v>
      </x:c>
      <x:c r="M36" s="40" t="str">
        <x:v>https://emea.hammondpowersolutions.com/news/2026/july/Quarter-2-2026-Financial-Results</x:v>
      </x:c>
      <x:c r="N36" s="40" t="str">
        <x:v>Large GAAP-adjusted bridge requires reconciliation.</x:v>
      </x:c>
      <x:c r="O36" s="52" t="n">
        <x:f>IF(F36="","",'Settings'!$B$3-F36)</x:f>
        <x:v>39</x:v>
      </x:c>
      <x:c r="P36" s="46" t="str">
        <x:f>IF(H36="","",G36-H36)</x:f>
      </x:c>
      <x:c r="Q36" s="50" t="str">
        <x:f>IF(OR(H36="",H36&lt;=0,LEFT(I36,1)="%"),"",G36/H36-1)</x:f>
      </x:c>
    </x:row>
    <x:row r="37" ht="72" customHeight="1">
      <x:c r="A37" s="40" t="str">
        <x:v>O032</x:v>
      </x:c>
      <x:c r="B37" s="40" t="str">
        <x:v>Industrials</x:v>
      </x:c>
      <x:c r="C37" s="40" t="str">
        <x:v>IESC</x:v>
      </x:c>
      <x:c r="D37" s="40" t="str">
        <x:v>Revenue growth</x:v>
      </x:c>
      <x:c r="E37" s="40" t="str">
        <x:v>Q3 FY2026</x:v>
      </x:c>
      <x:c r="F37" s="44" t="n">
        <x:v>46234</x:v>
      </x:c>
      <x:c r="G37" s="48" t="n">
        <x:v>40</x:v>
      </x:c>
      <x:c r="H37" s="48"/>
      <x:c r="I37" s="40" t="str">
        <x:v>% YoY</x:v>
      </x:c>
      <x:c r="J37" s="40" t="str">
        <x:v>YoY</x:v>
      </x:c>
      <x:c r="K37" s="40" t="str">
        <x:v>Reported</x:v>
      </x:c>
      <x:c r="L37" s="40" t="str">
        <x:v>IESC26</x:v>
      </x:c>
      <x:c r="M37" s="40" t="str">
        <x:v>https://investors.ies-corporate.com/news-releases/news-release-details/ies-holdings-reports-fiscal-2026-third-quarter-results-and</x:v>
      </x:c>
      <x:c r="N37" s="40" t="str"/>
      <x:c r="O37" s="52" t="n">
        <x:f>IF(F37="","",'Settings'!$B$3-F37)</x:f>
        <x:v>38</x:v>
      </x:c>
      <x:c r="P37" s="46" t="str">
        <x:f>IF(H37="","",G37-H37)</x:f>
      </x:c>
      <x:c r="Q37" s="50" t="str">
        <x:f>IF(OR(H37="",H37&lt;=0,LEFT(I37,1)="%"),"",G37/H37-1)</x:f>
      </x:c>
    </x:row>
    <x:row r="38" ht="72" customHeight="1">
      <x:c r="A38" s="40" t="str">
        <x:v>O033</x:v>
      </x:c>
      <x:c r="B38" s="40" t="str">
        <x:v>Industrials</x:v>
      </x:c>
      <x:c r="C38" s="40" t="str">
        <x:v>IESC</x:v>
      </x:c>
      <x:c r="D38" s="40" t="str">
        <x:v>Operating income growth</x:v>
      </x:c>
      <x:c r="E38" s="40" t="str">
        <x:v>Q3 FY2026</x:v>
      </x:c>
      <x:c r="F38" s="44" t="n">
        <x:v>46234</x:v>
      </x:c>
      <x:c r="G38" s="48" t="n">
        <x:v>60</x:v>
      </x:c>
      <x:c r="H38" s="48"/>
      <x:c r="I38" s="40" t="str">
        <x:v>% YoY</x:v>
      </x:c>
      <x:c r="J38" s="40" t="str">
        <x:v>YoY</x:v>
      </x:c>
      <x:c r="K38" s="40" t="str">
        <x:v>Reported</x:v>
      </x:c>
      <x:c r="L38" s="40" t="str">
        <x:v>IESC26</x:v>
      </x:c>
      <x:c r="M38" s="40" t="str">
        <x:v>https://investors.ies-corporate.com/news-releases/news-release-details/ies-holdings-reports-fiscal-2026-third-quarter-results-and</x:v>
      </x:c>
      <x:c r="N38" s="40" t="str"/>
      <x:c r="O38" s="52" t="n">
        <x:f>IF(F38="","",'Settings'!$B$3-F38)</x:f>
        <x:v>38</x:v>
      </x:c>
      <x:c r="P38" s="46" t="str">
        <x:f>IF(H38="","",G38-H38)</x:f>
      </x:c>
      <x:c r="Q38" s="50" t="str">
        <x:f>IF(OR(H38="",H38&lt;=0,LEFT(I38,1)="%"),"",G38/H38-1)</x:f>
      </x:c>
    </x:row>
    <x:row r="39" ht="72" customHeight="1">
      <x:c r="A39" s="40" t="str">
        <x:v>O034</x:v>
      </x:c>
      <x:c r="B39" s="40" t="str">
        <x:v>Industrials</x:v>
      </x:c>
      <x:c r="C39" s="40" t="str">
        <x:v>IESC</x:v>
      </x:c>
      <x:c r="D39" s="40" t="str">
        <x:v>Remaining performance obligations</x:v>
      </x:c>
      <x:c r="E39" s="40" t="str">
        <x:v>2026-06-30</x:v>
      </x:c>
      <x:c r="F39" s="44" t="n">
        <x:v>46234</x:v>
      </x:c>
      <x:c r="G39" s="48" t="n">
        <x:v>2800</x:v>
      </x:c>
      <x:c r="H39" s="48"/>
      <x:c r="I39" s="40" t="str">
        <x:v>USD m, rounded</x:v>
      </x:c>
      <x:c r="J39" s="40" t="str">
        <x:v>YoY</x:v>
      </x:c>
      <x:c r="K39" s="40" t="str">
        <x:v>Reported</x:v>
      </x:c>
      <x:c r="L39" s="40" t="str">
        <x:v>IESC26</x:v>
      </x:c>
      <x:c r="M39" s="40" t="str">
        <x:v>https://investors.ies-corporate.com/news-releases/news-release-details/ies-holdings-reports-fiscal-2026-third-quarter-results-and</x:v>
      </x:c>
      <x:c r="N39" s="40" t="str"/>
      <x:c r="O39" s="52" t="n">
        <x:f>IF(F39="","",'Settings'!$B$3-F39)</x:f>
        <x:v>38</x:v>
      </x:c>
      <x:c r="P39" s="46" t="str">
        <x:f>IF(H39="","",G39-H39)</x:f>
      </x:c>
      <x:c r="Q39" s="50" t="str">
        <x:f>IF(OR(H39="",H39&lt;=0,LEFT(I39,1)="%"),"",G39/H39-1)</x:f>
      </x:c>
    </x:row>
    <x:row r="40" ht="72" customHeight="1">
      <x:c r="A40" s="40" t="str">
        <x:v>O035</x:v>
      </x:c>
      <x:c r="B40" s="40" t="str">
        <x:v>Industrials</x:v>
      </x:c>
      <x:c r="C40" s="40" t="str">
        <x:v>IESC</x:v>
      </x:c>
      <x:c r="D40" s="40" t="str">
        <x:v>Company-defined backlog</x:v>
      </x:c>
      <x:c r="E40" s="40" t="str">
        <x:v>2026-06-30</x:v>
      </x:c>
      <x:c r="F40" s="44" t="n">
        <x:v>46234</x:v>
      </x:c>
      <x:c r="G40" s="48" t="n">
        <x:v>4500</x:v>
      </x:c>
      <x:c r="H40" s="48"/>
      <x:c r="I40" s="40" t="str">
        <x:v>USD m, rounded</x:v>
      </x:c>
      <x:c r="J40" s="40" t="str">
        <x:v>None</x:v>
      </x:c>
      <x:c r="K40" s="40" t="str">
        <x:v>Reported</x:v>
      </x:c>
      <x:c r="L40" s="40" t="str">
        <x:v>IESC26</x:v>
      </x:c>
      <x:c r="M40" s="40" t="str">
        <x:v>https://investors.ies-corporate.com/news-releases/news-release-details/ies-holdings-reports-fiscal-2026-third-quarter-results-and</x:v>
      </x:c>
      <x:c r="N40" s="40" t="str">
        <x:v>Includes some signed agreements / LOIs not yet legally enforceable; overlaps RPO.</x:v>
      </x:c>
      <x:c r="O40" s="52" t="n">
        <x:f>IF(F40="","",'Settings'!$B$3-F40)</x:f>
        <x:v>38</x:v>
      </x:c>
      <x:c r="P40" s="46" t="str">
        <x:f>IF(H40="","",G40-H40)</x:f>
      </x:c>
      <x:c r="Q40" s="50" t="str">
        <x:f>IF(OR(H40="",H40&lt;=0,LEFT(I40,1)="%"),"",G40/H40-1)</x:f>
      </x:c>
    </x:row>
    <x:row r="41" ht="72" customHeight="1">
      <x:c r="A41" s="40" t="str">
        <x:v>O036</x:v>
      </x:c>
      <x:c r="B41" s="40" t="str">
        <x:v>Information Technology</x:v>
      </x:c>
      <x:c r="C41" s="40" t="str">
        <x:v>AAOI</x:v>
      </x:c>
      <x:c r="D41" s="40" t="str">
        <x:v>Revenue</x:v>
      </x:c>
      <x:c r="E41" s="40" t="str">
        <x:v>Q2 2026</x:v>
      </x:c>
      <x:c r="F41" s="44" t="n">
        <x:v>46240</x:v>
      </x:c>
      <x:c r="G41" s="48" t="n">
        <x:v>191.9</x:v>
      </x:c>
      <x:c r="H41" s="48" t="n">
        <x:v>103</x:v>
      </x:c>
      <x:c r="I41" s="40" t="str">
        <x:v>USD m</x:v>
      </x:c>
      <x:c r="J41" s="40" t="str">
        <x:v>YoY</x:v>
      </x:c>
      <x:c r="K41" s="40" t="str">
        <x:v>Reported</x:v>
      </x:c>
      <x:c r="L41" s="40" t="str">
        <x:v>AAOI26</x:v>
      </x:c>
      <x:c r="M41" s="40" t="str">
        <x:v>https://investors.ao-inc.com/news-releases/news-release-details/applied-optoelectronics-reports-second-quarter-2026-results</x:v>
      </x:c>
      <x:c r="N41" s="40" t="str"/>
      <x:c r="O41" s="52" t="n">
        <x:f>IF(F41="","",'Settings'!$B$3-F41)</x:f>
        <x:v>32</x:v>
      </x:c>
      <x:c r="P41" s="46" t="n">
        <x:f>IF(H41="","",G41-H41)</x:f>
        <x:v>88.9</x:v>
      </x:c>
      <x:c r="Q41" s="50" t="n">
        <x:f>IF(OR(H41="",H41&lt;=0,LEFT(I41,1)="%"),"",G41/H41-1)</x:f>
        <x:v>0.8631067961165049</x:v>
      </x:c>
    </x:row>
    <x:row r="42" ht="72" customHeight="1">
      <x:c r="A42" s="40" t="str">
        <x:v>O037</x:v>
      </x:c>
      <x:c r="B42" s="40" t="str">
        <x:v>Information Technology</x:v>
      </x:c>
      <x:c r="C42" s="40" t="str">
        <x:v>AAOI</x:v>
      </x:c>
      <x:c r="D42" s="40" t="str">
        <x:v>GAAP gross margin</x:v>
      </x:c>
      <x:c r="E42" s="40" t="str">
        <x:v>Q2 2026</x:v>
      </x:c>
      <x:c r="F42" s="44" t="n">
        <x:v>46240</x:v>
      </x:c>
      <x:c r="G42" s="48" t="n">
        <x:v>27.7</x:v>
      </x:c>
      <x:c r="H42" s="48" t="n">
        <x:v>30.3</x:v>
      </x:c>
      <x:c r="I42" s="40" t="str">
        <x:v>%</x:v>
      </x:c>
      <x:c r="J42" s="40" t="str">
        <x:v>YoY</x:v>
      </x:c>
      <x:c r="K42" s="40" t="str">
        <x:v>Reported</x:v>
      </x:c>
      <x:c r="L42" s="40" t="str">
        <x:v>AAOI26</x:v>
      </x:c>
      <x:c r="M42" s="40" t="str">
        <x:v>https://investors.ao-inc.com/news-releases/news-release-details/applied-optoelectronics-reports-second-quarter-2026-results</x:v>
      </x:c>
      <x:c r="N42" s="40" t="str"/>
      <x:c r="O42" s="52" t="n">
        <x:f>IF(F42="","",'Settings'!$B$3-F42)</x:f>
        <x:v>32</x:v>
      </x:c>
      <x:c r="P42" s="46" t="n">
        <x:f>IF(H42="","",G42-H42)</x:f>
        <x:v>-2.6000000000000014</x:v>
      </x:c>
      <x:c r="Q42" s="50" t="str">
        <x:f>IF(OR(H42="",H42&lt;=0,LEFT(I42,1)="%"),"",G42/H42-1)</x:f>
      </x:c>
    </x:row>
    <x:row r="43" ht="72" customHeight="1">
      <x:c r="A43" s="40" t="str">
        <x:v>O038</x:v>
      </x:c>
      <x:c r="B43" s="40" t="str">
        <x:v>Industrials</x:v>
      </x:c>
      <x:c r="C43" s="40" t="str">
        <x:v>AAON</x:v>
      </x:c>
      <x:c r="D43" s="40" t="str">
        <x:v>Revenue</x:v>
      </x:c>
      <x:c r="E43" s="40" t="str">
        <x:v>Q2 2026</x:v>
      </x:c>
      <x:c r="F43" s="44" t="n">
        <x:v>46240</x:v>
      </x:c>
      <x:c r="G43" s="48" t="n">
        <x:v>627</x:v>
      </x:c>
      <x:c r="H43" s="48" t="n">
        <x:v>311.6</x:v>
      </x:c>
      <x:c r="I43" s="40" t="str">
        <x:v>USD m</x:v>
      </x:c>
      <x:c r="J43" s="40" t="str">
        <x:v>YoY</x:v>
      </x:c>
      <x:c r="K43" s="40" t="str">
        <x:v>Reported</x:v>
      </x:c>
      <x:c r="L43" s="40" t="str">
        <x:v>AAON26</x:v>
      </x:c>
      <x:c r="M43" s="40" t="str">
        <x:v>https://investors.aaon.com/investor-news/aaon-reports-record-second-quarter-2026-results-driven-by-strong-demand-accelerating-throughput-and-improved-operating-execution</x:v>
      </x:c>
      <x:c r="N43" s="40" t="str"/>
      <x:c r="O43" s="52" t="n">
        <x:f>IF(F43="","",'Settings'!$B$3-F43)</x:f>
        <x:v>32</x:v>
      </x:c>
      <x:c r="P43" s="46" t="n">
        <x:f>IF(H43="","",G43-H43)</x:f>
        <x:v>315.4</x:v>
      </x:c>
      <x:c r="Q43" s="50" t="n">
        <x:f>IF(OR(H43="",H43&lt;=0,LEFT(I43,1)="%"),"",G43/H43-1)</x:f>
        <x:v>1.0121951219512195</x:v>
      </x:c>
    </x:row>
    <x:row r="44" ht="72" customHeight="1">
      <x:c r="A44" s="40" t="str">
        <x:v>O039</x:v>
      </x:c>
      <x:c r="B44" s="40" t="str">
        <x:v>Industrials</x:v>
      </x:c>
      <x:c r="C44" s="40" t="str">
        <x:v>AAON</x:v>
      </x:c>
      <x:c r="D44" s="40" t="str">
        <x:v>Gross margin</x:v>
      </x:c>
      <x:c r="E44" s="40" t="str">
        <x:v>Q2 2026</x:v>
      </x:c>
      <x:c r="F44" s="44" t="n">
        <x:v>46240</x:v>
      </x:c>
      <x:c r="G44" s="48" t="n">
        <x:v>24.3</x:v>
      </x:c>
      <x:c r="H44" s="48" t="n">
        <x:v>26.6</x:v>
      </x:c>
      <x:c r="I44" s="40" t="str">
        <x:v>%</x:v>
      </x:c>
      <x:c r="J44" s="40" t="str">
        <x:v>YoY</x:v>
      </x:c>
      <x:c r="K44" s="40" t="str">
        <x:v>Reported</x:v>
      </x:c>
      <x:c r="L44" s="40" t="str">
        <x:v>AAON26</x:v>
      </x:c>
      <x:c r="M44" s="40" t="str">
        <x:v>https://investors.aaon.com/investor-news/aaon-reports-record-second-quarter-2026-results-driven-by-strong-demand-accelerating-throughput-and-improved-operating-execution</x:v>
      </x:c>
      <x:c r="N44" s="40" t="str"/>
      <x:c r="O44" s="52" t="n">
        <x:f>IF(F44="","",'Settings'!$B$3-F44)</x:f>
        <x:v>32</x:v>
      </x:c>
      <x:c r="P44" s="46" t="n">
        <x:f>IF(H44="","",G44-H44)</x:f>
        <x:v>-2.3000000000000007</x:v>
      </x:c>
      <x:c r="Q44" s="50" t="str">
        <x:f>IF(OR(H44="",H44&lt;=0,LEFT(I44,1)="%"),"",G44/H44-1)</x:f>
      </x:c>
    </x:row>
    <x:row r="45" ht="72" customHeight="1">
      <x:c r="A45" s="40" t="str">
        <x:v>O040</x:v>
      </x:c>
      <x:c r="B45" s="40" t="str">
        <x:v>Industrials</x:v>
      </x:c>
      <x:c r="C45" s="40" t="str">
        <x:v>AAON</x:v>
      </x:c>
      <x:c r="D45" s="40" t="str">
        <x:v>Operating income</x:v>
      </x:c>
      <x:c r="E45" s="40" t="str">
        <x:v>Q2 2026</x:v>
      </x:c>
      <x:c r="F45" s="44" t="n">
        <x:v>46240</x:v>
      </x:c>
      <x:c r="G45" s="48" t="n">
        <x:v>68.9</x:v>
      </x:c>
      <x:c r="H45" s="48" t="n">
        <x:v>23.6</x:v>
      </x:c>
      <x:c r="I45" s="40" t="str">
        <x:v>USD m</x:v>
      </x:c>
      <x:c r="J45" s="40" t="str">
        <x:v>YoY</x:v>
      </x:c>
      <x:c r="K45" s="40" t="str">
        <x:v>Reported</x:v>
      </x:c>
      <x:c r="L45" s="40" t="str">
        <x:v>AAON26</x:v>
      </x:c>
      <x:c r="M45" s="40" t="str">
        <x:v>https://investors.aaon.com/investor-news/aaon-reports-record-second-quarter-2026-results-driven-by-strong-demand-accelerating-throughput-and-improved-operating-execution</x:v>
      </x:c>
      <x:c r="N45" s="40" t="str"/>
      <x:c r="O45" s="52" t="n">
        <x:f>IF(F45="","",'Settings'!$B$3-F45)</x:f>
        <x:v>32</x:v>
      </x:c>
      <x:c r="P45" s="46" t="n">
        <x:f>IF(H45="","",G45-H45)</x:f>
        <x:v>45.300000000000004</x:v>
      </x:c>
      <x:c r="Q45" s="50" t="n">
        <x:f>IF(OR(H45="",H45&lt;=0,LEFT(I45,1)="%"),"",G45/H45-1)</x:f>
        <x:v>1.9194915254237288</x:v>
      </x:c>
    </x:row>
    <x:row r="46" ht="72" customHeight="1">
      <x:c r="A46" s="40" t="str">
        <x:v>O041</x:v>
      </x:c>
      <x:c r="B46" s="40" t="str">
        <x:v>Industrials</x:v>
      </x:c>
      <x:c r="C46" s="40" t="str">
        <x:v>AAON</x:v>
      </x:c>
      <x:c r="D46" s="40" t="str">
        <x:v>Backlog sequential change</x:v>
      </x:c>
      <x:c r="E46" s="40" t="str">
        <x:v>Q2 2026</x:v>
      </x:c>
      <x:c r="F46" s="44" t="n">
        <x:v>46240</x:v>
      </x:c>
      <x:c r="G46" s="48" t="n">
        <x:v>-7.4</x:v>
      </x:c>
      <x:c r="H46" s="48"/>
      <x:c r="I46" s="40" t="str">
        <x:v>% QoQ</x:v>
      </x:c>
      <x:c r="J46" s="40" t="str">
        <x:v>QoQ</x:v>
      </x:c>
      <x:c r="K46" s="40" t="str">
        <x:v>Reported</x:v>
      </x:c>
      <x:c r="L46" s="40" t="str">
        <x:v>AAON26</x:v>
      </x:c>
      <x:c r="M46" s="40" t="str">
        <x:v>https://investors.aaon.com/investor-news/aaon-reports-record-second-quarter-2026-results-driven-by-strong-demand-accelerating-throughput-and-improved-operating-execution</x:v>
      </x:c>
      <x:c r="N46" s="40" t="str">
        <x:v>Company cites accelerated shipments and large-award timing; not by itself a demand collapse.</x:v>
      </x:c>
      <x:c r="O46" s="52" t="n">
        <x:f>IF(F46="","",'Settings'!$B$3-F46)</x:f>
        <x:v>32</x:v>
      </x:c>
      <x:c r="P46" s="46" t="str">
        <x:f>IF(H46="","",G46-H46)</x:f>
      </x:c>
      <x:c r="Q46" s="50" t="str">
        <x:f>IF(OR(H46="",H46&lt;=0,LEFT(I46,1)="%"),"",G46/H46-1)</x:f>
      </x:c>
    </x:row>
    <x:row r="47" ht="72" customHeight="1">
      <x:c r="A47" s="40" t="str">
        <x:v>O042</x:v>
      </x:c>
      <x:c r="B47" s="40" t="str">
        <x:v>Information Technology</x:v>
      </x:c>
      <x:c r="C47" s="40" t="str">
        <x:v>CAMT</x:v>
      </x:c>
      <x:c r="D47" s="40" t="str">
        <x:v>Revenue</x:v>
      </x:c>
      <x:c r="E47" s="40" t="str">
        <x:v>Q2 2026</x:v>
      </x:c>
      <x:c r="F47" s="44" t="n">
        <x:v>46244</x:v>
      </x:c>
      <x:c r="G47" s="48" t="n">
        <x:v>133.2</x:v>
      </x:c>
      <x:c r="H47" s="48"/>
      <x:c r="I47" s="40" t="str">
        <x:v>USD m</x:v>
      </x:c>
      <x:c r="J47" s="40" t="str">
        <x:v>YoY</x:v>
      </x:c>
      <x:c r="K47" s="40" t="str">
        <x:v>Reported</x:v>
      </x:c>
      <x:c r="L47" s="40" t="str">
        <x:v>CAMT26</x:v>
      </x:c>
      <x:c r="M47" s="40" t="str">
        <x:v>https://www.camtek.com/news-and-events/camtek-announces-results-for-the-second-quarter-of-2026/</x:v>
      </x:c>
      <x:c r="N47" s="40" t="str"/>
      <x:c r="O47" s="52" t="n">
        <x:f>IF(F47="","",'Settings'!$B$3-F47)</x:f>
        <x:v>28</x:v>
      </x:c>
      <x:c r="P47" s="46" t="str">
        <x:f>IF(H47="","",G47-H47)</x:f>
      </x:c>
      <x:c r="Q47" s="50" t="str">
        <x:f>IF(OR(H47="",H47&lt;=0,LEFT(I47,1)="%"),"",G47/H47-1)</x:f>
      </x:c>
    </x:row>
    <x:row r="48" ht="72" customHeight="1">
      <x:c r="A48" s="40" t="str">
        <x:v>O043</x:v>
      </x:c>
      <x:c r="B48" s="40" t="str">
        <x:v>Industrials</x:v>
      </x:c>
      <x:c r="C48" s="40" t="str">
        <x:v>VSEC</x:v>
      </x:c>
      <x:c r="D48" s="40" t="str">
        <x:v>Revenue</x:v>
      </x:c>
      <x:c r="E48" s="40" t="str">
        <x:v>Q2 2026</x:v>
      </x:c>
      <x:c r="F48" s="44" t="n">
        <x:v>46239</x:v>
      </x:c>
      <x:c r="G48" s="48" t="n">
        <x:v>449.1</x:v>
      </x:c>
      <x:c r="H48" s="48"/>
      <x:c r="I48" s="40" t="str">
        <x:v>USD m</x:v>
      </x:c>
      <x:c r="J48" s="40" t="str">
        <x:v>YoY</x:v>
      </x:c>
      <x:c r="K48" s="40" t="str">
        <x:v>Reported</x:v>
      </x:c>
      <x:c r="L48" s="40" t="str">
        <x:v>VSEC26</x:v>
      </x:c>
      <x:c r="M48" s="40" t="str">
        <x:v>https://ir.vsecorp.com/news/press-releases/detail/413/vse-corporation-announces-second-quarter-2026-results</x:v>
      </x:c>
      <x:c r="N48" s="40" t="str"/>
      <x:c r="O48" s="52" t="n">
        <x:f>IF(F48="","",'Settings'!$B$3-F48)</x:f>
        <x:v>33</x:v>
      </x:c>
      <x:c r="P48" s="46" t="str">
        <x:f>IF(H48="","",G48-H48)</x:f>
      </x:c>
      <x:c r="Q48" s="50" t="str">
        <x:f>IF(OR(H48="",H48&lt;=0,LEFT(I48,1)="%"),"",G48/H48-1)</x:f>
      </x:c>
    </x:row>
    <x:row r="49" ht="72" customHeight="1">
      <x:c r="A49" s="40" t="str">
        <x:v>O044</x:v>
      </x:c>
      <x:c r="B49" s="40" t="str">
        <x:v>Industrials</x:v>
      </x:c>
      <x:c r="C49" s="40" t="str">
        <x:v>VSEC</x:v>
      </x:c>
      <x:c r="D49" s="40" t="str">
        <x:v>Reported revenue growth</x:v>
      </x:c>
      <x:c r="E49" s="40" t="str">
        <x:v>Q2 2026</x:v>
      </x:c>
      <x:c r="F49" s="44" t="n">
        <x:v>46239</x:v>
      </x:c>
      <x:c r="G49" s="48" t="n">
        <x:v>65</x:v>
      </x:c>
      <x:c r="H49" s="48"/>
      <x:c r="I49" s="40" t="str">
        <x:v>% YoY</x:v>
      </x:c>
      <x:c r="J49" s="40" t="str">
        <x:v>YoY</x:v>
      </x:c>
      <x:c r="K49" s="40" t="str">
        <x:v>Reported</x:v>
      </x:c>
      <x:c r="L49" s="40" t="str">
        <x:v>VSEC26</x:v>
      </x:c>
      <x:c r="M49" s="40" t="str">
        <x:v>https://ir.vsecorp.com/news/press-releases/detail/413/vse-corporation-announces-second-quarter-2026-results</x:v>
      </x:c>
      <x:c r="N49" s="40" t="str"/>
      <x:c r="O49" s="52" t="n">
        <x:f>IF(F49="","",'Settings'!$B$3-F49)</x:f>
        <x:v>33</x:v>
      </x:c>
      <x:c r="P49" s="46" t="str">
        <x:f>IF(H49="","",G49-H49)</x:f>
      </x:c>
      <x:c r="Q49" s="50" t="str">
        <x:f>IF(OR(H49="",H49&lt;=0,LEFT(I49,1)="%"),"",G49/H49-1)</x:f>
      </x:c>
    </x:row>
    <x:row r="50" ht="72" customHeight="1">
      <x:c r="A50" s="40" t="str">
        <x:v>O045</x:v>
      </x:c>
      <x:c r="B50" s="40" t="str">
        <x:v>Industrials</x:v>
      </x:c>
      <x:c r="C50" s="40" t="str">
        <x:v>VSEC</x:v>
      </x:c>
      <x:c r="D50" s="40" t="str">
        <x:v>Organic revenue growth</x:v>
      </x:c>
      <x:c r="E50" s="40" t="str">
        <x:v>Q2 2026</x:v>
      </x:c>
      <x:c r="F50" s="44" t="n">
        <x:v>46239</x:v>
      </x:c>
      <x:c r="G50" s="48" t="n">
        <x:v>14</x:v>
      </x:c>
      <x:c r="H50" s="48"/>
      <x:c r="I50" s="40" t="str">
        <x:v>% YoY, approximate</x:v>
      </x:c>
      <x:c r="J50" s="40" t="str">
        <x:v>YoY</x:v>
      </x:c>
      <x:c r="K50" s="40" t="str">
        <x:v>Reported</x:v>
      </x:c>
      <x:c r="L50" s="40" t="str">
        <x:v>VSEC26</x:v>
      </x:c>
      <x:c r="M50" s="40" t="str">
        <x:v>https://ir.vsecorp.com/news/press-releases/detail/413/vse-corporation-announces-second-quarter-2026-results</x:v>
      </x:c>
      <x:c r="N50" s="40" t="str"/>
      <x:c r="O50" s="52" t="n">
        <x:f>IF(F50="","",'Settings'!$B$3-F50)</x:f>
        <x:v>33</x:v>
      </x:c>
      <x:c r="P50" s="46" t="str">
        <x:f>IF(H50="","",G50-H50)</x:f>
      </x:c>
      <x:c r="Q50" s="50" t="str">
        <x:f>IF(OR(H50="",H50&lt;=0,LEFT(I50,1)="%"),"",G50/H50-1)</x:f>
      </x:c>
    </x:row>
    <x:row r="51" ht="72" customHeight="1">
      <x:c r="A51" s="40" t="str">
        <x:v>O046</x:v>
      </x:c>
      <x:c r="B51" s="40" t="str">
        <x:v>Industrials</x:v>
      </x:c>
      <x:c r="C51" s="40" t="str">
        <x:v>AZZ</x:v>
      </x:c>
      <x:c r="D51" s="40" t="str">
        <x:v>Revenue</x:v>
      </x:c>
      <x:c r="E51" s="40" t="str">
        <x:v>Q1 FY2027</x:v>
      </x:c>
      <x:c r="F51" s="44" t="n">
        <x:v>46211</x:v>
      </x:c>
      <x:c r="G51" s="48" t="n">
        <x:v>448.5</x:v>
      </x:c>
      <x:c r="H51" s="48"/>
      <x:c r="I51" s="40" t="str">
        <x:v>USD m</x:v>
      </x:c>
      <x:c r="J51" s="40" t="str">
        <x:v>YoY</x:v>
      </x:c>
      <x:c r="K51" s="40" t="str">
        <x:v>Reported</x:v>
      </x:c>
      <x:c r="L51" s="40" t="str">
        <x:v>AZZ26</x:v>
      </x:c>
      <x:c r="M51" s="40" t="str">
        <x:v>https://investor.azz.com/2026-07-08-AZZ-Inc-Reports-Fiscal-Year-2027-First-Quarter-Results</x:v>
      </x:c>
      <x:c r="N51" s="40" t="str"/>
      <x:c r="O51" s="52" t="n">
        <x:f>IF(F51="","",'Settings'!$B$3-F51)</x:f>
        <x:v>61</x:v>
      </x:c>
      <x:c r="P51" s="46" t="str">
        <x:f>IF(H51="","",G51-H51)</x:f>
      </x:c>
      <x:c r="Q51" s="50" t="str">
        <x:f>IF(OR(H51="",H51&lt;=0,LEFT(I51,1)="%"),"",G51/H51-1)</x:f>
      </x:c>
    </x:row>
    <x:row r="52" ht="72" customHeight="1">
      <x:c r="A52" s="40" t="str">
        <x:v>O047</x:v>
      </x:c>
      <x:c r="B52" s="40" t="str">
        <x:v>Industrials</x:v>
      </x:c>
      <x:c r="C52" s="40" t="str">
        <x:v>AZZ</x:v>
      </x:c>
      <x:c r="D52" s="40" t="str">
        <x:v>Metal Coatings growth</x:v>
      </x:c>
      <x:c r="E52" s="40" t="str">
        <x:v>Q1 FY2027</x:v>
      </x:c>
      <x:c r="F52" s="44" t="n">
        <x:v>46211</x:v>
      </x:c>
      <x:c r="G52" s="48" t="n">
        <x:v>12.3</x:v>
      </x:c>
      <x:c r="H52" s="48"/>
      <x:c r="I52" s="40" t="str">
        <x:v>% YoY</x:v>
      </x:c>
      <x:c r="J52" s="40" t="str">
        <x:v>YoY</x:v>
      </x:c>
      <x:c r="K52" s="40" t="str">
        <x:v>Reported</x:v>
      </x:c>
      <x:c r="L52" s="40" t="str">
        <x:v>AZZ26</x:v>
      </x:c>
      <x:c r="M52" s="40" t="str">
        <x:v>https://investor.azz.com/2026-07-08-AZZ-Inc-Reports-Fiscal-Year-2027-First-Quarter-Results</x:v>
      </x:c>
      <x:c r="N52" s="40" t="str"/>
      <x:c r="O52" s="52" t="n">
        <x:f>IF(F52="","",'Settings'!$B$3-F52)</x:f>
        <x:v>61</x:v>
      </x:c>
      <x:c r="P52" s="46" t="str">
        <x:f>IF(H52="","",G52-H52)</x:f>
      </x:c>
      <x:c r="Q52" s="50" t="str">
        <x:f>IF(OR(H52="",H52&lt;=0,LEFT(I52,1)="%"),"",G52/H52-1)</x:f>
      </x:c>
    </x:row>
    <x:row r="53" ht="72" customHeight="1">
      <x:c r="A53" s="40" t="str">
        <x:v>O048</x:v>
      </x:c>
      <x:c r="B53" s="40" t="str">
        <x:v>Industrials</x:v>
      </x:c>
      <x:c r="C53" s="40" t="str">
        <x:v>AZZ</x:v>
      </x:c>
      <x:c r="D53" s="40" t="str">
        <x:v>Precoat Metals growth</x:v>
      </x:c>
      <x:c r="E53" s="40" t="str">
        <x:v>Q1 FY2027</x:v>
      </x:c>
      <x:c r="F53" s="44" t="n">
        <x:v>46211</x:v>
      </x:c>
      <x:c r="G53" s="48" t="n">
        <x:v>1.5</x:v>
      </x:c>
      <x:c r="H53" s="48"/>
      <x:c r="I53" s="40" t="str">
        <x:v>% YoY</x:v>
      </x:c>
      <x:c r="J53" s="40" t="str">
        <x:v>YoY</x:v>
      </x:c>
      <x:c r="K53" s="40" t="str">
        <x:v>Reported</x:v>
      </x:c>
      <x:c r="L53" s="40" t="str">
        <x:v>AZZ26</x:v>
      </x:c>
      <x:c r="M53" s="40" t="str">
        <x:v>https://investor.azz.com/2026-07-08-AZZ-Inc-Reports-Fiscal-Year-2027-First-Quarter-Results</x:v>
      </x:c>
      <x:c r="N53" s="40" t="str"/>
      <x:c r="O53" s="52" t="n">
        <x:f>IF(F53="","",'Settings'!$B$3-F53)</x:f>
        <x:v>61</x:v>
      </x:c>
      <x:c r="P53" s="46" t="str">
        <x:f>IF(H53="","",G53-H53)</x:f>
      </x:c>
      <x:c r="Q53" s="50" t="str">
        <x:f>IF(OR(H53="",H53&lt;=0,LEFT(I53,1)="%"),"",G53/H53-1)</x:f>
      </x:c>
    </x:row>
    <x:row r="54" ht="72" customHeight="1">
      <x:c r="A54" s="40" t="str">
        <x:v>O049</x:v>
      </x:c>
      <x:c r="B54" s="40" t="str">
        <x:v>Health Care</x:v>
      </x:c>
      <x:c r="C54" s="40" t="str">
        <x:v>LMAT</x:v>
      </x:c>
      <x:c r="D54" s="40" t="str">
        <x:v>Revenue</x:v>
      </x:c>
      <x:c r="E54" s="40" t="str">
        <x:v>Q2 2026</x:v>
      </x:c>
      <x:c r="F54" s="44" t="n">
        <x:v>46238</x:v>
      </x:c>
      <x:c r="G54" s="48" t="n">
        <x:v>70.4</x:v>
      </x:c>
      <x:c r="H54" s="48"/>
      <x:c r="I54" s="40" t="str">
        <x:v>USD m</x:v>
      </x:c>
      <x:c r="J54" s="40" t="str">
        <x:v>YoY</x:v>
      </x:c>
      <x:c r="K54" s="40" t="str">
        <x:v>Reported</x:v>
      </x:c>
      <x:c r="L54" s="40" t="str">
        <x:v>LMAT26</x:v>
      </x:c>
      <x:c r="M54" s="40" t="str">
        <x:v>https://ir.lemaitre.com/news-releases/news-release-details/lemaitre-q2-2026-financial-results</x:v>
      </x:c>
      <x:c r="N54" s="40" t="str"/>
      <x:c r="O54" s="52" t="n">
        <x:f>IF(F54="","",'Settings'!$B$3-F54)</x:f>
        <x:v>34</x:v>
      </x:c>
      <x:c r="P54" s="46" t="str">
        <x:f>IF(H54="","",G54-H54)</x:f>
      </x:c>
      <x:c r="Q54" s="50" t="str">
        <x:f>IF(OR(H54="",H54&lt;=0,LEFT(I54,1)="%"),"",G54/H54-1)</x:f>
      </x:c>
    </x:row>
    <x:row r="55" ht="72" customHeight="1">
      <x:c r="A55" s="40" t="str">
        <x:v>O050</x:v>
      </x:c>
      <x:c r="B55" s="40" t="str">
        <x:v>Health Care</x:v>
      </x:c>
      <x:c r="C55" s="40" t="str">
        <x:v>LMAT</x:v>
      </x:c>
      <x:c r="D55" s="40" t="str">
        <x:v>Organic revenue growth</x:v>
      </x:c>
      <x:c r="E55" s="40" t="str">
        <x:v>Q2 2026</x:v>
      </x:c>
      <x:c r="F55" s="44" t="n">
        <x:v>46238</x:v>
      </x:c>
      <x:c r="G55" s="48" t="n">
        <x:v>10</x:v>
      </x:c>
      <x:c r="H55" s="48"/>
      <x:c r="I55" s="40" t="str">
        <x:v>% YoY</x:v>
      </x:c>
      <x:c r="J55" s="40" t="str">
        <x:v>YoY</x:v>
      </x:c>
      <x:c r="K55" s="40" t="str">
        <x:v>Reported</x:v>
      </x:c>
      <x:c r="L55" s="40" t="str">
        <x:v>LMAT26</x:v>
      </x:c>
      <x:c r="M55" s="40" t="str">
        <x:v>https://ir.lemaitre.com/news-releases/news-release-details/lemaitre-q2-2026-financial-results</x:v>
      </x:c>
      <x:c r="N55" s="40" t="str"/>
      <x:c r="O55" s="52" t="n">
        <x:f>IF(F55="","",'Settings'!$B$3-F55)</x:f>
        <x:v>34</x:v>
      </x:c>
      <x:c r="P55" s="46" t="str">
        <x:f>IF(H55="","",G55-H55)</x:f>
      </x:c>
      <x:c r="Q55" s="50" t="str">
        <x:f>IF(OR(H55="",H55&lt;=0,LEFT(I55,1)="%"),"",G55/H55-1)</x:f>
      </x:c>
    </x:row>
    <x:row r="56" ht="72" customHeight="1">
      <x:c r="A56" s="40" t="str">
        <x:v>O051</x:v>
      </x:c>
      <x:c r="B56" s="40" t="str">
        <x:v>Health Care</x:v>
      </x:c>
      <x:c r="C56" s="40" t="str">
        <x:v>LMAT</x:v>
      </x:c>
      <x:c r="D56" s="40" t="str">
        <x:v>Gross margin</x:v>
      </x:c>
      <x:c r="E56" s="40" t="str">
        <x:v>Q2 2026</x:v>
      </x:c>
      <x:c r="F56" s="44" t="n">
        <x:v>46238</x:v>
      </x:c>
      <x:c r="G56" s="48" t="n">
        <x:v>72.1</x:v>
      </x:c>
      <x:c r="H56" s="48"/>
      <x:c r="I56" s="40" t="str">
        <x:v>%</x:v>
      </x:c>
      <x:c r="J56" s="40" t="str">
        <x:v>YoY</x:v>
      </x:c>
      <x:c r="K56" s="40" t="str">
        <x:v>Reported</x:v>
      </x:c>
      <x:c r="L56" s="40" t="str">
        <x:v>LMAT26</x:v>
      </x:c>
      <x:c r="M56" s="40" t="str">
        <x:v>https://ir.lemaitre.com/news-releases/news-release-details/lemaitre-q2-2026-financial-results</x:v>
      </x:c>
      <x:c r="N56" s="40" t="str"/>
      <x:c r="O56" s="52" t="n">
        <x:f>IF(F56="","",'Settings'!$B$3-F56)</x:f>
        <x:v>34</x:v>
      </x:c>
      <x:c r="P56" s="46" t="str">
        <x:f>IF(H56="","",G56-H56)</x:f>
      </x:c>
      <x:c r="Q56" s="50" t="str">
        <x:f>IF(OR(H56="",H56&lt;=0,LEFT(I56,1)="%"),"",G56/H56-1)</x:f>
      </x:c>
    </x:row>
    <x:row r="57" ht="72" customHeight="1">
      <x:c r="A57" s="40" t="str">
        <x:v>O052</x:v>
      </x:c>
      <x:c r="B57" s="40" t="str">
        <x:v>Health Care</x:v>
      </x:c>
      <x:c r="C57" s="40" t="str">
        <x:v>LMAT</x:v>
      </x:c>
      <x:c r="D57" s="40" t="str">
        <x:v>Operating income growth</x:v>
      </x:c>
      <x:c r="E57" s="40" t="str">
        <x:v>Q2 2026</x:v>
      </x:c>
      <x:c r="F57" s="44" t="n">
        <x:v>46238</x:v>
      </x:c>
      <x:c r="G57" s="48" t="n">
        <x:v>26</x:v>
      </x:c>
      <x:c r="H57" s="48"/>
      <x:c r="I57" s="40" t="str">
        <x:v>% YoY</x:v>
      </x:c>
      <x:c r="J57" s="40" t="str">
        <x:v>YoY</x:v>
      </x:c>
      <x:c r="K57" s="40" t="str">
        <x:v>Reported</x:v>
      </x:c>
      <x:c r="L57" s="40" t="str">
        <x:v>LMAT26</x:v>
      </x:c>
      <x:c r="M57" s="40" t="str">
        <x:v>https://ir.lemaitre.com/news-releases/news-release-details/lemaitre-q2-2026-financial-results</x:v>
      </x:c>
      <x:c r="N57" s="40" t="str"/>
      <x:c r="O57" s="52" t="n">
        <x:f>IF(F57="","",'Settings'!$B$3-F57)</x:f>
        <x:v>34</x:v>
      </x:c>
      <x:c r="P57" s="46" t="str">
        <x:f>IF(H57="","",G57-H57)</x:f>
      </x:c>
      <x:c r="Q57" s="50" t="str">
        <x:f>IF(OR(H57="",H57&lt;=0,LEFT(I57,1)="%"),"",G57/H57-1)</x:f>
      </x:c>
    </x:row>
    <x:row r="58" ht="72" customHeight="1">
      <x:c r="A58" s="40" t="str">
        <x:v>O053</x:v>
      </x:c>
      <x:c r="B58" s="40" t="str">
        <x:v>Information Technology</x:v>
      </x:c>
      <x:c r="C58" s="40" t="str">
        <x:v>APPF</x:v>
      </x:c>
      <x:c r="D58" s="40" t="str">
        <x:v>Revenue</x:v>
      </x:c>
      <x:c r="E58" s="40" t="str">
        <x:v>Q2 2026</x:v>
      </x:c>
      <x:c r="F58" s="44" t="n">
        <x:v>46226</x:v>
      </x:c>
      <x:c r="G58" s="48" t="n">
        <x:v>281</x:v>
      </x:c>
      <x:c r="H58" s="48"/>
      <x:c r="I58" s="40" t="str">
        <x:v>USD m</x:v>
      </x:c>
      <x:c r="J58" s="40" t="str">
        <x:v>YoY</x:v>
      </x:c>
      <x:c r="K58" s="40" t="str">
        <x:v>Reported</x:v>
      </x:c>
      <x:c r="L58" s="40" t="str">
        <x:v>APPF26</x:v>
      </x:c>
      <x:c r="M58" s="40" t="str">
        <x:v>https://ir.appfolioinc.com/news-releases/news-release-details/appfolio-inc-announces-second-quarter-2026-financial-results</x:v>
      </x:c>
      <x:c r="N58" s="40" t="str"/>
      <x:c r="O58" s="52" t="n">
        <x:f>IF(F58="","",'Settings'!$B$3-F58)</x:f>
        <x:v>46</x:v>
      </x:c>
      <x:c r="P58" s="46" t="str">
        <x:f>IF(H58="","",G58-H58)</x:f>
      </x:c>
      <x:c r="Q58" s="50" t="str">
        <x:f>IF(OR(H58="",H58&lt;=0,LEFT(I58,1)="%"),"",G58/H58-1)</x:f>
      </x:c>
    </x:row>
    <x:row r="59" ht="72" customHeight="1">
      <x:c r="A59" s="40" t="str">
        <x:v>O054</x:v>
      </x:c>
      <x:c r="B59" s="40" t="str">
        <x:v>Information Technology</x:v>
      </x:c>
      <x:c r="C59" s="40" t="str">
        <x:v>APPF</x:v>
      </x:c>
      <x:c r="D59" s="40" t="str">
        <x:v>Revenue growth</x:v>
      </x:c>
      <x:c r="E59" s="40" t="str">
        <x:v>Q2 2026</x:v>
      </x:c>
      <x:c r="F59" s="44" t="n">
        <x:v>46226</x:v>
      </x:c>
      <x:c r="G59" s="48" t="n">
        <x:v>19</x:v>
      </x:c>
      <x:c r="H59" s="48"/>
      <x:c r="I59" s="40" t="str">
        <x:v>% YoY</x:v>
      </x:c>
      <x:c r="J59" s="40" t="str">
        <x:v>YoY</x:v>
      </x:c>
      <x:c r="K59" s="40" t="str">
        <x:v>Reported</x:v>
      </x:c>
      <x:c r="L59" s="40" t="str">
        <x:v>APPF26</x:v>
      </x:c>
      <x:c r="M59" s="40" t="str">
        <x:v>https://ir.appfolioinc.com/news-releases/news-release-details/appfolio-inc-announces-second-quarter-2026-financial-results</x:v>
      </x:c>
      <x:c r="N59" s="40" t="str"/>
      <x:c r="O59" s="52" t="n">
        <x:f>IF(F59="","",'Settings'!$B$3-F59)</x:f>
        <x:v>46</x:v>
      </x:c>
      <x:c r="P59" s="46" t="str">
        <x:f>IF(H59="","",G59-H59)</x:f>
      </x:c>
      <x:c r="Q59" s="50" t="str">
        <x:f>IF(OR(H59="",H59&lt;=0,LEFT(I59,1)="%"),"",G59/H59-1)</x:f>
      </x:c>
    </x:row>
    <x:row r="60" ht="72" customHeight="1">
      <x:c r="A60" s="40" t="str">
        <x:v>O055</x:v>
      </x:c>
      <x:c r="B60" s="40" t="str">
        <x:v>Information Technology</x:v>
      </x:c>
      <x:c r="C60" s="40" t="str">
        <x:v>APPF</x:v>
      </x:c>
      <x:c r="D60" s="40" t="str">
        <x:v>Units under management</x:v>
      </x:c>
      <x:c r="E60" s="40" t="str">
        <x:v>Q2 2026</x:v>
      </x:c>
      <x:c r="F60" s="44" t="n">
        <x:v>46226</x:v>
      </x:c>
      <x:c r="G60" s="48" t="n">
        <x:v>9.6</x:v>
      </x:c>
      <x:c r="H60" s="48"/>
      <x:c r="I60" s="40" t="str">
        <x:v>million units</x:v>
      </x:c>
      <x:c r="J60" s="40" t="str">
        <x:v>YoY</x:v>
      </x:c>
      <x:c r="K60" s="40" t="str">
        <x:v>Reported</x:v>
      </x:c>
      <x:c r="L60" s="40" t="str">
        <x:v>APPF26</x:v>
      </x:c>
      <x:c r="M60" s="40" t="str">
        <x:v>https://ir.appfolioinc.com/news-releases/news-release-details/appfolio-inc-announces-second-quarter-2026-financial-results</x:v>
      </x:c>
      <x:c r="N60" s="40" t="str"/>
      <x:c r="O60" s="52" t="n">
        <x:f>IF(F60="","",'Settings'!$B$3-F60)</x:f>
        <x:v>46</x:v>
      </x:c>
      <x:c r="P60" s="46" t="str">
        <x:f>IF(H60="","",G60-H60)</x:f>
      </x:c>
      <x:c r="Q60" s="50" t="str">
        <x:f>IF(OR(H60="",H60&lt;=0,LEFT(I60,1)="%"),"",G60/H60-1)</x:f>
      </x:c>
    </x:row>
    <x:row r="61" ht="72" customHeight="1">
      <x:c r="A61" s="40" t="str">
        <x:v>O056</x:v>
      </x:c>
      <x:c r="B61" s="40" t="str">
        <x:v>Information Technology</x:v>
      </x:c>
      <x:c r="C61" s="40" t="str">
        <x:v>APPF</x:v>
      </x:c>
      <x:c r="D61" s="40" t="str">
        <x:v>Units under management growth</x:v>
      </x:c>
      <x:c r="E61" s="40" t="str">
        <x:v>Q2 2026</x:v>
      </x:c>
      <x:c r="F61" s="44" t="n">
        <x:v>46226</x:v>
      </x:c>
      <x:c r="G61" s="48" t="n">
        <x:v>8</x:v>
      </x:c>
      <x:c r="H61" s="48"/>
      <x:c r="I61" s="40" t="str">
        <x:v>% YoY</x:v>
      </x:c>
      <x:c r="J61" s="40" t="str">
        <x:v>YoY</x:v>
      </x:c>
      <x:c r="K61" s="40" t="str">
        <x:v>Reported</x:v>
      </x:c>
      <x:c r="L61" s="40" t="str">
        <x:v>APPF26</x:v>
      </x:c>
      <x:c r="M61" s="40" t="str">
        <x:v>https://ir.appfolioinc.com/news-releases/news-release-details/appfolio-inc-announces-second-quarter-2026-financial-results</x:v>
      </x:c>
      <x:c r="N61" s="40" t="str"/>
      <x:c r="O61" s="52" t="n">
        <x:f>IF(F61="","",'Settings'!$B$3-F61)</x:f>
        <x:v>46</x:v>
      </x:c>
      <x:c r="P61" s="46" t="str">
        <x:f>IF(H61="","",G61-H61)</x:f>
      </x:c>
      <x:c r="Q61" s="50" t="str">
        <x:f>IF(OR(H61="",H61&lt;=0,LEFT(I61,1)="%"),"",G61/H61-1)</x:f>
      </x:c>
    </x:row>
    <x:row r="62" ht="72" customHeight="1">
      <x:c r="A62" s="40" t="str">
        <x:v>O057</x:v>
      </x:c>
      <x:c r="B62" s="40" t="str">
        <x:v>Information Technology</x:v>
      </x:c>
      <x:c r="C62" s="40" t="str">
        <x:v>APPF</x:v>
      </x:c>
      <x:c r="D62" s="40" t="str">
        <x:v>GAAP operating margin</x:v>
      </x:c>
      <x:c r="E62" s="40" t="str">
        <x:v>Q2 2026</x:v>
      </x:c>
      <x:c r="F62" s="44" t="n">
        <x:v>46226</x:v>
      </x:c>
      <x:c r="G62" s="48" t="n">
        <x:v>18.8</x:v>
      </x:c>
      <x:c r="H62" s="48" t="n">
        <x:v>17.2</x:v>
      </x:c>
      <x:c r="I62" s="40" t="str">
        <x:v>%</x:v>
      </x:c>
      <x:c r="J62" s="40" t="str">
        <x:v>YoY</x:v>
      </x:c>
      <x:c r="K62" s="40" t="str">
        <x:v>Reported</x:v>
      </x:c>
      <x:c r="L62" s="40" t="str">
        <x:v>APPF26</x:v>
      </x:c>
      <x:c r="M62" s="40" t="str">
        <x:v>https://ir.appfolioinc.com/news-releases/news-release-details/appfolio-inc-announces-second-quarter-2026-financial-results</x:v>
      </x:c>
      <x:c r="N62" s="40" t="str">
        <x:v>Separate subscription from transaction/value-added services; total revenue is not ARR.</x:v>
      </x:c>
      <x:c r="O62" s="52" t="n">
        <x:f>IF(F62="","",'Settings'!$B$3-F62)</x:f>
        <x:v>46</x:v>
      </x:c>
      <x:c r="P62" s="46" t="n">
        <x:f>IF(H62="","",G62-H62)</x:f>
        <x:v>1.6000000000000014</x:v>
      </x:c>
      <x:c r="Q62" s="50" t="str">
        <x:f>IF(OR(H62="",H62&lt;=0,LEFT(I62,1)="%"),"",G62/H62-1)</x:f>
      </x:c>
    </x:row>
    <x:row r="63" ht="72" customHeight="1">
      <x:c r="A63" s="40" t="str">
        <x:v>O058</x:v>
      </x:c>
      <x:c r="B63" s="40" t="str">
        <x:v>Financials</x:v>
      </x:c>
      <x:c r="C63" s="40" t="str">
        <x:v>KNSL</x:v>
      </x:c>
      <x:c r="D63" s="40" t="str">
        <x:v>Gross written premiums</x:v>
      </x:c>
      <x:c r="E63" s="40" t="str">
        <x:v>Q2 2026</x:v>
      </x:c>
      <x:c r="F63" s="44" t="n">
        <x:v>46226</x:v>
      </x:c>
      <x:c r="G63" s="48" t="n">
        <x:v>527.6</x:v>
      </x:c>
      <x:c r="H63" s="48"/>
      <x:c r="I63" s="40" t="str">
        <x:v>USD m</x:v>
      </x:c>
      <x:c r="J63" s="40" t="str">
        <x:v>YoY</x:v>
      </x:c>
      <x:c r="K63" s="40" t="str">
        <x:v>Reported</x:v>
      </x:c>
      <x:c r="L63" s="40" t="str">
        <x:v>KNSL26</x:v>
      </x:c>
      <x:c r="M63" s="40" t="str">
        <x:v>https://ir.kinsalecapitalgroup.com/news/news-details/2026/Kinsale-Capital-Group-Reports-Second-Quarter-2026-Results/default.aspx</x:v>
      </x:c>
      <x:c r="N63" s="40" t="str"/>
      <x:c r="O63" s="52" t="n">
        <x:f>IF(F63="","",'Settings'!$B$3-F63)</x:f>
        <x:v>46</x:v>
      </x:c>
      <x:c r="P63" s="46" t="str">
        <x:f>IF(H63="","",G63-H63)</x:f>
      </x:c>
      <x:c r="Q63" s="50" t="str">
        <x:f>IF(OR(H63="",H63&lt;=0,LEFT(I63,1)="%"),"",G63/H63-1)</x:f>
      </x:c>
    </x:row>
    <x:row r="64" ht="72" customHeight="1">
      <x:c r="A64" s="40" t="str">
        <x:v>O059</x:v>
      </x:c>
      <x:c r="B64" s="40" t="str">
        <x:v>Financials</x:v>
      </x:c>
      <x:c r="C64" s="40" t="str">
        <x:v>KNSL</x:v>
      </x:c>
      <x:c r="D64" s="40" t="str">
        <x:v>Gross written premium growth</x:v>
      </x:c>
      <x:c r="E64" s="40" t="str">
        <x:v>Q2 2026</x:v>
      </x:c>
      <x:c r="F64" s="44" t="n">
        <x:v>46226</x:v>
      </x:c>
      <x:c r="G64" s="48" t="n">
        <x:v>-5</x:v>
      </x:c>
      <x:c r="H64" s="48"/>
      <x:c r="I64" s="40" t="str">
        <x:v>% YoY</x:v>
      </x:c>
      <x:c r="J64" s="40" t="str">
        <x:v>YoY</x:v>
      </x:c>
      <x:c r="K64" s="40" t="str">
        <x:v>Reported</x:v>
      </x:c>
      <x:c r="L64" s="40" t="str">
        <x:v>KNSL26</x:v>
      </x:c>
      <x:c r="M64" s="40" t="str">
        <x:v>https://ir.kinsalecapitalgroup.com/news/news-details/2026/Kinsale-Capital-Group-Reports-Second-Quarter-2026-Results/default.aspx</x:v>
      </x:c>
      <x:c r="N64" s="40" t="str"/>
      <x:c r="O64" s="52" t="n">
        <x:f>IF(F64="","",'Settings'!$B$3-F64)</x:f>
        <x:v>46</x:v>
      </x:c>
      <x:c r="P64" s="46" t="str">
        <x:f>IF(H64="","",G64-H64)</x:f>
      </x:c>
      <x:c r="Q64" s="50" t="str">
        <x:f>IF(OR(H64="",H64&lt;=0,LEFT(I64,1)="%"),"",G64/H64-1)</x:f>
      </x:c>
    </x:row>
    <x:row r="65" ht="72" customHeight="1">
      <x:c r="A65" s="40" t="str">
        <x:v>O060</x:v>
      </x:c>
      <x:c r="B65" s="40" t="str">
        <x:v>Financials</x:v>
      </x:c>
      <x:c r="C65" s="40" t="str">
        <x:v>KNSL</x:v>
      </x:c>
      <x:c r="D65" s="40" t="str">
        <x:v>Commercial property premium growth</x:v>
      </x:c>
      <x:c r="E65" s="40" t="str">
        <x:v>Q2 2026</x:v>
      </x:c>
      <x:c r="F65" s="44" t="n">
        <x:v>46226</x:v>
      </x:c>
      <x:c r="G65" s="48" t="n">
        <x:v>-32.7</x:v>
      </x:c>
      <x:c r="H65" s="48"/>
      <x:c r="I65" s="40" t="str">
        <x:v>% YoY</x:v>
      </x:c>
      <x:c r="J65" s="40" t="str">
        <x:v>YoY</x:v>
      </x:c>
      <x:c r="K65" s="40" t="str">
        <x:v>Reported</x:v>
      </x:c>
      <x:c r="L65" s="40" t="str">
        <x:v>KNSL26</x:v>
      </x:c>
      <x:c r="M65" s="40" t="str">
        <x:v>https://ir.kinsalecapitalgroup.com/news/news-details/2026/Kinsale-Capital-Group-Reports-Second-Quarter-2026-Results/default.aspx</x:v>
      </x:c>
      <x:c r="N65" s="40" t="str"/>
      <x:c r="O65" s="52" t="n">
        <x:f>IF(F65="","",'Settings'!$B$3-F65)</x:f>
        <x:v>46</x:v>
      </x:c>
      <x:c r="P65" s="46" t="str">
        <x:f>IF(H65="","",G65-H65)</x:f>
      </x:c>
      <x:c r="Q65" s="50" t="str">
        <x:f>IF(OR(H65="",H65&lt;=0,LEFT(I65,1)="%"),"",G65/H65-1)</x:f>
      </x:c>
    </x:row>
    <x:row r="66" ht="72" customHeight="1">
      <x:c r="A66" s="40" t="str">
        <x:v>O061</x:v>
      </x:c>
      <x:c r="B66" s="40" t="str">
        <x:v>Financials</x:v>
      </x:c>
      <x:c r="C66" s="40" t="str">
        <x:v>KNSL</x:v>
      </x:c>
      <x:c r="D66" s="40" t="str">
        <x:v>Net earned premiums growth</x:v>
      </x:c>
      <x:c r="E66" s="40" t="str">
        <x:v>Q2 2026</x:v>
      </x:c>
      <x:c r="F66" s="44" t="n">
        <x:v>46226</x:v>
      </x:c>
      <x:c r="G66" s="48" t="n">
        <x:v>8.9</x:v>
      </x:c>
      <x:c r="H66" s="48"/>
      <x:c r="I66" s="40" t="str">
        <x:v>% YoY</x:v>
      </x:c>
      <x:c r="J66" s="40" t="str">
        <x:v>YoY</x:v>
      </x:c>
      <x:c r="K66" s="40" t="str">
        <x:v>Reported</x:v>
      </x:c>
      <x:c r="L66" s="40" t="str">
        <x:v>KNSL26</x:v>
      </x:c>
      <x:c r="M66" s="40" t="str">
        <x:v>https://ir.kinsalecapitalgroup.com/news/news-details/2026/Kinsale-Capital-Group-Reports-Second-Quarter-2026-Results/default.aspx</x:v>
      </x:c>
      <x:c r="N66" s="40" t="str"/>
      <x:c r="O66" s="52" t="n">
        <x:f>IF(F66="","",'Settings'!$B$3-F66)</x:f>
        <x:v>46</x:v>
      </x:c>
      <x:c r="P66" s="46" t="str">
        <x:f>IF(H66="","",G66-H66)</x:f>
      </x:c>
      <x:c r="Q66" s="50" t="str">
        <x:f>IF(OR(H66="",H66&lt;=0,LEFT(I66,1)="%"),"",G66/H66-1)</x:f>
      </x:c>
    </x:row>
    <x:row r="67" ht="72" customHeight="1">
      <x:c r="A67" s="40" t="str">
        <x:v>O062</x:v>
      </x:c>
      <x:c r="B67" s="40" t="str">
        <x:v>Financials</x:v>
      </x:c>
      <x:c r="C67" s="40" t="str">
        <x:v>KNSL</x:v>
      </x:c>
      <x:c r="D67" s="40" t="str">
        <x:v>Combined ratio</x:v>
      </x:c>
      <x:c r="E67" s="40" t="str">
        <x:v>Q2 2026</x:v>
      </x:c>
      <x:c r="F67" s="44" t="n">
        <x:v>46226</x:v>
      </x:c>
      <x:c r="G67" s="48" t="n">
        <x:v>75.5</x:v>
      </x:c>
      <x:c r="H67" s="48" t="n">
        <x:v>75.8</x:v>
      </x:c>
      <x:c r="I67" s="40" t="str">
        <x:v>%</x:v>
      </x:c>
      <x:c r="J67" s="40" t="str">
        <x:v>YoY</x:v>
      </x:c>
      <x:c r="K67" s="40" t="str">
        <x:v>Reported</x:v>
      </x:c>
      <x:c r="L67" s="40" t="str">
        <x:v>KNSL26</x:v>
      </x:c>
      <x:c r="M67" s="40" t="str">
        <x:v>https://ir.kinsalecapitalgroup.com/news/news-details/2026/Kinsale-Capital-Group-Reports-Second-Quarter-2026-Results/default.aspx</x:v>
      </x:c>
      <x:c r="N67" s="40" t="str">
        <x:v>Favorable prior-year reserve development benefits reported ratio.</x:v>
      </x:c>
      <x:c r="O67" s="52" t="n">
        <x:f>IF(F67="","",'Settings'!$B$3-F67)</x:f>
        <x:v>46</x:v>
      </x:c>
      <x:c r="P67" s="46" t="n">
        <x:f>IF(H67="","",G67-H67)</x:f>
        <x:v>-0.29999999999999716</x:v>
      </x:c>
      <x:c r="Q67" s="50" t="str">
        <x:f>IF(OR(H67="",H67&lt;=0,LEFT(I67,1)="%"),"",G67/H67-1)</x:f>
      </x:c>
    </x:row>
    <x:row r="68" ht="72" customHeight="1">
      <x:c r="A68" s="40" t="str">
        <x:v>O063</x:v>
      </x:c>
      <x:c r="B68" s="40" t="str">
        <x:v>Energy</x:v>
      </x:c>
      <x:c r="C68" s="40" t="str">
        <x:v>AROC</x:v>
      </x:c>
      <x:c r="D68" s="40" t="str">
        <x:v>Contract operations revenue</x:v>
      </x:c>
      <x:c r="E68" s="40" t="str">
        <x:v>Q2 2026</x:v>
      </x:c>
      <x:c r="F68" s="44" t="n">
        <x:v>46238</x:v>
      </x:c>
      <x:c r="G68" s="48" t="n">
        <x:v>329.3</x:v>
      </x:c>
      <x:c r="H68" s="48" t="n">
        <x:v>318.3</x:v>
      </x:c>
      <x:c r="I68" s="40" t="str">
        <x:v>USD m</x:v>
      </x:c>
      <x:c r="J68" s="40" t="str">
        <x:v>YoY</x:v>
      </x:c>
      <x:c r="K68" s="40" t="str">
        <x:v>Reported</x:v>
      </x:c>
      <x:c r="L68" s="40" t="str">
        <x:v>AROC26</x:v>
      </x:c>
      <x:c r="M68" s="40" t="str">
        <x:v>https://investors.archrock.com/news/news-details/2026/Archrock-Reports-Second-Quarter-2026-Results/default.aspx</x:v>
      </x:c>
      <x:c r="N68" s="40" t="str"/>
      <x:c r="O68" s="52" t="n">
        <x:f>IF(F68="","",'Settings'!$B$3-F68)</x:f>
        <x:v>34</x:v>
      </x:c>
      <x:c r="P68" s="46" t="n">
        <x:f>IF(H68="","",G68-H68)</x:f>
        <x:v>11</x:v>
      </x:c>
      <x:c r="Q68" s="50" t="n">
        <x:f>IF(OR(H68="",H68&lt;=0,LEFT(I68,1)="%"),"",G68/H68-1)</x:f>
        <x:v>0.034558592522777154</x:v>
      </x:c>
    </x:row>
    <x:row r="69" ht="72" customHeight="1">
      <x:c r="A69" s="40" t="str">
        <x:v>O064</x:v>
      </x:c>
      <x:c r="B69" s="40" t="str">
        <x:v>Energy</x:v>
      </x:c>
      <x:c r="C69" s="40" t="str">
        <x:v>AROC</x:v>
      </x:c>
      <x:c r="D69" s="40" t="str">
        <x:v>Fleet utilization</x:v>
      </x:c>
      <x:c r="E69" s="40" t="str">
        <x:v>Q2 2026</x:v>
      </x:c>
      <x:c r="F69" s="44" t="n">
        <x:v>46238</x:v>
      </x:c>
      <x:c r="G69" s="48" t="n">
        <x:v>94.4</x:v>
      </x:c>
      <x:c r="H69" s="48"/>
      <x:c r="I69" s="40" t="str">
        <x:v>%</x:v>
      </x:c>
      <x:c r="J69" s="40" t="str">
        <x:v>YoY</x:v>
      </x:c>
      <x:c r="K69" s="40" t="str">
        <x:v>Reported</x:v>
      </x:c>
      <x:c r="L69" s="40" t="str">
        <x:v>AROC26</x:v>
      </x:c>
      <x:c r="M69" s="40" t="str">
        <x:v>https://investors.archrock.com/news/news-details/2026/Archrock-Reports-Second-Quarter-2026-Results/default.aspx</x:v>
      </x:c>
      <x:c r="N69" s="40" t="str"/>
      <x:c r="O69" s="52" t="n">
        <x:f>IF(F69="","",'Settings'!$B$3-F69)</x:f>
        <x:v>34</x:v>
      </x:c>
      <x:c r="P69" s="46" t="str">
        <x:f>IF(H69="","",G69-H69)</x:f>
      </x:c>
      <x:c r="Q69" s="50" t="str">
        <x:f>IF(OR(H69="",H69&lt;=0,LEFT(I69,1)="%"),"",G69/H69-1)</x:f>
      </x:c>
    </x:row>
    <x:row r="70" ht="72" customHeight="1">
      <x:c r="A70" s="40" t="str">
        <x:v>O065</x:v>
      </x:c>
      <x:c r="B70" s="40" t="str">
        <x:v>Materials</x:v>
      </x:c>
      <x:c r="C70" s="40" t="str">
        <x:v>IOSP</x:v>
      </x:c>
      <x:c r="D70" s="40" t="str">
        <x:v>Revenue</x:v>
      </x:c>
      <x:c r="E70" s="40" t="str">
        <x:v>Q2 2026</x:v>
      </x:c>
      <x:c r="F70" s="44" t="n">
        <x:v>46238</x:v>
      </x:c>
      <x:c r="G70" s="48" t="n">
        <x:v>491.4</x:v>
      </x:c>
      <x:c r="H70" s="48"/>
      <x:c r="I70" s="40" t="str">
        <x:v>USD m</x:v>
      </x:c>
      <x:c r="J70" s="40" t="str">
        <x:v>YoY</x:v>
      </x:c>
      <x:c r="K70" s="40" t="str">
        <x:v>Reported</x:v>
      </x:c>
      <x:c r="L70" s="40" t="str">
        <x:v>IOSP26</x:v>
      </x:c>
      <x:c r="M70" s="40" t="str">
        <x:v>https://investors.innospec.com/news-releases/news-release-details/innospec-reports-second-quarter-2026-financial-results</x:v>
      </x:c>
      <x:c r="N70" s="40" t="str"/>
      <x:c r="O70" s="52" t="n">
        <x:f>IF(F70="","",'Settings'!$B$3-F70)</x:f>
        <x:v>34</x:v>
      </x:c>
      <x:c r="P70" s="46" t="str">
        <x:f>IF(H70="","",G70-H70)</x:f>
      </x:c>
      <x:c r="Q70" s="50" t="str">
        <x:f>IF(OR(H70="",H70&lt;=0,LEFT(I70,1)="%"),"",G70/H70-1)</x:f>
      </x:c>
    </x:row>
    <x:row r="71" ht="72" customHeight="1">
      <x:c r="A71" s="40" t="str">
        <x:v>O066</x:v>
      </x:c>
      <x:c r="B71" s="40" t="str">
        <x:v>Materials</x:v>
      </x:c>
      <x:c r="C71" s="40" t="str">
        <x:v>IOSP</x:v>
      </x:c>
      <x:c r="D71" s="40" t="str">
        <x:v>Revenue growth</x:v>
      </x:c>
      <x:c r="E71" s="40" t="str">
        <x:v>Q2 2026</x:v>
      </x:c>
      <x:c r="F71" s="44" t="n">
        <x:v>46238</x:v>
      </x:c>
      <x:c r="G71" s="48" t="n">
        <x:v>12</x:v>
      </x:c>
      <x:c r="H71" s="48"/>
      <x:c r="I71" s="40" t="str">
        <x:v>% YoY</x:v>
      </x:c>
      <x:c r="J71" s="40" t="str">
        <x:v>YoY</x:v>
      </x:c>
      <x:c r="K71" s="40" t="str">
        <x:v>Reported</x:v>
      </x:c>
      <x:c r="L71" s="40" t="str">
        <x:v>IOSP26</x:v>
      </x:c>
      <x:c r="M71" s="40" t="str">
        <x:v>https://investors.innospec.com/news-releases/news-release-details/innospec-reports-second-quarter-2026-financial-results</x:v>
      </x:c>
      <x:c r="N71" s="40" t="str"/>
      <x:c r="O71" s="52" t="n">
        <x:f>IF(F71="","",'Settings'!$B$3-F71)</x:f>
        <x:v>34</x:v>
      </x:c>
      <x:c r="P71" s="46" t="str">
        <x:f>IF(H71="","",G71-H71)</x:f>
      </x:c>
      <x:c r="Q71" s="50" t="str">
        <x:f>IF(OR(H71="",H71&lt;=0,LEFT(I71,1)="%"),"",G71/H71-1)</x:f>
      </x:c>
    </x:row>
    <x:row r="72" ht="72" customHeight="1">
      <x:c r="A72" s="40" t="str">
        <x:v>O067</x:v>
      </x:c>
      <x:c r="B72" s="40" t="str">
        <x:v>Materials</x:v>
      </x:c>
      <x:c r="C72" s="40" t="str">
        <x:v>IOSP</x:v>
      </x:c>
      <x:c r="D72" s="40" t="str">
        <x:v>Adjusted EBITDA</x:v>
      </x:c>
      <x:c r="E72" s="40" t="str">
        <x:v>Q2 2026</x:v>
      </x:c>
      <x:c r="F72" s="44" t="n">
        <x:v>46238</x:v>
      </x:c>
      <x:c r="G72" s="48" t="n">
        <x:v>50.1</x:v>
      </x:c>
      <x:c r="H72" s="48" t="n">
        <x:v>49.1</x:v>
      </x:c>
      <x:c r="I72" s="40" t="str">
        <x:v>USD m</x:v>
      </x:c>
      <x:c r="J72" s="40" t="str">
        <x:v>YoY</x:v>
      </x:c>
      <x:c r="K72" s="40" t="str">
        <x:v>Reported</x:v>
      </x:c>
      <x:c r="L72" s="40" t="str">
        <x:v>IOSP26</x:v>
      </x:c>
      <x:c r="M72" s="40" t="str">
        <x:v>https://investors.innospec.com/news-releases/news-release-details/innospec-reports-second-quarter-2026-financial-results</x:v>
      </x:c>
      <x:c r="N72" s="40" t="str"/>
      <x:c r="O72" s="52" t="n">
        <x:f>IF(F72="","",'Settings'!$B$3-F72)</x:f>
        <x:v>34</x:v>
      </x:c>
      <x:c r="P72" s="46" t="n">
        <x:f>IF(H72="","",G72-H72)</x:f>
        <x:v>1</x:v>
      </x:c>
      <x:c r="Q72" s="50" t="n">
        <x:f>IF(OR(H72="",H72&lt;=0,LEFT(I72,1)="%"),"",G72/H72-1)</x:f>
        <x:v>0.020366598778004175</x:v>
      </x:c>
    </x:row>
    <x:row r="73" ht="72" customHeight="1">
      <x:c r="A73" s="40" t="str">
        <x:v>O068</x:v>
      </x:c>
      <x:c r="B73" s="40" t="str">
        <x:v>Health Care</x:v>
      </x:c>
      <x:c r="C73" s="40" t="str">
        <x:v>RGEN</x:v>
      </x:c>
      <x:c r="D73" s="40" t="str">
        <x:v>Revenue</x:v>
      </x:c>
      <x:c r="E73" s="40" t="str">
        <x:v>Q2 2026</x:v>
      </x:c>
      <x:c r="F73" s="44" t="n">
        <x:v>46231</x:v>
      </x:c>
      <x:c r="G73" s="48" t="n">
        <x:v>204</x:v>
      </x:c>
      <x:c r="H73" s="48"/>
      <x:c r="I73" s="40" t="str">
        <x:v>USD m</x:v>
      </x:c>
      <x:c r="J73" s="40" t="str">
        <x:v>YoY</x:v>
      </x:c>
      <x:c r="K73" s="40" t="str">
        <x:v>Reported</x:v>
      </x:c>
      <x:c r="L73" s="40" t="str">
        <x:v>RGEN26</x:v>
      </x:c>
      <x:c r="M73" s="40" t="str">
        <x:v>https://investors.repligen.com/press-releases/news-details/2026/Repligen-Reports-Second-Quarter-2026-Financial-Results-and-Updates-Full-Year-2026-Financial-Guidance/default.aspx</x:v>
      </x:c>
      <x:c r="N73" s="40" t="str"/>
      <x:c r="O73" s="52" t="n">
        <x:f>IF(F73="","",'Settings'!$B$3-F73)</x:f>
        <x:v>41</x:v>
      </x:c>
      <x:c r="P73" s="46" t="str">
        <x:f>IF(H73="","",G73-H73)</x:f>
      </x:c>
      <x:c r="Q73" s="50" t="str">
        <x:f>IF(OR(H73="",H73&lt;=0,LEFT(I73,1)="%"),"",G73/H73-1)</x:f>
      </x:c>
    </x:row>
    <x:row r="74" ht="72" customHeight="1">
      <x:c r="A74" s="40" t="str">
        <x:v>O069</x:v>
      </x:c>
      <x:c r="B74" s="40" t="str">
        <x:v>Health Care</x:v>
      </x:c>
      <x:c r="C74" s="40" t="str">
        <x:v>RGEN</x:v>
      </x:c>
      <x:c r="D74" s="40" t="str">
        <x:v>Organic revenue growth</x:v>
      </x:c>
      <x:c r="E74" s="40" t="str">
        <x:v>Q2 2026</x:v>
      </x:c>
      <x:c r="F74" s="44" t="n">
        <x:v>46231</x:v>
      </x:c>
      <x:c r="G74" s="48" t="n">
        <x:v>13</x:v>
      </x:c>
      <x:c r="H74" s="48"/>
      <x:c r="I74" s="40" t="str">
        <x:v>% YoY</x:v>
      </x:c>
      <x:c r="J74" s="40" t="str">
        <x:v>YoY</x:v>
      </x:c>
      <x:c r="K74" s="40" t="str">
        <x:v>Reported</x:v>
      </x:c>
      <x:c r="L74" s="40" t="str">
        <x:v>RGEN26</x:v>
      </x:c>
      <x:c r="M74" s="40" t="str">
        <x:v>https://investors.repligen.com/press-releases/news-details/2026/Repligen-Reports-Second-Quarter-2026-Financial-Results-and-Updates-Full-Year-2026-Financial-Guidance/default.aspx</x:v>
      </x:c>
      <x:c r="N74" s="40" t="str"/>
      <x:c r="O74" s="52" t="n">
        <x:f>IF(F74="","",'Settings'!$B$3-F74)</x:f>
        <x:v>41</x:v>
      </x:c>
      <x:c r="P74" s="46" t="str">
        <x:f>IF(H74="","",G74-H74)</x:f>
      </x:c>
      <x:c r="Q74" s="50" t="str">
        <x:f>IF(OR(H74="",H74&lt;=0,LEFT(I74,1)="%"),"",G74/H74-1)</x:f>
      </x:c>
    </x:row>
    <x:row r="75" ht="72" customHeight="1">
      <x:c r="A75" s="40" t="str">
        <x:v>O070</x:v>
      </x:c>
      <x:c r="B75" s="40" t="str">
        <x:v>Health Care</x:v>
      </x:c>
      <x:c r="C75" s="40" t="str">
        <x:v>RGEN</x:v>
      </x:c>
      <x:c r="D75" s="40" t="str">
        <x:v>GAAP operating income growth</x:v>
      </x:c>
      <x:c r="E75" s="40" t="str">
        <x:v>Q2 2026</x:v>
      </x:c>
      <x:c r="F75" s="44" t="n">
        <x:v>46231</x:v>
      </x:c>
      <x:c r="G75" s="48" t="n">
        <x:v>1</x:v>
      </x:c>
      <x:c r="H75" s="48"/>
      <x:c r="I75" s="40" t="str">
        <x:v>% YoY</x:v>
      </x:c>
      <x:c r="J75" s="40" t="str">
        <x:v>YoY</x:v>
      </x:c>
      <x:c r="K75" s="40" t="str">
        <x:v>Reported</x:v>
      </x:c>
      <x:c r="L75" s="40" t="str">
        <x:v>RGEN26</x:v>
      </x:c>
      <x:c r="M75" s="40" t="str">
        <x:v>https://investors.repligen.com/press-releases/news-details/2026/Repligen-Reports-Second-Quarter-2026-Financial-Results-and-Updates-Full-Year-2026-Financial-Guidance/default.aspx</x:v>
      </x:c>
      <x:c r="N75" s="40" t="str"/>
      <x:c r="O75" s="52" t="n">
        <x:f>IF(F75="","",'Settings'!$B$3-F75)</x:f>
        <x:v>41</x:v>
      </x:c>
      <x:c r="P75" s="46" t="str">
        <x:f>IF(H75="","",G75-H75)</x:f>
      </x:c>
      <x:c r="Q75" s="50" t="str">
        <x:f>IF(OR(H75="",H75&lt;=0,LEFT(I75,1)="%"),"",G75/H75-1)</x:f>
      </x:c>
    </x:row>
    <x:row r="76" ht="72" customHeight="1">
      <x:c r="A76" s="40" t="str">
        <x:v>O071</x:v>
      </x:c>
      <x:c r="B76" s="40" t="str">
        <x:v>Health Care</x:v>
      </x:c>
      <x:c r="C76" s="40" t="str">
        <x:v>RGEN</x:v>
      </x:c>
      <x:c r="D76" s="40" t="str">
        <x:v>Adjusted operating income growth</x:v>
      </x:c>
      <x:c r="E76" s="40" t="str">
        <x:v>Q2 2026</x:v>
      </x:c>
      <x:c r="F76" s="44" t="n">
        <x:v>46231</x:v>
      </x:c>
      <x:c r="G76" s="48" t="n">
        <x:v>55</x:v>
      </x:c>
      <x:c r="H76" s="48"/>
      <x:c r="I76" s="40" t="str">
        <x:v>% YoY</x:v>
      </x:c>
      <x:c r="J76" s="40" t="str">
        <x:v>YoY</x:v>
      </x:c>
      <x:c r="K76" s="40" t="str">
        <x:v>Reported</x:v>
      </x:c>
      <x:c r="L76" s="40" t="str">
        <x:v>RGEN26</x:v>
      </x:c>
      <x:c r="M76" s="40" t="str">
        <x:v>https://investors.repligen.com/press-releases/news-details/2026/Repligen-Reports-Second-Quarter-2026-Financial-Results-and-Updates-Full-Year-2026-Financial-Guidance/default.aspx</x:v>
      </x:c>
      <x:c r="N76" s="40" t="str"/>
      <x:c r="O76" s="52" t="n">
        <x:f>IF(F76="","",'Settings'!$B$3-F76)</x:f>
        <x:v>41</x:v>
      </x:c>
      <x:c r="P76" s="46" t="str">
        <x:f>IF(H76="","",G76-H76)</x:f>
      </x:c>
      <x:c r="Q76" s="50" t="str">
        <x:f>IF(OR(H76="",H76&lt;=0,LEFT(I76,1)="%"),"",G76/H76-1)</x:f>
      </x:c>
    </x:row>
    <x:row r="77" ht="72" customHeight="1">
      <x:c r="A77" s="40" t="str">
        <x:v>O072</x:v>
      </x:c>
      <x:c r="B77" s="40" t="str">
        <x:v>Consumer Staples</x:v>
      </x:c>
      <x:c r="C77" s="40" t="str">
        <x:v>VITL</x:v>
      </x:c>
      <x:c r="D77" s="40" t="str">
        <x:v>Revenue</x:v>
      </x:c>
      <x:c r="E77" s="40" t="str">
        <x:v>Q2 2026</x:v>
      </x:c>
      <x:c r="F77" s="44" t="n">
        <x:v>46240</x:v>
      </x:c>
      <x:c r="G77" s="48" t="n">
        <x:v>166</x:v>
      </x:c>
      <x:c r="H77" s="48" t="n">
        <x:v>184.8</x:v>
      </x:c>
      <x:c r="I77" s="40" t="str">
        <x:v>USD m</x:v>
      </x:c>
      <x:c r="J77" s="40" t="str">
        <x:v>YoY</x:v>
      </x:c>
      <x:c r="K77" s="40" t="str">
        <x:v>Reported</x:v>
      </x:c>
      <x:c r="L77" s="40" t="str">
        <x:v>VITL26</x:v>
      </x:c>
      <x:c r="M77" s="40" t="str">
        <x:v>https://investors.vitalfarms.com/news/news-details/2026/Vital-Farms-Reports-Second-Quarter-2026-Financial-Results/default.aspx</x:v>
      </x:c>
      <x:c r="N77" s="40" t="str"/>
      <x:c r="O77" s="52" t="n">
        <x:f>IF(F77="","",'Settings'!$B$3-F77)</x:f>
        <x:v>32</x:v>
      </x:c>
      <x:c r="P77" s="46" t="n">
        <x:f>IF(H77="","",G77-H77)</x:f>
        <x:v>-18.80000000000001</x:v>
      </x:c>
      <x:c r="Q77" s="50" t="n">
        <x:f>IF(OR(H77="",H77&lt;=0,LEFT(I77,1)="%"),"",G77/H77-1)</x:f>
        <x:v>-0.10173160173160178</x:v>
      </x:c>
    </x:row>
    <x:row r="78" ht="72" customHeight="1">
      <x:c r="A78" s="40" t="str">
        <x:v>O073</x:v>
      </x:c>
      <x:c r="B78" s="40" t="str">
        <x:v>Consumer Staples</x:v>
      </x:c>
      <x:c r="C78" s="40" t="str">
        <x:v>VITL</x:v>
      </x:c>
      <x:c r="D78" s="40" t="str">
        <x:v>Gross margin</x:v>
      </x:c>
      <x:c r="E78" s="40" t="str">
        <x:v>Q2 2026</x:v>
      </x:c>
      <x:c r="F78" s="44" t="n">
        <x:v>46240</x:v>
      </x:c>
      <x:c r="G78" s="48" t="n">
        <x:v>6.6</x:v>
      </x:c>
      <x:c r="H78" s="48" t="n">
        <x:v>38.9</x:v>
      </x:c>
      <x:c r="I78" s="40" t="str">
        <x:v>%</x:v>
      </x:c>
      <x:c r="J78" s="40" t="str">
        <x:v>YoY</x:v>
      </x:c>
      <x:c r="K78" s="40" t="str">
        <x:v>Reported</x:v>
      </x:c>
      <x:c r="L78" s="40" t="str">
        <x:v>VITL26</x:v>
      </x:c>
      <x:c r="M78" s="40" t="str">
        <x:v>https://investors.vitalfarms.com/news/news-details/2026/Vital-Farms-Reports-Second-Quarter-2026-Financial-Results/default.aspx</x:v>
      </x:c>
      <x:c r="N78" s="40" t="str">
        <x:v>Includes oversupply and supply-management / exit effects; do not blindly normalize either extreme.</x:v>
      </x:c>
      <x:c r="O78" s="52" t="n">
        <x:f>IF(F78="","",'Settings'!$B$3-F78)</x:f>
        <x:v>32</x:v>
      </x:c>
      <x:c r="P78" s="46" t="n">
        <x:f>IF(H78="","",G78-H78)</x:f>
        <x:v>-32.3</x:v>
      </x:c>
      <x:c r="Q78" s="50" t="str">
        <x:f>IF(OR(H78="",H78&lt;=0,LEFT(I78,1)="%"),"",G78/H78-1)</x:f>
      </x:c>
    </x:row>
    <x:row r="79" ht="72" customHeight="1">
      <x:c r="A79" s="40" t="str">
        <x:v>O074</x:v>
      </x:c>
      <x:c r="B79" s="40" t="str">
        <x:v>Consumer Staples</x:v>
      </x:c>
      <x:c r="C79" s="40" t="str">
        <x:v>VITL</x:v>
      </x:c>
      <x:c r="D79" s="40" t="str">
        <x:v>Oversupply gross profit impact</x:v>
      </x:c>
      <x:c r="E79" s="40" t="str">
        <x:v>Q2 2026</x:v>
      </x:c>
      <x:c r="F79" s="44" t="n">
        <x:v>46240</x:v>
      </x:c>
      <x:c r="G79" s="48" t="n">
        <x:v>19.5</x:v>
      </x:c>
      <x:c r="H79" s="48"/>
      <x:c r="I79" s="40" t="str">
        <x:v>USD m</x:v>
      </x:c>
      <x:c r="J79" s="40" t="str">
        <x:v>YoY</x:v>
      </x:c>
      <x:c r="K79" s="40" t="str">
        <x:v>Reported</x:v>
      </x:c>
      <x:c r="L79" s="40" t="str">
        <x:v>VITL26</x:v>
      </x:c>
      <x:c r="M79" s="40" t="str">
        <x:v>https://investors.vitalfarms.com/news/news-details/2026/Vital-Farms-Reports-Second-Quarter-2026-Financial-Results/default.aspx</x:v>
      </x:c>
      <x:c r="N79" s="40" t="str"/>
      <x:c r="O79" s="52" t="n">
        <x:f>IF(F79="","",'Settings'!$B$3-F79)</x:f>
        <x:v>32</x:v>
      </x:c>
      <x:c r="P79" s="46" t="str">
        <x:f>IF(H79="","",G79-H79)</x:f>
      </x:c>
      <x:c r="Q79" s="50" t="str">
        <x:f>IF(OR(H79="",H79&lt;=0,LEFT(I79,1)="%"),"",G79/H79-1)</x:f>
      </x:c>
    </x:row>
    <x:row r="80" ht="72" customHeight="1">
      <x:c r="A80" s="40" t="str">
        <x:v>O075</x:v>
      </x:c>
      <x:c r="B80" s="40" t="str">
        <x:v>Consumer Staples</x:v>
      </x:c>
      <x:c r="C80" s="40" t="str">
        <x:v>VITL</x:v>
      </x:c>
      <x:c r="D80" s="40" t="str">
        <x:v>Adjusted EBITDA</x:v>
      </x:c>
      <x:c r="E80" s="40" t="str">
        <x:v>Q2 2026</x:v>
      </x:c>
      <x:c r="F80" s="44" t="n">
        <x:v>46240</x:v>
      </x:c>
      <x:c r="G80" s="48" t="n">
        <x:v>-26.6</x:v>
      </x:c>
      <x:c r="H80" s="48"/>
      <x:c r="I80" s="40" t="str">
        <x:v>USD m</x:v>
      </x:c>
      <x:c r="J80" s="40" t="str">
        <x:v>YoY</x:v>
      </x:c>
      <x:c r="K80" s="40" t="str">
        <x:v>Reported</x:v>
      </x:c>
      <x:c r="L80" s="40" t="str">
        <x:v>VITL26</x:v>
      </x:c>
      <x:c r="M80" s="40" t="str">
        <x:v>https://investors.vitalfarms.com/news/news-details/2026/Vital-Farms-Reports-Second-Quarter-2026-Financial-Results/default.aspx</x:v>
      </x:c>
      <x:c r="N80" s="40" t="str"/>
      <x:c r="O80" s="52" t="n">
        <x:f>IF(F80="","",'Settings'!$B$3-F80)</x:f>
        <x:v>32</x:v>
      </x:c>
      <x:c r="P80" s="46" t="str">
        <x:f>IF(H80="","",G80-H80)</x:f>
      </x:c>
      <x:c r="Q80" s="50" t="str">
        <x:f>IF(OR(H80="",H80&lt;=0,LEFT(I80,1)="%"),"",G80/H80-1)</x:f>
      </x:c>
    </x:row>
    <x:row r="81" ht="72" customHeight="1">
      <x:c r="A81" s="40" t="str">
        <x:v>O076</x:v>
      </x:c>
      <x:c r="B81" s="40" t="str">
        <x:v>Consumer Discretionary</x:v>
      </x:c>
      <x:c r="C81" s="40" t="str">
        <x:v>FND</x:v>
      </x:c>
      <x:c r="D81" s="40" t="str">
        <x:v>Comparable-store sales growth</x:v>
      </x:c>
      <x:c r="E81" s="40" t="str">
        <x:v>Q2 FY2026</x:v>
      </x:c>
      <x:c r="F81" s="44" t="n">
        <x:v>46233</x:v>
      </x:c>
      <x:c r="G81" s="48" t="n">
        <x:v>-2.1</x:v>
      </x:c>
      <x:c r="H81" s="48"/>
      <x:c r="I81" s="40" t="str">
        <x:v>% YoY</x:v>
      </x:c>
      <x:c r="J81" s="40" t="str">
        <x:v>YoY</x:v>
      </x:c>
      <x:c r="K81" s="40" t="str">
        <x:v>Reported</x:v>
      </x:c>
      <x:c r="L81" s="40" t="str">
        <x:v>FND26</x:v>
      </x:c>
      <x:c r="M81" s="40" t="str">
        <x:v>https://ir.flooranddecor.com/news-events/press-releases/detail/301/floor-decor-holdings-inc-announces-second-quarter</x:v>
      </x:c>
      <x:c r="N81" s="40" t="str"/>
      <x:c r="O81" s="52" t="n">
        <x:f>IF(F81="","",'Settings'!$B$3-F81)</x:f>
        <x:v>39</x:v>
      </x:c>
      <x:c r="P81" s="46" t="str">
        <x:f>IF(H81="","",G81-H81)</x:f>
      </x:c>
      <x:c r="Q81" s="50" t="str">
        <x:f>IF(OR(H81="",H81&lt;=0,LEFT(I81,1)="%"),"",G81/H81-1)</x:f>
      </x:c>
    </x:row>
    <x:row r="82" ht="72" customHeight="1">
      <x:c r="A82" s="40" t="str">
        <x:v>O077</x:v>
      </x:c>
      <x:c r="B82" s="40" t="str">
        <x:v>Consumer Discretionary</x:v>
      </x:c>
      <x:c r="C82" s="40" t="str">
        <x:v>FND</x:v>
      </x:c>
      <x:c r="D82" s="40" t="str">
        <x:v>GAAP diluted EPS</x:v>
      </x:c>
      <x:c r="E82" s="40" t="str">
        <x:v>Q2 FY2026</x:v>
      </x:c>
      <x:c r="F82" s="44" t="n">
        <x:v>46233</x:v>
      </x:c>
      <x:c r="G82" s="48" t="n">
        <x:v>0.89</x:v>
      </x:c>
      <x:c r="H82" s="48"/>
      <x:c r="I82" s="40" t="str">
        <x:v>USD/share</x:v>
      </x:c>
      <x:c r="J82" s="40" t="str">
        <x:v>YoY</x:v>
      </x:c>
      <x:c r="K82" s="40" t="str">
        <x:v>Reported</x:v>
      </x:c>
      <x:c r="L82" s="40" t="str">
        <x:v>FND26</x:v>
      </x:c>
      <x:c r="M82" s="40" t="str">
        <x:v>https://ir.flooranddecor.com/news-events/press-releases/detail/301/floor-decor-holdings-inc-announces-second-quarter</x:v>
      </x:c>
      <x:c r="N82" s="40" t="str"/>
      <x:c r="O82" s="52" t="n">
        <x:f>IF(F82="","",'Settings'!$B$3-F82)</x:f>
        <x:v>39</x:v>
      </x:c>
      <x:c r="P82" s="46" t="str">
        <x:f>IF(H82="","",G82-H82)</x:f>
      </x:c>
      <x:c r="Q82" s="50" t="str">
        <x:f>IF(OR(H82="",H82&lt;=0,LEFT(I82,1)="%"),"",G82/H82-1)</x:f>
      </x:c>
    </x:row>
    <x:row r="83" ht="72" customHeight="1">
      <x:c r="A83" s="40" t="str">
        <x:v>O078</x:v>
      </x:c>
      <x:c r="B83" s="40" t="str">
        <x:v>Consumer Discretionary</x:v>
      </x:c>
      <x:c r="C83" s="40" t="str">
        <x:v>FND</x:v>
      </x:c>
      <x:c r="D83" s="40" t="str">
        <x:v>Adjusted diluted EPS</x:v>
      </x:c>
      <x:c r="E83" s="40" t="str">
        <x:v>Q2 FY2026</x:v>
      </x:c>
      <x:c r="F83" s="44" t="n">
        <x:v>46233</x:v>
      </x:c>
      <x:c r="G83" s="48" t="n">
        <x:v>0.58</x:v>
      </x:c>
      <x:c r="H83" s="48" t="n">
        <x:v>0.58</x:v>
      </x:c>
      <x:c r="I83" s="40" t="str">
        <x:v>USD/share</x:v>
      </x:c>
      <x:c r="J83" s="40" t="str">
        <x:v>YoY</x:v>
      </x:c>
      <x:c r="K83" s="40" t="str">
        <x:v>Reported</x:v>
      </x:c>
      <x:c r="L83" s="40" t="str">
        <x:v>FND26</x:v>
      </x:c>
      <x:c r="M83" s="40" t="str">
        <x:v>https://ir.flooranddecor.com/news-events/press-releases/detail/301/floor-decor-holdings-inc-announces-second-quarter</x:v>
      </x:c>
      <x:c r="N83" s="40" t="str"/>
      <x:c r="O83" s="52" t="n">
        <x:f>IF(F83="","",'Settings'!$B$3-F83)</x:f>
        <x:v>39</x:v>
      </x:c>
      <x:c r="P83" s="46" t="n">
        <x:f>IF(H83="","",G83-H83)</x:f>
        <x:v>0</x:v>
      </x:c>
      <x:c r="Q83" s="50" t="n">
        <x:f>IF(OR(H83="",H83&lt;=0,LEFT(I83,1)="%"),"",G83/H83-1)</x:f>
        <x:v>0</x:v>
      </x:c>
    </x:row>
    <x:row r="84" ht="72" customHeight="1">
      <x:c r="A84" s="40" t="str">
        <x:v>O079</x:v>
      </x:c>
      <x:c r="B84" s="40" t="str">
        <x:v>Consumer Discretionary</x:v>
      </x:c>
      <x:c r="C84" s="40" t="str">
        <x:v>FND</x:v>
      </x:c>
      <x:c r="D84" s="40" t="str">
        <x:v>Adjusted gross margin</x:v>
      </x:c>
      <x:c r="E84" s="40" t="str">
        <x:v>Q2 FY2026</x:v>
      </x:c>
      <x:c r="F84" s="44" t="n">
        <x:v>46233</x:v>
      </x:c>
      <x:c r="G84" s="48" t="n">
        <x:v>43.7</x:v>
      </x:c>
      <x:c r="H84" s="48" t="n">
        <x:v>43.9</x:v>
      </x:c>
      <x:c r="I84" s="40" t="str">
        <x:v>%</x:v>
      </x:c>
      <x:c r="J84" s="40" t="str">
        <x:v>YoY</x:v>
      </x:c>
      <x:c r="K84" s="40" t="str">
        <x:v>Reported</x:v>
      </x:c>
      <x:c r="L84" s="40" t="str">
        <x:v>FND26</x:v>
      </x:c>
      <x:c r="M84" s="40" t="str">
        <x:v>https://ir.flooranddecor.com/news-events/press-releases/detail/301/floor-decor-holdings-inc-announces-second-quarter</x:v>
      </x:c>
      <x:c r="N84" s="40" t="str"/>
      <x:c r="O84" s="52" t="n">
        <x:f>IF(F84="","",'Settings'!$B$3-F84)</x:f>
        <x:v>39</x:v>
      </x:c>
      <x:c r="P84" s="46" t="n">
        <x:f>IF(H84="","",G84-H84)</x:f>
        <x:v>-0.19999999999999574</x:v>
      </x:c>
      <x:c r="Q84" s="50" t="str">
        <x:f>IF(OR(H84="",H84&lt;=0,LEFT(I84,1)="%"),"",G84/H84-1)</x:f>
      </x:c>
    </x:row>
    <x:row r="85" ht="72" customHeight="1">
      <x:c r="A85" s="40" t="str">
        <x:v>O080</x:v>
      </x:c>
      <x:c r="B85" s="40" t="str">
        <x:v>Financials</x:v>
      </x:c>
      <x:c r="C85" s="40" t="str">
        <x:v>PEBO</x:v>
      </x:c>
      <x:c r="D85" s="40" t="str">
        <x:v>Net interest margin</x:v>
      </x:c>
      <x:c r="E85" s="40" t="str">
        <x:v>Q2 2026</x:v>
      </x:c>
      <x:c r="F85" s="44" t="n">
        <x:v>46224</x:v>
      </x:c>
      <x:c r="G85" s="48" t="n">
        <x:v>4.23</x:v>
      </x:c>
      <x:c r="H85" s="48" t="n">
        <x:v>4.16</x:v>
      </x:c>
      <x:c r="I85" s="40" t="str">
        <x:v>%</x:v>
      </x:c>
      <x:c r="J85" s="40" t="str">
        <x:v>QoQ</x:v>
      </x:c>
      <x:c r="K85" s="40" t="str">
        <x:v>Reported</x:v>
      </x:c>
      <x:c r="L85" s="40" t="str">
        <x:v>PEBO26</x:v>
      </x:c>
      <x:c r="M85" s="40" t="str">
        <x:v>https://www.prnewswire.com/news-releases/peoples-bancorp-inc-announces-results-for-the-second-quarter-2026-302829905.html</x:v>
      </x:c>
      <x:c r="N85" s="40" t="str"/>
      <x:c r="O85" s="52" t="n">
        <x:f>IF(F85="","",'Settings'!$B$3-F85)</x:f>
        <x:v>48</x:v>
      </x:c>
      <x:c r="P85" s="46" t="n">
        <x:f>IF(H85="","",G85-H85)</x:f>
        <x:v>0.07000000000000028</x:v>
      </x:c>
      <x:c r="Q85" s="50" t="str">
        <x:f>IF(OR(H85="",H85&lt;=0,LEFT(I85,1)="%"),"",G85/H85-1)</x:f>
      </x:c>
    </x:row>
    <x:row r="86" ht="72" customHeight="1">
      <x:c r="A86" s="40" t="str">
        <x:v>O081</x:v>
      </x:c>
      <x:c r="B86" s="40" t="str">
        <x:v>Financials</x:v>
      </x:c>
      <x:c r="C86" s="40" t="str">
        <x:v>PEBO</x:v>
      </x:c>
      <x:c r="D86" s="40" t="str">
        <x:v>Net interest income</x:v>
      </x:c>
      <x:c r="E86" s="40" t="str">
        <x:v>Q2 2026</x:v>
      </x:c>
      <x:c r="F86" s="44" t="n">
        <x:v>46224</x:v>
      </x:c>
      <x:c r="G86" s="48" t="n">
        <x:v>92.7</x:v>
      </x:c>
      <x:c r="H86" s="48"/>
      <x:c r="I86" s="40" t="str">
        <x:v>USD m</x:v>
      </x:c>
      <x:c r="J86" s="40" t="str">
        <x:v>YoY</x:v>
      </x:c>
      <x:c r="K86" s="40" t="str">
        <x:v>Reported</x:v>
      </x:c>
      <x:c r="L86" s="40" t="str">
        <x:v>PEBO26</x:v>
      </x:c>
      <x:c r="M86" s="40" t="str">
        <x:v>https://www.prnewswire.com/news-releases/peoples-bancorp-inc-announces-results-for-the-second-quarter-2026-302829905.html</x:v>
      </x:c>
      <x:c r="N86" s="40" t="str"/>
      <x:c r="O86" s="52" t="n">
        <x:f>IF(F86="","",'Settings'!$B$3-F86)</x:f>
        <x:v>48</x:v>
      </x:c>
      <x:c r="P86" s="46" t="str">
        <x:f>IF(H86="","",G86-H86)</x:f>
      </x:c>
      <x:c r="Q86" s="50" t="str">
        <x:f>IF(OR(H86="",H86&lt;=0,LEFT(I86,1)="%"),"",G86/H86-1)</x:f>
      </x:c>
    </x:row>
    <x:row r="87" ht="72" customHeight="1">
      <x:c r="A87" s="40" t="str">
        <x:v>O082</x:v>
      </x:c>
      <x:c r="B87" s="40" t="str">
        <x:v>Communication Services</x:v>
      </x:c>
      <x:c r="C87" s="40" t="str">
        <x:v>ZD</x:v>
      </x:c>
      <x:c r="D87" s="40" t="str">
        <x:v>Revenue</x:v>
      </x:c>
      <x:c r="E87" s="40" t="str">
        <x:v>Q2 2026</x:v>
      </x:c>
      <x:c r="F87" s="44" t="n">
        <x:v>46240</x:v>
      </x:c>
      <x:c r="G87" s="48" t="n">
        <x:v>286.7</x:v>
      </x:c>
      <x:c r="H87" s="48" t="n">
        <x:v>294.8</x:v>
      </x:c>
      <x:c r="I87" s="40" t="str">
        <x:v>USD m</x:v>
      </x:c>
      <x:c r="J87" s="40" t="str">
        <x:v>YoY</x:v>
      </x:c>
      <x:c r="K87" s="40" t="str">
        <x:v>Reported</x:v>
      </x:c>
      <x:c r="L87" s="40" t="str">
        <x:v>ZD26</x:v>
      </x:c>
      <x:c r="M87" s="40" t="str">
        <x:v>https://investor.ziffdavis.com/</x:v>
      </x:c>
      <x:c r="N87" s="40" t="str">
        <x:v>Issuer overview; deeper segment and discontinued-operation reconciliation still required.</x:v>
      </x:c>
      <x:c r="O87" s="52" t="n">
        <x:f>IF(F87="","",'Settings'!$B$3-F87)</x:f>
        <x:v>32</x:v>
      </x:c>
      <x:c r="P87" s="46" t="n">
        <x:f>IF(H87="","",G87-H87)</x:f>
        <x:v>-8.100000000000023</x:v>
      </x:c>
      <x:c r="Q87" s="50" t="n">
        <x:f>IF(OR(H87="",H87&lt;=0,LEFT(I87,1)="%"),"",G87/H87-1)</x:f>
        <x:v>-0.02747625508819551</x:v>
      </x:c>
    </x:row>
    <x:row r="88" ht="72" customHeight="1">
      <x:c r="A88" s="40" t="str">
        <x:v>O083</x:v>
      </x:c>
      <x:c r="B88" s="40" t="str">
        <x:v>Utilities</x:v>
      </x:c>
      <x:c r="C88" s="40" t="str">
        <x:v>NRG</x:v>
      </x:c>
      <x:c r="D88" s="40" t="str">
        <x:v>GAAP net income</x:v>
      </x:c>
      <x:c r="E88" s="40" t="str">
        <x:v>Q2 2026</x:v>
      </x:c>
      <x:c r="F88" s="44" t="n">
        <x:v>46238</x:v>
      </x:c>
      <x:c r="G88" s="48" t="n">
        <x:v>506</x:v>
      </x:c>
      <x:c r="H88" s="48"/>
      <x:c r="I88" s="40" t="str">
        <x:v>USD m</x:v>
      </x:c>
      <x:c r="J88" s="40" t="str">
        <x:v>None</x:v>
      </x:c>
      <x:c r="K88" s="40" t="str">
        <x:v>Reported</x:v>
      </x:c>
      <x:c r="L88" s="40" t="str">
        <x:v>NRG26</x:v>
      </x:c>
      <x:c r="M88" s="40" t="str">
        <x:v>https://investors.nrg.com/news-releases/news-release-details/nrg-energy-reports-second-quarter-2026-results-and-reaffirms</x:v>
      </x:c>
      <x:c r="N88" s="40" t="str">
        <x:v>Includes acquisitions and noncash hedge valuation effects; not recurring cash earnings.</x:v>
      </x:c>
      <x:c r="O88" s="52" t="n">
        <x:f>IF(F88="","",'Settings'!$B$3-F88)</x:f>
        <x:v>34</x:v>
      </x:c>
      <x:c r="P88" s="46" t="str">
        <x:f>IF(H88="","",G88-H88)</x:f>
      </x:c>
      <x:c r="Q88" s="50" t="str">
        <x:f>IF(OR(H88="",H88&lt;=0,LEFT(I88,1)="%"),"",G88/H88-1)</x:f>
      </x:c>
    </x:row>
    <x:row r="89" ht="72" customHeight="1">
      <x:c r="A89" s="40" t="str">
        <x:v>O084</x:v>
      </x:c>
      <x:c r="B89" s="40" t="str">
        <x:v>Real Estate</x:v>
      </x:c>
      <x:c r="C89" s="40" t="str">
        <x:v>IRT</x:v>
      </x:c>
      <x:c r="D89" s="40" t="str">
        <x:v>Portfolio average occupancy</x:v>
      </x:c>
      <x:c r="E89" s="40" t="str">
        <x:v>Q2 2026</x:v>
      </x:c>
      <x:c r="F89" s="44" t="n">
        <x:v>46237</x:v>
      </x:c>
      <x:c r="G89" s="48" t="n">
        <x:v>95</x:v>
      </x:c>
      <x:c r="H89" s="48"/>
      <x:c r="I89" s="40" t="str">
        <x:v>%</x:v>
      </x:c>
      <x:c r="J89" s="40" t="str">
        <x:v>YoY</x:v>
      </x:c>
      <x:c r="K89" s="40" t="str">
        <x:v>Reported</x:v>
      </x:c>
      <x:c r="L89" s="40" t="str">
        <x:v>IRT26</x:v>
      </x:c>
      <x:c r="M89" s="40" t="str">
        <x:v>https://investors.irtliving.com/press-releases/press-release/2026/Independence-Realty-Trust-Announces-Second-Quarter-2026-Financial-Results/default.aspx</x:v>
      </x:c>
      <x:c r="N89" s="40" t="str"/>
      <x:c r="O89" s="52" t="n">
        <x:f>IF(F89="","",'Settings'!$B$3-F89)</x:f>
        <x:v>35</x:v>
      </x:c>
      <x:c r="P89" s="46" t="str">
        <x:f>IF(H89="","",G89-H89)</x:f>
      </x:c>
      <x:c r="Q89" s="50" t="str">
        <x:f>IF(OR(H89="",H89&lt;=0,LEFT(I89,1)="%"),"",G89/H89-1)</x:f>
      </x:c>
    </x:row>
    <x:row r="90" ht="72" customHeight="1">
      <x:c r="A90" s="40" t="str">
        <x:v>O085</x:v>
      </x:c>
      <x:c r="B90" s="40" t="str">
        <x:v>Real Estate</x:v>
      </x:c>
      <x:c r="C90" s="40" t="str">
        <x:v>IRT</x:v>
      </x:c>
      <x:c r="D90" s="40" t="str">
        <x:v>Average monthly rent</x:v>
      </x:c>
      <x:c r="E90" s="40" t="str">
        <x:v>Q2 2026</x:v>
      </x:c>
      <x:c r="F90" s="44" t="n">
        <x:v>46237</x:v>
      </x:c>
      <x:c r="G90" s="48" t="n">
        <x:v>1597</x:v>
      </x:c>
      <x:c r="H90" s="48"/>
      <x:c r="I90" s="40" t="str">
        <x:v>USD/unit/month</x:v>
      </x:c>
      <x:c r="J90" s="40" t="str">
        <x:v>None</x:v>
      </x:c>
      <x:c r="K90" s="40" t="str">
        <x:v>Reported</x:v>
      </x:c>
      <x:c r="L90" s="40" t="str">
        <x:v>IRT26</x:v>
      </x:c>
      <x:c r="M90" s="40" t="str">
        <x:v>https://investors.irtliving.com/press-releases/press-release/2026/Independence-Realty-Trust-Announces-Second-Quarter-2026-Financial-Results/default.aspx</x:v>
      </x:c>
      <x:c r="N90" s="40" t="str">
        <x:v>Portfolio proxy; mix effects differ from same-store lease spreads.</x:v>
      </x:c>
      <x:c r="O90" s="52" t="n">
        <x:f>IF(F90="","",'Settings'!$B$3-F90)</x:f>
        <x:v>35</x:v>
      </x:c>
      <x:c r="P90" s="46" t="str">
        <x:f>IF(H90="","",G90-H90)</x:f>
      </x:c>
      <x:c r="Q90" s="50" t="str">
        <x:f>IF(OR(H90="",H90&lt;=0,LEFT(I90,1)="%"),"",G90/H90-1)</x:f>
      </x:c>
    </x:row>
    <x:row r="91" ht="72" customHeight="1">
      <x:c r="A91" s="40" t="str">
        <x:v>O086</x:v>
      </x:c>
      <x:c r="B91" s="40" t="str">
        <x:v>Information Technology</x:v>
      </x:c>
      <x:c r="C91" s="40" t="str">
        <x:v>BMI</x:v>
      </x:c>
      <x:c r="D91" s="40" t="str">
        <x:v>Revenue</x:v>
      </x:c>
      <x:c r="E91" s="40" t="str">
        <x:v>Q2 2026</x:v>
      </x:c>
      <x:c r="F91" s="44" t="n">
        <x:v>46225</x:v>
      </x:c>
      <x:c r="G91" s="48" t="n">
        <x:v>222.3</x:v>
      </x:c>
      <x:c r="H91" s="48" t="n">
        <x:v>238.1</x:v>
      </x:c>
      <x:c r="I91" s="40" t="str">
        <x:v>USD m</x:v>
      </x:c>
      <x:c r="J91" s="40" t="str">
        <x:v>YoY</x:v>
      </x:c>
      <x:c r="K91" s="40" t="str">
        <x:v>Reported</x:v>
      </x:c>
      <x:c r="L91" s="40" t="str">
        <x:v>BMI26</x:v>
      </x:c>
      <x:c r="M91" s="40" t="str">
        <x:v>https://investors.badgermeter.com/news-releases/press-release-details/2026/Badger-Meter-Reports-Second-Quarter-2026-Financial-Results/default.aspx</x:v>
      </x:c>
      <x:c r="N91" s="40" t="str"/>
      <x:c r="O91" s="52" t="n">
        <x:f>IF(F91="","",'Settings'!$B$3-F91)</x:f>
        <x:v>47</x:v>
      </x:c>
      <x:c r="P91" s="46" t="n">
        <x:f>IF(H91="","",G91-H91)</x:f>
        <x:v>-15.799999999999983</x:v>
      </x:c>
      <x:c r="Q91" s="50" t="n">
        <x:f>IF(OR(H91="",H91&lt;=0,LEFT(I91,1)="%"),"",G91/H91-1)</x:f>
        <x:v>-0.0663586728265434</x:v>
      </x:c>
    </x:row>
    <x:row r="92" ht="72" customHeight="1">
      <x:c r="A92" s="40" t="str">
        <x:v>O087</x:v>
      </x:c>
      <x:c r="B92" s="40" t="str">
        <x:v>Information Technology</x:v>
      </x:c>
      <x:c r="C92" s="40" t="str">
        <x:v>BMI</x:v>
      </x:c>
      <x:c r="D92" s="40" t="str">
        <x:v>Revenue growth</x:v>
      </x:c>
      <x:c r="E92" s="40" t="str">
        <x:v>Q2 2026</x:v>
      </x:c>
      <x:c r="F92" s="44" t="n">
        <x:v>46225</x:v>
      </x:c>
      <x:c r="G92" s="48" t="n">
        <x:v>-7</x:v>
      </x:c>
      <x:c r="H92" s="48"/>
      <x:c r="I92" s="40" t="str">
        <x:v>% YoY, rounded</x:v>
      </x:c>
      <x:c r="J92" s="40" t="str">
        <x:v>YoY</x:v>
      </x:c>
      <x:c r="K92" s="40" t="str">
        <x:v>Reported</x:v>
      </x:c>
      <x:c r="L92" s="40" t="str">
        <x:v>BMI26</x:v>
      </x:c>
      <x:c r="M92" s="40" t="str">
        <x:v>https://investors.badgermeter.com/news-releases/press-release-details/2026/Badger-Meter-Reports-Second-Quarter-2026-Financial-Results/default.aspx</x:v>
      </x:c>
      <x:c r="N92" s="40" t="str"/>
      <x:c r="O92" s="52" t="n">
        <x:f>IF(F92="","",'Settings'!$B$3-F92)</x:f>
        <x:v>47</x:v>
      </x:c>
      <x:c r="P92" s="46" t="str">
        <x:f>IF(H92="","",G92-H92)</x:f>
      </x:c>
      <x:c r="Q92" s="50" t="str">
        <x:f>IF(OR(H92="",H92&lt;=0,LEFT(I92,1)="%"),"",G92/H92-1)</x:f>
      </x:c>
    </x:row>
    <x:row r="93" ht="72" customHeight="1">
      <x:c r="A93" s="40" t="str">
        <x:v>O088</x:v>
      </x:c>
      <x:c r="B93" s="40" t="str">
        <x:v>Industrials</x:v>
      </x:c>
      <x:c r="C93" s="40" t="str">
        <x:v>Federal Reserve</x:v>
      </x:c>
      <x:c r="D93" s="40" t="str">
        <x:v>Manufacturing capacity utilization</x:v>
      </x:c>
      <x:c r="E93" s="40" t="str">
        <x:v>July 2026</x:v>
      </x:c>
      <x:c r="F93" s="44" t="n">
        <x:v>46252</x:v>
      </x:c>
      <x:c r="G93" s="48" t="n">
        <x:v>76</x:v>
      </x:c>
      <x:c r="H93" s="48"/>
      <x:c r="I93" s="40" t="str">
        <x:v>%</x:v>
      </x:c>
      <x:c r="J93" s="40" t="str">
        <x:v>YoY</x:v>
      </x:c>
      <x:c r="K93" s="40" t="str">
        <x:v>Reported</x:v>
      </x:c>
      <x:c r="L93" s="40" t="str">
        <x:v>G17</x:v>
      </x:c>
      <x:c r="M93" s="40" t="str">
        <x:v>https://www.federalreserve.gov/releases/g17/20260818/default.htm</x:v>
      </x:c>
      <x:c r="N93" s="40" t="str">
        <x:v>Aggregate context, not the utilization of transformers or semiconductor testing.</x:v>
      </x:c>
      <x:c r="O93" s="52" t="n">
        <x:f>IF(F93="","",'Settings'!$B$3-F93)</x:f>
        <x:v>20</x:v>
      </x:c>
      <x:c r="P93" s="46" t="str">
        <x:f>IF(H93="","",G93-H93)</x:f>
      </x:c>
      <x:c r="Q93" s="50" t="str">
        <x:f>IF(OR(H93="",H93&lt;=0,LEFT(I93,1)="%"),"",G93/H93-1)</x:f>
      </x:c>
    </x:row>
    <x:row r="94" ht="72" customHeight="1">
      <x:c r="A94" s="40" t="str">
        <x:v>O089</x:v>
      </x:c>
      <x:c r="B94" s="40" t="str">
        <x:v>Consumer Discretionary</x:v>
      </x:c>
      <x:c r="C94" s="40" t="str">
        <x:v>Census</x:v>
      </x:c>
      <x:c r="D94" s="40" t="str">
        <x:v>Housing starts</x:v>
      </x:c>
      <x:c r="E94" s="40" t="str">
        <x:v>July 2026</x:v>
      </x:c>
      <x:c r="F94" s="44" t="n">
        <x:v>46252</x:v>
      </x:c>
      <x:c r="G94" s="48" t="n">
        <x:v>1239</x:v>
      </x:c>
      <x:c r="H94" s="48" t="n">
        <x:v>1415</x:v>
      </x:c>
      <x:c r="I94" s="40" t="str">
        <x:v>thousand units SAAR</x:v>
      </x:c>
      <x:c r="J94" s="40" t="str">
        <x:v>MoM</x:v>
      </x:c>
      <x:c r="K94" s="40" t="str">
        <x:v>Reported</x:v>
      </x:c>
      <x:c r="L94" s="40" t="str">
        <x:v>HOUSING26</x:v>
      </x:c>
      <x:c r="M94" s="40" t="str">
        <x:v>https://www.census.gov/construction/nrc/current/index.html</x:v>
      </x:c>
      <x:c r="N94" s="40" t="str">
        <x:v>Prior month revised; sampling error and volatility prevent a one-month bottom call.</x:v>
      </x:c>
      <x:c r="O94" s="52" t="n">
        <x:f>IF(F94="","",'Settings'!$B$3-F94)</x:f>
        <x:v>20</x:v>
      </x:c>
      <x:c r="P94" s="46" t="n">
        <x:f>IF(H94="","",G94-H94)</x:f>
        <x:v>-176</x:v>
      </x:c>
      <x:c r="Q94" s="50" t="n">
        <x:f>IF(OR(H94="",H94&lt;=0,LEFT(I94,1)="%"),"",G94/H94-1)</x:f>
        <x:v>-0.12438162544169606</x:v>
      </x:c>
    </x:row>
    <x:row r="95" ht="72" customHeight="1">
      <x:c r="A95" s="40" t="str">
        <x:v>O090</x:v>
      </x:c>
      <x:c r="B95" s="40" t="str">
        <x:v>Real Estate</x:v>
      </x:c>
      <x:c r="C95" s="40" t="str">
        <x:v>Census</x:v>
      </x:c>
      <x:c r="D95" s="40" t="str">
        <x:v>Building permits</x:v>
      </x:c>
      <x:c r="E95" s="40" t="str">
        <x:v>July 2026</x:v>
      </x:c>
      <x:c r="F95" s="44" t="n">
        <x:v>46252</x:v>
      </x:c>
      <x:c r="G95" s="48" t="n">
        <x:v>1443</x:v>
      </x:c>
      <x:c r="H95" s="48" t="n">
        <x:v>1374</x:v>
      </x:c>
      <x:c r="I95" s="40" t="str">
        <x:v>thousand units SAAR</x:v>
      </x:c>
      <x:c r="J95" s="40" t="str">
        <x:v>MoM</x:v>
      </x:c>
      <x:c r="K95" s="40" t="str">
        <x:v>Reported</x:v>
      </x:c>
      <x:c r="L95" s="40" t="str">
        <x:v>HOUSING26</x:v>
      </x:c>
      <x:c r="M95" s="40" t="str">
        <x:v>https://www.census.gov/construction/nrc/current/index.html</x:v>
      </x:c>
      <x:c r="N95" s="40" t="str"/>
      <x:c r="O95" s="52" t="n">
        <x:f>IF(F95="","",'Settings'!$B$3-F95)</x:f>
        <x:v>20</x:v>
      </x:c>
      <x:c r="P95" s="46" t="n">
        <x:f>IF(H95="","",G95-H95)</x:f>
        <x:v>69</x:v>
      </x:c>
      <x:c r="Q95" s="50" t="n">
        <x:f>IF(OR(H95="",H95&lt;=0,LEFT(I95,1)="%"),"",G95/H95-1)</x:f>
        <x:v>0.05021834061135366</x:v>
      </x:c>
    </x:row>
    <x:row r="96" ht="72" customHeight="1">
      <x:c r="A96" s="40" t="str">
        <x:v>O091</x:v>
      </x:c>
      <x:c r="B96" s="40" t="str">
        <x:v>Consumer Discretionary</x:v>
      </x:c>
      <x:c r="C96" s="40" t="str">
        <x:v>Census</x:v>
      </x:c>
      <x:c r="D96" s="40" t="str">
        <x:v>Single-family starts</x:v>
      </x:c>
      <x:c r="E96" s="40" t="str">
        <x:v>July 2026</x:v>
      </x:c>
      <x:c r="F96" s="44" t="n">
        <x:v>46252</x:v>
      </x:c>
      <x:c r="G96" s="48" t="n">
        <x:v>808</x:v>
      </x:c>
      <x:c r="H96" s="48"/>
      <x:c r="I96" s="40" t="str">
        <x:v>thousand units SAAR</x:v>
      </x:c>
      <x:c r="J96" s="40" t="str">
        <x:v>YoY</x:v>
      </x:c>
      <x:c r="K96" s="40" t="str">
        <x:v>Reported</x:v>
      </x:c>
      <x:c r="L96" s="40" t="str">
        <x:v>HOUSING26</x:v>
      </x:c>
      <x:c r="M96" s="40" t="str">
        <x:v>https://www.census.gov/construction/nrc/current/index.html</x:v>
      </x:c>
      <x:c r="N96" s="40" t="str"/>
      <x:c r="O96" s="52" t="n">
        <x:f>IF(F96="","",'Settings'!$B$3-F96)</x:f>
        <x:v>20</x:v>
      </x:c>
      <x:c r="P96" s="46" t="str">
        <x:f>IF(H96="","",G96-H96)</x:f>
      </x:c>
      <x:c r="Q96" s="50" t="str">
        <x:f>IF(OR(H96="",H96&lt;=0,LEFT(I96,1)="%"),"",G96/H96-1)</x:f>
      </x:c>
    </x:row>
    <x:row r="97" ht="72" customHeight="1">
      <x:c r="A97" s="40" t="str">
        <x:v>O092</x:v>
      </x:c>
      <x:c r="B97" s="40" t="str">
        <x:v>Financials</x:v>
      </x:c>
      <x:c r="C97" s="40" t="str">
        <x:v>FDIC</x:v>
      </x:c>
      <x:c r="D97" s="40" t="str">
        <x:v>Industry return on assets</x:v>
      </x:c>
      <x:c r="E97" s="40" t="str">
        <x:v>Q2 2026</x:v>
      </x:c>
      <x:c r="F97" s="44" t="n">
        <x:v>46259</x:v>
      </x:c>
      <x:c r="G97" s="48" t="n">
        <x:v>1.37</x:v>
      </x:c>
      <x:c r="H97" s="48"/>
      <x:c r="I97" s="40" t="str">
        <x:v>% annualized</x:v>
      </x:c>
      <x:c r="J97" s="40" t="str">
        <x:v>YoY</x:v>
      </x:c>
      <x:c r="K97" s="40" t="str">
        <x:v>Reported</x:v>
      </x:c>
      <x:c r="L97" s="40" t="str">
        <x:v>FDIC26</x:v>
      </x:c>
      <x:c r="M97" s="40" t="str">
        <x:v>https://www.fdic.gov/quarterly-banking-profile/quarterly-banking-profile-2q-2026</x:v>
      </x:c>
      <x:c r="N97" s="40" t="str"/>
      <x:c r="O97" s="52" t="n">
        <x:f>IF(F97="","",'Settings'!$B$3-F97)</x:f>
        <x:v>13</x:v>
      </x:c>
      <x:c r="P97" s="46" t="str">
        <x:f>IF(H97="","",G97-H97)</x:f>
      </x:c>
      <x:c r="Q97" s="50" t="str">
        <x:f>IF(OR(H97="",H97&lt;=0,LEFT(I97,1)="%"),"",G97/H97-1)</x:f>
      </x:c>
    </x:row>
    <x:row r="98" ht="72" customHeight="1">
      <x:c r="A98" s="40" t="str">
        <x:v>O093</x:v>
      </x:c>
      <x:c r="B98" s="40" t="str">
        <x:v>Cross-sector</x:v>
      </x:c>
      <x:c r="C98" s="40" t="str">
        <x:v>BLS</x:v>
      </x:c>
      <x:c r="D98" s="40" t="str">
        <x:v>Nonfarm payroll change</x:v>
      </x:c>
      <x:c r="E98" s="40" t="str">
        <x:v>August 2026</x:v>
      </x:c>
      <x:c r="F98" s="44" t="n">
        <x:v>46269</x:v>
      </x:c>
      <x:c r="G98" s="48" t="n">
        <x:v>162</x:v>
      </x:c>
      <x:c r="H98" s="48"/>
      <x:c r="I98" s="40" t="str">
        <x:v>thousand jobs, seasonally adjusted</x:v>
      </x:c>
      <x:c r="J98" s="40" t="str">
        <x:v>MoM</x:v>
      </x:c>
      <x:c r="K98" s="40" t="str">
        <x:v>Reported</x:v>
      </x:c>
      <x:c r="L98" s="40" t="str">
        <x:v>JOBS26</x:v>
      </x:c>
      <x:c r="M98" s="40" t="str">
        <x:v>https://www.bls.gov/news.release/empsit.nr0.htm</x:v>
      </x:c>
      <x:c r="N98" s="40" t="str"/>
      <x:c r="O98" s="52" t="n">
        <x:f>IF(F98="","",'Settings'!$B$3-F98)</x:f>
        <x:v>3</x:v>
      </x:c>
      <x:c r="P98" s="46" t="str">
        <x:f>IF(H98="","",G98-H98)</x:f>
      </x:c>
      <x:c r="Q98" s="50" t="str">
        <x:f>IF(OR(H98="",H98&lt;=0,LEFT(I98,1)="%"),"",G98/H98-1)</x:f>
      </x:c>
    </x:row>
    <x:row r="99" ht="72" customHeight="1">
      <x:c r="A99" s="40" t="str">
        <x:v>O094</x:v>
      </x:c>
      <x:c r="B99" s="40" t="str">
        <x:v>Cross-sector</x:v>
      </x:c>
      <x:c r="C99" s="40" t="str">
        <x:v>BLS</x:v>
      </x:c>
      <x:c r="D99" s="40" t="str">
        <x:v>Unemployment rate</x:v>
      </x:c>
      <x:c r="E99" s="40" t="str">
        <x:v>August 2026</x:v>
      </x:c>
      <x:c r="F99" s="44" t="n">
        <x:v>46269</x:v>
      </x:c>
      <x:c r="G99" s="48" t="n">
        <x:v>4.1</x:v>
      </x:c>
      <x:c r="H99" s="48"/>
      <x:c r="I99" s="40" t="str">
        <x:v>%</x:v>
      </x:c>
      <x:c r="J99" s="40" t="str">
        <x:v>YoY</x:v>
      </x:c>
      <x:c r="K99" s="40" t="str">
        <x:v>Reported</x:v>
      </x:c>
      <x:c r="L99" s="40" t="str">
        <x:v>JOBS26</x:v>
      </x:c>
      <x:c r="M99" s="40" t="str">
        <x:v>https://www.bls.gov/news.release/empsit.nr0.htm</x:v>
      </x:c>
      <x:c r="N99" s="40" t="str"/>
      <x:c r="O99" s="52" t="n">
        <x:f>IF(F99="","",'Settings'!$B$3-F99)</x:f>
        <x:v>3</x:v>
      </x:c>
      <x:c r="P99" s="46" t="str">
        <x:f>IF(H99="","",G99-H99)</x:f>
      </x:c>
      <x:c r="Q99" s="50" t="str">
        <x:f>IF(OR(H99="",H99&lt;=0,LEFT(I99,1)="%"),"",G99/H99-1)</x:f>
      </x:c>
    </x:row>
    <x:row r="100" ht="72" customHeight="1">
      <x:c r="A100" s="40" t="str">
        <x:v>O095</x:v>
      </x:c>
      <x:c r="B100" s="40" t="str">
        <x:v>Information Technology</x:v>
      </x:c>
      <x:c r="C100" s="40" t="str">
        <x:v>NSSC</x:v>
      </x:c>
      <x:c r="D100" s="40" t="str">
        <x:v>GAAP diluted EPS</x:v>
      </x:c>
      <x:c r="E100" s="40" t="str">
        <x:v>Q4 FY2026</x:v>
      </x:c>
      <x:c r="F100" s="44" t="n">
        <x:v>46258</x:v>
      </x:c>
      <x:c r="G100" s="48" t="n">
        <x:v>0.5</x:v>
      </x:c>
      <x:c r="H100" s="48"/>
      <x:c r="I100" s="40" t="str">
        <x:v>USD/share</x:v>
      </x:c>
      <x:c r="J100" s="40" t="str">
        <x:v>YoY</x:v>
      </x:c>
      <x:c r="K100" s="40" t="str">
        <x:v>Reported</x:v>
      </x:c>
      <x:c r="L100" s="40" t="str">
        <x:v>NSSC26</x:v>
      </x:c>
      <x:c r="M100" s="40" t="str">
        <x:v>https://investor.napcosecurity.com/2026-08-24-NAPCO-Security-Technologies,-Inc-Reports-Fiscal-Q4-and-Full-Year-2026-Results</x:v>
      </x:c>
      <x:c r="N100" s="40" t="str"/>
      <x:c r="O100" s="52" t="n">
        <x:f>IF(F100="","",'Settings'!$B$3-F100)</x:f>
        <x:v>14</x:v>
      </x:c>
      <x:c r="P100" s="46" t="str">
        <x:f>IF(H100="","",G100-H100)</x:f>
      </x:c>
      <x:c r="Q100" s="50" t="str">
        <x:f>IF(OR(H100="",H100&lt;=0,LEFT(I100,1)="%"),"",G100/H100-1)</x:f>
      </x:c>
    </x:row>
    <x:row r="101" ht="72" customHeight="1">
      <x:c r="A101" s="40" t="str">
        <x:v>O096</x:v>
      </x:c>
      <x:c r="B101" s="40" t="str">
        <x:v>Consumer Discretionary</x:v>
      </x:c>
      <x:c r="C101" s="40" t="str">
        <x:v>FND</x:v>
      </x:c>
      <x:c r="D101" s="40" t="str">
        <x:v>GAAP gross margin</x:v>
      </x:c>
      <x:c r="E101" s="40" t="str">
        <x:v>Q2 FY2026</x:v>
      </x:c>
      <x:c r="F101" s="44" t="n">
        <x:v>46233</x:v>
      </x:c>
      <x:c r="G101" s="48" t="n">
        <x:v>48.2</x:v>
      </x:c>
      <x:c r="H101" s="48" t="n">
        <x:v>43.9</x:v>
      </x:c>
      <x:c r="I101" s="40" t="str">
        <x:v>%</x:v>
      </x:c>
      <x:c r="J101" s="40" t="str">
        <x:v>YoY</x:v>
      </x:c>
      <x:c r="K101" s="40" t="str">
        <x:v>Reported</x:v>
      </x:c>
      <x:c r="L101" s="40" t="str">
        <x:v>FND26</x:v>
      </x:c>
      <x:c r="M101" s="40" t="str">
        <x:v>https://ir.flooranddecor.com/news-events/press-releases/detail/301/floor-decor-holdings-inc-announces-second-quarter</x:v>
      </x:c>
      <x:c r="N101" s="40" t="str"/>
      <x:c r="O101" s="52" t="n">
        <x:f>IF(F101="","",'Settings'!$B$3-F101)</x:f>
        <x:v>39</x:v>
      </x:c>
      <x:c r="P101" s="46" t="n">
        <x:f>IF(H101="","",G101-H101)</x:f>
        <x:v>4.300000000000004</x:v>
      </x:c>
      <x:c r="Q101" s="50" t="str">
        <x:f>IF(OR(H101="",H101&lt;=0,LEFT(I101,1)="%"),"",G101/H101-1)</x:f>
      </x:c>
    </x:row>
  </x:sheetData>
  <x:mergeCells>
    <x:mergeCell ref="A1:H2"/>
    <x:mergeCell ref="A3:H3"/>
  </x:mergeCells>
  <x:conditionalFormatting sqref="O6:O101">
    <x:cfRule type="expression" dxfId="0" priority="1">
      <x:formula>O6&gt;'Settings'!$B$5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52c0ab3e624dc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6" hidden="0" customWidth="1"/>
    <x:col min="4" max="4" width="21" hidden="0" customWidth="1"/>
    <x:col min="5" max="5" width="15" hidden="0" customWidth="1"/>
    <x:col min="6" max="6" width="18" hidden="0" customWidth="1"/>
    <x:col min="7" max="7" width="13" hidden="0" customWidth="1"/>
    <x:col min="8" max="8" width="15" hidden="0" customWidth="1"/>
    <x:col min="9" max="9" width="13" hidden="0" customWidth="1"/>
    <x:col min="10" max="10" width="13" hidden="0" customWidth="1"/>
    <x:col min="11" max="11" width="15" hidden="0" customWidth="1"/>
    <x:col min="12" max="12" width="14" hidden="0" customWidth="1"/>
    <x:col min="13" max="13" width="2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32" hidden="0" customWidth="1"/>
    <x:col min="20" max="20" width="29" hidden="0" customWidth="1"/>
    <x:col min="21" max="21" width="19" hidden="0" customWidth="1"/>
    <x:col min="22" max="22" width="15" hidden="0" customWidth="1"/>
    <x:col min="23" max="23" width="37" hidden="0" customWidth="1"/>
    <x:col min="24" max="24" width="18" hidden="0" customWidth="1"/>
  </x:cols>
  <x:sheetData>
    <x:row r="1">
      <x:c r="A1" s="24" t="str">
        <x:v>CURRENT-REPORT RESEARCH QUEUE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Scores allocate diligence effort. They do not establish cheapness, expected returns, investment readiness or small-cap eligibility.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ID</x:v>
      </x:c>
      <x:c r="B5" s="34" t="str">
        <x:v>Company ID</x:v>
      </x:c>
      <x:c r="C5" s="34" t="str">
        <x:v>Company</x:v>
      </x:c>
      <x:c r="D5" s="34" t="str">
        <x:v>Sector</x:v>
      </x:c>
      <x:c r="E5" s="34" t="str">
        <x:v>Track</x:v>
      </x:c>
      <x:c r="F5" s="34" t="str">
        <x:v>Research state</x:v>
      </x:c>
      <x:c r="G5" s="34" t="str">
        <x:v>Fit (1–5)</x:v>
      </x:c>
      <x:c r="H5" s="34" t="str">
        <x:v>Decision impact (1–5)</x:v>
      </x:c>
      <x:c r="I5" s="34" t="str">
        <x:v>Evidence (1–5)</x:v>
      </x:c>
      <x:c r="J5" s="34" t="str">
        <x:v>Testability (1–5)</x:v>
      </x:c>
      <x:c r="K5" s="34" t="str">
        <x:v>Research score /100</x:v>
      </x:c>
      <x:c r="L5" s="34" t="str">
        <x:v>Within-track rank</x:v>
      </x:c>
      <x:c r="M5" s="34" t="str">
        <x:v>Price attractiveness</x:v>
      </x:c>
      <x:c r="N5" s="34" t="str">
        <x:v>Verified report evidence</x:v>
      </x:c>
      <x:c r="O5" s="34" t="str">
        <x:v>Causal hypothesis</x:v>
      </x:c>
      <x:c r="P5" s="34" t="str">
        <x:v>Strongest objection</x:v>
      </x:c>
      <x:c r="Q5" s="34" t="str">
        <x:v>Next decisive test</x:v>
      </x:c>
      <x:c r="R5" s="34" t="str">
        <x:v>Falsifier</x:v>
      </x:c>
      <x:c r="S5" s="34" t="str">
        <x:v>Valuation work required</x:v>
      </x:c>
      <x:c r="T5" s="34" t="str">
        <x:v>Shared dependency</x:v>
      </x:c>
      <x:c r="U5" s="34" t="str">
        <x:v>Source IDs</x:v>
      </x:c>
      <x:c r="V5" s="34" t="str">
        <x:v>Report published</x:v>
      </x:c>
      <x:c r="W5" s="34" t="str">
        <x:v>Investment gate</x:v>
      </x:c>
      <x:c r="X5" s="34" t="str">
        <x:v>Verified market cap</x:v>
      </x:c>
    </x:row>
    <x:row r="6" ht="105" customHeight="1">
      <x:c r="A6" s="40" t="str">
        <x:v>R01</x:v>
      </x:c>
      <x:c r="B6" s="40" t="str">
        <x:v>LMAT</x:v>
      </x:c>
      <x:c r="C6" s="40" t="str">
        <x:v>LeMaitre Vascular</x:v>
      </x:c>
      <x:c r="D6" s="40" t="str">
        <x:v>Health Care</x:v>
      </x:c>
      <x:c r="E6" s="40" t="str">
        <x:v>Compounder</x:v>
      </x:c>
      <x:c r="F6" s="40" t="str">
        <x:v>Investigate</x:v>
      </x:c>
      <x:c r="G6" s="54" t="n">
        <x:v>5</x:v>
      </x:c>
      <x:c r="H6" s="54" t="n">
        <x:v>4</x:v>
      </x:c>
      <x:c r="I6" s="54" t="n">
        <x:v>4</x:v>
      </x:c>
      <x:c r="J6" s="54" t="n">
        <x:v>5</x:v>
      </x:c>
      <x:c r="K6" s="56" t="n">
        <x:f>Settings!$B$4*(G6*IF(E6="Compounder",Settings!$B$9,Settings!$C$9)+H6*IF(E6="Compounder",Settings!$B$10,Settings!$C$10)+I6*IF(E6="Compounder",Settings!$B$11,Settings!$C$11)+J6*IF(E6="Compounder",Settings!$B$12,Settings!$C$12))</x:f>
        <x:v>92</x:v>
      </x:c>
      <x:c r="L6" s="40" t="n">
        <x:f>IF(F6="Evidence hold","",1+COUNTIFS($E$6:$E$31,E6,$F$6:$F$31,"&lt;&gt;Evidence hold",$K$6:$K$31,"&gt;"&amp;K6))</x:f>
        <x:v>1</x:v>
      </x:c>
      <x:c r="M6" s="40" t="str">
        <x:v>Not established</x:v>
      </x:c>
      <x:c r="N6" s="40" t="str">
        <x:v>Q2 organic growth 10%; operating income growth 26%; gross margin 72.1%.</x:v>
      </x:c>
      <x:c r="O6" s="40" t="str">
        <x:v>Procedure-linked vascular consumables may compound through distribution expansion and operating leverage.</x:v>
      </x:c>
      <x:c r="P6" s="40" t="str">
        <x:v>Customer dependence, product maturity, pricing and valuation could limit shareholder returns.</x:v>
      </x:c>
      <x:c r="Q6" s="40" t="str">
        <x:v>Rebuild five-year organic unit/price growth, distributor-to-direct economics and cash ROIC.</x:v>
      </x:c>
      <x:c r="R6" s="40" t="str">
        <x:v>Growth increasingly requires acquisition premiums or price rises that weaken unit demand.</x:v>
      </x:c>
      <x:c r="S6" s="40" t="str">
        <x:v>Dilution-adjusted owner earnings and reverse DCF</x:v>
      </x:c>
      <x:c r="T6" s="40" t="str">
        <x:v>Procedures; hospital purchasing; clinical adoption</x:v>
      </x:c>
      <x:c r="U6" s="40" t="str">
        <x:v>LMAT26</x:v>
      </x:c>
      <x:c r="V6" s="44" t="n">
        <x:v>46238</x:v>
      </x:c>
      <x:c r="W6" s="40" t="str">
        <x:v>NOT CLEARED — valuation, security eligibility and full underwriting outstanding</x:v>
      </x:c>
      <x:c r="X6" s="40"/>
    </x:row>
    <x:row r="7" ht="105" customHeight="1">
      <x:c r="A7" s="40" t="str">
        <x:v>R02</x:v>
      </x:c>
      <x:c r="B7" s="40" t="str">
        <x:v>WINA</x:v>
      </x:c>
      <x:c r="C7" s="40" t="str">
        <x:v>Winmark</x:v>
      </x:c>
      <x:c r="D7" s="40" t="str">
        <x:v>Consumer Discretionary</x:v>
      </x:c>
      <x:c r="E7" s="40" t="str">
        <x:v>Compounder</x:v>
      </x:c>
      <x:c r="F7" s="40" t="str">
        <x:v>Investigate</x:v>
      </x:c>
      <x:c r="G7" s="54" t="n">
        <x:v>5</x:v>
      </x:c>
      <x:c r="H7" s="54" t="n">
        <x:v>4</x:v>
      </x:c>
      <x:c r="I7" s="54" t="n">
        <x:v>4</x:v>
      </x:c>
      <x:c r="J7" s="54" t="n">
        <x:v>4</x:v>
      </x:c>
      <x:c r="K7" s="56" t="n">
        <x:f>Settings!$B$4*(G7*IF(E7="Compounder",Settings!$B$9,Settings!$C$9)+H7*IF(E7="Compounder",Settings!$B$10,Settings!$C$10)+I7*IF(E7="Compounder",Settings!$B$11,Settings!$C$11)+J7*IF(E7="Compounder",Settings!$B$12,Settings!$C$12))</x:f>
        <x:v>87</x:v>
      </x:c>
      <x:c r="L7" s="40" t="n">
        <x:f>IF(F7="Evidence hold","",1+COUNTIFS($E$6:$E$31,E7,$F$6:$F$31,"&lt;&gt;Evidence hold",$K$6:$K$31,"&gt;"&amp;K7))</x:f>
        <x:v>2</x:v>
      </x:c>
      <x:c r="M7" s="40" t="str">
        <x:v>Not established</x:v>
      </x:c>
      <x:c r="N7" s="40" t="str">
        <x:v>H1 royalties grew 8.1%, but operating cash fell and investment rose with POS modernization.</x:v>
      </x:c>
      <x:c r="O7" s="40" t="str">
        <x:v>A royalty system may grow per-share cash with less capital than owned stores.</x:v>
      </x:c>
      <x:c r="P7" s="40" t="str">
        <x:v>Franchisee net returns are unproven; technology investment and slow unit additions limit reinvestment.</x:v>
      </x:c>
      <x:c r="Q7" s="40" t="str">
        <x:v>Build store-level after-owner-wage returns and a multi-year corporate software/cash bridge.</x:v>
      </x:c>
      <x:c r="R7" s="40" t="str">
        <x:v>New franchise cohorts fail to earn acceptable returns, closures rise, or recurring capital needs expand.</x:v>
      </x:c>
      <x:c r="S7" s="40" t="str">
        <x:v>Franchisor owner earnings; explicit software capex and conservative terminal growth</x:v>
      </x:c>
      <x:c r="T7" s="40" t="str">
        <x:v>Consumer resale; franchisee health; discretionary budgets</x:v>
      </x:c>
      <x:c r="U7" s="40" t="str">
        <x:v>WINA26</x:v>
      </x:c>
      <x:c r="V7" s="44" t="n">
        <x:v>46218</x:v>
      </x:c>
      <x:c r="W7" s="40" t="str">
        <x:v>NOT CLEARED — valuation, security eligibility and full underwriting outstanding</x:v>
      </x:c>
      <x:c r="X7" s="40"/>
    </x:row>
    <x:row r="8" ht="105" customHeight="1">
      <x:c r="A8" s="40" t="str">
        <x:v>R03</x:v>
      </x:c>
      <x:c r="B8" s="40" t="str">
        <x:v>APPF</x:v>
      </x:c>
      <x:c r="C8" s="40" t="str">
        <x:v>AppFolio</x:v>
      </x:c>
      <x:c r="D8" s="40" t="str">
        <x:v>Information Technology</x:v>
      </x:c>
      <x:c r="E8" s="40" t="str">
        <x:v>Compounder</x:v>
      </x:c>
      <x:c r="F8" s="40" t="str">
        <x:v>Investigate</x:v>
      </x:c>
      <x:c r="G8" s="54" t="n">
        <x:v>5</x:v>
      </x:c>
      <x:c r="H8" s="54" t="n">
        <x:v>4</x:v>
      </x:c>
      <x:c r="I8" s="54" t="n">
        <x:v>4</x:v>
      </x:c>
      <x:c r="J8" s="54" t="n">
        <x:v>4</x:v>
      </x:c>
      <x:c r="K8" s="56" t="n">
        <x:f>Settings!$B$4*(G8*IF(E8="Compounder",Settings!$B$9,Settings!$C$9)+H8*IF(E8="Compounder",Settings!$B$10,Settings!$C$10)+I8*IF(E8="Compounder",Settings!$B$11,Settings!$C$11)+J8*IF(E8="Compounder",Settings!$B$12,Settings!$C$12))</x:f>
        <x:v>87</x:v>
      </x:c>
      <x:c r="L8" s="40" t="n">
        <x:f>IF(F8="Evidence hold","",1+COUNTIFS($E$6:$E$31,E8,$F$6:$F$31,"&lt;&gt;Evidence hold",$K$6:$K$31,"&gt;"&amp;K8))</x:f>
        <x:v>2</x:v>
      </x:c>
      <x:c r="M8" s="40" t="str">
        <x:v>Not established</x:v>
      </x:c>
      <x:c r="N8" s="40" t="str">
        <x:v>Revenue grew 19% versus 8% growth in managed units; GAAP operating margin improved.</x:v>
      </x:c>
      <x:c r="O8" s="40" t="str">
        <x:v>Embedded property workflows may support profitable monetization beyond core subscriptions.</x:v>
      </x:c>
      <x:c r="P8" s="40" t="str">
        <x:v>Transaction/payment mix and AI competition may make total revenue growth a poor proxy for SaaS quality.</x:v>
      </x:c>
      <x:c r="Q8" s="40" t="str">
        <x:v>Separate subscription, payment and other value-added gross profit; reconcile retention and dilution.</x:v>
      </x:c>
      <x:c r="R8" s="40" t="str">
        <x:v>Monetization growth comes from low-margin mix or high churn rather than durable customer value.</x:v>
      </x:c>
      <x:c r="S8" s="40" t="str">
        <x:v>Segment contribution model and reverse FCF valuation</x:v>
      </x:c>
      <x:c r="T8" s="40" t="str">
        <x:v>Rental activity; payment volumes; property-manager IT</x:v>
      </x:c>
      <x:c r="U8" s="40" t="str">
        <x:v>APPF26</x:v>
      </x:c>
      <x:c r="V8" s="44" t="n">
        <x:v>46226</x:v>
      </x:c>
      <x:c r="W8" s="40" t="str">
        <x:v>NOT CLEARED — valuation, security eligibility and full underwriting outstanding</x:v>
      </x:c>
      <x:c r="X8" s="40"/>
    </x:row>
    <x:row r="9" ht="105" customHeight="1">
      <x:c r="A9" s="40" t="str">
        <x:v>R04</x:v>
      </x:c>
      <x:c r="B9" s="40" t="str">
        <x:v>NSSC</x:v>
      </x:c>
      <x:c r="C9" s="40" t="str">
        <x:v>NAPCO Security Technologies</x:v>
      </x:c>
      <x:c r="D9" s="40" t="str">
        <x:v>Information Technology</x:v>
      </x:c>
      <x:c r="E9" s="40" t="str">
        <x:v>Compounder</x:v>
      </x:c>
      <x:c r="F9" s="40" t="str">
        <x:v>Investigate</x:v>
      </x:c>
      <x:c r="G9" s="54" t="n">
        <x:v>5</x:v>
      </x:c>
      <x:c r="H9" s="54" t="n">
        <x:v>5</x:v>
      </x:c>
      <x:c r="I9" s="54" t="n">
        <x:v>3</x:v>
      </x:c>
      <x:c r="J9" s="54" t="n">
        <x:v>4</x:v>
      </x:c>
      <x:c r="K9" s="56" t="n">
        <x:f>Settings!$B$4*(G9*IF(E9="Compounder",Settings!$B$9,Settings!$C$9)+H9*IF(E9="Compounder",Settings!$B$10,Settings!$C$10)+I9*IF(E9="Compounder",Settings!$B$11,Settings!$C$11)+J9*IF(E9="Compounder",Settings!$B$12,Settings!$C$12))</x:f>
        <x:v>85</x:v>
      </x:c>
      <x:c r="L9" s="40" t="n">
        <x:f>IF(F9="Evidence hold","",1+COUNTIFS($E$6:$E$31,E9,$F$6:$F$31,"&lt;&gt;Evidence hold",$K$6:$K$31,"&gt;"&amp;K9))</x:f>
        <x:v>4</x:v>
      </x:c>
      <x:c r="M9" s="40" t="str">
        <x:v>Not established</x:v>
      </x:c>
      <x:c r="N9" s="40" t="str">
        <x:v>Recurring services grew 13%, but tariff refunds materially boosted Q4 gross margin and EPS.</x:v>
      </x:c>
      <x:c r="O9" s="40" t="str">
        <x:v>Activated security devices may produce durable high-margin communications income.</x:v>
      </x:c>
      <x:c r="P9" s="40" t="str">
        <x:v>Churn and dealer economics are undisclosed; legal costs and refunds complicate normalized earnings.</x:v>
      </x:c>
      <x:c r="Q9" s="40" t="str">
        <x:v>Reconcile active accounts, disconnects, ARPU, carrier costs and normalized post-refund earnings.</x:v>
      </x:c>
      <x:c r="R9" s="40" t="str">
        <x:v>Service growth relies on uneconomic hardware placement or worsening retention.</x:v>
      </x:c>
      <x:c r="S9" s="40" t="str">
        <x:v>Hardware plus service DCF; normalize legal/tariff items and dilution</x:v>
      </x:c>
      <x:c r="T9" s="40" t="str">
        <x:v>Alarm installations; dealer channel; cellular connectivity</x:v>
      </x:c>
      <x:c r="U9" s="40" t="str">
        <x:v>NSSC26</x:v>
      </x:c>
      <x:c r="V9" s="44" t="n">
        <x:v>46258</x:v>
      </x:c>
      <x:c r="W9" s="40" t="str">
        <x:v>NOT CLEARED — valuation, security eligibility and full underwriting outstanding</x:v>
      </x:c>
      <x:c r="X9" s="40"/>
    </x:row>
    <x:row r="10" ht="105" customHeight="1">
      <x:c r="A10" s="40" t="str">
        <x:v>R05</x:v>
      </x:c>
      <x:c r="B10" s="40" t="str">
        <x:v>AZZ</x:v>
      </x:c>
      <x:c r="C10" s="40" t="str">
        <x:v>AZZ</x:v>
      </x:c>
      <x:c r="D10" s="40" t="str">
        <x:v>Industrials</x:v>
      </x:c>
      <x:c r="E10" s="40" t="str">
        <x:v>Compounder</x:v>
      </x:c>
      <x:c r="F10" s="40" t="str">
        <x:v>Investigate</x:v>
      </x:c>
      <x:c r="G10" s="54" t="n">
        <x:v>4</x:v>
      </x:c>
      <x:c r="H10" s="54" t="n">
        <x:v>4</x:v>
      </x:c>
      <x:c r="I10" s="54" t="n">
        <x:v>4</x:v>
      </x:c>
      <x:c r="J10" s="54" t="n">
        <x:v>4</x:v>
      </x:c>
      <x:c r="K10" s="56" t="n">
        <x:f>Settings!$B$4*(G10*IF(E10="Compounder",Settings!$B$9,Settings!$C$9)+H10*IF(E10="Compounder",Settings!$B$10,Settings!$C$10)+I10*IF(E10="Compounder",Settings!$B$11,Settings!$C$11)+J10*IF(E10="Compounder",Settings!$B$12,Settings!$C$12))</x:f>
        <x:v>80</x:v>
      </x:c>
      <x:c r="L10" s="40" t="n">
        <x:f>IF(F10="Evidence hold","",1+COUNTIFS($E$6:$E$31,E10,$F$6:$F$31,"&lt;&gt;Evidence hold",$K$6:$K$31,"&gt;"&amp;K10))</x:f>
        <x:v>6</x:v>
      </x:c>
      <x:c r="M10" s="40" t="str">
        <x:v>Not established</x:v>
      </x:c>
      <x:c r="N10" s="40" t="str">
        <x:v>Metal Coatings growth outpaced Precoat in Q1 FY2027.</x:v>
      </x:c>
      <x:c r="O10" s="40" t="str">
        <x:v>Local surface-treatment density may have stronger economics than consolidated results reveal.</x:v>
      </x:c>
      <x:c r="P10" s="40" t="str">
        <x:v>Commodity pass-through and cyclical coil coating may explain margins more than local pricing power.</x:v>
      </x:c>
      <x:c r="Q10" s="40" t="str">
        <x:v>Compare plant-level volume/price, zinc costs, maintenance and marginal acquisition returns.</x:v>
      </x:c>
      <x:c r="R10" s="40" t="str">
        <x:v>Local pricing fails to cover capital and input costs through weaker construction volumes.</x:v>
      </x:c>
      <x:c r="S10" s="40" t="str">
        <x:v>Segment SOTP and through-cycle cash ROIC</x:v>
      </x:c>
      <x:c r="T10" s="40" t="str">
        <x:v>Infrastructure steel; construction; zinc and energy</x:v>
      </x:c>
      <x:c r="U10" s="40" t="str">
        <x:v>AZZ26</x:v>
      </x:c>
      <x:c r="V10" s="44" t="n">
        <x:v>46211</x:v>
      </x:c>
      <x:c r="W10" s="40" t="str">
        <x:v>NOT CLEARED — valuation, security eligibility and full underwriting outstanding</x:v>
      </x:c>
      <x:c r="X10" s="40"/>
    </x:row>
    <x:row r="11" ht="105" customHeight="1">
      <x:c r="A11" s="40" t="str">
        <x:v>R06</x:v>
      </x:c>
      <x:c r="B11" s="40" t="str">
        <x:v>CSW</x:v>
      </x:c>
      <x:c r="C11" s="40" t="str">
        <x:v>CSW Industrials</x:v>
      </x:c>
      <x:c r="D11" s="40" t="str">
        <x:v>Industrials</x:v>
      </x:c>
      <x:c r="E11" s="40" t="str">
        <x:v>Compounder</x:v>
      </x:c>
      <x:c r="F11" s="40" t="str">
        <x:v>Investigate</x:v>
      </x:c>
      <x:c r="G11" s="54" t="n">
        <x:v>4</x:v>
      </x:c>
      <x:c r="H11" s="54" t="n">
        <x:v>4</x:v>
      </x:c>
      <x:c r="I11" s="54" t="n">
        <x:v>4</x:v>
      </x:c>
      <x:c r="J11" s="54" t="n">
        <x:v>4</x:v>
      </x:c>
      <x:c r="K11" s="56" t="n">
        <x:f>Settings!$B$4*(G11*IF(E11="Compounder",Settings!$B$9,Settings!$C$9)+H11*IF(E11="Compounder",Settings!$B$10,Settings!$C$10)+I11*IF(E11="Compounder",Settings!$B$11,Settings!$C$11)+J11*IF(E11="Compounder",Settings!$B$12,Settings!$C$12))</x:f>
        <x:v>80</x:v>
      </x:c>
      <x:c r="L11" s="40" t="n">
        <x:f>IF(F11="Evidence hold","",1+COUNTIFS($E$6:$E$31,E11,$F$6:$F$31,"&lt;&gt;Evidence hold",$K$6:$K$31,"&gt;"&amp;K11))</x:f>
        <x:v>6</x:v>
      </x:c>
      <x:c r="M11" s="40" t="str">
        <x:v>Not established</x:v>
      </x:c>
      <x:c r="N11" s="40" t="str">
        <x:v>Reported growth of 33% included only 5.3% organic growth and a large acquisition contribution.</x:v>
      </x:c>
      <x:c r="O11" s="40" t="str">
        <x:v>Specialty contractor products may combine repeat demand with disciplined bolt-on reinvestment.</x:v>
      </x:c>
      <x:c r="P11" s="40" t="str">
        <x:v>Acquisition price, integration cash, leverage and share dilution can absorb operating gains.</x:v>
      </x:c>
      <x:c r="Q11" s="40" t="str">
        <x:v>Build acquired-cohort returns using all consideration, integration cost and incremental cash profit.</x:v>
      </x:c>
      <x:c r="R11" s="40" t="str">
        <x:v>Per-share cash stagnates despite company EBITDA growth.</x:v>
      </x:c>
      <x:c r="S11" s="40" t="str">
        <x:v>Acquisition-adjusted per-share DCF and segment ROIC</x:v>
      </x:c>
      <x:c r="T11" s="40" t="str">
        <x:v>Housing/R&amp;R; HVAC; acquisition financing</x:v>
      </x:c>
      <x:c r="U11" s="40" t="str">
        <x:v>CSW26</x:v>
      </x:c>
      <x:c r="V11" s="44" t="n">
        <x:v>46233</x:v>
      </x:c>
      <x:c r="W11" s="40" t="str">
        <x:v>NOT CLEARED — valuation, security eligibility and full underwriting outstanding</x:v>
      </x:c>
      <x:c r="X11" s="40"/>
    </x:row>
    <x:row r="12" ht="105" customHeight="1">
      <x:c r="A12" s="40" t="str">
        <x:v>R07</x:v>
      </x:c>
      <x:c r="B12" s="40" t="str">
        <x:v>VSEC</x:v>
      </x:c>
      <x:c r="C12" s="40" t="str">
        <x:v>VSE</x:v>
      </x:c>
      <x:c r="D12" s="40" t="str">
        <x:v>Industrials</x:v>
      </x:c>
      <x:c r="E12" s="40" t="str">
        <x:v>Compounder</x:v>
      </x:c>
      <x:c r="F12" s="40" t="str">
        <x:v>Investigate</x:v>
      </x:c>
      <x:c r="G12" s="54" t="n">
        <x:v>4</x:v>
      </x:c>
      <x:c r="H12" s="54" t="n">
        <x:v>4</x:v>
      </x:c>
      <x:c r="I12" s="54" t="n">
        <x:v>4</x:v>
      </x:c>
      <x:c r="J12" s="54" t="n">
        <x:v>3</x:v>
      </x:c>
      <x:c r="K12" s="56" t="n">
        <x:f>Settings!$B$4*(G12*IF(E12="Compounder",Settings!$B$9,Settings!$C$9)+H12*IF(E12="Compounder",Settings!$B$10,Settings!$C$10)+I12*IF(E12="Compounder",Settings!$B$11,Settings!$C$11)+J12*IF(E12="Compounder",Settings!$B$12,Settings!$C$12))</x:f>
        <x:v>75</x:v>
      </x:c>
      <x:c r="L12" s="40" t="n">
        <x:f>IF(F12="Evidence hold","",1+COUNTIFS($E$6:$E$31,E12,$F$6:$F$31,"&lt;&gt;Evidence hold",$K$6:$K$31,"&gt;"&amp;K12))</x:f>
        <x:v>10</x:v>
      </x:c>
      <x:c r="M12" s="40" t="str">
        <x:v>Not established</x:v>
      </x:c>
      <x:c r="N12" s="40" t="str">
        <x:v>Q2 revenue growth of 65% included approximately 14% organic growth.</x:v>
      </x:c>
      <x:c r="O12" s="40" t="str">
        <x:v>OEM distribution and repair capabilities may compound with the installed aircraft fleet.</x:v>
      </x:c>
      <x:c r="P12" s="40" t="str">
        <x:v>Recent acquisitions, working capital and financing may capture the benefits before common shareholders do.</x:v>
      </x:c>
      <x:c r="Q12" s="40" t="str">
        <x:v>Separate organic gross profit from acquired earnings and model inventory, debt and dilution.</x:v>
      </x:c>
      <x:c r="R12" s="40" t="str">
        <x:v>Inventory consumes sustained cash while debt servicing prevents accretive reinvestment.</x:v>
      </x:c>
      <x:c r="S12" s="40" t="str">
        <x:v>Acquired-cohort ROIC; cash EPS and debt-adjusted DCF</x:v>
      </x:c>
      <x:c r="T12" s="40" t="str">
        <x:v>Flight hours; OEM rights; repair inventory financing</x:v>
      </x:c>
      <x:c r="U12" s="40" t="str">
        <x:v>VSEC26</x:v>
      </x:c>
      <x:c r="V12" s="44" t="n">
        <x:v>46239</x:v>
      </x:c>
      <x:c r="W12" s="40" t="str">
        <x:v>NOT CLEARED — valuation, security eligibility and full underwriting outstanding</x:v>
      </x:c>
      <x:c r="X12" s="40"/>
    </x:row>
    <x:row r="13" ht="105" customHeight="1">
      <x:c r="A13" s="40" t="str">
        <x:v>R08</x:v>
      </x:c>
      <x:c r="B13" s="40" t="str">
        <x:v>IOSP</x:v>
      </x:c>
      <x:c r="C13" s="40" t="str">
        <x:v>Innospec</x:v>
      </x:c>
      <x:c r="D13" s="40" t="str">
        <x:v>Materials</x:v>
      </x:c>
      <x:c r="E13" s="40" t="str">
        <x:v>Compounder</x:v>
      </x:c>
      <x:c r="F13" s="40" t="str">
        <x:v>Investigate</x:v>
      </x:c>
      <x:c r="G13" s="54" t="n">
        <x:v>4</x:v>
      </x:c>
      <x:c r="H13" s="54" t="n">
        <x:v>3</x:v>
      </x:c>
      <x:c r="I13" s="54" t="n">
        <x:v>4</x:v>
      </x:c>
      <x:c r="J13" s="54" t="n">
        <x:v>4</x:v>
      </x:c>
      <x:c r="K13" s="56" t="n">
        <x:f>Settings!$B$4*(G13*IF(E13="Compounder",Settings!$B$9,Settings!$C$9)+H13*IF(E13="Compounder",Settings!$B$10,Settings!$C$10)+I13*IF(E13="Compounder",Settings!$B$11,Settings!$C$11)+J13*IF(E13="Compounder",Settings!$B$12,Settings!$C$12))</x:f>
        <x:v>77</x:v>
      </x:c>
      <x:c r="L13" s="40" t="n">
        <x:f>IF(F13="Evidence hold","",1+COUNTIFS($E$6:$E$31,E13,$F$6:$F$31,"&lt;&gt;Evidence hold",$K$6:$K$31,"&gt;"&amp;K13))</x:f>
        <x:v>9</x:v>
      </x:c>
      <x:c r="M13" s="40" t="str">
        <x:v>Not established</x:v>
      </x:c>
      <x:c r="N13" s="40" t="str">
        <x:v>Revenue grew 12% while adjusted EBITDA rose only modestly.</x:v>
      </x:c>
      <x:c r="O13" s="40" t="str">
        <x:v>Specialty chemistry can earn durable returns where formulation and customer qualification matter.</x:v>
      </x:c>
      <x:c r="P13" s="40" t="str">
        <x:v>Revenue mix and cyclical oilfield exposure may be mistaken for a broad profitability recovery.</x:v>
      </x:c>
      <x:c r="Q13" s="40" t="str">
        <x:v>Reconstruct segment price/volume, recurring qualification value and cash conversion.</x:v>
      </x:c>
      <x:c r="R13" s="40" t="str">
        <x:v>Margins need favorable feedstock or oilfield cycles rather than defensible formulations.</x:v>
      </x:c>
      <x:c r="S13" s="40" t="str">
        <x:v>Through-cycle segment DCF and cash ROIC</x:v>
      </x:c>
      <x:c r="T13" s="40" t="str">
        <x:v>Industrial volumes; oilfield activity; specialty formulations</x:v>
      </x:c>
      <x:c r="U13" s="40" t="str">
        <x:v>IOSP26</x:v>
      </x:c>
      <x:c r="V13" s="44" t="n">
        <x:v>46238</x:v>
      </x:c>
      <x:c r="W13" s="40" t="str">
        <x:v>NOT CLEARED — valuation, security eligibility and full underwriting outstanding</x:v>
      </x:c>
      <x:c r="X13" s="40"/>
    </x:row>
    <x:row r="14" ht="105" customHeight="1">
      <x:c r="A14" s="40" t="str">
        <x:v>R09</x:v>
      </x:c>
      <x:c r="B14" s="40" t="str">
        <x:v>BMI</x:v>
      </x:c>
      <x:c r="C14" s="40" t="str">
        <x:v>Badger Meter</x:v>
      </x:c>
      <x:c r="D14" s="40" t="str">
        <x:v>Information Technology</x:v>
      </x:c>
      <x:c r="E14" s="40" t="str">
        <x:v>Compounder</x:v>
      </x:c>
      <x:c r="F14" s="40" t="str">
        <x:v>Investigate</x:v>
      </x:c>
      <x:c r="G14" s="54" t="n">
        <x:v>4</x:v>
      </x:c>
      <x:c r="H14" s="54" t="n">
        <x:v>4</x:v>
      </x:c>
      <x:c r="I14" s="54" t="n">
        <x:v>4</x:v>
      </x:c>
      <x:c r="J14" s="54" t="n">
        <x:v>4</x:v>
      </x:c>
      <x:c r="K14" s="56" t="n">
        <x:f>Settings!$B$4*(G14*IF(E14="Compounder",Settings!$B$9,Settings!$C$9)+H14*IF(E14="Compounder",Settings!$B$10,Settings!$C$10)+I14*IF(E14="Compounder",Settings!$B$11,Settings!$C$11)+J14*IF(E14="Compounder",Settings!$B$12,Settings!$C$12))</x:f>
        <x:v>80</x:v>
      </x:c>
      <x:c r="L14" s="40" t="n">
        <x:f>IF(F14="Evidence hold","",1+COUNTIFS($E$6:$E$31,E14,$F$6:$F$31,"&lt;&gt;Evidence hold",$K$6:$K$31,"&gt;"&amp;K14))</x:f>
        <x:v>6</x:v>
      </x:c>
      <x:c r="M14" s="40" t="str">
        <x:v>Not established</x:v>
      </x:c>
      <x:c r="N14" s="40" t="str">
        <x:v>Q2 sales were up sequentially but down 7% year over year; operating earnings also declined.</x:v>
      </x:c>
      <x:c r="O14" s="40" t="str">
        <x:v>Water measurement and monitoring may compound as utilities digitize.</x:v>
      </x:c>
      <x:c r="P14" s="40" t="str">
        <x:v>Awarded projects can slip; acquisitions and inventory may consume near-term cash.</x:v>
      </x:c>
      <x:c r="Q14" s="40" t="str">
        <x:v>Map awarded projects to installation schedules, recurring software contribution and receivable collection.</x:v>
      </x:c>
      <x:c r="R14" s="40" t="str">
        <x:v>Deployment delays persist or recurring software fails to lift returns on added capital.</x:v>
      </x:c>
      <x:c r="S14" s="40" t="str">
        <x:v>Installed-base DCF with project-lag scenarios</x:v>
      </x:c>
      <x:c r="T14" s="40" t="str">
        <x:v>Utility capital budgets; municipal procurement; water digitization</x:v>
      </x:c>
      <x:c r="U14" s="40" t="str">
        <x:v>BMI26</x:v>
      </x:c>
      <x:c r="V14" s="44" t="n">
        <x:v>46225</x:v>
      </x:c>
      <x:c r="W14" s="40" t="str">
        <x:v>NOT CLEARED — valuation, security eligibility and full underwriting outstanding</x:v>
      </x:c>
      <x:c r="X14" s="40"/>
    </x:row>
    <x:row r="15" ht="105" customHeight="1">
      <x:c r="A15" s="40" t="str">
        <x:v>R10</x:v>
      </x:c>
      <x:c r="B15" s="40" t="str">
        <x:v>KNSL</x:v>
      </x:c>
      <x:c r="C15" s="40" t="str">
        <x:v>Kinsale Capital</x:v>
      </x:c>
      <x:c r="D15" s="40" t="str">
        <x:v>Financials</x:v>
      </x:c>
      <x:c r="E15" s="40" t="str">
        <x:v>Compounder</x:v>
      </x:c>
      <x:c r="F15" s="40" t="str">
        <x:v>Investigate</x:v>
      </x:c>
      <x:c r="G15" s="54" t="n">
        <x:v>4</x:v>
      </x:c>
      <x:c r="H15" s="54" t="n">
        <x:v>5</x:v>
      </x:c>
      <x:c r="I15" s="54" t="n">
        <x:v>4</x:v>
      </x:c>
      <x:c r="J15" s="54" t="n">
        <x:v>4</x:v>
      </x:c>
      <x:c r="K15" s="56" t="n">
        <x:f>Settings!$B$4*(G15*IF(E15="Compounder",Settings!$B$9,Settings!$C$9)+H15*IF(E15="Compounder",Settings!$B$10,Settings!$C$10)+I15*IF(E15="Compounder",Settings!$B$11,Settings!$C$11)+J15*IF(E15="Compounder",Settings!$B$12,Settings!$C$12))</x:f>
        <x:v>83</x:v>
      </x:c>
      <x:c r="L15" s="40" t="n">
        <x:f>IF(F15="Evidence hold","",1+COUNTIFS($E$6:$E$31,E15,$F$6:$F$31,"&lt;&gt;Evidence hold",$K$6:$K$31,"&gt;"&amp;K15))</x:f>
        <x:v>5</x:v>
      </x:c>
      <x:c r="M15" s="40" t="str">
        <x:v>Not established</x:v>
      </x:c>
      <x:c r="N15" s="40" t="str">
        <x:v>Written premiums fell 5% and commercial property writings fell 32.7%, despite rising earned premiums.</x:v>
      </x:c>
      <x:c r="O15" s="40" t="str">
        <x:v>Specialty underwriting discipline may preserve attractive long-run returns through a softer market.</x:v>
      </x:c>
      <x:c r="P15" s="40" t="str">
        <x:v>Forward pricing and exposure weakness may precede deterioration in earned underwriting profit.</x:v>
      </x:c>
      <x:c r="Q15" s="40" t="str">
        <x:v>Separate rate, exposure, retention, earned premiums and accident-year margins by product.</x:v>
      </x:c>
      <x:c r="R15" s="40" t="str">
        <x:v>Adverse reserve development or weak current-year underwriting accompanies declining renewal economics.</x:v>
      </x:c>
      <x:c r="S15" s="40" t="str">
        <x:v>Book-value/ROE model; current accident-year normalized earnings</x:v>
      </x:c>
      <x:c r="T15" s="40" t="str">
        <x:v>Insurance pricing; property cycle; reserve adequacy</x:v>
      </x:c>
      <x:c r="U15" s="40" t="str">
        <x:v>KNSL26</x:v>
      </x:c>
      <x:c r="V15" s="44" t="n">
        <x:v>46226</x:v>
      </x:c>
      <x:c r="W15" s="40" t="str">
        <x:v>NOT CLEARED — valuation, security eligibility and full underwriting outstanding</x:v>
      </x:c>
      <x:c r="X15" s="40"/>
    </x:row>
    <x:row r="16" ht="105" customHeight="1">
      <x:c r="A16" s="40" t="str">
        <x:v>R11</x:v>
      </x:c>
      <x:c r="B16" s="40" t="str">
        <x:v>VITL</x:v>
      </x:c>
      <x:c r="C16" s="40" t="str">
        <x:v>Vital Farms</x:v>
      </x:c>
      <x:c r="D16" s="40" t="str">
        <x:v>Consumer Staples</x:v>
      </x:c>
      <x:c r="E16" s="40" t="str">
        <x:v>Compounder</x:v>
      </x:c>
      <x:c r="F16" s="40" t="str">
        <x:v>Evidence hold</x:v>
      </x:c>
      <x:c r="G16" s="54" t="n">
        <x:v>2</x:v>
      </x:c>
      <x:c r="H16" s="54" t="n">
        <x:v>4</x:v>
      </x:c>
      <x:c r="I16" s="54" t="n">
        <x:v>4</x:v>
      </x:c>
      <x:c r="J16" s="54" t="n">
        <x:v>3</x:v>
      </x:c>
      <x:c r="K16" s="56" t="n">
        <x:f>Settings!$B$4*(G16*IF(E16="Compounder",Settings!$B$9,Settings!$C$9)+H16*IF(E16="Compounder",Settings!$B$10,Settings!$C$10)+I16*IF(E16="Compounder",Settings!$B$11,Settings!$C$11)+J16*IF(E16="Compounder",Settings!$B$12,Settings!$C$12))</x:f>
        <x:v>61</x:v>
      </x:c>
      <x:c r="L16" s="40" t="str">
        <x:f>IF(F16="Evidence hold","",1+COUNTIFS($E$6:$E$31,E16,$F$6:$F$31,"&lt;&gt;Evidence hold",$K$6:$K$31,"&gt;"&amp;K16))</x:f>
      </x:c>
      <x:c r="M16" s="40" t="str">
        <x:v>Not established</x:v>
      </x:c>
      <x:c r="N16" s="40" t="str">
        <x:v>Q2 revenue fell and gross margin collapsed; oversupply and supply-management effects were material.</x:v>
      </x:c>
      <x:c r="O16" s="40" t="str">
        <x:v>A premium food brand would need durable consumer pull and disciplined contracted supply.</x:v>
      </x:c>
      <x:c r="P16" s="40" t="str">
        <x:v>Current evidence directly challenges supply discipline and normalized margins.</x:v>
      </x:c>
      <x:c r="Q16" s="40" t="str">
        <x:v>Reconcile retailer sell-through, committed farm supply, wholesale liquidation and cash runway.</x:v>
      </x:c>
      <x:c r="R16" s="40" t="str">
        <x:v>Production commitments remain above profitable premium demand.</x:v>
      </x:c>
      <x:c r="S16" s="40" t="str">
        <x:v>Survival and normalized unit economics before any multiple</x:v>
      </x:c>
      <x:c r="T16" s="40" t="str">
        <x:v>Egg supply; feed; retailer distribution</x:v>
      </x:c>
      <x:c r="U16" s="40" t="str">
        <x:v>VITL26</x:v>
      </x:c>
      <x:c r="V16" s="44" t="n">
        <x:v>46240</x:v>
      </x:c>
      <x:c r="W16" s="40" t="str">
        <x:v>NOT CLEARED — valuation, security eligibility and full underwriting outstanding</x:v>
      </x:c>
      <x:c r="X16" s="40"/>
    </x:row>
    <x:row r="17" ht="105" customHeight="1">
      <x:c r="A17" s="40" t="str">
        <x:v>R12</x:v>
      </x:c>
      <x:c r="B17" s="40" t="str">
        <x:v>MOD</x:v>
      </x:c>
      <x:c r="C17" s="40" t="str">
        <x:v>Modine</x:v>
      </x:c>
      <x:c r="D17" s="40" t="str">
        <x:v>Industrials</x:v>
      </x:c>
      <x:c r="E17" s="40" t="str">
        <x:v>Inflection</x:v>
      </x:c>
      <x:c r="F17" s="40" t="str">
        <x:v>Investigate</x:v>
      </x:c>
      <x:c r="G17" s="54" t="n">
        <x:v>5</x:v>
      </x:c>
      <x:c r="H17" s="54" t="n">
        <x:v>5</x:v>
      </x:c>
      <x:c r="I17" s="54" t="n">
        <x:v>4</x:v>
      </x:c>
      <x:c r="J17" s="54" t="n">
        <x:v>5</x:v>
      </x:c>
      <x:c r="K17" s="56" t="n">
        <x:f>Settings!$B$4*(G17*IF(E17="Compounder",Settings!$B$9,Settings!$C$9)+H17*IF(E17="Compounder",Settings!$B$10,Settings!$C$10)+I17*IF(E17="Compounder",Settings!$B$11,Settings!$C$11)+J17*IF(E17="Compounder",Settings!$B$12,Settings!$C$12))</x:f>
        <x:v>95</x:v>
      </x:c>
      <x:c r="L17" s="40" t="n">
        <x:f>IF(F17="Evidence hold","",1+COUNTIFS($E$6:$E$31,E17,$F$6:$F$31,"&lt;&gt;Evidence hold",$K$6:$K$31,"&gt;"&amp;K17))</x:f>
        <x:v>1</x:v>
      </x:c>
      <x:c r="M17" s="40" t="str">
        <x:v>Not established</x:v>
      </x:c>
      <x:c r="N17" s="40" t="str">
        <x:v>Data-center revenue grew sharply while segment gross margin fell to 20.2%.</x:v>
      </x:c>
      <x:c r="O17" s="40" t="str">
        <x:v>Recurring cost normalization on expanded capacity could lift profit more than revenue.</x:v>
      </x:c>
      <x:c r="P17" s="40" t="str">
        <x:v>Warranty settlement comparables, mix, customer power and tax effects undermine a simple peak-margin recovery thesis.</x:v>
      </x:c>
      <x:c r="Q17" s="40" t="str">
        <x:v>Build a quarterly dollar bridge for warranty, ramp cost, price/mix, working capital and cash.</x:v>
      </x:c>
      <x:c r="R17" s="40" t="str">
        <x:v>Normalized contribution fails to improve as shipments and utilization rise.</x:v>
      </x:c>
      <x:c r="S17" s="40" t="str">
        <x:v>Post-transaction segment enterprise-to-equity model; reverse margin/FCF sensitivity</x:v>
      </x:c>
      <x:c r="T17" s="40" t="str">
        <x:v>Hyperscaler capex; power readiness; cooling buildout</x:v>
      </x:c>
      <x:c r="U17" s="40" t="str">
        <x:v>MOD26</x:v>
      </x:c>
      <x:c r="V17" s="44" t="n">
        <x:v>46232</x:v>
      </x:c>
      <x:c r="W17" s="40" t="str">
        <x:v>NOT CLEARED — valuation, security eligibility and full underwriting outstanding</x:v>
      </x:c>
      <x:c r="X17" s="40"/>
    </x:row>
    <x:row r="18" ht="105" customHeight="1">
      <x:c r="A18" s="40" t="str">
        <x:v>R13</x:v>
      </x:c>
      <x:c r="B18" s="40" t="str">
        <x:v>POWL</x:v>
      </x:c>
      <x:c r="C18" s="40" t="str">
        <x:v>Powell Industries</x:v>
      </x:c>
      <x:c r="D18" s="40" t="str">
        <x:v>Industrials</x:v>
      </x:c>
      <x:c r="E18" s="40" t="str">
        <x:v>Inflection</x:v>
      </x:c>
      <x:c r="F18" s="40" t="str">
        <x:v>Investigate</x:v>
      </x:c>
      <x:c r="G18" s="54" t="n">
        <x:v>5</x:v>
      </x:c>
      <x:c r="H18" s="54" t="n">
        <x:v>5</x:v>
      </x:c>
      <x:c r="I18" s="54" t="n">
        <x:v>4</x:v>
      </x:c>
      <x:c r="J18" s="54" t="n">
        <x:v>4</x:v>
      </x:c>
      <x:c r="K18" s="56" t="n">
        <x:f>Settings!$B$4*(G18*IF(E18="Compounder",Settings!$B$9,Settings!$C$9)+H18*IF(E18="Compounder",Settings!$B$10,Settings!$C$10)+I18*IF(E18="Compounder",Settings!$B$11,Settings!$C$11)+J18*IF(E18="Compounder",Settings!$B$12,Settings!$C$12))</x:f>
        <x:v>90</x:v>
      </x:c>
      <x:c r="L18" s="40" t="n">
        <x:f>IF(F18="Evidence hold","",1+COUNTIFS($E$6:$E$31,E18,$F$6:$F$31,"&lt;&gt;Evidence hold",$K$6:$K$31,"&gt;"&amp;K18))</x:f>
        <x:v>2</x:v>
      </x:c>
      <x:c r="M18" s="40" t="str">
        <x:v>Not established</x:v>
      </x:c>
      <x:c r="N18" s="40" t="str">
        <x:v>Quarterly orders of $934m and backlog around $2.4bn exceed the current revenue run rate.</x:v>
      </x:c>
      <x:c r="O18" s="40" t="str">
        <x:v>Contract deliveries may create future utilization and earnings visibility.</x:v>
      </x:c>
      <x:c r="P18" s="40" t="str">
        <x:v>Backlog may already be priced; large contracts bring execution and timing concentration.</x:v>
      </x:c>
      <x:c r="Q18" s="40" t="str">
        <x:v>Map disclosed awards by delivery quarter and expected contribution, then obtain dated consensus.</x:v>
      </x:c>
      <x:c r="R18" s="40" t="str">
        <x:v>Cancellations, slippage or cost overruns erase backlog's incremental profit.</x:v>
      </x:c>
      <x:c r="S18" s="40" t="str">
        <x:v>Backlog-cohort earnings and normalized FCF; price-implied delivery requirements</x:v>
      </x:c>
      <x:c r="T18" s="40" t="str">
        <x:v>Grid and data-center capex; LNG/industrial projects</x:v>
      </x:c>
      <x:c r="U18" s="40" t="str">
        <x:v>POWL26</x:v>
      </x:c>
      <x:c r="V18" s="44" t="n">
        <x:v>46237</x:v>
      </x:c>
      <x:c r="W18" s="40" t="str">
        <x:v>NOT CLEARED — valuation, security eligibility and full underwriting outstanding</x:v>
      </x:c>
      <x:c r="X18" s="40"/>
    </x:row>
    <x:row r="19" ht="105" customHeight="1">
      <x:c r="A19" s="40" t="str">
        <x:v>R14</x:v>
      </x:c>
      <x:c r="B19" s="40" t="str">
        <x:v>RGEN</x:v>
      </x:c>
      <x:c r="C19" s="40" t="str">
        <x:v>Repligen</x:v>
      </x:c>
      <x:c r="D19" s="40" t="str">
        <x:v>Health Care</x:v>
      </x:c>
      <x:c r="E19" s="40" t="str">
        <x:v>Inflection</x:v>
      </x:c>
      <x:c r="F19" s="40" t="str">
        <x:v>Investigate</x:v>
      </x:c>
      <x:c r="G19" s="54" t="n">
        <x:v>4</x:v>
      </x:c>
      <x:c r="H19" s="54" t="n">
        <x:v>4</x:v>
      </x:c>
      <x:c r="I19" s="54" t="n">
        <x:v>4</x:v>
      </x:c>
      <x:c r="J19" s="54" t="n">
        <x:v>5</x:v>
      </x:c>
      <x:c r="K19" s="56" t="n">
        <x:f>Settings!$B$4*(G19*IF(E19="Compounder",Settings!$B$9,Settings!$C$9)+H19*IF(E19="Compounder",Settings!$B$10,Settings!$C$10)+I19*IF(E19="Compounder",Settings!$B$11,Settings!$C$11)+J19*IF(E19="Compounder",Settings!$B$12,Settings!$C$12))</x:f>
        <x:v>85</x:v>
      </x:c>
      <x:c r="L19" s="40" t="n">
        <x:f>IF(F19="Evidence hold","",1+COUNTIFS($E$6:$E$31,E19,$F$6:$F$31,"&lt;&gt;Evidence hold",$K$6:$K$31,"&gt;"&amp;K19))</x:f>
        <x:v>4</x:v>
      </x:c>
      <x:c r="M19" s="40" t="str">
        <x:v>Not established</x:v>
      </x:c>
      <x:c r="N19" s="40" t="str">
        <x:v>Organic growth returned to 13%, but GAAP operating growth was much weaker than adjusted growth.</x:v>
      </x:c>
      <x:c r="O19" s="40" t="str">
        <x:v>Inventory normalization and biologics activity may restore consumable demand.</x:v>
      </x:c>
      <x:c r="P19" s="40" t="str">
        <x:v>Customer stocking and adjustments may exaggerate sustainable profit recovery.</x:v>
      </x:c>
      <x:c r="Q19" s="40" t="str">
        <x:v>Reconstruct orders, end-use consumption, channel inventory and GAAP-to-cash profit.</x:v>
      </x:c>
      <x:c r="R19" s="40" t="str">
        <x:v>Inventory rebuild stalls before customer usage recovers.</x:v>
      </x:c>
      <x:c r="S19" s="40" t="str">
        <x:v>Mid-cycle DCF with gross-margin and inventory sensitivity</x:v>
      </x:c>
      <x:c r="T19" s="40" t="str">
        <x:v>Biotech funding; bioprocess production; customer inventories</x:v>
      </x:c>
      <x:c r="U19" s="40" t="str">
        <x:v>RGEN26</x:v>
      </x:c>
      <x:c r="V19" s="44" t="n">
        <x:v>46231</x:v>
      </x:c>
      <x:c r="W19" s="40" t="str">
        <x:v>NOT CLEARED — valuation, security eligibility and full underwriting outstanding</x:v>
      </x:c>
      <x:c r="X19" s="40"/>
    </x:row>
    <x:row r="20" ht="105" customHeight="1">
      <x:c r="A20" s="40" t="str">
        <x:v>R15</x:v>
      </x:c>
      <x:c r="B20" s="40" t="str">
        <x:v>COHU</x:v>
      </x:c>
      <x:c r="C20" s="40" t="str">
        <x:v>Cohu</x:v>
      </x:c>
      <x:c r="D20" s="40" t="str">
        <x:v>Information Technology</x:v>
      </x:c>
      <x:c r="E20" s="40" t="str">
        <x:v>Inflection</x:v>
      </x:c>
      <x:c r="F20" s="40" t="str">
        <x:v>Investigate</x:v>
      </x:c>
      <x:c r="G20" s="54" t="n">
        <x:v>4</x:v>
      </x:c>
      <x:c r="H20" s="54" t="n">
        <x:v>5</x:v>
      </x:c>
      <x:c r="I20" s="54" t="n">
        <x:v>3</x:v>
      </x:c>
      <x:c r="J20" s="54" t="n">
        <x:v>4</x:v>
      </x:c>
      <x:c r="K20" s="56" t="n">
        <x:f>Settings!$B$4*(G20*IF(E20="Compounder",Settings!$B$9,Settings!$C$9)+H20*IF(E20="Compounder",Settings!$B$10,Settings!$C$10)+I20*IF(E20="Compounder",Settings!$B$11,Settings!$C$11)+J20*IF(E20="Compounder",Settings!$B$12,Settings!$C$12))</x:f>
        <x:v>81</x:v>
      </x:c>
      <x:c r="L20" s="40" t="n">
        <x:f>IF(F20="Evidence hold","",1+COUNTIFS($E$6:$E$31,E20,$F$6:$F$31,"&lt;&gt;Evidence hold",$K$6:$K$31,"&gt;"&amp;K20))</x:f>
        <x:v>5</x:v>
      </x:c>
      <x:c r="M20" s="40" t="str">
        <x:v>Not established</x:v>
      </x:c>
      <x:c r="N20" s="40" t="str">
        <x:v>Revenue improved and test utilization reached 80%; the $850m figure is an opportunity pipeline.</x:v>
      </x:c>
      <x:c r="O20" s="40" t="str">
        <x:v>Higher semiconductor utilization and added inspection/test content may increase system and aftermarket contribution.</x:v>
      </x:c>
      <x:c r="P20" s="40" t="str">
        <x:v>Pipeline may not convert, cyclicality remains high and repeat service is not contractual subscription revenue.</x:v>
      </x:c>
      <x:c r="Q20" s="40" t="str">
        <x:v>Separate qualified opportunities, awarded orders, shipments and utilization-driven replacement demand.</x:v>
      </x:c>
      <x:c r="R20" s="40" t="str">
        <x:v>Utilization or bookings stall while the AI opportunity remains largely unconverted.</x:v>
      </x:c>
      <x:c r="S20" s="40" t="str">
        <x:v>Normalized cycle model plus explicitly probability-weighted awarded growth</x:v>
      </x:c>
      <x:c r="T20" s="40" t="str">
        <x:v>Semiconductor cycle; AI packaging; customer capex</x:v>
      </x:c>
      <x:c r="U20" s="40" t="str">
        <x:v>COHU26</x:v>
      </x:c>
      <x:c r="V20" s="44" t="n">
        <x:v>46233</x:v>
      </x:c>
      <x:c r="W20" s="40" t="str">
        <x:v>NOT CLEARED — valuation, security eligibility and full underwriting outstanding</x:v>
      </x:c>
      <x:c r="X20" s="40"/>
    </x:row>
    <x:row r="21" ht="105" customHeight="1">
      <x:c r="A21" s="40" t="str">
        <x:v>R16</x:v>
      </x:c>
      <x:c r="B21" s="40" t="str">
        <x:v>HPS.A@CA</x:v>
      </x:c>
      <x:c r="C21" s="40" t="str">
        <x:v>Hammond Power Solutions</x:v>
      </x:c>
      <x:c r="D21" s="40" t="str">
        <x:v>Industrials</x:v>
      </x:c>
      <x:c r="E21" s="40" t="str">
        <x:v>Inflection</x:v>
      </x:c>
      <x:c r="F21" s="40" t="str">
        <x:v>Investigate</x:v>
      </x:c>
      <x:c r="G21" s="54" t="n">
        <x:v>4</x:v>
      </x:c>
      <x:c r="H21" s="54" t="n">
        <x:v>5</x:v>
      </x:c>
      <x:c r="I21" s="54" t="n">
        <x:v>4</x:v>
      </x:c>
      <x:c r="J21" s="54" t="n">
        <x:v>4</x:v>
      </x:c>
      <x:c r="K21" s="56" t="n">
        <x:f>Settings!$B$4*(G21*IF(E21="Compounder",Settings!$B$9,Settings!$C$9)+H21*IF(E21="Compounder",Settings!$B$10,Settings!$C$10)+I21*IF(E21="Compounder",Settings!$B$11,Settings!$C$11)+J21*IF(E21="Compounder",Settings!$B$12,Settings!$C$12))</x:f>
        <x:v>86</x:v>
      </x:c>
      <x:c r="L21" s="40" t="n">
        <x:f>IF(F21="Evidence hold","",1+COUNTIFS($E$6:$E$31,E21,$F$6:$F$31,"&lt;&gt;Evidence hold",$K$6:$K$31,"&gt;"&amp;K21))</x:f>
        <x:v>3</x:v>
      </x:c>
      <x:c r="M21" s="40" t="str">
        <x:v>Not established</x:v>
      </x:c>
      <x:c r="N21" s="40" t="str">
        <x:v>Sales and backlog expanded; gross margin improved sequentially, but adjusted EPS far exceeded GAAP EPS.</x:v>
      </x:c>
      <x:c r="O21" s="40" t="str">
        <x:v>Transformer capacity and custom mix may improve economics as output rises.</x:v>
      </x:c>
      <x:c r="P21" s="40" t="str">
        <x:v>Share-based/accounting adjustments, mix and competitor supply can obscure durable returns.</x:v>
      </x:c>
      <x:c r="Q21" s="40" t="str">
        <x:v>Reconcile EPS adjustments, commissioned capacity, custom pricing and cash working capital in CAD.</x:v>
      </x:c>
      <x:c r="R21" s="40" t="str">
        <x:v>New supply or buyer power erodes contribution despite higher output.</x:v>
      </x:c>
      <x:c r="S21" s="40" t="str">
        <x:v>CAD-denominated cash earnings; FX and capacity-normalization sensitivities</x:v>
      </x:c>
      <x:c r="T21" s="40" t="str">
        <x:v>Data-center/grid capex; transformer supply; copper</x:v>
      </x:c>
      <x:c r="U21" s="40" t="str">
        <x:v>HPS26</x:v>
      </x:c>
      <x:c r="V21" s="44" t="n">
        <x:v>46233</x:v>
      </x:c>
      <x:c r="W21" s="40" t="str">
        <x:v>NOT CLEARED — valuation, security eligibility and full underwriting outstanding</x:v>
      </x:c>
      <x:c r="X21" s="40"/>
    </x:row>
    <x:row r="22" ht="105" customHeight="1">
      <x:c r="A22" s="40" t="str">
        <x:v>R17</x:v>
      </x:c>
      <x:c r="B22" s="40" t="str">
        <x:v>AAOI</x:v>
      </x:c>
      <x:c r="C22" s="40" t="str">
        <x:v>Applied Optoelectronics</x:v>
      </x:c>
      <x:c r="D22" s="40" t="str">
        <x:v>Information Technology</x:v>
      </x:c>
      <x:c r="E22" s="40" t="str">
        <x:v>Inflection</x:v>
      </x:c>
      <x:c r="F22" s="40" t="str">
        <x:v>Investigate</x:v>
      </x:c>
      <x:c r="G22" s="54" t="n">
        <x:v>4</x:v>
      </x:c>
      <x:c r="H22" s="54" t="n">
        <x:v>5</x:v>
      </x:c>
      <x:c r="I22" s="54" t="n">
        <x:v>3</x:v>
      </x:c>
      <x:c r="J22" s="54" t="n">
        <x:v>4</x:v>
      </x:c>
      <x:c r="K22" s="56" t="n">
        <x:f>Settings!$B$4*(G22*IF(E22="Compounder",Settings!$B$9,Settings!$C$9)+H22*IF(E22="Compounder",Settings!$B$10,Settings!$C$10)+I22*IF(E22="Compounder",Settings!$B$11,Settings!$C$11)+J22*IF(E22="Compounder",Settings!$B$12,Settings!$C$12))</x:f>
        <x:v>81</x:v>
      </x:c>
      <x:c r="L22" s="40" t="n">
        <x:f>IF(F22="Evidence hold","",1+COUNTIFS($E$6:$E$31,E22,$F$6:$F$31,"&lt;&gt;Evidence hold",$K$6:$K$31,"&gt;"&amp;K22))</x:f>
        <x:v>5</x:v>
      </x:c>
      <x:c r="M22" s="40" t="str">
        <x:v>Not established</x:v>
      </x:c>
      <x:c r="N22" s="40" t="str">
        <x:v>Revenue rose from $103m to $191.9m year over year while GAAP gross margin declined.</x:v>
      </x:c>
      <x:c r="O22" s="40" t="str">
        <x:v>Qualified high-speed optics may create a volume and manufacturing-yield step-change.</x:v>
      </x:c>
      <x:c r="P22" s="40" t="str">
        <x:v>Customer concentration, falling ASPs, yield and funding requirements can make growth uneconomic.</x:v>
      </x:c>
      <x:c r="Q22" s="40" t="str">
        <x:v>Bridge shipped units, ASP, yield, capex, working capital and customer concentration.</x:v>
      </x:c>
      <x:c r="R22" s="40" t="str">
        <x:v>Cash losses and dilution rise as volume scales.</x:v>
      </x:c>
      <x:c r="S22" s="40" t="str">
        <x:v>Unit/yield cash breakeven and fully diluted equity scenarios</x:v>
      </x:c>
      <x:c r="T22" s="40" t="str">
        <x:v>Hyperscaler networking; optical generation transition</x:v>
      </x:c>
      <x:c r="U22" s="40" t="str">
        <x:v>AAOI26</x:v>
      </x:c>
      <x:c r="V22" s="44" t="n">
        <x:v>46240</x:v>
      </x:c>
      <x:c r="W22" s="40" t="str">
        <x:v>NOT CLEARED — valuation, security eligibility and full underwriting outstanding</x:v>
      </x:c>
      <x:c r="X22" s="40"/>
    </x:row>
    <x:row r="23" ht="105" customHeight="1">
      <x:c r="A23" s="40" t="str">
        <x:v>R18</x:v>
      </x:c>
      <x:c r="B23" s="40" t="str">
        <x:v>AAON</x:v>
      </x:c>
      <x:c r="C23" s="40" t="str">
        <x:v>AAON</x:v>
      </x:c>
      <x:c r="D23" s="40" t="str">
        <x:v>Industrials</x:v>
      </x:c>
      <x:c r="E23" s="40" t="str">
        <x:v>Inflection</x:v>
      </x:c>
      <x:c r="F23" s="40" t="str">
        <x:v>Investigate</x:v>
      </x:c>
      <x:c r="G23" s="54" t="n">
        <x:v>4</x:v>
      </x:c>
      <x:c r="H23" s="54" t="n">
        <x:v>4</x:v>
      </x:c>
      <x:c r="I23" s="54" t="n">
        <x:v>4</x:v>
      </x:c>
      <x:c r="J23" s="54" t="n">
        <x:v>4</x:v>
      </x:c>
      <x:c r="K23" s="56" t="n">
        <x:f>Settings!$B$4*(G23*IF(E23="Compounder",Settings!$B$9,Settings!$C$9)+H23*IF(E23="Compounder",Settings!$B$10,Settings!$C$10)+I23*IF(E23="Compounder",Settings!$B$11,Settings!$C$11)+J23*IF(E23="Compounder",Settings!$B$12,Settings!$C$12))</x:f>
        <x:v>80</x:v>
      </x:c>
      <x:c r="L23" s="40" t="n">
        <x:f>IF(F23="Evidence hold","",1+COUNTIFS($E$6:$E$31,E23,$F$6:$F$31,"&lt;&gt;Evidence hold",$K$6:$K$31,"&gt;"&amp;K23))</x:f>
        <x:v>7</x:v>
      </x:c>
      <x:c r="M23" s="40" t="str">
        <x:v>Not established</x:v>
      </x:c>
      <x:c r="N23" s="40" t="str">
        <x:v>Sales more than doubled and operating income rose sharply, but gross margin was below last year.</x:v>
      </x:c>
      <x:c r="O23" s="40" t="str">
        <x:v>Factory utilization and better-priced backlog could improve cash economics after the ramp.</x:v>
      </x:c>
      <x:c r="P23" s="40" t="str">
        <x:v>Strong headline results do not prove early discovery; backlog declined sequentially as shipments accelerated.</x:v>
      </x:c>
      <x:c r="Q23" s="40" t="str">
        <x:v>Separate BASX from legacy HVAC and reconcile margin, orders and capacity investments.</x:v>
      </x:c>
      <x:c r="R23" s="40" t="str">
        <x:v>Capacity spending outruns profitable bookings or the margin bridge fails.</x:v>
      </x:c>
      <x:c r="S23" s="40" t="str">
        <x:v>Segment DCF and normalized capacity returns</x:v>
      </x:c>
      <x:c r="T23" s="40" t="str">
        <x:v>Hyperscaler cooling; conventional HVAC; manufacturing</x:v>
      </x:c>
      <x:c r="U23" s="40" t="str">
        <x:v>AAON26</x:v>
      </x:c>
      <x:c r="V23" s="44" t="n">
        <x:v>46240</x:v>
      </x:c>
      <x:c r="W23" s="40" t="str">
        <x:v>NOT CLEARED — valuation, security eligibility and full underwriting outstanding</x:v>
      </x:c>
      <x:c r="X23" s="40"/>
    </x:row>
    <x:row r="24" ht="105" customHeight="1">
      <x:c r="A24" s="40" t="str">
        <x:v>R19</x:v>
      </x:c>
      <x:c r="B24" s="40" t="str">
        <x:v>CAMT</x:v>
      </x:c>
      <x:c r="C24" s="40" t="str">
        <x:v>Camtek</x:v>
      </x:c>
      <x:c r="D24" s="40" t="str">
        <x:v>Information Technology</x:v>
      </x:c>
      <x:c r="E24" s="40" t="str">
        <x:v>Inflection</x:v>
      </x:c>
      <x:c r="F24" s="40" t="str">
        <x:v>Investigate</x:v>
      </x:c>
      <x:c r="G24" s="54" t="n">
        <x:v>4</x:v>
      </x:c>
      <x:c r="H24" s="54" t="n">
        <x:v>4</x:v>
      </x:c>
      <x:c r="I24" s="54" t="n">
        <x:v>3</x:v>
      </x:c>
      <x:c r="J24" s="54" t="n">
        <x:v>4</x:v>
      </x:c>
      <x:c r="K24" s="56" t="n">
        <x:f>Settings!$B$4*(G24*IF(E24="Compounder",Settings!$B$9,Settings!$C$9)+H24*IF(E24="Compounder",Settings!$B$10,Settings!$C$10)+I24*IF(E24="Compounder",Settings!$B$11,Settings!$C$11)+J24*IF(E24="Compounder",Settings!$B$12,Settings!$C$12))</x:f>
        <x:v>75</x:v>
      </x:c>
      <x:c r="L24" s="40" t="n">
        <x:f>IF(F24="Evidence hold","",1+COUNTIFS($E$6:$E$31,E24,$F$6:$F$31,"&lt;&gt;Evidence hold",$K$6:$K$31,"&gt;"&amp;K24))</x:f>
        <x:v>11</x:v>
      </x:c>
      <x:c r="M24" s="40" t="str">
        <x:v>Not established</x:v>
      </x:c>
      <x:c r="N24" s="40" t="str">
        <x:v>Current results support advanced-packaging growth, but expectations and share-count normalization remain open.</x:v>
      </x:c>
      <x:c r="O24" s="40" t="str">
        <x:v>Higher inspection intensity per advanced package may increase equipment spending per unit.</x:v>
      </x:c>
      <x:c r="P24" s="40" t="str">
        <x:v>A strong structural beneficiary may already require exceptional execution in the stock price.</x:v>
      </x:c>
      <x:c r="Q24" s="40" t="str">
        <x:v>Verify corrected share count, orders-to-shipments timing and content growth versus customer capex.</x:v>
      </x:c>
      <x:c r="R24" s="40" t="str">
        <x:v>Customers reduce inspection intensity or orders fail to become cash at expected margins.</x:v>
      </x:c>
      <x:c r="S24" s="40" t="str">
        <x:v>Inspection-content model and reverse valuation on corrected diluted shares</x:v>
      </x:c>
      <x:c r="T24" s="40" t="str">
        <x:v>Advanced packaging; HBM; semiconductor capex</x:v>
      </x:c>
      <x:c r="U24" s="40" t="str">
        <x:v>CAMT26</x:v>
      </x:c>
      <x:c r="V24" s="44" t="n">
        <x:v>46244</x:v>
      </x:c>
      <x:c r="W24" s="40" t="str">
        <x:v>NOT CLEARED — valuation, security eligibility and full underwriting outstanding</x:v>
      </x:c>
      <x:c r="X24" s="40"/>
    </x:row>
    <x:row r="25" ht="105" customHeight="1">
      <x:c r="A25" s="40" t="str">
        <x:v>R20</x:v>
      </x:c>
      <x:c r="B25" s="40" t="str">
        <x:v>IESC</x:v>
      </x:c>
      <x:c r="C25" s="40" t="str">
        <x:v>IES Holdings</x:v>
      </x:c>
      <x:c r="D25" s="40" t="str">
        <x:v>Industrials</x:v>
      </x:c>
      <x:c r="E25" s="40" t="str">
        <x:v>Inflection</x:v>
      </x:c>
      <x:c r="F25" s="40" t="str">
        <x:v>Investigate</x:v>
      </x:c>
      <x:c r="G25" s="54" t="n">
        <x:v>4</x:v>
      </x:c>
      <x:c r="H25" s="54" t="n">
        <x:v>4</x:v>
      </x:c>
      <x:c r="I25" s="54" t="n">
        <x:v>4</x:v>
      </x:c>
      <x:c r="J25" s="54" t="n">
        <x:v>4</x:v>
      </x:c>
      <x:c r="K25" s="56" t="n">
        <x:f>Settings!$B$4*(G25*IF(E25="Compounder",Settings!$B$9,Settings!$C$9)+H25*IF(E25="Compounder",Settings!$B$10,Settings!$C$10)+I25*IF(E25="Compounder",Settings!$B$11,Settings!$C$11)+J25*IF(E25="Compounder",Settings!$B$12,Settings!$C$12))</x:f>
        <x:v>80</x:v>
      </x:c>
      <x:c r="L25" s="40" t="n">
        <x:f>IF(F25="Evidence hold","",1+COUNTIFS($E$6:$E$31,E25,$F$6:$F$31,"&lt;&gt;Evidence hold",$K$6:$K$31,"&gt;"&amp;K25))</x:f>
        <x:v>7</x:v>
      </x:c>
      <x:c r="M25" s="40" t="str">
        <x:v>Not established</x:v>
      </x:c>
      <x:c r="N25" s="40" t="str">
        <x:v>Revenue and operating income rose sharply; company backlog exceeds its GAAP RPO.</x:v>
      </x:c>
      <x:c r="O25" s="40" t="str">
        <x:v>Infrastructure work and capacity additions may increase project throughput.</x:v>
      </x:c>
      <x:c r="P25" s="40" t="str">
        <x:v>LOIs are not enforceable revenue, large projects consume cash, and stock-split comparability matters.</x:v>
      </x:c>
      <x:c r="Q25" s="40" t="str">
        <x:v>Reconcile RPO to nonbinding backlog, mobilization, milestone cash receipts and normalized per-share figures.</x:v>
      </x:c>
      <x:c r="R25" s="40" t="str">
        <x:v>Soft commitments fail to start or execution cost overwhelms revenue growth.</x:v>
      </x:c>
      <x:c r="S25" s="40" t="str">
        <x:v>Project-cohort cash margins, working capital and split-adjusted per-share model</x:v>
      </x:c>
      <x:c r="T25" s="40" t="str">
        <x:v>Data-center construction; skilled labor; residential demand</x:v>
      </x:c>
      <x:c r="U25" s="40" t="str">
        <x:v>IESC26</x:v>
      </x:c>
      <x:c r="V25" s="44" t="n">
        <x:v>46234</x:v>
      </x:c>
      <x:c r="W25" s="40" t="str">
        <x:v>NOT CLEARED — valuation, security eligibility and full underwriting outstanding</x:v>
      </x:c>
      <x:c r="X25" s="40"/>
    </x:row>
    <x:row r="26" ht="105" customHeight="1">
      <x:c r="A26" s="40" t="str">
        <x:v>R21</x:v>
      </x:c>
      <x:c r="B26" s="40" t="str">
        <x:v>FND</x:v>
      </x:c>
      <x:c r="C26" s="40" t="str">
        <x:v>Floor &amp; Decor</x:v>
      </x:c>
      <x:c r="D26" s="40" t="str">
        <x:v>Consumer Discretionary</x:v>
      </x:c>
      <x:c r="E26" s="40" t="str">
        <x:v>Inflection</x:v>
      </x:c>
      <x:c r="F26" s="40" t="str">
        <x:v>Investigate</x:v>
      </x:c>
      <x:c r="G26" s="54" t="n">
        <x:v>3</x:v>
      </x:c>
      <x:c r="H26" s="54" t="n">
        <x:v>4</x:v>
      </x:c>
      <x:c r="I26" s="54" t="n">
        <x:v>4</x:v>
      </x:c>
      <x:c r="J26" s="54" t="n">
        <x:v>4</x:v>
      </x:c>
      <x:c r="K26" s="56" t="n">
        <x:f>Settings!$B$4*(G26*IF(E26="Compounder",Settings!$B$9,Settings!$C$9)+H26*IF(E26="Compounder",Settings!$B$10,Settings!$C$10)+I26*IF(E26="Compounder",Settings!$B$11,Settings!$C$11)+J26*IF(E26="Compounder",Settings!$B$12,Settings!$C$12))</x:f>
        <x:v>76</x:v>
      </x:c>
      <x:c r="L26" s="40" t="n">
        <x:f>IF(F26="Evidence hold","",1+COUNTIFS($E$6:$E$31,E26,$F$6:$F$31,"&lt;&gt;Evidence hold",$K$6:$K$31,"&gt;"&amp;K26))</x:f>
        <x:v>9</x:v>
      </x:c>
      <x:c r="M26" s="40" t="str">
        <x:v>Not established</x:v>
      </x:c>
      <x:c r="N26" s="40" t="str">
        <x:v>Comparable sales remained negative; adjusted EPS was flat despite a larger GAAP figure.</x:v>
      </x:c>
      <x:c r="O26" s="40" t="str">
        <x:v>Housing normalization could eventually combine with mature-store operating leverage.</x:v>
      </x:c>
      <x:c r="P26" s="40" t="str">
        <x:v>Tariff refunds create a false earnings inflection and current demand is not yet confirmed.</x:v>
      </x:c>
      <x:c r="Q26" s="40" t="str">
        <x:v>Track traffic, mature-store contribution, inventory and earnings excluding refunds.</x:v>
      </x:c>
      <x:c r="R26" s="40" t="str">
        <x:v>New-store growth masks continued same-store deterioration.</x:v>
      </x:c>
      <x:c r="S26" s="40" t="str">
        <x:v>Lease-adjusted store-cohort ROIC and normalized FCF</x:v>
      </x:c>
      <x:c r="T26" s="40" t="str">
        <x:v>Housing/R&amp;R; consumer credit; imported products</x:v>
      </x:c>
      <x:c r="U26" s="40" t="str">
        <x:v>FND26</x:v>
      </x:c>
      <x:c r="V26" s="44" t="n">
        <x:v>46233</x:v>
      </x:c>
      <x:c r="W26" s="40" t="str">
        <x:v>NOT CLEARED — valuation, security eligibility and full underwriting outstanding</x:v>
      </x:c>
      <x:c r="X26" s="40"/>
    </x:row>
    <x:row r="27" ht="105" customHeight="1">
      <x:c r="A27" s="40" t="str">
        <x:v>R22</x:v>
      </x:c>
      <x:c r="B27" s="40" t="str">
        <x:v>PEBO</x:v>
      </x:c>
      <x:c r="C27" s="40" t="str">
        <x:v>Peoples Bancorp</x:v>
      </x:c>
      <x:c r="D27" s="40" t="str">
        <x:v>Financials</x:v>
      </x:c>
      <x:c r="E27" s="40" t="str">
        <x:v>Inflection</x:v>
      </x:c>
      <x:c r="F27" s="40" t="str">
        <x:v>Investigate</x:v>
      </x:c>
      <x:c r="G27" s="54" t="n">
        <x:v>3</x:v>
      </x:c>
      <x:c r="H27" s="54" t="n">
        <x:v>4</x:v>
      </x:c>
      <x:c r="I27" s="54" t="n">
        <x:v>4</x:v>
      </x:c>
      <x:c r="J27" s="54" t="n">
        <x:v>4</x:v>
      </x:c>
      <x:c r="K27" s="56" t="n">
        <x:f>Settings!$B$4*(G27*IF(E27="Compounder",Settings!$B$9,Settings!$C$9)+H27*IF(E27="Compounder",Settings!$B$10,Settings!$C$10)+I27*IF(E27="Compounder",Settings!$B$11,Settings!$C$11)+J27*IF(E27="Compounder",Settings!$B$12,Settings!$C$12))</x:f>
        <x:v>76</x:v>
      </x:c>
      <x:c r="L27" s="40" t="n">
        <x:f>IF(F27="Evidence hold","",1+COUNTIFS($E$6:$E$31,E27,$F$6:$F$31,"&lt;&gt;Evidence hold",$K$6:$K$31,"&gt;"&amp;K27))</x:f>
        <x:v>9</x:v>
      </x:c>
      <x:c r="M27" s="40" t="str">
        <x:v>Not established</x:v>
      </x:c>
      <x:c r="N27" s="40" t="str">
        <x:v>NIM improved from 4.16% to 4.23% sequentially.</x:v>
      </x:c>
      <x:c r="O27" s="40" t="str">
        <x:v>Deposit repricing may improve spread earnings without requiring risky loan growth.</x:v>
      </x:c>
      <x:c r="P27" s="40" t="str">
        <x:v>Credit losses, liquidity or duration exposures can dominate a modest margin improvement.</x:v>
      </x:c>
      <x:c r="Q27" s="40" t="str">
        <x:v>Bridge deposit costs, loan/securities yields, credit vintages and economic tangible equity.</x:v>
      </x:c>
      <x:c r="R27" s="40" t="str">
        <x:v>Funding retention worsens or credit costs exceed the spread benefit.</x:v>
      </x:c>
      <x:c r="S27" s="40" t="str">
        <x:v>Stressed tangible book and normalized return on tangible equity</x:v>
      </x:c>
      <x:c r="T27" s="40" t="str">
        <x:v>Deposit competition; local credit; interest rates</x:v>
      </x:c>
      <x:c r="U27" s="40" t="str">
        <x:v>PEBO26</x:v>
      </x:c>
      <x:c r="V27" s="44" t="n">
        <x:v>46224</x:v>
      </x:c>
      <x:c r="W27" s="40" t="str">
        <x:v>NOT CLEARED — valuation, security eligibility and full underwriting outstanding</x:v>
      </x:c>
      <x:c r="X27" s="40"/>
    </x:row>
    <x:row r="28" ht="105" customHeight="1">
      <x:c r="A28" s="40" t="str">
        <x:v>R23</x:v>
      </x:c>
      <x:c r="B28" s="40" t="str">
        <x:v>AROC</x:v>
      </x:c>
      <x:c r="C28" s="40" t="str">
        <x:v>Archrock</x:v>
      </x:c>
      <x:c r="D28" s="40" t="str">
        <x:v>Energy</x:v>
      </x:c>
      <x:c r="E28" s="40" t="str">
        <x:v>Inflection</x:v>
      </x:c>
      <x:c r="F28" s="40" t="str">
        <x:v>Investigate</x:v>
      </x:c>
      <x:c r="G28" s="54" t="n">
        <x:v>4</x:v>
      </x:c>
      <x:c r="H28" s="54" t="n">
        <x:v>3</x:v>
      </x:c>
      <x:c r="I28" s="54" t="n">
        <x:v>4</x:v>
      </x:c>
      <x:c r="J28" s="54" t="n">
        <x:v>4</x:v>
      </x:c>
      <x:c r="K28" s="56" t="n">
        <x:f>Settings!$B$4*(G28*IF(E28="Compounder",Settings!$B$9,Settings!$C$9)+H28*IF(E28="Compounder",Settings!$B$10,Settings!$C$10)+I28*IF(E28="Compounder",Settings!$B$11,Settings!$C$11)+J28*IF(E28="Compounder",Settings!$B$12,Settings!$C$12))</x:f>
        <x:v>74</x:v>
      </x:c>
      <x:c r="L28" s="40" t="n">
        <x:f>IF(F28="Evidence hold","",1+COUNTIFS($E$6:$E$31,E28,$F$6:$F$31,"&lt;&gt;Evidence hold",$K$6:$K$31,"&gt;"&amp;K28))</x:f>
        <x:v>12</x:v>
      </x:c>
      <x:c r="M28" s="40" t="str">
        <x:v>Not established</x:v>
      </x:c>
      <x:c r="N28" s="40" t="str">
        <x:v>Contract operations grew modestly with fleet utilization already at 94.4%.</x:v>
      </x:c>
      <x:c r="O28" s="40" t="str">
        <x:v>Contract rate resets and efficient fleet deployment may sustain cash generation.</x:v>
      </x:c>
      <x:c r="P28" s="40" t="str">
        <x:v>High existing utilization limits the argument that an early utilization inflection lies ahead.</x:v>
      </x:c>
      <x:c r="Q28" s="40" t="str">
        <x:v>Check renewal pricing and maintenance after fleet sales and growth capex.</x:v>
      </x:c>
      <x:c r="R28" s="40" t="str">
        <x:v>Rate improvement fails to cover upkeep, financing and customer weakness.</x:v>
      </x:c>
      <x:c r="S28" s="40" t="str">
        <x:v>Maintenance-adjusted cash flow and leverage stress</x:v>
      </x:c>
      <x:c r="T28" s="40" t="str">
        <x:v>Natural-gas throughput; customer capex; fleet financing</x:v>
      </x:c>
      <x:c r="U28" s="40" t="str">
        <x:v>AROC26</x:v>
      </x:c>
      <x:c r="V28" s="44" t="n">
        <x:v>46238</x:v>
      </x:c>
      <x:c r="W28" s="40" t="str">
        <x:v>NOT CLEARED — valuation, security eligibility and full underwriting outstanding</x:v>
      </x:c>
      <x:c r="X28" s="40"/>
    </x:row>
    <x:row r="29" ht="105" customHeight="1">
      <x:c r="A29" s="40" t="str">
        <x:v>R24</x:v>
      </x:c>
      <x:c r="B29" s="40" t="str">
        <x:v>IRT</x:v>
      </x:c>
      <x:c r="C29" s="40" t="str">
        <x:v>Independence Realty Trust</x:v>
      </x:c>
      <x:c r="D29" s="40" t="str">
        <x:v>Real Estate</x:v>
      </x:c>
      <x:c r="E29" s="40" t="str">
        <x:v>Inflection</x:v>
      </x:c>
      <x:c r="F29" s="40" t="str">
        <x:v>Investigate</x:v>
      </x:c>
      <x:c r="G29" s="54" t="n">
        <x:v>3</x:v>
      </x:c>
      <x:c r="H29" s="54" t="n">
        <x:v>4</x:v>
      </x:c>
      <x:c r="I29" s="54" t="n">
        <x:v>3</x:v>
      </x:c>
      <x:c r="J29" s="54" t="n">
        <x:v>4</x:v>
      </x:c>
      <x:c r="K29" s="56" t="n">
        <x:f>Settings!$B$4*(G29*IF(E29="Compounder",Settings!$B$9,Settings!$C$9)+H29*IF(E29="Compounder",Settings!$B$10,Settings!$C$10)+I29*IF(E29="Compounder",Settings!$B$11,Settings!$C$11)+J29*IF(E29="Compounder",Settings!$B$12,Settings!$C$12))</x:f>
        <x:v>71</x:v>
      </x:c>
      <x:c r="L29" s="40" t="n">
        <x:f>IF(F29="Evidence hold","",1+COUNTIFS($E$6:$E$31,E29,$F$6:$F$31,"&lt;&gt;Evidence hold",$K$6:$K$31,"&gt;"&amp;K29))</x:f>
        <x:v>13</x:v>
      </x:c>
      <x:c r="M29" s="40" t="str">
        <x:v>Not established</x:v>
      </x:c>
      <x:c r="N29" s="40" t="str">
        <x:v>Occupancy was around 95%; current aggregate rent is only a starting point for local supply analysis.</x:v>
      </x:c>
      <x:c r="O29" s="40" t="str">
        <x:v>Apartment supply normalization may improve concessions and effective rent.</x:v>
      </x:c>
      <x:c r="P29" s="40" t="str">
        <x:v>Portfolio averages hide submarket supply, capex and refinancing leakage.</x:v>
      </x:c>
      <x:c r="Q29" s="40" t="str">
        <x:v>Build delivery/absorption schedules and effective new-lease plus renewal rents by city.</x:v>
      </x:c>
      <x:c r="R29" s="40" t="str">
        <x:v>Concessions or financing costs offset nominal rent growth.</x:v>
      </x:c>
      <x:c r="S29" s="40" t="str">
        <x:v>Property-level NAV and recurring-capex-adjusted AFFO</x:v>
      </x:c>
      <x:c r="T29" s="40" t="str">
        <x:v>Apartment supply; wages; rates; local employment</x:v>
      </x:c>
      <x:c r="U29" s="40" t="str">
        <x:v>IRT26</x:v>
      </x:c>
      <x:c r="V29" s="44" t="n">
        <x:v>46237</x:v>
      </x:c>
      <x:c r="W29" s="40" t="str">
        <x:v>NOT CLEARED — valuation, security eligibility and full underwriting outstanding</x:v>
      </x:c>
      <x:c r="X29" s="40"/>
    </x:row>
    <x:row r="30" ht="105" customHeight="1">
      <x:c r="A30" s="40" t="str">
        <x:v>R25</x:v>
      </x:c>
      <x:c r="B30" s="40" t="str">
        <x:v>NRG</x:v>
      </x:c>
      <x:c r="C30" s="40" t="str">
        <x:v>NRG Energy</x:v>
      </x:c>
      <x:c r="D30" s="40" t="str">
        <x:v>Utilities</x:v>
      </x:c>
      <x:c r="E30" s="40" t="str">
        <x:v>Inflection</x:v>
      </x:c>
      <x:c r="F30" s="40" t="str">
        <x:v>Investigate</x:v>
      </x:c>
      <x:c r="G30" s="54" t="n">
        <x:v>3</x:v>
      </x:c>
      <x:c r="H30" s="54" t="n">
        <x:v>4</x:v>
      </x:c>
      <x:c r="I30" s="54" t="n">
        <x:v>3</x:v>
      </x:c>
      <x:c r="J30" s="54" t="n">
        <x:v>3</x:v>
      </x:c>
      <x:c r="K30" s="56" t="n">
        <x:f>Settings!$B$4*(G30*IF(E30="Compounder",Settings!$B$9,Settings!$C$9)+H30*IF(E30="Compounder",Settings!$B$10,Settings!$C$10)+I30*IF(E30="Compounder",Settings!$B$11,Settings!$C$11)+J30*IF(E30="Compounder",Settings!$B$12,Settings!$C$12))</x:f>
        <x:v>66</x:v>
      </x:c>
      <x:c r="L30" s="40" t="n">
        <x:f>IF(F30="Evidence hold","",1+COUNTIFS($E$6:$E$31,E30,$F$6:$F$31,"&lt;&gt;Evidence hold",$K$6:$K$31,"&gt;"&amp;K30))</x:f>
        <x:v>14</x:v>
      </x:c>
      <x:c r="M30" s="40" t="str">
        <x:v>Not established</x:v>
      </x:c>
      <x:c r="N30" s="40" t="str">
        <x:v>Reported net income reflects acquisitions and hedge valuation effects.</x:v>
      </x:c>
      <x:c r="O30" s="40" t="str">
        <x:v>Net power exposure, retail integration and capacity pricing may support cash earnings.</x:v>
      </x:c>
      <x:c r="P30" s="40" t="str">
        <x:v>Gross power demand is not net equity exposure; financing and hedges can offset gains.</x:v>
      </x:c>
      <x:c r="Q30" s="40" t="str">
        <x:v>Rebuild hedged and unhedged generation, retail obligations, interest and common-share cash.</x:v>
      </x:c>
      <x:c r="R30" s="40" t="str">
        <x:v>Retail or hedge losses absorb stronger power realizations.</x:v>
      </x:c>
      <x:c r="S30" s="40" t="str">
        <x:v>Asset/retail SOTP with debt, hedges and acquisition consideration</x:v>
      </x:c>
      <x:c r="T30" s="40" t="str">
        <x:v>Power prices; weather; retail obligations; acquisitions</x:v>
      </x:c>
      <x:c r="U30" s="40" t="str">
        <x:v>NRG26</x:v>
      </x:c>
      <x:c r="V30" s="44" t="n">
        <x:v>46238</x:v>
      </x:c>
      <x:c r="W30" s="40" t="str">
        <x:v>NOT CLEARED — valuation, security eligibility and full underwriting outstanding</x:v>
      </x:c>
      <x:c r="X30" s="40"/>
    </x:row>
    <x:row r="31" ht="105" customHeight="1">
      <x:c r="A31" s="40" t="str">
        <x:v>R26</x:v>
      </x:c>
      <x:c r="B31" s="40" t="str">
        <x:v>ZD</x:v>
      </x:c>
      <x:c r="C31" s="40" t="str">
        <x:v>Ziff Davis</x:v>
      </x:c>
      <x:c r="D31" s="40" t="str">
        <x:v>Communication Services</x:v>
      </x:c>
      <x:c r="E31" s="40" t="str">
        <x:v>Inflection</x:v>
      </x:c>
      <x:c r="F31" s="40" t="str">
        <x:v>Evidence hold</x:v>
      </x:c>
      <x:c r="G31" s="54" t="n">
        <x:v>2</x:v>
      </x:c>
      <x:c r="H31" s="54" t="n">
        <x:v>3</x:v>
      </x:c>
      <x:c r="I31" s="54" t="n">
        <x:v>2</x:v>
      </x:c>
      <x:c r="J31" s="54" t="n">
        <x:v>3</x:v>
      </x:c>
      <x:c r="K31" s="56" t="n">
        <x:f>Settings!$B$4*(G31*IF(E31="Compounder",Settings!$B$9,Settings!$C$9)+H31*IF(E31="Compounder",Settings!$B$10,Settings!$C$10)+I31*IF(E31="Compounder",Settings!$B$11,Settings!$C$11)+J31*IF(E31="Compounder",Settings!$B$12,Settings!$C$12))</x:f>
        <x:v>51</x:v>
      </x:c>
      <x:c r="L31" s="40" t="str">
        <x:f>IF(F31="Evidence hold","",1+COUNTIFS($E$6:$E$31,E31,$F$6:$F$31,"&lt;&gt;Evidence hold",$K$6:$K$31,"&gt;"&amp;K31))</x:f>
      </x:c>
      <x:c r="M31" s="40" t="str">
        <x:v>Not established</x:v>
      </x:c>
      <x:c r="N31" s="40" t="str">
        <x:v>The issuer overview reports lower Q2 revenue; granular segment and continuing-operation work remains open.</x:v>
      </x:c>
      <x:c r="O31" s="40" t="str">
        <x:v>Owned audiences and monetization could stabilize cash despite referral disruption.</x:v>
      </x:c>
      <x:c r="P31" s="40" t="str">
        <x:v>Search and AI disintermediation may be structural rather than a cyclical valuation opportunity.</x:v>
      </x:c>
      <x:c r="Q31" s="40" t="str">
        <x:v>Obtain segment reports and separate organic direct audience cash from acquired or discontinued businesses.</x:v>
      </x:c>
      <x:c r="R31" s="40" t="str">
        <x:v>Direct audience and profitable monetization cannot offset external traffic decline.</x:v>
      </x:c>
      <x:c r="S31" s="40" t="str">
        <x:v>Runoff stress test before any turnaround multiple</x:v>
      </x:c>
      <x:c r="T31" s="40" t="str">
        <x:v>Search platforms; advertising; AI discovery</x:v>
      </x:c>
      <x:c r="U31" s="40" t="str">
        <x:v>ZD26</x:v>
      </x:c>
      <x:c r="V31" s="44" t="n">
        <x:v>46240</x:v>
      </x:c>
      <x:c r="W31" s="40" t="str">
        <x:v>NOT CLEARED — valuation, security eligibility and full underwriting outstanding</x:v>
      </x:c>
      <x:c r="X31" s="40"/>
    </x:row>
  </x:sheetData>
  <x:mergeCells>
    <x:mergeCell ref="A1:H2"/>
    <x:mergeCell ref="A3:H3"/>
  </x:mergeCells>
  <x:conditionalFormatting sqref="K6:K31">
    <x:cfRule type="dataBar" priority="1">
      <x:dataBar>
        <x:cfvo type="min"/>
        <x:cfvo type="max"/>
        <x:color rgb="FF137C83"/>
      </x:dataBar>
    </x:cfRule>
  </x:conditionalFormatting>
  <x:conditionalFormatting sqref="A6:X31">
    <x:cfRule type="expression" dxfId="1" priority="2">
      <x:formula>$F6="Evidence hold"</x:formula>
    </x:cfRule>
  </x:conditionalFormatting>
  <x:dataValidations count="2">
    <x:dataValidation type="list" sqref="G6:J31">
      <x:formula1>"1,2,3,4,5"</x:formula1>
    </x:dataValidation>
    <x:dataValidation type="list" sqref="F6:F31">
      <x:formula1>"Explore,Investigate,Underwrite,Evidence hold,Watch,Pass"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61e66197834a2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5" hidden="0" customWidth="1"/>
    <x:col min="10" max="10" width="25" hidden="0" customWidth="1"/>
  </x:cols>
  <x:sheetData>
    <x:row r="1">
      <x:c r="A1" s="24" t="str">
        <x:v>NO CANDIDATE IS VALUATION-CLEARED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Report checks are an entry point, not completed underwriting. A gate clears only when every required field is explicitly Verified.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Company ID</x:v>
      </x:c>
      <x:c r="B5" s="34" t="str">
        <x:v>Security / price</x:v>
      </x:c>
      <x:c r="C5" s="34" t="str">
        <x:v>Capital structure</x:v>
      </x:c>
      <x:c r="D5" s="34" t="str">
        <x:v>Operating evidence</x:v>
      </x:c>
      <x:c r="E5" s="34" t="str">
        <x:v>Normalized model</x:v>
      </x:c>
      <x:c r="F5" s="34" t="str">
        <x:v>Reverse valuation</x:v>
      </x:c>
      <x:c r="G5" s="34" t="str">
        <x:v>Liquidity / size</x:v>
      </x:c>
      <x:c r="H5" s="34" t="str">
        <x:v>Independent red team</x:v>
      </x:c>
      <x:c r="I5" s="34" t="str">
        <x:v>Portfolio fit / approval</x:v>
      </x:c>
      <x:c r="J5" s="34" t="str">
        <x:v>Gate result</x:v>
      </x:c>
    </x:row>
    <x:row r="6" ht="44" customHeight="1">
      <x:c r="A6" s="40" t="str">
        <x:v>LMAT</x:v>
      </x:c>
      <x:c r="B6" s="40" t="str">
        <x:v>Not verified</x:v>
      </x:c>
      <x:c r="C6" s="40" t="str">
        <x:v>Not complete</x:v>
      </x:c>
      <x:c r="D6" s="40" t="str">
        <x:v>Partial</x:v>
      </x:c>
      <x:c r="E6" s="40" t="str">
        <x:v>Not complete</x:v>
      </x:c>
      <x:c r="F6" s="40" t="str">
        <x:v>Not complete</x:v>
      </x:c>
      <x:c r="G6" s="40" t="str">
        <x:v>Not verified</x:v>
      </x:c>
      <x:c r="H6" s="40" t="str">
        <x:v>Not complete</x:v>
      </x:c>
      <x:c r="I6" s="40" t="str">
        <x:v>Not requested</x:v>
      </x:c>
      <x:c r="J6" s="40" t="str">
        <x:f>IF(COUNTIF(B6:I6,"Verified")=COLUMNS(B6:I6),"CLEARED","NOT CLEARED")</x:f>
        <x:v>NOT CLEARED</x:v>
      </x:c>
    </x:row>
    <x:row r="7" ht="44" customHeight="1">
      <x:c r="A7" s="40" t="str">
        <x:v>WINA</x:v>
      </x:c>
      <x:c r="B7" s="40" t="str">
        <x:v>Not verified</x:v>
      </x:c>
      <x:c r="C7" s="40" t="str">
        <x:v>Not complete</x:v>
      </x:c>
      <x:c r="D7" s="40" t="str">
        <x:v>Partial</x:v>
      </x:c>
      <x:c r="E7" s="40" t="str">
        <x:v>Not complete</x:v>
      </x:c>
      <x:c r="F7" s="40" t="str">
        <x:v>Not complete</x:v>
      </x:c>
      <x:c r="G7" s="40" t="str">
        <x:v>Not verified</x:v>
      </x:c>
      <x:c r="H7" s="40" t="str">
        <x:v>Not complete</x:v>
      </x:c>
      <x:c r="I7" s="40" t="str">
        <x:v>Not requested</x:v>
      </x:c>
      <x:c r="J7" s="40" t="str">
        <x:f>IF(COUNTIF(B7:I7,"Verified")=COLUMNS(B7:I7),"CLEARED","NOT CLEARED")</x:f>
        <x:v>NOT CLEARED</x:v>
      </x:c>
    </x:row>
    <x:row r="8" ht="44" customHeight="1">
      <x:c r="A8" s="40" t="str">
        <x:v>APPF</x:v>
      </x:c>
      <x:c r="B8" s="40" t="str">
        <x:v>Not verified</x:v>
      </x:c>
      <x:c r="C8" s="40" t="str">
        <x:v>Not complete</x:v>
      </x:c>
      <x:c r="D8" s="40" t="str">
        <x:v>Partial</x:v>
      </x:c>
      <x:c r="E8" s="40" t="str">
        <x:v>Not complete</x:v>
      </x:c>
      <x:c r="F8" s="40" t="str">
        <x:v>Not complete</x:v>
      </x:c>
      <x:c r="G8" s="40" t="str">
        <x:v>Not verified</x:v>
      </x:c>
      <x:c r="H8" s="40" t="str">
        <x:v>Not complete</x:v>
      </x:c>
      <x:c r="I8" s="40" t="str">
        <x:v>Not requested</x:v>
      </x:c>
      <x:c r="J8" s="40" t="str">
        <x:f>IF(COUNTIF(B8:I8,"Verified")=COLUMNS(B8:I8),"CLEARED","NOT CLEARED")</x:f>
        <x:v>NOT CLEARED</x:v>
      </x:c>
    </x:row>
    <x:row r="9" ht="44" customHeight="1">
      <x:c r="A9" s="40" t="str">
        <x:v>NSSC</x:v>
      </x:c>
      <x:c r="B9" s="40" t="str">
        <x:v>Not verified</x:v>
      </x:c>
      <x:c r="C9" s="40" t="str">
        <x:v>Not complete</x:v>
      </x:c>
      <x:c r="D9" s="40" t="str">
        <x:v>Partial</x:v>
      </x:c>
      <x:c r="E9" s="40" t="str">
        <x:v>Not complete</x:v>
      </x:c>
      <x:c r="F9" s="40" t="str">
        <x:v>Not complete</x:v>
      </x:c>
      <x:c r="G9" s="40" t="str">
        <x:v>Not verified</x:v>
      </x:c>
      <x:c r="H9" s="40" t="str">
        <x:v>Not complete</x:v>
      </x:c>
      <x:c r="I9" s="40" t="str">
        <x:v>Not requested</x:v>
      </x:c>
      <x:c r="J9" s="40" t="str">
        <x:f>IF(COUNTIF(B9:I9,"Verified")=COLUMNS(B9:I9),"CLEARED","NOT CLEARED")</x:f>
        <x:v>NOT CLEARED</x:v>
      </x:c>
    </x:row>
    <x:row r="10" ht="44" customHeight="1">
      <x:c r="A10" s="40" t="str">
        <x:v>AZZ</x:v>
      </x:c>
      <x:c r="B10" s="40" t="str">
        <x:v>Not verified</x:v>
      </x:c>
      <x:c r="C10" s="40" t="str">
        <x:v>Not complete</x:v>
      </x:c>
      <x:c r="D10" s="40" t="str">
        <x:v>Partial</x:v>
      </x:c>
      <x:c r="E10" s="40" t="str">
        <x:v>Not complete</x:v>
      </x:c>
      <x:c r="F10" s="40" t="str">
        <x:v>Not complete</x:v>
      </x:c>
      <x:c r="G10" s="40" t="str">
        <x:v>Not verified</x:v>
      </x:c>
      <x:c r="H10" s="40" t="str">
        <x:v>Not complete</x:v>
      </x:c>
      <x:c r="I10" s="40" t="str">
        <x:v>Not requested</x:v>
      </x:c>
      <x:c r="J10" s="40" t="str">
        <x:f>IF(COUNTIF(B10:I10,"Verified")=COLUMNS(B10:I10),"CLEARED","NOT CLEARED")</x:f>
        <x:v>NOT CLEARED</x:v>
      </x:c>
    </x:row>
    <x:row r="11" ht="44" customHeight="1">
      <x:c r="A11" s="40" t="str">
        <x:v>CSW</x:v>
      </x:c>
      <x:c r="B11" s="40" t="str">
        <x:v>Not verified</x:v>
      </x:c>
      <x:c r="C11" s="40" t="str">
        <x:v>Not complete</x:v>
      </x:c>
      <x:c r="D11" s="40" t="str">
        <x:v>Partial</x:v>
      </x:c>
      <x:c r="E11" s="40" t="str">
        <x:v>Not complete</x:v>
      </x:c>
      <x:c r="F11" s="40" t="str">
        <x:v>Not complete</x:v>
      </x:c>
      <x:c r="G11" s="40" t="str">
        <x:v>Not verified</x:v>
      </x:c>
      <x:c r="H11" s="40" t="str">
        <x:v>Not complete</x:v>
      </x:c>
      <x:c r="I11" s="40" t="str">
        <x:v>Not requested</x:v>
      </x:c>
      <x:c r="J11" s="40" t="str">
        <x:f>IF(COUNTIF(B11:I11,"Verified")=COLUMNS(B11:I11),"CLEARED","NOT CLEARED")</x:f>
        <x:v>NOT CLEARED</x:v>
      </x:c>
    </x:row>
    <x:row r="12" ht="44" customHeight="1">
      <x:c r="A12" s="40" t="str">
        <x:v>VSEC</x:v>
      </x:c>
      <x:c r="B12" s="40" t="str">
        <x:v>Not verified</x:v>
      </x:c>
      <x:c r="C12" s="40" t="str">
        <x:v>Not complete</x:v>
      </x:c>
      <x:c r="D12" s="40" t="str">
        <x:v>Partial</x:v>
      </x:c>
      <x:c r="E12" s="40" t="str">
        <x:v>Not complete</x:v>
      </x:c>
      <x:c r="F12" s="40" t="str">
        <x:v>Not complete</x:v>
      </x:c>
      <x:c r="G12" s="40" t="str">
        <x:v>Not verified</x:v>
      </x:c>
      <x:c r="H12" s="40" t="str">
        <x:v>Not complete</x:v>
      </x:c>
      <x:c r="I12" s="40" t="str">
        <x:v>Not requested</x:v>
      </x:c>
      <x:c r="J12" s="40" t="str">
        <x:f>IF(COUNTIF(B12:I12,"Verified")=COLUMNS(B12:I12),"CLEARED","NOT CLEARED")</x:f>
        <x:v>NOT CLEARED</x:v>
      </x:c>
    </x:row>
    <x:row r="13" ht="44" customHeight="1">
      <x:c r="A13" s="40" t="str">
        <x:v>IOSP</x:v>
      </x:c>
      <x:c r="B13" s="40" t="str">
        <x:v>Not verified</x:v>
      </x:c>
      <x:c r="C13" s="40" t="str">
        <x:v>Not complete</x:v>
      </x:c>
      <x:c r="D13" s="40" t="str">
        <x:v>Partial</x:v>
      </x:c>
      <x:c r="E13" s="40" t="str">
        <x:v>Not complete</x:v>
      </x:c>
      <x:c r="F13" s="40" t="str">
        <x:v>Not complete</x:v>
      </x:c>
      <x:c r="G13" s="40" t="str">
        <x:v>Not verified</x:v>
      </x:c>
      <x:c r="H13" s="40" t="str">
        <x:v>Not complete</x:v>
      </x:c>
      <x:c r="I13" s="40" t="str">
        <x:v>Not requested</x:v>
      </x:c>
      <x:c r="J13" s="40" t="str">
        <x:f>IF(COUNTIF(B13:I13,"Verified")=COLUMNS(B13:I13),"CLEARED","NOT CLEARED")</x:f>
        <x:v>NOT CLEARED</x:v>
      </x:c>
    </x:row>
    <x:row r="14" ht="44" customHeight="1">
      <x:c r="A14" s="40" t="str">
        <x:v>BMI</x:v>
      </x:c>
      <x:c r="B14" s="40" t="str">
        <x:v>Not verified</x:v>
      </x:c>
      <x:c r="C14" s="40" t="str">
        <x:v>Not complete</x:v>
      </x:c>
      <x:c r="D14" s="40" t="str">
        <x:v>Partial</x:v>
      </x:c>
      <x:c r="E14" s="40" t="str">
        <x:v>Not complete</x:v>
      </x:c>
      <x:c r="F14" s="40" t="str">
        <x:v>Not complete</x:v>
      </x:c>
      <x:c r="G14" s="40" t="str">
        <x:v>Not verified</x:v>
      </x:c>
      <x:c r="H14" s="40" t="str">
        <x:v>Not complete</x:v>
      </x:c>
      <x:c r="I14" s="40" t="str">
        <x:v>Not requested</x:v>
      </x:c>
      <x:c r="J14" s="40" t="str">
        <x:f>IF(COUNTIF(B14:I14,"Verified")=COLUMNS(B14:I14),"CLEARED","NOT CLEARED")</x:f>
        <x:v>NOT CLEARED</x:v>
      </x:c>
    </x:row>
    <x:row r="15" ht="44" customHeight="1">
      <x:c r="A15" s="40" t="str">
        <x:v>KNSL</x:v>
      </x:c>
      <x:c r="B15" s="40" t="str">
        <x:v>Not verified</x:v>
      </x:c>
      <x:c r="C15" s="40" t="str">
        <x:v>Not complete</x:v>
      </x:c>
      <x:c r="D15" s="40" t="str">
        <x:v>Partial</x:v>
      </x:c>
      <x:c r="E15" s="40" t="str">
        <x:v>Not complete</x:v>
      </x:c>
      <x:c r="F15" s="40" t="str">
        <x:v>Not complete</x:v>
      </x:c>
      <x:c r="G15" s="40" t="str">
        <x:v>Not verified</x:v>
      </x:c>
      <x:c r="H15" s="40" t="str">
        <x:v>Not complete</x:v>
      </x:c>
      <x:c r="I15" s="40" t="str">
        <x:v>Not requested</x:v>
      </x:c>
      <x:c r="J15" s="40" t="str">
        <x:f>IF(COUNTIF(B15:I15,"Verified")=COLUMNS(B15:I15),"CLEARED","NOT CLEARED")</x:f>
        <x:v>NOT CLEARED</x:v>
      </x:c>
    </x:row>
    <x:row r="16" ht="44" customHeight="1">
      <x:c r="A16" s="40" t="str">
        <x:v>VITL</x:v>
      </x:c>
      <x:c r="B16" s="40" t="str">
        <x:v>Not verified</x:v>
      </x:c>
      <x:c r="C16" s="40" t="str">
        <x:v>Not complete</x:v>
      </x:c>
      <x:c r="D16" s="40" t="str">
        <x:v>Partial</x:v>
      </x:c>
      <x:c r="E16" s="40" t="str">
        <x:v>Not complete</x:v>
      </x:c>
      <x:c r="F16" s="40" t="str">
        <x:v>Not complete</x:v>
      </x:c>
      <x:c r="G16" s="40" t="str">
        <x:v>Not verified</x:v>
      </x:c>
      <x:c r="H16" s="40" t="str">
        <x:v>Not complete</x:v>
      </x:c>
      <x:c r="I16" s="40" t="str">
        <x:v>Not requested</x:v>
      </x:c>
      <x:c r="J16" s="40" t="str">
        <x:f>IF(COUNTIF(B16:I16,"Verified")=COLUMNS(B16:I16),"CLEARED","NOT CLEARED")</x:f>
        <x:v>NOT CLEARED</x:v>
      </x:c>
    </x:row>
    <x:row r="17" ht="44" customHeight="1">
      <x:c r="A17" s="40" t="str">
        <x:v>MOD</x:v>
      </x:c>
      <x:c r="B17" s="40" t="str">
        <x:v>Not verified</x:v>
      </x:c>
      <x:c r="C17" s="40" t="str">
        <x:v>Not complete</x:v>
      </x:c>
      <x:c r="D17" s="40" t="str">
        <x:v>Partial</x:v>
      </x:c>
      <x:c r="E17" s="40" t="str">
        <x:v>Not complete</x:v>
      </x:c>
      <x:c r="F17" s="40" t="str">
        <x:v>Not complete</x:v>
      </x:c>
      <x:c r="G17" s="40" t="str">
        <x:v>Not verified</x:v>
      </x:c>
      <x:c r="H17" s="40" t="str">
        <x:v>Not complete</x:v>
      </x:c>
      <x:c r="I17" s="40" t="str">
        <x:v>Not requested</x:v>
      </x:c>
      <x:c r="J17" s="40" t="str">
        <x:f>IF(COUNTIF(B17:I17,"Verified")=COLUMNS(B17:I17),"CLEARED","NOT CLEARED")</x:f>
        <x:v>NOT CLEARED</x:v>
      </x:c>
    </x:row>
    <x:row r="18" ht="44" customHeight="1">
      <x:c r="A18" s="40" t="str">
        <x:v>POWL</x:v>
      </x:c>
      <x:c r="B18" s="40" t="str">
        <x:v>Not verified</x:v>
      </x:c>
      <x:c r="C18" s="40" t="str">
        <x:v>Not complete</x:v>
      </x:c>
      <x:c r="D18" s="40" t="str">
        <x:v>Partial</x:v>
      </x:c>
      <x:c r="E18" s="40" t="str">
        <x:v>Not complete</x:v>
      </x:c>
      <x:c r="F18" s="40" t="str">
        <x:v>Not complete</x:v>
      </x:c>
      <x:c r="G18" s="40" t="str">
        <x:v>Not verified</x:v>
      </x:c>
      <x:c r="H18" s="40" t="str">
        <x:v>Not complete</x:v>
      </x:c>
      <x:c r="I18" s="40" t="str">
        <x:v>Not requested</x:v>
      </x:c>
      <x:c r="J18" s="40" t="str">
        <x:f>IF(COUNTIF(B18:I18,"Verified")=COLUMNS(B18:I18),"CLEARED","NOT CLEARED")</x:f>
        <x:v>NOT CLEARED</x:v>
      </x:c>
    </x:row>
    <x:row r="19" ht="44" customHeight="1">
      <x:c r="A19" s="40" t="str">
        <x:v>RGEN</x:v>
      </x:c>
      <x:c r="B19" s="40" t="str">
        <x:v>Not verified</x:v>
      </x:c>
      <x:c r="C19" s="40" t="str">
        <x:v>Not complete</x:v>
      </x:c>
      <x:c r="D19" s="40" t="str">
        <x:v>Partial</x:v>
      </x:c>
      <x:c r="E19" s="40" t="str">
        <x:v>Not complete</x:v>
      </x:c>
      <x:c r="F19" s="40" t="str">
        <x:v>Not complete</x:v>
      </x:c>
      <x:c r="G19" s="40" t="str">
        <x:v>Not verified</x:v>
      </x:c>
      <x:c r="H19" s="40" t="str">
        <x:v>Not complete</x:v>
      </x:c>
      <x:c r="I19" s="40" t="str">
        <x:v>Not requested</x:v>
      </x:c>
      <x:c r="J19" s="40" t="str">
        <x:f>IF(COUNTIF(B19:I19,"Verified")=COLUMNS(B19:I19),"CLEARED","NOT CLEARED")</x:f>
        <x:v>NOT CLEARED</x:v>
      </x:c>
    </x:row>
    <x:row r="20" ht="44" customHeight="1">
      <x:c r="A20" s="40" t="str">
        <x:v>COHU</x:v>
      </x:c>
      <x:c r="B20" s="40" t="str">
        <x:v>Not verified</x:v>
      </x:c>
      <x:c r="C20" s="40" t="str">
        <x:v>Not complete</x:v>
      </x:c>
      <x:c r="D20" s="40" t="str">
        <x:v>Partial</x:v>
      </x:c>
      <x:c r="E20" s="40" t="str">
        <x:v>Not complete</x:v>
      </x:c>
      <x:c r="F20" s="40" t="str">
        <x:v>Not complete</x:v>
      </x:c>
      <x:c r="G20" s="40" t="str">
        <x:v>Not verified</x:v>
      </x:c>
      <x:c r="H20" s="40" t="str">
        <x:v>Not complete</x:v>
      </x:c>
      <x:c r="I20" s="40" t="str">
        <x:v>Not requested</x:v>
      </x:c>
      <x:c r="J20" s="40" t="str">
        <x:f>IF(COUNTIF(B20:I20,"Verified")=COLUMNS(B20:I20),"CLEARED","NOT CLEARED")</x:f>
        <x:v>NOT CLEARED</x:v>
      </x:c>
    </x:row>
    <x:row r="21" ht="44" customHeight="1">
      <x:c r="A21" s="40" t="str">
        <x:v>HPS.A@CA</x:v>
      </x:c>
      <x:c r="B21" s="40" t="str">
        <x:v>Not verified</x:v>
      </x:c>
      <x:c r="C21" s="40" t="str">
        <x:v>Not complete</x:v>
      </x:c>
      <x:c r="D21" s="40" t="str">
        <x:v>Partial</x:v>
      </x:c>
      <x:c r="E21" s="40" t="str">
        <x:v>Not complete</x:v>
      </x:c>
      <x:c r="F21" s="40" t="str">
        <x:v>Not complete</x:v>
      </x:c>
      <x:c r="G21" s="40" t="str">
        <x:v>Not verified</x:v>
      </x:c>
      <x:c r="H21" s="40" t="str">
        <x:v>Not complete</x:v>
      </x:c>
      <x:c r="I21" s="40" t="str">
        <x:v>Not requested</x:v>
      </x:c>
      <x:c r="J21" s="40" t="str">
        <x:f>IF(COUNTIF(B21:I21,"Verified")=COLUMNS(B21:I21),"CLEARED","NOT CLEARED")</x:f>
        <x:v>NOT CLEARED</x:v>
      </x:c>
    </x:row>
    <x:row r="22" ht="44" customHeight="1">
      <x:c r="A22" s="40" t="str">
        <x:v>AAOI</x:v>
      </x:c>
      <x:c r="B22" s="40" t="str">
        <x:v>Not verified</x:v>
      </x:c>
      <x:c r="C22" s="40" t="str">
        <x:v>Not complete</x:v>
      </x:c>
      <x:c r="D22" s="40" t="str">
        <x:v>Partial</x:v>
      </x:c>
      <x:c r="E22" s="40" t="str">
        <x:v>Not complete</x:v>
      </x:c>
      <x:c r="F22" s="40" t="str">
        <x:v>Not complete</x:v>
      </x:c>
      <x:c r="G22" s="40" t="str">
        <x:v>Not verified</x:v>
      </x:c>
      <x:c r="H22" s="40" t="str">
        <x:v>Not complete</x:v>
      </x:c>
      <x:c r="I22" s="40" t="str">
        <x:v>Not requested</x:v>
      </x:c>
      <x:c r="J22" s="40" t="str">
        <x:f>IF(COUNTIF(B22:I22,"Verified")=COLUMNS(B22:I22),"CLEARED","NOT CLEARED")</x:f>
        <x:v>NOT CLEARED</x:v>
      </x:c>
    </x:row>
    <x:row r="23" ht="44" customHeight="1">
      <x:c r="A23" s="40" t="str">
        <x:v>AAON</x:v>
      </x:c>
      <x:c r="B23" s="40" t="str">
        <x:v>Not verified</x:v>
      </x:c>
      <x:c r="C23" s="40" t="str">
        <x:v>Not complete</x:v>
      </x:c>
      <x:c r="D23" s="40" t="str">
        <x:v>Partial</x:v>
      </x:c>
      <x:c r="E23" s="40" t="str">
        <x:v>Not complete</x:v>
      </x:c>
      <x:c r="F23" s="40" t="str">
        <x:v>Not complete</x:v>
      </x:c>
      <x:c r="G23" s="40" t="str">
        <x:v>Not verified</x:v>
      </x:c>
      <x:c r="H23" s="40" t="str">
        <x:v>Not complete</x:v>
      </x:c>
      <x:c r="I23" s="40" t="str">
        <x:v>Not requested</x:v>
      </x:c>
      <x:c r="J23" s="40" t="str">
        <x:f>IF(COUNTIF(B23:I23,"Verified")=COLUMNS(B23:I23),"CLEARED","NOT CLEARED")</x:f>
        <x:v>NOT CLEARED</x:v>
      </x:c>
    </x:row>
    <x:row r="24" ht="44" customHeight="1">
      <x:c r="A24" s="40" t="str">
        <x:v>CAMT</x:v>
      </x:c>
      <x:c r="B24" s="40" t="str">
        <x:v>Not verified</x:v>
      </x:c>
      <x:c r="C24" s="40" t="str">
        <x:v>Not complete</x:v>
      </x:c>
      <x:c r="D24" s="40" t="str">
        <x:v>Partial</x:v>
      </x:c>
      <x:c r="E24" s="40" t="str">
        <x:v>Not complete</x:v>
      </x:c>
      <x:c r="F24" s="40" t="str">
        <x:v>Not complete</x:v>
      </x:c>
      <x:c r="G24" s="40" t="str">
        <x:v>Not verified</x:v>
      </x:c>
      <x:c r="H24" s="40" t="str">
        <x:v>Not complete</x:v>
      </x:c>
      <x:c r="I24" s="40" t="str">
        <x:v>Not requested</x:v>
      </x:c>
      <x:c r="J24" s="40" t="str">
        <x:f>IF(COUNTIF(B24:I24,"Verified")=COLUMNS(B24:I24),"CLEARED","NOT CLEARED")</x:f>
        <x:v>NOT CLEARED</x:v>
      </x:c>
    </x:row>
    <x:row r="25" ht="44" customHeight="1">
      <x:c r="A25" s="40" t="str">
        <x:v>IESC</x:v>
      </x:c>
      <x:c r="B25" s="40" t="str">
        <x:v>Not verified</x:v>
      </x:c>
      <x:c r="C25" s="40" t="str">
        <x:v>Not complete</x:v>
      </x:c>
      <x:c r="D25" s="40" t="str">
        <x:v>Partial</x:v>
      </x:c>
      <x:c r="E25" s="40" t="str">
        <x:v>Not complete</x:v>
      </x:c>
      <x:c r="F25" s="40" t="str">
        <x:v>Not complete</x:v>
      </x:c>
      <x:c r="G25" s="40" t="str">
        <x:v>Not verified</x:v>
      </x:c>
      <x:c r="H25" s="40" t="str">
        <x:v>Not complete</x:v>
      </x:c>
      <x:c r="I25" s="40" t="str">
        <x:v>Not requested</x:v>
      </x:c>
      <x:c r="J25" s="40" t="str">
        <x:f>IF(COUNTIF(B25:I25,"Verified")=COLUMNS(B25:I25),"CLEARED","NOT CLEARED")</x:f>
        <x:v>NOT CLEARED</x:v>
      </x:c>
    </x:row>
    <x:row r="26" ht="44" customHeight="1">
      <x:c r="A26" s="40" t="str">
        <x:v>FND</x:v>
      </x:c>
      <x:c r="B26" s="40" t="str">
        <x:v>Not verified</x:v>
      </x:c>
      <x:c r="C26" s="40" t="str">
        <x:v>Not complete</x:v>
      </x:c>
      <x:c r="D26" s="40" t="str">
        <x:v>Partial</x:v>
      </x:c>
      <x:c r="E26" s="40" t="str">
        <x:v>Not complete</x:v>
      </x:c>
      <x:c r="F26" s="40" t="str">
        <x:v>Not complete</x:v>
      </x:c>
      <x:c r="G26" s="40" t="str">
        <x:v>Not verified</x:v>
      </x:c>
      <x:c r="H26" s="40" t="str">
        <x:v>Not complete</x:v>
      </x:c>
      <x:c r="I26" s="40" t="str">
        <x:v>Not requested</x:v>
      </x:c>
      <x:c r="J26" s="40" t="str">
        <x:f>IF(COUNTIF(B26:I26,"Verified")=COLUMNS(B26:I26),"CLEARED","NOT CLEARED")</x:f>
        <x:v>NOT CLEARED</x:v>
      </x:c>
    </x:row>
    <x:row r="27" ht="44" customHeight="1">
      <x:c r="A27" s="40" t="str">
        <x:v>PEBO</x:v>
      </x:c>
      <x:c r="B27" s="40" t="str">
        <x:v>Not verified</x:v>
      </x:c>
      <x:c r="C27" s="40" t="str">
        <x:v>Not complete</x:v>
      </x:c>
      <x:c r="D27" s="40" t="str">
        <x:v>Partial</x:v>
      </x:c>
      <x:c r="E27" s="40" t="str">
        <x:v>Not complete</x:v>
      </x:c>
      <x:c r="F27" s="40" t="str">
        <x:v>Not complete</x:v>
      </x:c>
      <x:c r="G27" s="40" t="str">
        <x:v>Not verified</x:v>
      </x:c>
      <x:c r="H27" s="40" t="str">
        <x:v>Not complete</x:v>
      </x:c>
      <x:c r="I27" s="40" t="str">
        <x:v>Not requested</x:v>
      </x:c>
      <x:c r="J27" s="40" t="str">
        <x:f>IF(COUNTIF(B27:I27,"Verified")=COLUMNS(B27:I27),"CLEARED","NOT CLEARED")</x:f>
        <x:v>NOT CLEARED</x:v>
      </x:c>
    </x:row>
    <x:row r="28" ht="44" customHeight="1">
      <x:c r="A28" s="40" t="str">
        <x:v>AROC</x:v>
      </x:c>
      <x:c r="B28" s="40" t="str">
        <x:v>Not verified</x:v>
      </x:c>
      <x:c r="C28" s="40" t="str">
        <x:v>Not complete</x:v>
      </x:c>
      <x:c r="D28" s="40" t="str">
        <x:v>Partial</x:v>
      </x:c>
      <x:c r="E28" s="40" t="str">
        <x:v>Not complete</x:v>
      </x:c>
      <x:c r="F28" s="40" t="str">
        <x:v>Not complete</x:v>
      </x:c>
      <x:c r="G28" s="40" t="str">
        <x:v>Not verified</x:v>
      </x:c>
      <x:c r="H28" s="40" t="str">
        <x:v>Not complete</x:v>
      </x:c>
      <x:c r="I28" s="40" t="str">
        <x:v>Not requested</x:v>
      </x:c>
      <x:c r="J28" s="40" t="str">
        <x:f>IF(COUNTIF(B28:I28,"Verified")=COLUMNS(B28:I28),"CLEARED","NOT CLEARED")</x:f>
        <x:v>NOT CLEARED</x:v>
      </x:c>
    </x:row>
    <x:row r="29" ht="44" customHeight="1">
      <x:c r="A29" s="40" t="str">
        <x:v>IRT</x:v>
      </x:c>
      <x:c r="B29" s="40" t="str">
        <x:v>Not verified</x:v>
      </x:c>
      <x:c r="C29" s="40" t="str">
        <x:v>Not complete</x:v>
      </x:c>
      <x:c r="D29" s="40" t="str">
        <x:v>Partial</x:v>
      </x:c>
      <x:c r="E29" s="40" t="str">
        <x:v>Not complete</x:v>
      </x:c>
      <x:c r="F29" s="40" t="str">
        <x:v>Not complete</x:v>
      </x:c>
      <x:c r="G29" s="40" t="str">
        <x:v>Not verified</x:v>
      </x:c>
      <x:c r="H29" s="40" t="str">
        <x:v>Not complete</x:v>
      </x:c>
      <x:c r="I29" s="40" t="str">
        <x:v>Not requested</x:v>
      </x:c>
      <x:c r="J29" s="40" t="str">
        <x:f>IF(COUNTIF(B29:I29,"Verified")=COLUMNS(B29:I29),"CLEARED","NOT CLEARED")</x:f>
        <x:v>NOT CLEARED</x:v>
      </x:c>
    </x:row>
    <x:row r="30" ht="44" customHeight="1">
      <x:c r="A30" s="40" t="str">
        <x:v>NRG</x:v>
      </x:c>
      <x:c r="B30" s="40" t="str">
        <x:v>Not verified</x:v>
      </x:c>
      <x:c r="C30" s="40" t="str">
        <x:v>Not complete</x:v>
      </x:c>
      <x:c r="D30" s="40" t="str">
        <x:v>Partial</x:v>
      </x:c>
      <x:c r="E30" s="40" t="str">
        <x:v>Not complete</x:v>
      </x:c>
      <x:c r="F30" s="40" t="str">
        <x:v>Not complete</x:v>
      </x:c>
      <x:c r="G30" s="40" t="str">
        <x:v>Not verified</x:v>
      </x:c>
      <x:c r="H30" s="40" t="str">
        <x:v>Not complete</x:v>
      </x:c>
      <x:c r="I30" s="40" t="str">
        <x:v>Not requested</x:v>
      </x:c>
      <x:c r="J30" s="40" t="str">
        <x:f>IF(COUNTIF(B30:I30,"Verified")=COLUMNS(B30:I30),"CLEARED","NOT CLEARED")</x:f>
        <x:v>NOT CLEARED</x:v>
      </x:c>
    </x:row>
    <x:row r="31" ht="44" customHeight="1">
      <x:c r="A31" s="40" t="str">
        <x:v>ZD</x:v>
      </x:c>
      <x:c r="B31" s="40" t="str">
        <x:v>Not verified</x:v>
      </x:c>
      <x:c r="C31" s="40" t="str">
        <x:v>Not complete</x:v>
      </x:c>
      <x:c r="D31" s="40" t="str">
        <x:v>Partial</x:v>
      </x:c>
      <x:c r="E31" s="40" t="str">
        <x:v>Not complete</x:v>
      </x:c>
      <x:c r="F31" s="40" t="str">
        <x:v>Not complete</x:v>
      </x:c>
      <x:c r="G31" s="40" t="str">
        <x:v>Not verified</x:v>
      </x:c>
      <x:c r="H31" s="40" t="str">
        <x:v>Not complete</x:v>
      </x:c>
      <x:c r="I31" s="40" t="str">
        <x:v>Not requested</x:v>
      </x:c>
      <x:c r="J31" s="40" t="str">
        <x:f>IF(COUNTIF(B31:I31,"Verified")=COLUMNS(B31:I31),"CLEARED","NOT CLEARED")</x:f>
        <x:v>NOT CLEARED</x:v>
      </x:c>
    </x:row>
  </x:sheetData>
  <x:mergeCells>
    <x:mergeCell ref="A1:H2"/>
    <x:mergeCell ref="A3:H3"/>
  </x:mergeCells>
  <x:conditionalFormatting sqref="J6:J31">
    <x:cfRule type="expression" dxfId="2" priority="1">
      <x:formula>J6="NOT CLEARED"</x:formula>
    </x:cfRule>
  </x:conditionalFormatting>
  <x:dataValidations count="1">
    <x:dataValidation type="list" sqref="B6:I31">
      <x:formula1>"Not verified,Not complete,Not requested,Partial,Verified"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b48c22cd3d4c1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34" hidden="0" customWidth="1"/>
    <x:col min="4" max="4" width="17" hidden="0" customWidth="1"/>
    <x:col min="5" max="5" width="37" hidden="0" customWidth="1"/>
    <x:col min="6" max="6" width="42" hidden="0" customWidth="1"/>
    <x:col min="7" max="7" width="37" hidden="0" customWidth="1"/>
    <x:col min="8" max="8" width="37" hidden="0" customWidth="1"/>
    <x:col min="9" max="9" width="40" hidden="0" customWidth="1"/>
    <x:col min="10" max="10" width="37" hidden="0" customWidth="1"/>
    <x:col min="11" max="11" width="19" hidden="0" customWidth="1"/>
    <x:col min="12" max="12" width="42" hidden="0" customWidth="1"/>
    <x:col min="13" max="13" width="15" hidden="0" customWidth="1"/>
    <x:col min="14" max="14" width="32" hidden="0" customWidth="1"/>
    <x:col min="15" max="15" width="36" hidden="0" customWidth="1"/>
    <x:col min="16" max="16" width="38" hidden="0" customWidth="1"/>
  </x:cols>
  <x:sheetData>
    <x:row r="1">
      <x:c r="A1" s="24" t="str">
        <x:v>24 HISTORICAL CASES — SUCCESSES AND COUNTEREXAMPLES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Documented episodes, not a point-in-time return backtest. Publication timing and retrospective bias remain visible.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Case</x:v>
      </x:c>
      <x:c r="B5" s="34" t="str">
        <x:v>Sector</x:v>
      </x:c>
      <x:c r="C5" s="34" t="str">
        <x:v>Episode</x:v>
      </x:c>
      <x:c r="D5" s="34" t="str">
        <x:v>Window</x:v>
      </x:c>
      <x:c r="E5" s="34" t="str">
        <x:v>Causal driver</x:v>
      </x:c>
      <x:c r="F5" s="34" t="str">
        <x:v>Documented evidence</x:v>
      </x:c>
      <x:c r="G5" s="34" t="str">
        <x:v>Indicators to reconstruct</x:v>
      </x:c>
      <x:c r="H5" s="34" t="str">
        <x:v>Economic transmission</x:v>
      </x:c>
      <x:c r="I5" s="34" t="str">
        <x:v>Failure / invalidation</x:v>
      </x:c>
      <x:c r="J5" s="34" t="str">
        <x:v>Current use</x:v>
      </x:c>
      <x:c r="K5" s="34" t="str">
        <x:v>Source ID</x:v>
      </x:c>
      <x:c r="L5" s="34" t="str">
        <x:v>Source URL</x:v>
      </x:c>
      <x:c r="M5" s="34" t="str">
        <x:v>Publication</x:v>
      </x:c>
      <x:c r="N5" s="34" t="str">
        <x:v>Evidence vintage</x:v>
      </x:c>
      <x:c r="O5" s="34" t="str">
        <x:v>Backtest status</x:v>
      </x:c>
      <x:c r="P5" s="34" t="str">
        <x:v>Next validation</x:v>
      </x:c>
    </x:row>
    <x:row r="6" ht="108" customHeight="1">
      <x:c r="A6" s="40" t="str">
        <x:v>C01</x:v>
      </x:c>
      <x:c r="B6" s="40" t="str">
        <x:v>Energy</x:v>
      </x:c>
      <x:c r="C6" s="40" t="str">
        <x:v>Oil supply expansion and 2014 price reset</x:v>
      </x:c>
      <x:c r="D6" s="40" t="str">
        <x:v>2014–2016</x:v>
      </x:c>
      <x:c r="E6" s="40" t="str">
        <x:v>Supply growth meets weaker marginal demand and capital-intensive producers.</x:v>
      </x:c>
      <x:c r="F6" s="40" t="str">
        <x:v>EIA's 2014 review records Brent front-month falling from about $108 to $57 during 2014.</x:v>
      </x:c>
      <x:c r="G6" s="40" t="str">
        <x:v>Inventory changes, non-OPEC production, producer budgets and breakeven curves.</x:v>
      </x:c>
      <x:c r="H6" s="40" t="str">
        <x:v>Lower realized prices compress producer cash and then service orders; capex cuts arrive with a lag.</x:v>
      </x:c>
      <x:c r="I6" s="40" t="str">
        <x:v>A low trailing P/E at peak oil prices is not a valuation floor; balance-sheet survival comes first.</x:v>
      </x:c>
      <x:c r="J6" s="40" t="str">
        <x:v>Separate AROC contracted utilization from upstream commodity beta; stress customer budgets.</x:v>
      </x:c>
      <x:c r="K6" s="40" t="str">
        <x:v>H-OIL14</x:v>
      </x:c>
      <x:c r="L6" s="40" t="str">
        <x:v>https://www.eia.gov/finance/review/annual/</x:v>
      </x:c>
      <x:c r="M6" s="44" t="n">
        <x:v>42122</x:v>
      </x:c>
      <x:c r="N6" s="40" t="str">
        <x:v>Retrospective annual review; not available at the start of the decline</x:v>
      </x:c>
      <x:c r="O6" s="40" t="str">
        <x:v>Case study only; no point-in-time universe, consensus or total-return backtest</x:v>
      </x:c>
      <x:c r="P6" s="40" t="str">
        <x:v>Reconstruct dated indicator releases and all eligible peers; test false positives and costs.</x:v>
      </x:c>
    </x:row>
    <x:row r="7" ht="108" customHeight="1">
      <x:c r="A7" s="40" t="str">
        <x:v>C02</x:v>
      </x:c>
      <x:c r="B7" s="40" t="str">
        <x:v>Energy</x:v>
      </x:c>
      <x:c r="C7" s="40" t="str">
        <x:v>Negative expiring WTI futures</x:v>
      </x:c>
      <x:c r="D7" s="40" t="str">
        <x:v>April 2020</x:v>
      </x:c>
      <x:c r="E7" s="40" t="str">
        <x:v>Physical storage and delivery constraints meet a demand shock and contract expiry.</x:v>
      </x:c>
      <x:c r="F7" s="40" t="str">
        <x:v>EIA documented negative May-contract futures on April 20 and the role of scarce storage and low liquidity.</x:v>
      </x:c>
      <x:c r="G7" s="40" t="str">
        <x:v>Storage availability, expiring-contract positioning, physical basis, refinery runs.</x:v>
      </x:c>
      <x:c r="H7" s="40" t="str">
        <x:v>A financial-contract dislocation can differ sharply from long-run resource economics.</x:v>
      </x:c>
      <x:c r="I7" s="40" t="str">
        <x:v>Do not equate one expiring futures price with every producer's realized price or asset value.</x:v>
      </x:c>
      <x:c r="J7" s="40" t="str">
        <x:v>Keep spot, futures tenor, basis, transport and storage constraints in separate columns.</x:v>
      </x:c>
      <x:c r="K7" s="40" t="str">
        <x:v>H-WTI20</x:v>
      </x:c>
      <x:c r="L7" s="40" t="str">
        <x:v>https://www.eia.gov/todayinenergy/detail.php?id=43495</x:v>
      </x:c>
      <x:c r="M7" s="44" t="n">
        <x:v>43948</x:v>
      </x:c>
      <x:c r="N7" s="40" t="str">
        <x:v>Contemporaneous reporting; available only after release</x:v>
      </x:c>
      <x:c r="O7" s="40" t="str">
        <x:v>Case study only; no point-in-time universe, consensus or total-return backtest</x:v>
      </x:c>
      <x:c r="P7" s="40" t="str">
        <x:v>Reconstruct dated indicator releases and all eligible peers; test false positives and costs.</x:v>
      </x:c>
    </x:row>
    <x:row r="8" ht="108" customHeight="1">
      <x:c r="A8" s="40" t="str">
        <x:v>C03</x:v>
      </x:c>
      <x:c r="B8" s="40" t="str">
        <x:v>Materials</x:v>
      </x:c>
      <x:c r="C8" s="40" t="str">
        <x:v>Lithium supply response overwhelms demand growth</x:v>
      </x:c>
      <x:c r="D8" s="40" t="str">
        <x:v>2022–2023</x:v>
      </x:c>
      <x:c r="E8" s="40" t="str">
        <x:v>High incentive prices attract supply and inventories despite electrification growth.</x:v>
      </x:c>
      <x:c r="F8" s="40" t="str">
        <x:v>IEA reported lithium prices fell 75% during 2023.</x:v>
      </x:c>
      <x:c r="G8" s="40" t="str">
        <x:v>Mine/processing ramp schedules, inventories, EV/ESS orders and regional chemical prices.</x:v>
      </x:c>
      <x:c r="H8" s="40" t="str">
        <x:v>Revenue and margins can collapse even while end-market units rise.</x:v>
      </x:c>
      <x:c r="I8" s="40" t="str">
        <x:v>Secular demand forecasts do not override the marginal supply curve.</x:v>
      </x:c>
      <x:c r="J8" s="40" t="str">
        <x:v>Require a capacity-response schedule in every AI hardware and scarce-input thesis.</x:v>
      </x:c>
      <x:c r="K8" s="40" t="str">
        <x:v>H-LITH</x:v>
      </x:c>
      <x:c r="L8" s="40" t="str">
        <x:v>https://www.iea.org/news/sharp-declines-in-critical-mineral-prices-mask-risks-of-future-supply-strains-as-energy-transitions-advance</x:v>
      </x:c>
      <x:c r="M8" s="44" t="n">
        <x:v>45429</x:v>
      </x:c>
      <x:c r="N8" s="40" t="str">
        <x:v>Retrospective 2024 assessment of 2023</x:v>
      </x:c>
      <x:c r="O8" s="40" t="str">
        <x:v>Case study only; no point-in-time universe, consensus or total-return backtest</x:v>
      </x:c>
      <x:c r="P8" s="40" t="str">
        <x:v>Reconstruct dated indicator releases and all eligible peers; test false positives and costs.</x:v>
      </x:c>
    </x:row>
    <x:row r="9" ht="108" customHeight="1">
      <x:c r="A9" s="40" t="str">
        <x:v>C04</x:v>
      </x:c>
      <x:c r="B9" s="40" t="str">
        <x:v>Materials</x:v>
      </x:c>
      <x:c r="C9" s="40" t="str">
        <x:v>Solar manufacturing glut</x:v>
      </x:c>
      <x:c r="D9" s="40" t="str">
        <x:v>2023–2024</x:v>
      </x:c>
      <x:c r="E9" s="40" t="str">
        <x:v>Rapid manufacturing expansion outpaces near-term deployment.</x:v>
      </x:c>
      <x:c r="F9" s="40" t="str">
        <x:v>IEA's 2024 report described module-price declines and negative integrated-manufacturer margins amid oversupply.</x:v>
      </x:c>
      <x:c r="G9" s="40" t="str">
        <x:v>Nameplate versus saleable output, module inventory, operating cash costs, trade barriers.</x:v>
      </x:c>
      <x:c r="H9" s="40" t="str">
        <x:v>Cheaper modules benefit developers and buyers while damaging manufacturers.</x:v>
      </x:c>
      <x:c r="I9" s="40" t="str">
        <x:v>The beneficiary of faster adoption need not be the equipment manufacturer.</x:v>
      </x:c>
      <x:c r="J9" s="40" t="str">
        <x:v>Map both winners and losers when cooling, optics or electrical capacity is added.</x:v>
      </x:c>
      <x:c r="K9" s="40" t="str">
        <x:v>H-SOLAR</x:v>
      </x:c>
      <x:c r="L9" s="40" t="str">
        <x:v>https://www.iea.org/reports/renewables-2024/executive-summary</x:v>
      </x:c>
      <x:c r="M9" s="44" t="n">
        <x:v>45574</x:v>
      </x:c>
      <x:c r="N9" s="40" t="str">
        <x:v>Contemporaneous industry assessment; includes forecasts</x:v>
      </x:c>
      <x:c r="O9" s="40" t="str">
        <x:v>Case study only; no point-in-time universe, consensus or total-return backtest</x:v>
      </x:c>
      <x:c r="P9" s="40" t="str">
        <x:v>Reconstruct dated indicator releases and all eligible peers; test false positives and costs.</x:v>
      </x:c>
    </x:row>
    <x:row r="10" ht="108" customHeight="1">
      <x:c r="A10" s="40" t="str">
        <x:v>C05</x:v>
      </x:c>
      <x:c r="B10" s="40" t="str">
        <x:v>Information Technology</x:v>
      </x:c>
      <x:c r="C10" s="40" t="str">
        <x:v>Cisco inventory overhang</x:v>
      </x:c>
      <x:c r="D10" s="40" t="str">
        <x:v>2000–2001</x:v>
      </x:c>
      <x:c r="E10" s="40" t="str">
        <x:v>Capacity and inventory commitments built against extrapolated orders meet a demand reversal.</x:v>
      </x:c>
      <x:c r="F10" s="40" t="str">
        <x:v>Cisco disclosed a $2.2 billion excess-inventory charge in Q3 FY2001.</x:v>
      </x:c>
      <x:c r="G10" s="40" t="str">
        <x:v>Customer cancellations, channel inventories, purchase commitments and order duplication.</x:v>
      </x:c>
      <x:c r="H10" s="40" t="str">
        <x:v>Prior backlog and reported growth can mask an abrupt fall in economically real demand.</x:v>
      </x:c>
      <x:c r="I10" s="40" t="str">
        <x:v>Backlog is not independent evidence if the same demand is duplicated across channels.</x:v>
      </x:c>
      <x:c r="J10" s="40" t="str">
        <x:v>AAOI/COHU/POWL demand checks must include cancellations and end-customer deployment.</x:v>
      </x:c>
      <x:c r="K10" s="40" t="str">
        <x:v>H-CISCO</x:v>
      </x:c>
      <x:c r="L10" s="40" t="str">
        <x:v>https://newsroom.cisco.com/c/r/newsroom/en/us/a/y2001/m05/cisco-systems-reports-third-quarter-earnings.html</x:v>
      </x:c>
      <x:c r="M10" s="44" t="n">
        <x:v>37019</x:v>
      </x:c>
      <x:c r="N10" s="40" t="str">
        <x:v>Contemporaneous reporting; available only after release</x:v>
      </x:c>
      <x:c r="O10" s="40" t="str">
        <x:v>Case study only; no point-in-time universe, consensus or total-return backtest</x:v>
      </x:c>
      <x:c r="P10" s="40" t="str">
        <x:v>Reconstruct dated indicator releases and all eligible peers; test false positives and costs.</x:v>
      </x:c>
    </x:row>
    <x:row r="11" ht="108" customHeight="1">
      <x:c r="A11" s="40" t="str">
        <x:v>C06</x:v>
      </x:c>
      <x:c r="B11" s="40" t="str">
        <x:v>Industrials</x:v>
      </x:c>
      <x:c r="C11" s="40" t="str">
        <x:v>Container freight scarcity unwinds</x:v>
      </x:c>
      <x:c r="D11" s="40" t="str">
        <x:v>2021–2023</x:v>
      </x:c>
      <x:c r="E11" s="40" t="str">
        <x:v>Congestion-driven pricing and contract resets normalize as supply-chain pressure eases.</x:v>
      </x:c>
      <x:c r="F11" s="40" t="str">
        <x:v>Maersk's FY2023 release reported falling freight rates despite volume improvement in several products.</x:v>
      </x:c>
      <x:c r="G11" s="40" t="str">
        <x:v>Spot/contract spreads, orderbook deliveries, port waits and ship utilization.</x:v>
      </x:c>
      <x:c r="H11" s="40" t="str">
        <x:v>Contract-rate lag can hold earnings high after spot economics turn down.</x:v>
      </x:c>
      <x:c r="I11" s="40" t="str">
        <x:v>Peak cash flow and low multiples are dangerous when replacement contracts are weaker.</x:v>
      </x:c>
      <x:c r="J11" s="40" t="str">
        <x:v>Test contract reset dates in any shortage supplier, not only present utilization.</x:v>
      </x:c>
      <x:c r="K11" s="40" t="str">
        <x:v>H-SHIPS</x:v>
      </x:c>
      <x:c r="L11" s="40" t="str">
        <x:v>https://www.maersk.com/news/articles/2024/02/08/apmm-delivered-solid-2023-financial-results-in-a-difficult-environment</x:v>
      </x:c>
      <x:c r="M11" s="44" t="n">
        <x:v>45330</x:v>
      </x:c>
      <x:c r="N11" s="40" t="str">
        <x:v>Contemporaneous reporting; available only after release</x:v>
      </x:c>
      <x:c r="O11" s="40" t="str">
        <x:v>Case study only; no point-in-time universe, consensus or total-return backtest</x:v>
      </x:c>
      <x:c r="P11" s="40" t="str">
        <x:v>Reconstruct dated indicator releases and all eligible peers; test false positives and costs.</x:v>
      </x:c>
    </x:row>
    <x:row r="12" ht="108" customHeight="1">
      <x:c r="A12" s="40" t="str">
        <x:v>C07</x:v>
      </x:c>
      <x:c r="B12" s="40" t="str">
        <x:v>Industrials</x:v>
      </x:c>
      <x:c r="C12" s="40" t="str">
        <x:v>Airline demand shock and liquidity survival</x:v>
      </x:c>
      <x:c r="D12" s="40" t="str">
        <x:v>2020</x:v>
      </x:c>
      <x:c r="E12" s="40" t="str">
        <x:v>Travel restrictions collapse revenue against high fixed costs.</x:v>
      </x:c>
      <x:c r="F12" s="40" t="str">
        <x:v>Delta reported a September-quarter GAAP pretax loss of $6.9 billion and liquidity of $21.6 billion.</x:v>
      </x:c>
      <x:c r="G12" s="40" t="str">
        <x:v>Bookings, travel restrictions, capacity cuts, cash burn and collateral availability.</x:v>
      </x:c>
      <x:c r="H12" s="40" t="str">
        <x:v>Financing runway determines who survives to participate in recovery.</x:v>
      </x:c>
      <x:c r="I12" s="40" t="str">
        <x:v>Eventual demand recovery does not prevent permanent dilution or debt burden.</x:v>
      </x:c>
      <x:c r="J12" s="40" t="str">
        <x:v>Model a delayed catalyst through cash burn, not just a lower earnings multiple.</x:v>
      </x:c>
      <x:c r="K12" s="40" t="str">
        <x:v>H-AIR</x:v>
      </x:c>
      <x:c r="L12" s="40" t="str">
        <x:v>https://ir.delta.com/news/news-details/2020/Delta-Air-Lines-Announces-September-Quarter-Financial-Results/default.aspx</x:v>
      </x:c>
      <x:c r="M12" s="44" t="n">
        <x:v>44117</x:v>
      </x:c>
      <x:c r="N12" s="40" t="str">
        <x:v>Contemporaneous reporting; available only after release</x:v>
      </x:c>
      <x:c r="O12" s="40" t="str">
        <x:v>Case study only; no point-in-time universe, consensus or total-return backtest</x:v>
      </x:c>
      <x:c r="P12" s="40" t="str">
        <x:v>Reconstruct dated indicator releases and all eligible peers; test false positives and costs.</x:v>
      </x:c>
    </x:row>
    <x:row r="13" ht="108" customHeight="1">
      <x:c r="A13" s="40" t="str">
        <x:v>C08</x:v>
      </x:c>
      <x:c r="B13" s="40" t="str">
        <x:v>Consumer Discretionary</x:v>
      </x:c>
      <x:c r="C13" s="40" t="str">
        <x:v>Hotel recovery distorted by the comparison base</x:v>
      </x:c>
      <x:c r="D13" s="40" t="str">
        <x:v>2020–2021</x:v>
      </x:c>
      <x:c r="E13" s="40" t="str">
        <x:v>Travel recovery raises occupancy and room rates from a depressed baseline.</x:v>
      </x:c>
      <x:c r="F13" s="40" t="str">
        <x:v>Marriott's Q4 2021 worldwide RevPAR rose 124.5% versus 2020 but remained 19% below 2019.</x:v>
      </x:c>
      <x:c r="G13" s="40" t="str">
        <x:v>Occupancy, ADR, group bookings and comparable pre-shock levels.</x:v>
      </x:c>
      <x:c r="H13" s="40" t="str">
        <x:v>Fixed-cost absorption differs greatly between hotel owners and franchisors.</x:v>
      </x:c>
      <x:c r="I13" s="40" t="str">
        <x:v>Spectacular year-over-year growth can still mean incomplete economic recovery.</x:v>
      </x:c>
      <x:c r="J13" s="40" t="str">
        <x:v>Always show pre-disruption levels beside growth rates for inflection candidates.</x:v>
      </x:c>
      <x:c r="K13" s="40" t="str">
        <x:v>H-HOTEL</x:v>
      </x:c>
      <x:c r="L13" s="40" t="str">
        <x:v>https://marriott.gcs-web.com/news-releases/news-release-details/marriott-international-reports-fourth-quarter-2021-results</x:v>
      </x:c>
      <x:c r="M13" s="44" t="n">
        <x:v>44607</x:v>
      </x:c>
      <x:c r="N13" s="40" t="str">
        <x:v>Contemporaneous reporting; available only after release</x:v>
      </x:c>
      <x:c r="O13" s="40" t="str">
        <x:v>Case study only; no point-in-time universe, consensus or total-return backtest</x:v>
      </x:c>
      <x:c r="P13" s="40" t="str">
        <x:v>Reconstruct dated indicator releases and all eligible peers; test false positives and costs.</x:v>
      </x:c>
    </x:row>
    <x:row r="14" ht="108" customHeight="1">
      <x:c r="A14" s="40" t="str">
        <x:v>C09</x:v>
      </x:c>
      <x:c r="B14" s="40" t="str">
        <x:v>Consumer Discretionary</x:v>
      </x:c>
      <x:c r="C14" s="40" t="str">
        <x:v>Housing and leveraged collateral downturn</x:v>
      </x:c>
      <x:c r="D14" s="40" t="str">
        <x:v>2006–2011</x:v>
      </x:c>
      <x:c r="E14" s="40" t="str">
        <x:v>Credit expansion reverses; falling collateral values feed weaker lending and construction.</x:v>
      </x:c>
      <x:c r="F14" s="40" t="str">
        <x:v>Federal Reserve history describes the downward loop among subprime credit, house prices and real activity.</x:v>
      </x:c>
      <x:c r="G14" s="40" t="str">
        <x:v>Permits, cancellations, mortgage credit, inventory, land commitments and funding maturities.</x:v>
      </x:c>
      <x:c r="H14" s="40" t="str">
        <x:v>Asset impairments, lending contraction and falling volumes reinforce each other.</x:v>
      </x:c>
      <x:c r="I14" s="40" t="str">
        <x:v>Low book multiples can be misleading before land and credit losses are recognized.</x:v>
      </x:c>
      <x:c r="J14" s="40" t="str">
        <x:v>FND and housing suppliers need credit and end-demand checks, not just permit growth.</x:v>
      </x:c>
      <x:c r="K14" s="40" t="str">
        <x:v>H-HOUSE</x:v>
      </x:c>
      <x:c r="L14" s="40" t="str">
        <x:v>https://www.federalreservehistory.org/essays/subprime-mortgage-crisis</x:v>
      </x:c>
      <x:c r="M14" s="44"/>
      <x:c r="N14" s="40" t="str">
        <x:v>Retrospective institutional history; publication date not captured</x:v>
      </x:c>
      <x:c r="O14" s="40" t="str">
        <x:v>Case study only; no point-in-time universe, consensus or total-return backtest</x:v>
      </x:c>
      <x:c r="P14" s="40" t="str">
        <x:v>Reconstruct dated indicator releases and all eligible peers; test false positives and costs.</x:v>
      </x:c>
    </x:row>
    <x:row r="15" ht="108" customHeight="1">
      <x:c r="A15" s="40" t="str">
        <x:v>C10</x:v>
      </x:c>
      <x:c r="B15" s="40" t="str">
        <x:v>Consumer Discretionary</x:v>
      </x:c>
      <x:c r="C15" s="40" t="str">
        <x:v>Target inventory liquidation</x:v>
      </x:c>
      <x:c r="D15" s="40" t="str">
        <x:v>2022</x:v>
      </x:c>
      <x:c r="E15" s="40" t="str">
        <x:v>Demand mix shifts leave excess inventory requiring markdowns.</x:v>
      </x:c>
      <x:c r="F15" s="40" t="str">
        <x:v>Target's Q2 2022 operating margin was 1.2%, versus 9.8% a year earlier.</x:v>
      </x:c>
      <x:c r="G15" s="40" t="str">
        <x:v>Category inventory growth versus sell-through, cancellations, markdown depth.</x:v>
      </x:c>
      <x:c r="H15" s="40" t="str">
        <x:v>Gross margin collapses before inventory is cleared and cash is released.</x:v>
      </x:c>
      <x:c r="I15" s="40" t="str">
        <x:v>High sales do not protect margins if the wrong inventory is on hand.</x:v>
      </x:c>
      <x:c r="J15" s="40" t="str">
        <x:v>Use inventory by category and channel, not a single consolidated days figure.</x:v>
      </x:c>
      <x:c r="K15" s="40" t="str">
        <x:v>H-TGT22</x:v>
      </x:c>
      <x:c r="L15" s="40" t="str">
        <x:v>https://corporate.target.com/press/release/2022/08/target-corporation-reports-second-quarter-earnings</x:v>
      </x:c>
      <x:c r="M15" s="44" t="n">
        <x:v>44790</x:v>
      </x:c>
      <x:c r="N15" s="40" t="str">
        <x:v>Contemporaneous reporting; available only after release</x:v>
      </x:c>
      <x:c r="O15" s="40" t="str">
        <x:v>Case study only; no point-in-time universe, consensus or total-return backtest</x:v>
      </x:c>
      <x:c r="P15" s="40" t="str">
        <x:v>Reconstruct dated indicator releases and all eligible peers; test false positives and costs.</x:v>
      </x:c>
    </x:row>
    <x:row r="16" ht="108" customHeight="1">
      <x:c r="A16" s="40" t="str">
        <x:v>C11</x:v>
      </x:c>
      <x:c r="B16" s="40" t="str">
        <x:v>Consumer Discretionary</x:v>
      </x:c>
      <x:c r="C16" s="40" t="str">
        <x:v>Target margin rebound without sales recovery</x:v>
      </x:c>
      <x:c r="D16" s="40" t="str">
        <x:v>2023</x:v>
      </x:c>
      <x:c r="E16" s="40" t="str">
        <x:v>Reduced inventory-related pressure permits profitability recovery on weaker sales.</x:v>
      </x:c>
      <x:c r="F16" s="40" t="str">
        <x:v>Target reported Q2 2023 comparable sales down 5.4% with an operating margin of 4.8%.</x:v>
      </x:c>
      <x:c r="G16" s="40" t="str">
        <x:v>Markdown normalization, freight, shrink and underlying traffic.</x:v>
      </x:c>
      <x:c r="H16" s="40" t="str">
        <x:v>Profit can rebound faster than revenue while consumer demand remains weak.</x:v>
      </x:c>
      <x:c r="I16" s="40" t="str">
        <x:v>A margin rebound does not prove a new revenue growth cycle.</x:v>
      </x:c>
      <x:c r="J16" s="40" t="str">
        <x:v>Distinguish FND tariff effects and MOD cost normalization from genuine demand acceleration.</x:v>
      </x:c>
      <x:c r="K16" s="40" t="str">
        <x:v>H-TGT23</x:v>
      </x:c>
      <x:c r="L16" s="40" t="str">
        <x:v>https://corporate.target.com/press/release/2023/08/target-corporation-reports-second-quarter-earnings</x:v>
      </x:c>
      <x:c r="M16" s="44" t="n">
        <x:v>45154</x:v>
      </x:c>
      <x:c r="N16" s="40" t="str">
        <x:v>Contemporaneous reporting; available only after release</x:v>
      </x:c>
      <x:c r="O16" s="40" t="str">
        <x:v>Case study only; no point-in-time universe, consensus or total-return backtest</x:v>
      </x:c>
      <x:c r="P16" s="40" t="str">
        <x:v>Reconstruct dated indicator releases and all eligible peers; test false positives and costs.</x:v>
      </x:c>
    </x:row>
    <x:row r="17" ht="108" customHeight="1">
      <x:c r="A17" s="40" t="str">
        <x:v>C12</x:v>
      </x:c>
      <x:c r="B17" s="40" t="str">
        <x:v>Consumer Staples</x:v>
      </x:c>
      <x:c r="C17" s="40" t="str">
        <x:v>Branded staples price-cost offset</x:v>
      </x:c>
      <x:c r="D17" s="40" t="str">
        <x:v>2022–2023</x:v>
      </x:c>
      <x:c r="E17" s="40" t="str">
        <x:v>Pricing responds to cost inflation, with customer volume elasticity.</x:v>
      </x:c>
      <x:c r="F17" s="40" t="str">
        <x:v>P&amp;G's Q3 FY2023 release reported organic sales up 7% and core EPS up 3%.</x:v>
      </x:c>
      <x:c r="G17" s="40" t="str">
        <x:v>Price, volume, mix, promotion and commodity basket separately.</x:v>
      </x:c>
      <x:c r="H17" s="40" t="str">
        <x:v>Revenue pricing gains can coexist with thin net profit progress after cost/FX effects.</x:v>
      </x:c>
      <x:c r="I17" s="40" t="str">
        <x:v>Price-led growth is not the same as market-share growth or full pricing power.</x:v>
      </x:c>
      <x:c r="J17" s="40" t="str">
        <x:v>Screen staple brands on repeat volume and normalized contribution, not nominal revenue.</x:v>
      </x:c>
      <x:c r="K17" s="40" t="str">
        <x:v>H-PG</x:v>
      </x:c>
      <x:c r="L17" s="40" t="str">
        <x:v>https://www.sec.gov/Archives/edgar/data/80424/000008042423000039/fy2223q3jfm8-kexhibit991.htm</x:v>
      </x:c>
      <x:c r="M17" s="44" t="n">
        <x:v>45037</x:v>
      </x:c>
      <x:c r="N17" s="40" t="str">
        <x:v>Contemporaneous reporting; available only after release</x:v>
      </x:c>
      <x:c r="O17" s="40" t="str">
        <x:v>Case study only; no point-in-time universe, consensus or total-return backtest</x:v>
      </x:c>
      <x:c r="P17" s="40" t="str">
        <x:v>Reconstruct dated indicator releases and all eligible peers; test false positives and costs.</x:v>
      </x:c>
    </x:row>
    <x:row r="18" ht="108" customHeight="1">
      <x:c r="A18" s="40" t="str">
        <x:v>C13</x:v>
      </x:c>
      <x:c r="B18" s="40" t="str">
        <x:v>Consumer Staples</x:v>
      </x:c>
      <x:c r="C18" s="40" t="str">
        <x:v>Egg scarcity and flock rebuilding</x:v>
      </x:c>
      <x:c r="D18" s="40" t="str">
        <x:v>2022–2023</x:v>
      </x:c>
      <x:c r="E18" s="40" t="str">
        <x:v>Avian influenza reduces supply; rebuilding later restores availability.</x:v>
      </x:c>
      <x:c r="F18" s="40" t="str">
        <x:v>USDA documented record wholesale prices in 2022 followed by falling prices as supply recovered.</x:v>
      </x:c>
      <x:c r="G18" s="40" t="str">
        <x:v>Layer flock, egg inventories, outbreak geography, feed costs and wholesale-retail spreads.</x:v>
      </x:c>
      <x:c r="H18" s="40" t="str">
        <x:v>Supply-driven price spikes can reverse faster than production commitments.</x:v>
      </x:c>
      <x:c r="I18" s="40" t="str">
        <x:v>Premium branding does not completely remove commodity and supply mismatch risk.</x:v>
      </x:c>
      <x:c r="J18" s="40" t="str">
        <x:v>VITL requires a supply-commitment and retailer sell-through bridge.</x:v>
      </x:c>
      <x:c r="K18" s="40" t="str">
        <x:v>H-EGG</x:v>
      </x:c>
      <x:c r="L18" s="40" t="str">
        <x:v>https://www.ers.usda.gov/data-products/charts-of-note/106845</x:v>
      </x:c>
      <x:c r="M18" s="44" t="n">
        <x:v>45118</x:v>
      </x:c>
      <x:c r="N18" s="40" t="str">
        <x:v>Retrospective July 2023 summary with contemporaneous USDA inputs</x:v>
      </x:c>
      <x:c r="O18" s="40" t="str">
        <x:v>Case study only; no point-in-time universe, consensus or total-return backtest</x:v>
      </x:c>
      <x:c r="P18" s="40" t="str">
        <x:v>Reconstruct dated indicator releases and all eligible peers; test false positives and costs.</x:v>
      </x:c>
    </x:row>
    <x:row r="19" ht="108" customHeight="1">
      <x:c r="A19" s="40" t="str">
        <x:v>C14</x:v>
      </x:c>
      <x:c r="B19" s="40" t="str">
        <x:v>Health Care</x:v>
      </x:c>
      <x:c r="C19" s="40" t="str">
        <x:v>Bioprocess growth meets destocking</x:v>
      </x:c>
      <x:c r="D19" s="40" t="str">
        <x:v>2022–2023</x:v>
      </x:c>
      <x:c r="E19" s="40" t="str">
        <x:v>Customers unwind inventory built during exceptional biologics and pandemic demand.</x:v>
      </x:c>
      <x:c r="F19" s="40" t="str">
        <x:v>Repligen's FY2023 revenue was $638.8 million versus $801.5 million in 2022.</x:v>
      </x:c>
      <x:c r="G19" s="40" t="str">
        <x:v>Customer inventory, order cadence, book-to-bill, utilization and base-business definitions.</x:v>
      </x:c>
      <x:c r="H19" s="40" t="str">
        <x:v>Consumables can be recurring in use yet cyclical in purchasing.</x:v>
      </x:c>
      <x:c r="I19" s="40" t="str">
        <x:v>High installed-base quality does not make quarterly consumable orders subscription-like.</x:v>
      </x:c>
      <x:c r="J19" s="40" t="str">
        <x:v>RGEN needs channel inventory and customer usage proof, not just one quarter's orders.</x:v>
      </x:c>
      <x:c r="K19" s="40" t="str">
        <x:v>H-RGEN</x:v>
      </x:c>
      <x:c r="L19" s="40" t="str">
        <x:v>https://investors.repligen.com/press-releases/news-details/2024/Repligen-Reports-Fourth-Quarter-and-Full-Year-2023-Financial-Results/default.aspx</x:v>
      </x:c>
      <x:c r="M19" s="44" t="n">
        <x:v>45343</x:v>
      </x:c>
      <x:c r="N19" s="40" t="str">
        <x:v>Contemporaneous reporting; available only after release</x:v>
      </x:c>
      <x:c r="O19" s="40" t="str">
        <x:v>Case study only; no point-in-time universe, consensus or total-return backtest</x:v>
      </x:c>
      <x:c r="P19" s="40" t="str">
        <x:v>Reconstruct dated indicator releases and all eligible peers; test false positives and costs.</x:v>
      </x:c>
    </x:row>
    <x:row r="20" ht="108" customHeight="1">
      <x:c r="A20" s="40" t="str">
        <x:v>C15</x:v>
      </x:c>
      <x:c r="B20" s="40" t="str">
        <x:v>Health Care</x:v>
      </x:c>
      <x:c r="C20" s="40" t="str">
        <x:v>Approval is not commercial success</x:v>
      </x:c>
      <x:c r="D20" s="40" t="str">
        <x:v>2021–2024</x:v>
      </x:c>
      <x:c r="E20" s="40" t="str">
        <x:v>A drug's commercial economics depend on adoption, reimbursement and resource allocation as well as approval.</x:v>
      </x:c>
      <x:c r="F20" s="40" t="str">
        <x:v>Biogen announced discontinuation of Aduhelm development and commercialization in January 2024.</x:v>
      </x:c>
      <x:c r="G20" s="40" t="str">
        <x:v>Coverage, treatment infrastructure, safety monitoring, uptake and competing trial evidence.</x:v>
      </x:c>
      <x:c r="H20" s="40" t="str">
        <x:v>Approval probability and commercial payoff must be modeled separately.</x:v>
      </x:c>
      <x:c r="I20" s="40" t="str">
        <x:v>Biogen stated this decision was not driven by new safety or efficacy concerns; do not misstate the cause.</x:v>
      </x:c>
      <x:c r="J20" s="40" t="str">
        <x:v>Biotech screening requires separate technical, regulatory and commercial probability trees.</x:v>
      </x:c>
      <x:c r="K20" s="40" t="str">
        <x:v>H-BIIB</x:v>
      </x:c>
      <x:c r="L20" s="40" t="str">
        <x:v>https://investors.biogen.com/news-releases/news-release-details/biogen-realign-resources-alzheimers-disease-franchise</x:v>
      </x:c>
      <x:c r="M20" s="44" t="n">
        <x:v>45322</x:v>
      </x:c>
      <x:c r="N20" s="40" t="str">
        <x:v>Contemporaneous reporting; available only after release</x:v>
      </x:c>
      <x:c r="O20" s="40" t="str">
        <x:v>Case study only; no point-in-time universe, consensus or total-return backtest</x:v>
      </x:c>
      <x:c r="P20" s="40" t="str">
        <x:v>Reconstruct dated indicator releases and all eligible peers; test false positives and costs.</x:v>
      </x:c>
    </x:row>
    <x:row r="21" ht="108" customHeight="1">
      <x:c r="A21" s="40" t="str">
        <x:v>C16</x:v>
      </x:c>
      <x:c r="B21" s="40" t="str">
        <x:v>Financials</x:v>
      </x:c>
      <x:c r="C21" s="40" t="str">
        <x:v>SVB duration and liquidity failure</x:v>
      </x:c>
      <x:c r="D21" s="40" t="str">
        <x:v>2022–2023</x:v>
      </x:c>
      <x:c r="E21" s="40" t="str">
        <x:v>Concentrated deposits and long-duration securities interact with rising rates and outflows.</x:v>
      </x:c>
      <x:c r="F21" s="40" t="str">
        <x:v>The Federal Reserve review identified failures in interest-rate and liquidity risk management.</x:v>
      </x:c>
      <x:c r="G21" s="40" t="str">
        <x:v>Uninsured deposits, deposit concentration, economic securities marks, hedges and funding duration.</x:v>
      </x:c>
      <x:c r="H21" s="40" t="str">
        <x:v>Book income can remain positive while liquidity and economic equity deteriorate.</x:v>
      </x:c>
      <x:c r="I21" s="40" t="str">
        <x:v>A low reported credit-loss rate does not establish low bank risk.</x:v>
      </x:c>
      <x:c r="J21" s="40" t="str">
        <x:v>Bank screens must stress liquidity and duration alongside loan credit.</x:v>
      </x:c>
      <x:c r="K21" s="40" t="str">
        <x:v>H-SVB</x:v>
      </x:c>
      <x:c r="L21" s="40" t="str">
        <x:v>https://www.federalreserve.gov/publications/2023-April-SVB-Key-Takeaways.htm</x:v>
      </x:c>
      <x:c r="M21" s="44" t="n">
        <x:v>45044</x:v>
      </x:c>
      <x:c r="N21" s="40" t="str">
        <x:v>Post-failure supervisory review; not ex-ante trading evidence</x:v>
      </x:c>
      <x:c r="O21" s="40" t="str">
        <x:v>Case study only; no point-in-time universe, consensus or total-return backtest</x:v>
      </x:c>
      <x:c r="P21" s="40" t="str">
        <x:v>Reconstruct dated indicator releases and all eligible peers; test false positives and costs.</x:v>
      </x:c>
    </x:row>
    <x:row r="22" ht="108" customHeight="1">
      <x:c r="A22" s="40" t="str">
        <x:v>C17</x:v>
      </x:c>
      <x:c r="B22" s="40" t="str">
        <x:v>Financials</x:v>
      </x:c>
      <x:c r="C22" s="40" t="str">
        <x:v>Insurance earned profitability lags pricing</x:v>
      </x:c>
      <x:c r="D22" s="40" t="str">
        <x:v>2023</x:v>
      </x:c>
      <x:c r="E22" s="40" t="str">
        <x:v>Filed rates and changes in policies earn into the income statement with a delay.</x:v>
      </x:c>
      <x:c r="F22" s="40" t="str">
        <x:v>Progressive's August 2023 release showed a 97.2% combined ratio and personal-auto policies up 13% year over year.</x:v>
      </x:c>
      <x:c r="G22" s="40" t="str">
        <x:v>Monthly policies, written/earned premiums, rate filings and loss frequency/severity.</x:v>
      </x:c>
      <x:c r="H22" s="40" t="str">
        <x:v>Pricing actions change underwriting earnings on the renewal and earning schedule.</x:v>
      </x:c>
      <x:c r="I22" s="40" t="str">
        <x:v>Reserve releases and catastrophe variation can mimic sustainable rate adequacy.</x:v>
      </x:c>
      <x:c r="J22" s="40" t="str">
        <x:v>KNSL requires forward written premiums and accident-year loss trends, not only earned profit.</x:v>
      </x:c>
      <x:c r="K22" s="40" t="str">
        <x:v>H-PGR</x:v>
      </x:c>
      <x:c r="L22" s="40" t="str">
        <x:v>https://investors.progressive.com/financials/financial-news-releases/news-details/2023/Progressive-Reports-August-2023-Results/default.aspx</x:v>
      </x:c>
      <x:c r="M22" s="44" t="n">
        <x:v>45184</x:v>
      </x:c>
      <x:c r="N22" s="40" t="str">
        <x:v>Contemporaneous reporting; available only after release</x:v>
      </x:c>
      <x:c r="O22" s="40" t="str">
        <x:v>Case study only; no point-in-time universe, consensus or total-return backtest</x:v>
      </x:c>
      <x:c r="P22" s="40" t="str">
        <x:v>Reconstruct dated indicator releases and all eligible peers; test false positives and costs.</x:v>
      </x:c>
    </x:row>
    <x:row r="23" ht="108" customHeight="1">
      <x:c r="A23" s="40" t="str">
        <x:v>C18</x:v>
      </x:c>
      <x:c r="B23" s="40" t="str">
        <x:v>Financials</x:v>
      </x:c>
      <x:c r="C23" s="40" t="str">
        <x:v>Mortgage REIT liquidity shock</x:v>
      </x:c>
      <x:c r="D23" s="40" t="str">
        <x:v>Q1 2020</x:v>
      </x:c>
      <x:c r="E23" s="40" t="str">
        <x:v>Spread volatility and leverage create balance-sheet losses despite agency collateral.</x:v>
      </x:c>
      <x:c r="F23" s="40" t="str">
        <x:v>Annaly reported book value per common share of $7.50 versus $9.66 at the previous year-end.</x:v>
      </x:c>
      <x:c r="G23" s="40" t="str">
        <x:v>Repo haircuts, liquidity, duration/convexity, hedge behavior and asset spreads.</x:v>
      </x:c>
      <x:c r="H23" s="40" t="str">
        <x:v>Asset credit quality does not remove funding or mark-to-market risk.</x:v>
      </x:c>
      <x:c r="I23" s="40" t="str">
        <x:v>High dividend yield is not protection against forced deleveraging.</x:v>
      </x:c>
      <x:c r="J23" s="40" t="str">
        <x:v>Separate solvency, liquidity, accounting earnings and distributions in all levered screens.</x:v>
      </x:c>
      <x:c r="K23" s="40" t="str">
        <x:v>H-NLY</x:v>
      </x:c>
      <x:c r="L23" s="40" t="str">
        <x:v>https://www.annaly.com/news-insights/press-releases/2020/04-29-2020-211549515</x:v>
      </x:c>
      <x:c r="M23" s="44" t="n">
        <x:v>43950</x:v>
      </x:c>
      <x:c r="N23" s="40" t="str">
        <x:v>Contemporaneous reporting; available only after release</x:v>
      </x:c>
      <x:c r="O23" s="40" t="str">
        <x:v>Case study only; no point-in-time universe, consensus or total-return backtest</x:v>
      </x:c>
      <x:c r="P23" s="40" t="str">
        <x:v>Reconstruct dated indicator releases and all eligible peers; test false positives and costs.</x:v>
      </x:c>
    </x:row>
    <x:row r="24" ht="108" customHeight="1">
      <x:c r="A24" s="40" t="str">
        <x:v>C19</x:v>
      </x:c>
      <x:c r="B24" s="40" t="str">
        <x:v>Information Technology</x:v>
      </x:c>
      <x:c r="C24" s="40" t="str">
        <x:v>Memory downturn inside an emerging AI cycle</x:v>
      </x:c>
      <x:c r="D24" s="40" t="str">
        <x:v>2022–2023</x:v>
      </x:c>
      <x:c r="E24" s="40" t="str">
        <x:v>Broad inventory and pricing weakness coexist with a nascent specialized demand opportunity.</x:v>
      </x:c>
      <x:c r="F24" s="40" t="str">
        <x:v>Micron's Q2 FY2023 release reported revenue of about $3.69 billion and deeply negative free cash flow.</x:v>
      </x:c>
      <x:c r="G24" s="40" t="str">
        <x:v>DRAM/NAND inventory and product-specific contract prices; qualified HBM supply separately.</x:v>
      </x:c>
      <x:c r="H24" s="40" t="str">
        <x:v>A growing niche may not yet offset the much larger commodity business.</x:v>
      </x:c>
      <x:c r="I24" s="40" t="str">
        <x:v>Do not back-project later HBM demand into every memory segment in 2022.</x:v>
      </x:c>
      <x:c r="J24" s="40" t="str">
        <x:v>Split bit demand, product mix, price and supply additions before ranking memory beneficiaries.</x:v>
      </x:c>
      <x:c r="K24" s="40" t="str">
        <x:v>H-MU</x:v>
      </x:c>
      <x:c r="L24" s="40" t="str">
        <x:v>https://investors.micron.com/news/press-release/2023/Micron-Technology-Inc--Reports-Results-for-the-Second-Quarter-of-Fiscal-2023-03-28-2023/default.aspx</x:v>
      </x:c>
      <x:c r="M24" s="44" t="n">
        <x:v>45013</x:v>
      </x:c>
      <x:c r="N24" s="40" t="str">
        <x:v>Contemporaneous reporting; available only after release</x:v>
      </x:c>
      <x:c r="O24" s="40" t="str">
        <x:v>Case study only; no point-in-time universe, consensus or total-return backtest</x:v>
      </x:c>
      <x:c r="P24" s="40" t="str">
        <x:v>Reconstruct dated indicator releases and all eligible peers; test false positives and costs.</x:v>
      </x:c>
    </x:row>
    <x:row r="25" ht="108" customHeight="1">
      <x:c r="A25" s="40" t="str">
        <x:v>C20</x:v>
      </x:c>
      <x:c r="B25" s="40" t="str">
        <x:v>Information Technology</x:v>
      </x:c>
      <x:c r="C25" s="40" t="str">
        <x:v>NVIDIA revenue guidance step-change</x:v>
      </x:c>
      <x:c r="D25" s="40" t="str">
        <x:v>May 2023</x:v>
      </x:c>
      <x:c r="E25" s="40" t="str">
        <x:v>Customer demand becomes large enough to change the next-quarter revenue trajectory.</x:v>
      </x:c>
      <x:c r="F25" s="40" t="str">
        <x:v>NVIDIA guided Q2 FY2024 revenue to $11 billion, plus or minus 2%, in its May 2023 release.</x:v>
      </x:c>
      <x:c r="G25" s="40" t="str">
        <x:v>Funded orders, deployment readiness, available supply and customer capex.</x:v>
      </x:c>
      <x:c r="H25" s="40" t="str">
        <x:v>A demand shift only becomes an investment edge if it exceeds already-priced expectations.</x:v>
      </x:c>
      <x:c r="I25" s="40" t="str">
        <x:v>The announcement documents a business inflection, not what investors knew or priced months earlier.</x:v>
      </x:c>
      <x:c r="J25" s="40" t="str">
        <x:v>For each present candidate reconstruct the expectation baseline before declaring an early discovery.</x:v>
      </x:c>
      <x:c r="K25" s="40" t="str">
        <x:v>H-NVDA</x:v>
      </x:c>
      <x:c r="L25" s="40" t="str">
        <x:v>https://investor.nvidia.com/news/press-release-details/2023/NVIDIA-Announces-Financial-Results-for-First-Quarter-Fiscal-2024/default.aspx</x:v>
      </x:c>
      <x:c r="M25" s="44" t="n">
        <x:v>45070</x:v>
      </x:c>
      <x:c r="N25" s="40" t="str">
        <x:v>Contemporaneous reporting; available only after release</x:v>
      </x:c>
      <x:c r="O25" s="40" t="str">
        <x:v>Case study only; no point-in-time universe, consensus or total-return backtest</x:v>
      </x:c>
      <x:c r="P25" s="40" t="str">
        <x:v>Reconstruct dated indicator releases and all eligible peers; test false positives and costs.</x:v>
      </x:c>
    </x:row>
    <x:row r="26" ht="108" customHeight="1">
      <x:c r="A26" s="40" t="str">
        <x:v>C21</x:v>
      </x:c>
      <x:c r="B26" s="40" t="str">
        <x:v>Communication Services</x:v>
      </x:c>
      <x:c r="C26" s="40" t="str">
        <x:v>Netflix saturation and subscriber reset</x:v>
      </x:c>
      <x:c r="D26" s="40" t="str">
        <x:v>Q1 2022</x:v>
      </x:c>
      <x:c r="E26" s="40" t="str">
        <x:v>Pandemic pull-forward, competition and household monetization limitations alter growth.</x:v>
      </x:c>
      <x:c r="F26" s="40" t="str">
        <x:v>The April 2022 shareholder letter showed paid net additions of negative 0.20 million and discussed growth headwinds.</x:v>
      </x:c>
      <x:c r="G26" s="40" t="str">
        <x:v>Cohort retention, net additions, penetration, paid sharing and monetization.</x:v>
      </x:c>
      <x:c r="H26" s="40" t="str">
        <x:v>A large addressable audience does not guarantee incremental profitable subscribers.</x:v>
      </x:c>
      <x:c r="I26" s="40" t="str">
        <x:v>Subscriber forecasts, actual paid accounts and people sharing accounts are different populations.</x:v>
      </x:c>
      <x:c r="J26" s="40" t="str">
        <x:v>Require precise user/account definitions in software and media dashboards.</x:v>
      </x:c>
      <x:c r="K26" s="40" t="str">
        <x:v>H-NFLX</x:v>
      </x:c>
      <x:c r="L26" s="40" t="str">
        <x:v>https://s22.q4cdn.com/959853165/files/doc_financials/2022/q1/FINAL-Q1-22-Shareholder-Letter.pdf</x:v>
      </x:c>
      <x:c r="M26" s="44" t="n">
        <x:v>44670</x:v>
      </x:c>
      <x:c r="N26" s="40" t="str">
        <x:v>Contemporaneous reporting; available only after release</x:v>
      </x:c>
      <x:c r="O26" s="40" t="str">
        <x:v>Case study only; no point-in-time universe, consensus or total-return backtest</x:v>
      </x:c>
      <x:c r="P26" s="40" t="str">
        <x:v>Reconstruct dated indicator releases and all eligible peers; test false positives and costs.</x:v>
      </x:c>
    </x:row>
    <x:row r="27" ht="108" customHeight="1">
      <x:c r="A27" s="40" t="str">
        <x:v>C22</x:v>
      </x:c>
      <x:c r="B27" s="40" t="str">
        <x:v>Communication Services</x:v>
      </x:c>
      <x:c r="C27" s="40" t="str">
        <x:v>Meta operating leverage and spending reset</x:v>
      </x:c>
      <x:c r="D27" s="40" t="str">
        <x:v>2022–2023</x:v>
      </x:c>
      <x:c r="E27" s="40" t="str">
        <x:v>Revenue recovery and expense discipline change profitability after a growth slowdown.</x:v>
      </x:c>
      <x:c r="F27" s="40" t="str">
        <x:v>Meta's FY2023 release reported revenue up 16% to $134.90 billion.</x:v>
      </x:c>
      <x:c r="G27" s="40" t="str">
        <x:v>Ad impressions, pricing, engagement, cash capex and headcount/cost guidance.</x:v>
      </x:c>
      <x:c r="H27" s="40" t="str">
        <x:v>Cost discipline can amplify modest top-line recovery; reinvestment needs may subsequently rise.</x:v>
      </x:c>
      <x:c r="I27" s="40" t="str">
        <x:v>Do not turn a restructuring year into a permanently low expense/capex baseline.</x:v>
      </x:c>
      <x:c r="J27" s="40" t="str">
        <x:v>Compare monetization recovery against future compute and product spending.</x:v>
      </x:c>
      <x:c r="K27" s="40" t="str">
        <x:v>H-META</x:v>
      </x:c>
      <x:c r="L27" s="40" t="str">
        <x:v>https://investor.atmeta.com/investor-news/press-release-details/2024/Meta-Reports-Fourth-Quarter-and-Full-Year-2023-Results-Initiates-Quarterly-Dividend/default.aspx</x:v>
      </x:c>
      <x:c r="M27" s="44" t="n">
        <x:v>45323</x:v>
      </x:c>
      <x:c r="N27" s="40" t="str">
        <x:v>Contemporaneous reporting; available only after release</x:v>
      </x:c>
      <x:c r="O27" s="40" t="str">
        <x:v>Case study only; no point-in-time universe, consensus or total-return backtest</x:v>
      </x:c>
      <x:c r="P27" s="40" t="str">
        <x:v>Reconstruct dated indicator releases and all eligible peers; test false positives and costs.</x:v>
      </x:c>
    </x:row>
    <x:row r="28" ht="108" customHeight="1">
      <x:c r="A28" s="40" t="str">
        <x:v>C23</x:v>
      </x:c>
      <x:c r="B28" s="40" t="str">
        <x:v>Utilities</x:v>
      </x:c>
      <x:c r="C28" s="40" t="str">
        <x:v>Texas freeze exposes system dependencies</x:v>
      </x:c>
      <x:c r="D28" s="40" t="str">
        <x:v>February 2021</x:v>
      </x:c>
      <x:c r="E28" s="40" t="str">
        <x:v>Gas and electric infrastructure failures compound under extreme weather.</x:v>
      </x:c>
      <x:c r="F28" s="40" t="str">
        <x:v>FERC's final report emphasized winterization and gas-electric coordination recommendations.</x:v>
      </x:c>
      <x:c r="G28" s="40" t="str">
        <x:v>Weatherization, fuel assurance, critical-load mapping and settlement exposure.</x:v>
      </x:c>
      <x:c r="H28" s="40" t="str">
        <x:v>High wholesale prices can reward some generators while bankrupting unhedged suppliers or customers.</x:v>
      </x:c>
      <x:c r="I28" s="40" t="str">
        <x:v>Higher power prices are not uniformly bullish for the entire utility value chain.</x:v>
      </x:c>
      <x:c r="J28" s="40" t="str">
        <x:v>Power-demand beneficiaries need hedging, regulatory recovery and reliability analysis.</x:v>
      </x:c>
      <x:c r="K28" s="40" t="str">
        <x:v>H-TEXAS</x:v>
      </x:c>
      <x:c r="L28" s="40" t="str">
        <x:v>https://www.ferc.gov/news-events/news/final-report-february-2021-freeze-underscores-winterization-recommendations</x:v>
      </x:c>
      <x:c r="M28" s="44" t="n">
        <x:v>44516</x:v>
      </x:c>
      <x:c r="N28" s="40" t="str">
        <x:v>Post-event engineering and regulatory review</x:v>
      </x:c>
      <x:c r="O28" s="40" t="str">
        <x:v>Case study only; no point-in-time universe, consensus or total-return backtest</x:v>
      </x:c>
      <x:c r="P28" s="40" t="str">
        <x:v>Reconstruct dated indicator releases and all eligible peers; test false positives and costs.</x:v>
      </x:c>
    </x:row>
    <x:row r="29" ht="108" customHeight="1">
      <x:c r="A29" s="40" t="str">
        <x:v>C24</x:v>
      </x:c>
      <x:c r="B29" s="40" t="str">
        <x:v>Real Estate</x:v>
      </x:c>
      <x:c r="C29" s="40" t="str">
        <x:v>Office leasing improvement versus cash and financing</x:v>
      </x:c>
      <x:c r="D29" s="40" t="str">
        <x:v>2024</x:v>
      </x:c>
      <x:c r="E29" s="40" t="str">
        <x:v>Leasing improves from a weak base while required investment and financing still pressure equity returns.</x:v>
      </x:c>
      <x:c r="F29" s="40" t="str">
        <x:v>BXP reported 87.5% occupied versus 89.4% leased; 2025 FFO guidance faced higher net interest expense.</x:v>
      </x:c>
      <x:c r="G29" s="40" t="str">
        <x:v>Signed leases, commenced rent, tenant improvements, concessions and debt resets.</x:v>
      </x:c>
      <x:c r="H29" s="40" t="str">
        <x:v>Occupancy, contractual commitments and shareholder cash flow improve on different schedules.</x:v>
      </x:c>
      <x:c r="I29" s="40" t="str">
        <x:v>Leased space not yet commenced is not equivalent to current NOI; FFO is not AFFO.</x:v>
      </x:c>
      <x:c r="J29" s="40" t="str">
        <x:v>IRT/BMI/POWL analogues all require signed-to-delivered-to-cash timing, not headline bookings.</x:v>
      </x:c>
      <x:c r="K29" s="40" t="str">
        <x:v>H-BXP</x:v>
      </x:c>
      <x:c r="L29" s="40" t="str">
        <x:v>https://www.nasdaq.com/press-release/bxp-announces-fourth-quarter-and-full-year-2024-results-2025-01-28</x:v>
      </x:c>
      <x:c r="M29" s="44" t="n">
        <x:v>45685</x:v>
      </x:c>
      <x:c r="N29" s="40" t="str">
        <x:v>Contemporaneous reporting; available only after release</x:v>
      </x:c>
      <x:c r="O29" s="40" t="str">
        <x:v>Case study only; no point-in-time universe, consensus or total-return backtest</x:v>
      </x:c>
      <x:c r="P29" s="40" t="str">
        <x:v>Reconstruct dated indicator releases and all eligible peers; test false positives and costs.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d564d501d2a3432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8" hidden="0" customWidth="1"/>
    <x:col min="4" max="4" width="44" hidden="0" customWidth="1"/>
    <x:col min="5" max="5" width="31" hidden="0" customWidth="1"/>
    <x:col min="6" max="6" width="43" hidden="0" customWidth="1"/>
    <x:col min="7" max="7" width="43" hidden="0" customWidth="1"/>
    <x:col min="8" max="8" width="24" hidden="0" customWidth="1"/>
  </x:cols>
  <x:sheetData>
    <x:row r="1">
      <x:c r="A1" s="24" t="str">
        <x:v>CROSS-SECTOR CAUSAL LINKS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Economic exposure graph, not estimated correlations. Distinct sectors can share the same customer capex, funding or inventory cycle.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Edge Id</x:v>
      </x:c>
      <x:c r="B5" s="34" t="str">
        <x:v>Origin</x:v>
      </x:c>
      <x:c r="C5" s="34" t="str">
        <x:v>Destination</x:v>
      </x:c>
      <x:c r="D5" s="34" t="str">
        <x:v>Transmission</x:v>
      </x:c>
      <x:c r="E5" s="34" t="str">
        <x:v>Example Exposures</x:v>
      </x:c>
      <x:c r="F5" s="34" t="str">
        <x:v>Invalidation</x:v>
      </x:c>
      <x:c r="G5" s="34" t="str">
        <x:v>Next Evidence</x:v>
      </x:c>
      <x:c r="H5" s="34" t="str">
        <x:v>Status</x:v>
      </x:c>
    </x:row>
    <x:row r="6" ht="88" customHeight="1">
      <x:c r="A6" s="40" t="str">
        <x:v>D01</x:v>
      </x:c>
      <x:c r="B6" s="40" t="str">
        <x:v>Hyperscaler funded demand</x:v>
      </x:c>
      <x:c r="C6" s="40" t="str">
        <x:v>Accelerators / HBM</x:v>
      </x:c>
      <x:c r="D6" s="40" t="str">
        <x:v>Workload demand must become funded systems and qualified memory orders</x:v>
      </x:c>
      <x:c r="E6" s="40" t="str">
        <x:v>NVDA;AMD;MU</x:v>
      </x:c>
      <x:c r="F6" s="40" t="str">
        <x:v>Budget reallocations or efficiency reduce hardware content</x:v>
      </x:c>
      <x:c r="G6" s="40" t="str">
        <x:v>Orders, customer cash commitments, shipment schedules</x:v>
      </x:c>
      <x:c r="H6" s="40" t="str">
        <x:v>Analyst causal hypothesis; magnitude and lag require company-specific testing</x:v>
      </x:c>
    </x:row>
    <x:row r="7" ht="88" customHeight="1">
      <x:c r="A7" s="40" t="str">
        <x:v>D02</x:v>
      </x:c>
      <x:c r="B7" s="40" t="str">
        <x:v>Accelerator density</x:v>
      </x:c>
      <x:c r="C7" s="40" t="str">
        <x:v>Advanced packaging</x:v>
      </x:c>
      <x:c r="D7" s="40" t="str">
        <x:v>More expensive and complex packages may require more process steps</x:v>
      </x:c>
      <x:c r="E7" s="40" t="str">
        <x:v>TSM;AMAT;CAMT</x:v>
      </x:c>
      <x:c r="F7" s="40" t="str">
        <x:v>Architecture changes reduce outsourced content</x:v>
      </x:c>
      <x:c r="G7" s="40" t="str">
        <x:v>Customer process flows and qualified capex</x:v>
      </x:c>
      <x:c r="H7" s="40" t="str">
        <x:v>Analyst causal hypothesis; magnitude and lag require company-specific testing</x:v>
      </x:c>
    </x:row>
    <x:row r="8" ht="88" customHeight="1">
      <x:c r="A8" s="40" t="str">
        <x:v>D03</x:v>
      </x:c>
      <x:c r="B8" s="40" t="str">
        <x:v>Advanced packaging</x:v>
      </x:c>
      <x:c r="C8" s="40" t="str">
        <x:v>Test and inspection</x:v>
      </x:c>
      <x:c r="D8" s="40" t="str">
        <x:v>Yield losses become more costly, potentially increasing test intensity</x:v>
      </x:c>
      <x:c r="E8" s="40" t="str">
        <x:v>COHU;CAMT;ONTO;KLAC</x:v>
      </x:c>
      <x:c r="F8" s="40" t="str">
        <x:v>Inspection technology or customer insourcing changes the winner</x:v>
      </x:c>
      <x:c r="G8" s="40" t="str">
        <x:v>Paid tool adoption and steps per package</x:v>
      </x:c>
      <x:c r="H8" s="40" t="str">
        <x:v>Analyst causal hypothesis; magnitude and lag require company-specific testing</x:v>
      </x:c>
    </x:row>
    <x:row r="9" ht="88" customHeight="1">
      <x:c r="A9" s="40" t="str">
        <x:v>D04</x:v>
      </x:c>
      <x:c r="B9" s="40" t="str">
        <x:v>Accelerator clusters</x:v>
      </x:c>
      <x:c r="C9" s="40" t="str">
        <x:v>Networking / optics</x:v>
      </x:c>
      <x:c r="D9" s="40" t="str">
        <x:v>Scale-out and scale-up connections increase bandwidth needs</x:v>
      </x:c>
      <x:c r="E9" s="40" t="str">
        <x:v>ANET;AAOI;COHR;CRDO</x:v>
      </x:c>
      <x:c r="F9" s="40" t="str">
        <x:v>ASP erosion or architecture reduces gross profit per system</x:v>
      </x:c>
      <x:c r="G9" s="40" t="str">
        <x:v>Port mix, speed, unit contribution and optical adoption</x:v>
      </x:c>
      <x:c r="H9" s="40" t="str">
        <x:v>Analyst causal hypothesis; magnitude and lag require company-specific testing</x:v>
      </x:c>
    </x:row>
    <x:row r="10" ht="88" customHeight="1">
      <x:c r="A10" s="40" t="str">
        <x:v>D05</x:v>
      </x:c>
      <x:c r="B10" s="40" t="str">
        <x:v>Data-center projects</x:v>
      </x:c>
      <x:c r="C10" s="40" t="str">
        <x:v>Grid and power distribution</x:v>
      </x:c>
      <x:c r="D10" s="40" t="str">
        <x:v>Energized sites need transformers, switchgear and electrical systems</x:v>
      </x:c>
      <x:c r="E10" s="40" t="str">
        <x:v>HPS.A@CA;POWL;ETN;HUBB</x:v>
      </x:c>
      <x:c r="F10" s="40" t="str">
        <x:v>Speculative projects never receive power or financing</x:v>
      </x:c>
      <x:c r="G10" s="40" t="str">
        <x:v>Permits, power contracts, deposits and start notices</x:v>
      </x:c>
      <x:c r="H10" s="40" t="str">
        <x:v>Analyst causal hypothesis; magnitude and lag require company-specific testing</x:v>
      </x:c>
    </x:row>
    <x:row r="11" ht="88" customHeight="1">
      <x:c r="A11" s="40" t="str">
        <x:v>D06</x:v>
      </x:c>
      <x:c r="B11" s="40" t="str">
        <x:v>Power availability</x:v>
      </x:c>
      <x:c r="C11" s="40" t="str">
        <x:v>Cooling commissioning</x:v>
      </x:c>
      <x:c r="D11" s="40" t="str">
        <x:v>Delivered compute cannot run without electrical and heat-rejection infrastructure</x:v>
      </x:c>
      <x:c r="E11" s="40" t="str">
        <x:v>MOD;AAON;IESC</x:v>
      </x:c>
      <x:c r="F11" s="40" t="str">
        <x:v>Bottleneck elsewhere delays otherwise valid orders</x:v>
      </x:c>
      <x:c r="G11" s="40" t="str">
        <x:v>Commissioning dates and project-level dependencies</x:v>
      </x:c>
      <x:c r="H11" s="40" t="str">
        <x:v>Analyst causal hypothesis; magnitude and lag require company-specific testing</x:v>
      </x:c>
    </x:row>
    <x:row r="12" ht="88" customHeight="1">
      <x:c r="A12" s="40" t="str">
        <x:v>D07</x:v>
      </x:c>
      <x:c r="B12" s="40" t="str">
        <x:v>Equipment backlog</x:v>
      </x:c>
      <x:c r="C12" s="40" t="str">
        <x:v>Supplier working capital</x:v>
      </x:c>
      <x:c r="D12" s="40" t="str">
        <x:v>Ramps require inventory, labor and receivables before collections</x:v>
      </x:c>
      <x:c r="E12" s="40" t="str">
        <x:v>MOD;AAOI;POWL;IESC</x:v>
      </x:c>
      <x:c r="F12" s="40" t="str">
        <x:v>Revenue growth becomes cash consumption</x:v>
      </x:c>
      <x:c r="G12" s="40" t="str">
        <x:v>Milestone receipts, inventory turns, capex and financing</x:v>
      </x:c>
      <x:c r="H12" s="40" t="str">
        <x:v>Analyst causal hypothesis; magnitude and lag require company-specific testing</x:v>
      </x:c>
    </x:row>
    <x:row r="13" ht="88" customHeight="1">
      <x:c r="A13" s="40" t="str">
        <x:v>D08</x:v>
      </x:c>
      <x:c r="B13" s="40" t="str">
        <x:v>Supplier capacity additions</x:v>
      </x:c>
      <x:c r="C13" s="40" t="str">
        <x:v>Scarcity pricing</x:v>
      </x:c>
      <x:c r="D13" s="40" t="str">
        <x:v>New saleable capacity can erode the temporary price premium</x:v>
      </x:c>
      <x:c r="E13" s="40" t="str">
        <x:v>HPS.A@CA;MOD;AAOI</x:v>
      </x:c>
      <x:c r="F13" s="40" t="str">
        <x:v>Qualification delays postpone effective supply</x:v>
      </x:c>
      <x:c r="G13" s="40" t="str">
        <x:v>Commissioned and qualified capacity, not announcements</x:v>
      </x:c>
      <x:c r="H13" s="40" t="str">
        <x:v>Analyst causal hypothesis; magnitude and lag require company-specific testing</x:v>
      </x:c>
    </x:row>
    <x:row r="14" ht="88" customHeight="1">
      <x:c r="A14" s="40" t="str">
        <x:v>D09</x:v>
      </x:c>
      <x:c r="B14" s="40" t="str">
        <x:v>Higher power prices</x:v>
      </x:c>
      <x:c r="C14" s="40" t="str">
        <x:v>Generator versus retail economics</x:v>
      </x:c>
      <x:c r="D14" s="40" t="str">
        <x:v>Generation exposure may benefit while retail commitments become costly</x:v>
      </x:c>
      <x:c r="E14" s="40" t="str">
        <x:v>NRG;VST;regulated utilities</x:v>
      </x:c>
      <x:c r="F14" s="40" t="str">
        <x:v>Hedges and retail obligations offset gross generation gains</x:v>
      </x:c>
      <x:c r="G14" s="40" t="str">
        <x:v>Net exposure by price, volume and hedge tenor</x:v>
      </x:c>
      <x:c r="H14" s="40" t="str">
        <x:v>Analyst causal hypothesis; magnitude and lag require company-specific testing</x:v>
      </x:c>
    </x:row>
    <x:row r="15" ht="88" customHeight="1">
      <x:c r="A15" s="40" t="str">
        <x:v>D10</x:v>
      </x:c>
      <x:c r="B15" s="40" t="str">
        <x:v>Housing credit</x:v>
      </x:c>
      <x:c r="C15" s="40" t="str">
        <x:v>Home construction</x:v>
      </x:c>
      <x:c r="D15" s="40" t="str">
        <x:v>Affordability affects orders, cancellations and land demand</x:v>
      </x:c>
      <x:c r="E15" s="40" t="str">
        <x:v>DHI;NVR;builders</x:v>
      </x:c>
      <x:c r="F15" s="40" t="str">
        <x:v>Incentives support volume but destroy margin</x:v>
      </x:c>
      <x:c r="G15" s="40" t="str">
        <x:v>Effective mortgage cost and cancellation cohorts</x:v>
      </x:c>
      <x:c r="H15" s="40" t="str">
        <x:v>Analyst causal hypothesis; magnitude and lag require company-specific testing</x:v>
      </x:c>
    </x:row>
    <x:row r="16" ht="88" customHeight="1">
      <x:c r="A16" s="40" t="str">
        <x:v>D11</x:v>
      </x:c>
      <x:c r="B16" s="40" t="str">
        <x:v>Housing / remodeling</x:v>
      </x:c>
      <x:c r="C16" s="40" t="str">
        <x:v>Specialty retail and HVAC</x:v>
      </x:c>
      <x:c r="D16" s="40" t="str">
        <x:v>Projects create demand for flooring, tools and installed building systems</x:v>
      </x:c>
      <x:c r="E16" s="40" t="str">
        <x:v>FND;CSW;AOS;SITE</x:v>
      </x:c>
      <x:c r="F16" s="40" t="str">
        <x:v>Channel stocking rather than end demand drives shipments</x:v>
      </x:c>
      <x:c r="G16" s="40" t="str">
        <x:v>Retail traffic, contractor activity and channel inventory</x:v>
      </x:c>
      <x:c r="H16" s="40" t="str">
        <x:v>Analyst causal hypothesis; magnitude and lag require company-specific testing</x:v>
      </x:c>
    </x:row>
    <x:row r="17" ht="88" customHeight="1">
      <x:c r="A17" s="40" t="str">
        <x:v>D12</x:v>
      </x:c>
      <x:c r="B17" s="40" t="str">
        <x:v>Apartment supply</x:v>
      </x:c>
      <x:c r="C17" s="40" t="str">
        <x:v>Property-manager software</x:v>
      </x:c>
      <x:c r="D17" s="40" t="str">
        <x:v>Supply and occupancy affect managed units and payment activity</x:v>
      </x:c>
      <x:c r="E17" s="40" t="str">
        <x:v>APPF;IRT;MAA</x:v>
      </x:c>
      <x:c r="F17" s="40" t="str">
        <x:v>Transaction mix changes without durable customer growth</x:v>
      </x:c>
      <x:c r="G17" s="40" t="str">
        <x:v>Units, occupancy, retention and gross profit</x:v>
      </x:c>
      <x:c r="H17" s="40" t="str">
        <x:v>Analyst causal hypothesis; magnitude and lag require company-specific testing</x:v>
      </x:c>
    </x:row>
    <x:row r="18" ht="88" customHeight="1">
      <x:c r="A18" s="40" t="str">
        <x:v>D13</x:v>
      </x:c>
      <x:c r="B18" s="40" t="str">
        <x:v>Apartment deliveries</x:v>
      </x:c>
      <x:c r="C18" s="40" t="str">
        <x:v>Landlord rent and concessions</x:v>
      </x:c>
      <x:c r="D18" s="40" t="str">
        <x:v>New local supply affects effective rent and lease-up cost</x:v>
      </x:c>
      <x:c r="E18" s="40" t="str">
        <x:v>IRT;MAA;INVH</x:v>
      </x:c>
      <x:c r="F18" s="40" t="str">
        <x:v>Demand growth offsets supply or differs by submarket</x:v>
      </x:c>
      <x:c r="G18" s="40" t="str">
        <x:v>City-level supply, absorption and concessions</x:v>
      </x:c>
      <x:c r="H18" s="40" t="str">
        <x:v>Analyst causal hypothesis; magnitude and lag require company-specific testing</x:v>
      </x:c>
    </x:row>
    <x:row r="19" ht="88" customHeight="1">
      <x:c r="A19" s="40" t="str">
        <x:v>D14</x:v>
      </x:c>
      <x:c r="B19" s="40" t="str">
        <x:v>Interest rates</x:v>
      </x:c>
      <x:c r="C19" s="40" t="str">
        <x:v>REIT common-share cash</x:v>
      </x:c>
      <x:c r="D19" s="40" t="str">
        <x:v>Refinancing and cap rates can offset operating rent growth</x:v>
      </x:c>
      <x:c r="E19" s="40" t="str">
        <x:v>IRT;BXP;PLD</x:v>
      </x:c>
      <x:c r="F19" s="40" t="str">
        <x:v>Debt hedge/maturity structure differs from headline rate exposure</x:v>
      </x:c>
      <x:c r="G19" s="40" t="str">
        <x:v>Debt ladder and recurring capex-adjusted AFFO</x:v>
      </x:c>
      <x:c r="H19" s="40" t="str">
        <x:v>Analyst causal hypothesis; magnitude and lag require company-specific testing</x:v>
      </x:c>
    </x:row>
    <x:row r="20" ht="88" customHeight="1">
      <x:c r="A20" s="40" t="str">
        <x:v>D15</x:v>
      </x:c>
      <x:c r="B20" s="40" t="str">
        <x:v>Interest rates</x:v>
      </x:c>
      <x:c r="C20" s="40" t="str">
        <x:v>Bank spread and liquidity</x:v>
      </x:c>
      <x:c r="D20" s="40" t="str">
        <x:v>Deposit repricing, asset yields and securities marks interact</x:v>
      </x:c>
      <x:c r="E20" s="40" t="str">
        <x:v>PEBO;CFR;regional banks</x:v>
      </x:c>
      <x:c r="F20" s="40" t="str">
        <x:v>Deposit outflows or credit losses dominate NIM</x:v>
      </x:c>
      <x:c r="G20" s="40" t="str">
        <x:v>Funding cost, liquidity, duration and credit vintages</x:v>
      </x:c>
      <x:c r="H20" s="40" t="str">
        <x:v>Analyst causal hypothesis; magnitude and lag require company-specific testing</x:v>
      </x:c>
    </x:row>
    <x:row r="21" ht="88" customHeight="1">
      <x:c r="A21" s="40" t="str">
        <x:v>D16</x:v>
      </x:c>
      <x:c r="B21" s="40" t="str">
        <x:v>Loss-cost inflation</x:v>
      </x:c>
      <x:c r="C21" s="40" t="str">
        <x:v>Insurance underwriting</x:v>
      </x:c>
      <x:c r="D21" s="40" t="str">
        <x:v>Pricing must cover claims frequency/severity as cohorts earn</x:v>
      </x:c>
      <x:c r="E21" s="40" t="str">
        <x:v>KNSL;RLI;PGR</x:v>
      </x:c>
      <x:c r="F21" s="40" t="str">
        <x:v>Reserve releases mask inadequate current-year price</x:v>
      </x:c>
      <x:c r="G21" s="40" t="str">
        <x:v>Accident-year ratio, written premiums and renewal rates</x:v>
      </x:c>
      <x:c r="H21" s="40" t="str">
        <x:v>Analyst causal hypothesis; magnitude and lag require company-specific testing</x:v>
      </x:c>
    </x:row>
    <x:row r="22" ht="88" customHeight="1">
      <x:c r="A22" s="40" t="str">
        <x:v>D17</x:v>
      </x:c>
      <x:c r="B22" s="40" t="str">
        <x:v>Biotech funding</x:v>
      </x:c>
      <x:c r="C22" s="40" t="str">
        <x:v>Research tools and services</x:v>
      </x:c>
      <x:c r="D22" s="40" t="str">
        <x:v>Funded programs drive instruments, CRO work and consumables</x:v>
      </x:c>
      <x:c r="E22" s="40" t="str">
        <x:v>RGEN;TMO;IQV;MEDP</x:v>
      </x:c>
      <x:c r="F22" s="40" t="str">
        <x:v>Orders reflect stockpiling rather than research execution</x:v>
      </x:c>
      <x:c r="G22" s="40" t="str">
        <x:v>Cash runway, customer trial activity and utilization</x:v>
      </x:c>
      <x:c r="H22" s="40" t="str">
        <x:v>Analyst causal hypothesis; magnitude and lag require company-specific testing</x:v>
      </x:c>
    </x:row>
    <x:row r="23" ht="88" customHeight="1">
      <x:c r="A23" s="40" t="str">
        <x:v>D18</x:v>
      </x:c>
      <x:c r="B23" s="40" t="str">
        <x:v>Biologics production</x:v>
      </x:c>
      <x:c r="C23" s="40" t="str">
        <x:v>Bioprocess consumables</x:v>
      </x:c>
      <x:c r="D23" s="40" t="str">
        <x:v>Validated manufacturing workflows create repeat consumable demand</x:v>
      </x:c>
      <x:c r="E23" s="40" t="str">
        <x:v>RGEN;DHR</x:v>
      </x:c>
      <x:c r="F23" s="40" t="str">
        <x:v>Inventory unwinds suppress purchases despite end-use growth</x:v>
      </x:c>
      <x:c r="G23" s="40" t="str">
        <x:v>Production runs and distributor inventory</x:v>
      </x:c>
      <x:c r="H23" s="40" t="str">
        <x:v>Analyst causal hypothesis; magnitude and lag require company-specific testing</x:v>
      </x:c>
    </x:row>
    <x:row r="24" ht="88" customHeight="1">
      <x:c r="A24" s="40" t="str">
        <x:v>D19</x:v>
      </x:c>
      <x:c r="B24" s="40" t="str">
        <x:v>Clinical evidence</x:v>
      </x:c>
      <x:c r="C24" s="40" t="str">
        <x:v>Commercial health-care adoption</x:v>
      </x:c>
      <x:c r="D24" s="40" t="str">
        <x:v>Approval must translate into reimbursement and usable workflows</x:v>
      </x:c>
      <x:c r="E24" s="40" t="str">
        <x:v>Biotechnology;pharma;providers</x:v>
      </x:c>
      <x:c r="F24" s="40" t="str">
        <x:v>Commercial coverage or workflow burden limits uptake</x:v>
      </x:c>
      <x:c r="G24" s="40" t="str">
        <x:v>FDA decision plus payer and treatment-center evidence</x:v>
      </x:c>
      <x:c r="H24" s="40" t="str">
        <x:v>Analyst causal hypothesis; magnitude and lag require company-specific testing</x:v>
      </x:c>
    </x:row>
    <x:row r="25" ht="88" customHeight="1">
      <x:c r="A25" s="40" t="str">
        <x:v>D20</x:v>
      </x:c>
      <x:c r="B25" s="40" t="str">
        <x:v>Procedure activity</x:v>
      </x:c>
      <x:c r="C25" s="40" t="str">
        <x:v>Medical consumables</x:v>
      </x:c>
      <x:c r="D25" s="40" t="str">
        <x:v>Clinical use drives repeat replacement and disposable products</x:v>
      </x:c>
      <x:c r="E25" s="40" t="str">
        <x:v>LMAT;SYK;ABT</x:v>
      </x:c>
      <x:c r="F25" s="40" t="str">
        <x:v>Product substitution or reimbursement harms economics</x:v>
      </x:c>
      <x:c r="G25" s="40" t="str">
        <x:v>Procedure volumes, unit sales and gross contribution</x:v>
      </x:c>
      <x:c r="H25" s="40" t="str">
        <x:v>Analyst causal hypothesis; magnitude and lag require company-specific testing</x:v>
      </x:c>
    </x:row>
    <x:row r="26" ht="88" customHeight="1">
      <x:c r="A26" s="40" t="str">
        <x:v>D21</x:v>
      </x:c>
      <x:c r="B26" s="40" t="str">
        <x:v>Aircraft utilization</x:v>
      </x:c>
      <x:c r="C26" s="40" t="str">
        <x:v>Aerospace aftermarket</x:v>
      </x:c>
      <x:c r="D26" s="40" t="str">
        <x:v>Flight hours and cycles create replacement and repair demand</x:v>
      </x:c>
      <x:c r="E26" s="40" t="str">
        <x:v>VSEC;HEI;HWM</x:v>
      </x:c>
      <x:c r="F26" s="40" t="str">
        <x:v>OEM terms or inventory funding absorb the profit</x:v>
      </x:c>
      <x:c r="G26" s="40" t="str">
        <x:v>Organic sales, repair turns and working capital</x:v>
      </x:c>
      <x:c r="H26" s="40" t="str">
        <x:v>Analyst causal hypothesis; magnitude and lag require company-specific testing</x:v>
      </x:c>
    </x:row>
    <x:row r="27" ht="88" customHeight="1">
      <x:c r="A27" s="40" t="str">
        <x:v>D22</x:v>
      </x:c>
      <x:c r="B27" s="40" t="str">
        <x:v>Natural-gas throughput</x:v>
      </x:c>
      <x:c r="C27" s="40" t="str">
        <x:v>Compression fleet</x:v>
      </x:c>
      <x:c r="D27" s="40" t="str">
        <x:v>Gas production and transport requirements drive equipment use</x:v>
      </x:c>
      <x:c r="E27" s="40" t="str">
        <x:v>AROC;USAC</x:v>
      </x:c>
      <x:c r="F27" s="40" t="str">
        <x:v>High utilization without rate uplift offers limited upside</x:v>
      </x:c>
      <x:c r="G27" s="40" t="str">
        <x:v>Renewal rates and maintenance-adjusted cash</x:v>
      </x:c>
      <x:c r="H27" s="40" t="str">
        <x:v>Analyst causal hypothesis; magnitude and lag require company-specific testing</x:v>
      </x:c>
    </x:row>
    <x:row r="28" ht="88" customHeight="1">
      <x:c r="A28" s="40" t="str">
        <x:v>D23</x:v>
      </x:c>
      <x:c r="B28" s="40" t="str">
        <x:v>Mineral price incentives</x:v>
      </x:c>
      <x:c r="C28" s="40" t="str">
        <x:v>Equipment and future supply</x:v>
      </x:c>
      <x:c r="D28" s="40" t="str">
        <x:v>Producer cash funds mines and machines that later add commodity supply</x:v>
      </x:c>
      <x:c r="E28" s="40" t="str">
        <x:v>FCX;CAT;EPIROC comparators</x:v>
      </x:c>
      <x:c r="F28" s="40" t="str">
        <x:v>Demand weakens before projects come online</x:v>
      </x:c>
      <x:c r="G28" s="40" t="str">
        <x:v>Project finance, construction and qualified output</x:v>
      </x:c>
      <x:c r="H28" s="40" t="str">
        <x:v>Analyst causal hypothesis; magnitude and lag require company-specific testing</x:v>
      </x:c>
    </x:row>
    <x:row r="29" ht="88" customHeight="1">
      <x:c r="A29" s="40" t="str">
        <x:v>D24</x:v>
      </x:c>
      <x:c r="B29" s="40" t="str">
        <x:v>Commodity supply shock</x:v>
      </x:c>
      <x:c r="C29" s="40" t="str">
        <x:v>Food brand economics</x:v>
      </x:c>
      <x:c r="D29" s="40" t="str">
        <x:v>Wholesale prices, farm commitments and retail positioning interact</x:v>
      </x:c>
      <x:c r="E29" s="40" t="str">
        <x:v>VITL;TSN;food producers</x:v>
      </x:c>
      <x:c r="F29" s="40" t="str">
        <x:v>Demand normalizes before contracted production can adjust</x:v>
      </x:c>
      <x:c r="G29" s="40" t="str">
        <x:v>Retail sell-through versus committed supply</x:v>
      </x:c>
      <x:c r="H29" s="40" t="str">
        <x:v>Analyst causal hypothesis; magnitude and lag require company-specific testing</x:v>
      </x:c>
    </x:row>
    <x:row r="30" ht="88" customHeight="1">
      <x:c r="A30" s="40" t="str">
        <x:v>D25</x:v>
      </x:c>
      <x:c r="B30" s="40" t="str">
        <x:v>Search / AI discovery</x:v>
      </x:c>
      <x:c r="C30" s="40" t="str">
        <x:v>Digital publisher monetization</x:v>
      </x:c>
      <x:c r="D30" s="40" t="str">
        <x:v>Referral changes affect audience, ads and affiliate transactions</x:v>
      </x:c>
      <x:c r="E30" s="40" t="str">
        <x:v>ZD;NYT;digital media</x:v>
      </x:c>
      <x:c r="F30" s="40" t="str">
        <x:v>Owned channels do not replace lost referral economics</x:v>
      </x:c>
      <x:c r="G30" s="40" t="str">
        <x:v>Direct traffic, subscriptions and cash gross profit</x:v>
      </x:c>
      <x:c r="H30" s="40" t="str">
        <x:v>Analyst causal hypothesis; magnitude and lag require company-specific testing</x:v>
      </x:c>
    </x:row>
    <x:row r="31" ht="88" customHeight="1">
      <x:c r="A31" s="40" t="str">
        <x:v>D26</x:v>
      </x:c>
      <x:c r="B31" s="40" t="str">
        <x:v>AI automation</x:v>
      </x:c>
      <x:c r="C31" s="40" t="str">
        <x:v>Software and professional services</x:v>
      </x:c>
      <x:c r="D31" s="40" t="str">
        <x:v>Automation can raise productivity or commoditize billable work</x:v>
      </x:c>
      <x:c r="E31" s="40" t="str">
        <x:v>APPF;ACN;EPAM;software peers</x:v>
      </x:c>
      <x:c r="F31" s="40" t="str">
        <x:v>Customer willingness to pay falls faster than delivery cost</x:v>
      </x:c>
      <x:c r="G31" s="40" t="str">
        <x:v>Retention, price, task-level savings and renewal evidence</x:v>
      </x:c>
      <x:c r="H31" s="40" t="str">
        <x:v>Analyst causal hypothesis; magnitude and lag require company-specific testing</x:v>
      </x:c>
    </x:row>
    <x:row r="32" ht="88" customHeight="1">
      <x:c r="A32" s="40" t="str">
        <x:v>D27</x:v>
      </x:c>
      <x:c r="B32" s="40" t="str">
        <x:v>Municipal finance</x:v>
      </x:c>
      <x:c r="C32" s="40" t="str">
        <x:v>Water measurement deployments</x:v>
      </x:c>
      <x:c r="D32" s="40" t="str">
        <x:v>Procurement and funding determine when awarded projects install</x:v>
      </x:c>
      <x:c r="E32" s="40" t="str">
        <x:v>BMI;XYL;AWK</x:v>
      </x:c>
      <x:c r="F32" s="40" t="str">
        <x:v>Awards slip or costs exceed approved budgets</x:v>
      </x:c>
      <x:c r="G32" s="40" t="str">
        <x:v>Funded milestones, installation schedules and collected cash</x:v>
      </x:c>
      <x:c r="H32" s="40" t="str">
        <x:v>Analyst causal hypothesis; magnitude and lag require company-specific testing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635c9132657f4d8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4" hidden="0" customWidth="1"/>
    <x:col min="4" max="4" width="44" hidden="0" customWidth="1"/>
    <x:col min="5" max="5" width="18" hidden="0" customWidth="1"/>
    <x:col min="6" max="6" width="16" hidden="0" customWidth="1"/>
    <x:col min="7" max="7" width="20" hidden="0" customWidth="1"/>
    <x:col min="8" max="8" width="18" hidden="0" customWidth="1"/>
    <x:col min="9" max="9" width="16" hidden="0" customWidth="1"/>
    <x:col min="10" max="10" width="24" hidden="0" customWidth="1"/>
    <x:col min="11" max="11" width="24" hidden="0" customWidth="1"/>
    <x:col min="12" max="12" width="39" hidden="0" customWidth="1"/>
  </x:cols>
  <x:sheetData>
    <x:row r="1">
      <x:c r="A1" s="24" t="str">
        <x:v>QUESTIONS RANKED BY LEARNING VALUE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EVI is a planning heuristic: decision-change probability × impact × reusable learning / effort. Not calibrated probabilities or monetary expected value.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ID</x:v>
      </x:c>
      <x:c r="B5" s="34" t="str">
        <x:v>Subject</x:v>
      </x:c>
      <x:c r="C5" s="34" t="str">
        <x:v>Open question</x:v>
      </x:c>
      <x:c r="D5" s="34" t="str">
        <x:v>Decision-changing output</x:v>
      </x:c>
      <x:c r="E5" s="34" t="str">
        <x:v>P(change) judgment</x:v>
      </x:c>
      <x:c r="F5" s="34" t="str">
        <x:v>Impact (1–5)</x:v>
      </x:c>
      <x:c r="G5" s="34" t="str">
        <x:v>Reusable learning (1–5)</x:v>
      </x:c>
      <x:c r="H5" s="34" t="str">
        <x:v>Effort units (hours)</x:v>
      </x:c>
      <x:c r="I5" s="34" t="str">
        <x:v>EVI heuristic</x:v>
      </x:c>
      <x:c r="J5" s="34" t="str">
        <x:v>Source IDs</x:v>
      </x:c>
      <x:c r="K5" s="34" t="str">
        <x:v>State</x:v>
      </x:c>
      <x:c r="L5" s="34" t="str">
        <x:v>Caveat</x:v>
      </x:c>
    </x:row>
    <x:row r="6" ht="98" customHeight="1">
      <x:c r="A6" s="40" t="str">
        <x:v>Q01</x:v>
      </x:c>
      <x:c r="B6" s="40" t="str">
        <x:v>Universal</x:v>
      </x:c>
      <x:c r="C6" s="40" t="str">
        <x:v>Which securities are currently eligible and what corporate actions changed the share base?</x:v>
      </x:c>
      <x:c r="D6" s="40" t="str">
        <x:v>Verified exchange/security IDs, active status, currency, float, splits, debt and date-stamped prices</x:v>
      </x:c>
      <x:c r="E6" s="58" t="n">
        <x:v>0.8</x:v>
      </x:c>
      <x:c r="F6" s="54" t="n">
        <x:v>5</x:v>
      </x:c>
      <x:c r="G6" s="54" t="n">
        <x:v>5</x:v>
      </x:c>
      <x:c r="H6" s="54" t="n">
        <x:v>6</x:v>
      </x:c>
      <x:c r="I6" s="60" t="n">
        <x:f>IF(H6&gt;0,E6*F6*G6/H6,"")</x:f>
        <x:v>3.3333333333333335</x:v>
      </x:c>
      <x:c r="J6" s="40" t="str">
        <x:v>SEC-DIR</x:v>
      </x:c>
      <x:c r="K6" s="40" t="str">
        <x:v>Open — not scheduled</x:v>
      </x:c>
      <x:c r="L6" s="40" t="str">
        <x:v>Analyst planning judgments, not calibrated probabilities or dollar EV</x:v>
      </x:c>
    </x:row>
    <x:row r="7" ht="98" customHeight="1">
      <x:c r="A7" s="40" t="str">
        <x:v>Q02</x:v>
      </x:c>
      <x:c r="B7" s="40" t="str">
        <x:v>Universal</x:v>
      </x:c>
      <x:c r="C7" s="40" t="str">
        <x:v>Are headline earnings changes recurring?</x:v>
      </x:c>
      <x:c r="D7" s="40" t="str">
        <x:v>Bridge GAAP to recurring contribution, cash, tax and dilution before ranking valuation</x:v>
      </x:c>
      <x:c r="E7" s="58" t="n">
        <x:v>0.8</x:v>
      </x:c>
      <x:c r="F7" s="54" t="n">
        <x:v>5</x:v>
      </x:c>
      <x:c r="G7" s="54" t="n">
        <x:v>5</x:v>
      </x:c>
      <x:c r="H7" s="54" t="n">
        <x:v>5</x:v>
      </x:c>
      <x:c r="I7" s="60" t="n">
        <x:f>IF(H7&gt;0,E7*F7*G7/H7,"")</x:f>
        <x:v>4</x:v>
      </x:c>
      <x:c r="J7" s="40" t="str">
        <x:v>MOD26;NSSC26;FND26</x:v>
      </x:c>
      <x:c r="K7" s="40" t="str">
        <x:v>Open — not scheduled</x:v>
      </x:c>
      <x:c r="L7" s="40" t="str">
        <x:v>Analyst planning judgments, not calibrated probabilities or dollar EV</x:v>
      </x:c>
    </x:row>
    <x:row r="8" ht="98" customHeight="1">
      <x:c r="A8" s="40" t="str">
        <x:v>Q03</x:v>
      </x:c>
      <x:c r="B8" s="40" t="str">
        <x:v>Universal</x:v>
      </x:c>
      <x:c r="C8" s="40" t="str">
        <x:v>What does the price require, independently of management's forecast?</x:v>
      </x:c>
      <x:c r="D8" s="40" t="str">
        <x:v>Timestamped enterprise/equity bridge and reverse cash-flow scenarios for first five candidates</x:v>
      </x:c>
      <x:c r="E8" s="58" t="n">
        <x:v>0.9</x:v>
      </x:c>
      <x:c r="F8" s="54" t="n">
        <x:v>5</x:v>
      </x:c>
      <x:c r="G8" s="54" t="n">
        <x:v>5</x:v>
      </x:c>
      <x:c r="H8" s="54" t="n">
        <x:v>12</x:v>
      </x:c>
      <x:c r="I8" s="60" t="n">
        <x:f>IF(H8&gt;0,E8*F8*G8/H8,"")</x:f>
        <x:v>1.875</x:v>
      </x:c>
      <x:c r="J8" s="40" t="str">
        <x:v>EDGAR</x:v>
      </x:c>
      <x:c r="K8" s="40" t="str">
        <x:v>Open — not scheduled</x:v>
      </x:c>
      <x:c r="L8" s="40" t="str">
        <x:v>Analyst planning judgments, not calibrated probabilities or dollar EV</x:v>
      </x:c>
    </x:row>
    <x:row r="9" ht="98" customHeight="1">
      <x:c r="A9" s="40" t="str">
        <x:v>Q04</x:v>
      </x:c>
      <x:c r="B9" s="40" t="str">
        <x:v>MOD</x:v>
      </x:c>
      <x:c r="C9" s="40" t="str">
        <x:v>Which data-center margin losses can actually reverse?</x:v>
      </x:c>
      <x:c r="D9" s="40" t="str">
        <x:v>Quarterly price/mix, warranty, startup, labor and capital bridge</x:v>
      </x:c>
      <x:c r="E9" s="58" t="n">
        <x:v>0.75</x:v>
      </x:c>
      <x:c r="F9" s="54" t="n">
        <x:v>5</x:v>
      </x:c>
      <x:c r="G9" s="54" t="n">
        <x:v>5</x:v>
      </x:c>
      <x:c r="H9" s="54" t="n">
        <x:v>8</x:v>
      </x:c>
      <x:c r="I9" s="60" t="n">
        <x:f>IF(H9&gt;0,E9*F9*G9/H9,"")</x:f>
        <x:v>2.34375</x:v>
      </x:c>
      <x:c r="J9" s="40" t="str">
        <x:v>MOD26</x:v>
      </x:c>
      <x:c r="K9" s="40" t="str">
        <x:v>Open — not scheduled</x:v>
      </x:c>
      <x:c r="L9" s="40" t="str">
        <x:v>Analyst planning judgments, not calibrated probabilities or dollar EV</x:v>
      </x:c>
    </x:row>
    <x:row r="10" ht="98" customHeight="1">
      <x:c r="A10" s="40" t="str">
        <x:v>Q05</x:v>
      </x:c>
      <x:c r="B10" s="40" t="str">
        <x:v>WINA</x:v>
      </x:c>
      <x:c r="C10" s="40" t="str">
        <x:v>Do new franchisees earn attractive fully loaded returns?</x:v>
      </x:c>
      <x:c r="D10" s="40" t="str">
        <x:v>FDD cohort sales plus wages/rent/inventory/upkeep and equity invested</x:v>
      </x:c>
      <x:c r="E10" s="58" t="n">
        <x:v>0.75</x:v>
      </x:c>
      <x:c r="F10" s="54" t="n">
        <x:v>5</x:v>
      </x:c>
      <x:c r="G10" s="54" t="n">
        <x:v>5</x:v>
      </x:c>
      <x:c r="H10" s="54" t="n">
        <x:v>10</x:v>
      </x:c>
      <x:c r="I10" s="60" t="n">
        <x:f>IF(H10&gt;0,E10*F10*G10/H10,"")</x:f>
        <x:v>1.875</x:v>
      </x:c>
      <x:c r="J10" s="40" t="str">
        <x:v>WINA26</x:v>
      </x:c>
      <x:c r="K10" s="40" t="str">
        <x:v>Open — not scheduled</x:v>
      </x:c>
      <x:c r="L10" s="40" t="str">
        <x:v>Analyst planning judgments, not calibrated probabilities or dollar EV</x:v>
      </x:c>
    </x:row>
    <x:row r="11" ht="98" customHeight="1">
      <x:c r="A11" s="40" t="str">
        <x:v>Q06</x:v>
      </x:c>
      <x:c r="B11" s="40" t="str">
        <x:v>NSSC</x:v>
      </x:c>
      <x:c r="C11" s="40" t="str">
        <x:v>How much service growth comes from durable account additions?</x:v>
      </x:c>
      <x:c r="D11" s="40" t="str">
        <x:v>Activation/disconnect/ARPU/carrier-cost model and tariff-normalized earnings</x:v>
      </x:c>
      <x:c r="E11" s="58" t="n">
        <x:v>0.75</x:v>
      </x:c>
      <x:c r="F11" s="54" t="n">
        <x:v>5</x:v>
      </x:c>
      <x:c r="G11" s="54" t="n">
        <x:v>5</x:v>
      </x:c>
      <x:c r="H11" s="54" t="n">
        <x:v>8</x:v>
      </x:c>
      <x:c r="I11" s="60" t="n">
        <x:f>IF(H11&gt;0,E11*F11*G11/H11,"")</x:f>
        <x:v>2.34375</x:v>
      </x:c>
      <x:c r="J11" s="40" t="str">
        <x:v>NSSC26</x:v>
      </x:c>
      <x:c r="K11" s="40" t="str">
        <x:v>Open — not scheduled</x:v>
      </x:c>
      <x:c r="L11" s="40" t="str">
        <x:v>Analyst planning judgments, not calibrated probabilities or dollar EV</x:v>
      </x:c>
    </x:row>
    <x:row r="12" ht="98" customHeight="1">
      <x:c r="A12" s="40" t="str">
        <x:v>Q07</x:v>
      </x:c>
      <x:c r="B12" s="40" t="str">
        <x:v>LMAT</x:v>
      </x:c>
      <x:c r="C12" s="40" t="str">
        <x:v>Can organic growth and cash ROIC persist without acquisitions?</x:v>
      </x:c>
      <x:c r="D12" s="40" t="str">
        <x:v>Five-year unit/price/margin and direct-distribution return model</x:v>
      </x:c>
      <x:c r="E12" s="58" t="n">
        <x:v>0.65</x:v>
      </x:c>
      <x:c r="F12" s="54" t="n">
        <x:v>5</x:v>
      </x:c>
      <x:c r="G12" s="54" t="n">
        <x:v>4</x:v>
      </x:c>
      <x:c r="H12" s="54" t="n">
        <x:v>8</x:v>
      </x:c>
      <x:c r="I12" s="60" t="n">
        <x:f>IF(H12&gt;0,E12*F12*G12/H12,"")</x:f>
        <x:v>1.625</x:v>
      </x:c>
      <x:c r="J12" s="40" t="str">
        <x:v>LMAT26</x:v>
      </x:c>
      <x:c r="K12" s="40" t="str">
        <x:v>Open — not scheduled</x:v>
      </x:c>
      <x:c r="L12" s="40" t="str">
        <x:v>Analyst planning judgments, not calibrated probabilities or dollar EV</x:v>
      </x:c>
    </x:row>
    <x:row r="13" ht="98" customHeight="1">
      <x:c r="A13" s="40" t="str">
        <x:v>Q08</x:v>
      </x:c>
      <x:c r="B13" s="40" t="str">
        <x:v>APPF</x:v>
      </x:c>
      <x:c r="C13" s="40" t="str">
        <x:v>What monetization is recurring software versus transaction exposure?</x:v>
      </x:c>
      <x:c r="D13" s="40" t="str">
        <x:v>Revenue and gross-profit cohorts, retention, SBC and customer payback</x:v>
      </x:c>
      <x:c r="E13" s="58" t="n">
        <x:v>0.7</x:v>
      </x:c>
      <x:c r="F13" s="54" t="n">
        <x:v>5</x:v>
      </x:c>
      <x:c r="G13" s="54" t="n">
        <x:v>5</x:v>
      </x:c>
      <x:c r="H13" s="54" t="n">
        <x:v>8</x:v>
      </x:c>
      <x:c r="I13" s="60" t="n">
        <x:f>IF(H13&gt;0,E13*F13*G13/H13,"")</x:f>
        <x:v>2.1875</x:v>
      </x:c>
      <x:c r="J13" s="40" t="str">
        <x:v>APPF26</x:v>
      </x:c>
      <x:c r="K13" s="40" t="str">
        <x:v>Open — not scheduled</x:v>
      </x:c>
      <x:c r="L13" s="40" t="str">
        <x:v>Analyst planning judgments, not calibrated probabilities or dollar EV</x:v>
      </x:c>
    </x:row>
    <x:row r="14" ht="98" customHeight="1">
      <x:c r="A14" s="40" t="str">
        <x:v>Q09</x:v>
      </x:c>
      <x:c r="B14" s="40" t="str">
        <x:v>POWL / IESC</x:v>
      </x:c>
      <x:c r="C14" s="40" t="str">
        <x:v>How much backlog becomes enforceable cash contribution and when?</x:v>
      </x:c>
      <x:c r="D14" s="40" t="str">
        <x:v>Award-level schedule, cancellation rights, mobilization and cash milestone model</x:v>
      </x:c>
      <x:c r="E14" s="58" t="n">
        <x:v>0.8</x:v>
      </x:c>
      <x:c r="F14" s="54" t="n">
        <x:v>5</x:v>
      </x:c>
      <x:c r="G14" s="54" t="n">
        <x:v>5</x:v>
      </x:c>
      <x:c r="H14" s="54" t="n">
        <x:v>10</x:v>
      </x:c>
      <x:c r="I14" s="60" t="n">
        <x:f>IF(H14&gt;0,E14*F14*G14/H14,"")</x:f>
        <x:v>2</x:v>
      </x:c>
      <x:c r="J14" s="40" t="str">
        <x:v>POWL26;IESC26</x:v>
      </x:c>
      <x:c r="K14" s="40" t="str">
        <x:v>Open — not scheduled</x:v>
      </x:c>
      <x:c r="L14" s="40" t="str">
        <x:v>Analyst planning judgments, not calibrated probabilities or dollar EV</x:v>
      </x:c>
    </x:row>
    <x:row r="15" ht="98" customHeight="1">
      <x:c r="A15" s="40" t="str">
        <x:v>Q10</x:v>
      </x:c>
      <x:c r="B15" s="40" t="str">
        <x:v>HPS.A / AAON</x:v>
      </x:c>
      <x:c r="C15" s="40" t="str">
        <x:v>Is capacity generating attractive incremental cash returns?</x:v>
      </x:c>
      <x:c r="D15" s="40" t="str">
        <x:v>Commissioned output, pricing/mix, capex, working capital and adjusted-to-GAAP bridge</x:v>
      </x:c>
      <x:c r="E15" s="58" t="n">
        <x:v>0.7</x:v>
      </x:c>
      <x:c r="F15" s="54" t="n">
        <x:v>4</x:v>
      </x:c>
      <x:c r="G15" s="54" t="n">
        <x:v>5</x:v>
      </x:c>
      <x:c r="H15" s="54" t="n">
        <x:v>8</x:v>
      </x:c>
      <x:c r="I15" s="60" t="n">
        <x:f>IF(H15&gt;0,E15*F15*G15/H15,"")</x:f>
        <x:v>1.75</x:v>
      </x:c>
      <x:c r="J15" s="40" t="str">
        <x:v>HPS26;AAON26</x:v>
      </x:c>
      <x:c r="K15" s="40" t="str">
        <x:v>Open — not scheduled</x:v>
      </x:c>
      <x:c r="L15" s="40" t="str">
        <x:v>Analyst planning judgments, not calibrated probabilities or dollar EV</x:v>
      </x:c>
    </x:row>
    <x:row r="16" ht="98" customHeight="1">
      <x:c r="A16" s="40" t="str">
        <x:v>Q11</x:v>
      </x:c>
      <x:c r="B16" s="40" t="str">
        <x:v>COHU / CAMT / AAOI</x:v>
      </x:c>
      <x:c r="C16" s="40" t="str">
        <x:v>Which AI pipeline items are qualified orders with profitable content?</x:v>
      </x:c>
      <x:c r="D16" s="40" t="str">
        <x:v>Customer/product cohorts from qualification to shipment, yield and collected gross profit</x:v>
      </x:c>
      <x:c r="E16" s="58" t="n">
        <x:v>0.8</x:v>
      </x:c>
      <x:c r="F16" s="54" t="n">
        <x:v>5</x:v>
      </x:c>
      <x:c r="G16" s="54" t="n">
        <x:v>5</x:v>
      </x:c>
      <x:c r="H16" s="54" t="n">
        <x:v>12</x:v>
      </x:c>
      <x:c r="I16" s="60" t="n">
        <x:f>IF(H16&gt;0,E16*F16*G16/H16,"")</x:f>
        <x:v>1.6666666666666667</x:v>
      </x:c>
      <x:c r="J16" s="40" t="str">
        <x:v>COHU26;CAMT26;AAOI26</x:v>
      </x:c>
      <x:c r="K16" s="40" t="str">
        <x:v>Open — not scheduled</x:v>
      </x:c>
      <x:c r="L16" s="40" t="str">
        <x:v>Analyst planning judgments, not calibrated probabilities or dollar EV</x:v>
      </x:c>
    </x:row>
    <x:row r="17" ht="98" customHeight="1">
      <x:c r="A17" s="40" t="str">
        <x:v>Q12</x:v>
      </x:c>
      <x:c r="B17" s="40" t="str">
        <x:v>KNSL</x:v>
      </x:c>
      <x:c r="C17" s="40" t="str">
        <x:v>Are weaker written premiums disciplined selection or loss of attractive growth?</x:v>
      </x:c>
      <x:c r="D17" s="40" t="str">
        <x:v>Rate/exposure/retention by product plus accident-year loss and reserve bridge</x:v>
      </x:c>
      <x:c r="E17" s="58" t="n">
        <x:v>0.75</x:v>
      </x:c>
      <x:c r="F17" s="54" t="n">
        <x:v>5</x:v>
      </x:c>
      <x:c r="G17" s="54" t="n">
        <x:v>5</x:v>
      </x:c>
      <x:c r="H17" s="54" t="n">
        <x:v>8</x:v>
      </x:c>
      <x:c r="I17" s="60" t="n">
        <x:f>IF(H17&gt;0,E17*F17*G17/H17,"")</x:f>
        <x:v>2.34375</x:v>
      </x:c>
      <x:c r="J17" s="40" t="str">
        <x:v>KNSL26</x:v>
      </x:c>
      <x:c r="K17" s="40" t="str">
        <x:v>Open — not scheduled</x:v>
      </x:c>
      <x:c r="L17" s="40" t="str">
        <x:v>Analyst planning judgments, not calibrated probabilities or dollar EV</x:v>
      </x:c>
    </x:row>
    <x:row r="18" ht="98" customHeight="1">
      <x:c r="A18" s="40" t="str">
        <x:v>Q13</x:v>
      </x:c>
      <x:c r="B18" s="40" t="str">
        <x:v>RGEN</x:v>
      </x:c>
      <x:c r="C18" s="40" t="str">
        <x:v>Is customer usage improving or are customers merely restocking?</x:v>
      </x:c>
      <x:c r="D18" s="40" t="str">
        <x:v>Bioprocess end-use, consumable order and customer inventory model</x:v>
      </x:c>
      <x:c r="E18" s="58" t="n">
        <x:v>0.7</x:v>
      </x:c>
      <x:c r="F18" s="54" t="n">
        <x:v>4</x:v>
      </x:c>
      <x:c r="G18" s="54" t="n">
        <x:v>5</x:v>
      </x:c>
      <x:c r="H18" s="54" t="n">
        <x:v>8</x:v>
      </x:c>
      <x:c r="I18" s="60" t="n">
        <x:f>IF(H18&gt;0,E18*F18*G18/H18,"")</x:f>
        <x:v>1.75</x:v>
      </x:c>
      <x:c r="J18" s="40" t="str">
        <x:v>RGEN26</x:v>
      </x:c>
      <x:c r="K18" s="40" t="str">
        <x:v>Open — not scheduled</x:v>
      </x:c>
      <x:c r="L18" s="40" t="str">
        <x:v>Analyst planning judgments, not calibrated probabilities or dollar EV</x:v>
      </x:c>
    </x:row>
    <x:row r="19" ht="98" customHeight="1">
      <x:c r="A19" s="40" t="str">
        <x:v>Q14</x:v>
      </x:c>
      <x:c r="B19" s="40" t="str">
        <x:v>VITL</x:v>
      </x:c>
      <x:c r="C19" s="40" t="str">
        <x:v>Can committed supply be sold profitably without a funding problem?</x:v>
      </x:c>
      <x:c r="D19" s="40" t="str">
        <x:v>Farm commitments, premium retail sell-through and stressed cash runway</x:v>
      </x:c>
      <x:c r="E19" s="58" t="n">
        <x:v>0.85</x:v>
      </x:c>
      <x:c r="F19" s="54" t="n">
        <x:v>5</x:v>
      </x:c>
      <x:c r="G19" s="54" t="n">
        <x:v>4</x:v>
      </x:c>
      <x:c r="H19" s="54" t="n">
        <x:v>8</x:v>
      </x:c>
      <x:c r="I19" s="60" t="n">
        <x:f>IF(H19&gt;0,E19*F19*G19/H19,"")</x:f>
        <x:v>2.125</x:v>
      </x:c>
      <x:c r="J19" s="40" t="str">
        <x:v>VITL26</x:v>
      </x:c>
      <x:c r="K19" s="40" t="str">
        <x:v>Open — not scheduled</x:v>
      </x:c>
      <x:c r="L19" s="40" t="str">
        <x:v>Analyst planning judgments, not calibrated probabilities or dollar EV</x:v>
      </x:c>
    </x:row>
    <x:row r="20" ht="98" customHeight="1">
      <x:c r="A20" s="40" t="str">
        <x:v>Q15</x:v>
      </x:c>
      <x:c r="B20" s="40" t="str">
        <x:v>PEBO</x:v>
      </x:c>
      <x:c r="C20" s="40" t="str">
        <x:v>Does NIM improvement survive credit, liquidity and duration stress?</x:v>
      </x:c>
      <x:c r="D20" s="40" t="str">
        <x:v>Tangible-equity and funding model with loss vintages</x:v>
      </x:c>
      <x:c r="E20" s="58" t="n">
        <x:v>0.7</x:v>
      </x:c>
      <x:c r="F20" s="54" t="n">
        <x:v>4</x:v>
      </x:c>
      <x:c r="G20" s="54" t="n">
        <x:v>5</x:v>
      </x:c>
      <x:c r="H20" s="54" t="n">
        <x:v>10</x:v>
      </x:c>
      <x:c r="I20" s="60" t="n">
        <x:f>IF(H20&gt;0,E20*F20*G20/H20,"")</x:f>
        <x:v>1.4</x:v>
      </x:c>
      <x:c r="J20" s="40" t="str">
        <x:v>PEBO26;FDIC26</x:v>
      </x:c>
      <x:c r="K20" s="40" t="str">
        <x:v>Open — not scheduled</x:v>
      </x:c>
      <x:c r="L20" s="40" t="str">
        <x:v>Analyst planning judgments, not calibrated probabilities or dollar EV</x:v>
      </x:c>
    </x:row>
    <x:row r="21" ht="98" customHeight="1">
      <x:c r="A21" s="40" t="str">
        <x:v>Q16</x:v>
      </x:c>
      <x:c r="B21" s="40" t="str">
        <x:v>IRT</x:v>
      </x:c>
      <x:c r="C21" s="40" t="str">
        <x:v>When does local apartment supply pressure peak?</x:v>
      </x:c>
      <x:c r="D21" s="40" t="str">
        <x:v>Submarket deliveries, absorption, concessions, lease resets and debt ladder</x:v>
      </x:c>
      <x:c r="E21" s="58" t="n">
        <x:v>0.65</x:v>
      </x:c>
      <x:c r="F21" s="54" t="n">
        <x:v>4</x:v>
      </x:c>
      <x:c r="G21" s="54" t="n">
        <x:v>5</x:v>
      </x:c>
      <x:c r="H21" s="54" t="n">
        <x:v>10</x:v>
      </x:c>
      <x:c r="I21" s="60" t="n">
        <x:f>IF(H21&gt;0,E21*F21*G21/H21,"")</x:f>
        <x:v>1.3</x:v>
      </x:c>
      <x:c r="J21" s="40" t="str">
        <x:v>IRT26;HOUSING26</x:v>
      </x:c>
      <x:c r="K21" s="40" t="str">
        <x:v>Open — not scheduled</x:v>
      </x:c>
      <x:c r="L21" s="40" t="str">
        <x:v>Analyst planning judgments, not calibrated probabilities or dollar EV</x:v>
      </x:c>
    </x:row>
    <x:row r="22" ht="98" customHeight="1">
      <x:c r="A22" s="40" t="str">
        <x:v>Q17</x:v>
      </x:c>
      <x:c r="B22" s="40" t="str">
        <x:v>NRG</x:v>
      </x:c>
      <x:c r="C22" s="40" t="str">
        <x:v>Which power exposure reaches common shareholders after hedges and financing?</x:v>
      </x:c>
      <x:c r="D22" s="40" t="str">
        <x:v>Generation/retail/hedge cash model with acquisition debt and dilution</x:v>
      </x:c>
      <x:c r="E22" s="58" t="n">
        <x:v>0.75</x:v>
      </x:c>
      <x:c r="F22" s="54" t="n">
        <x:v>4</x:v>
      </x:c>
      <x:c r="G22" s="54" t="n">
        <x:v>5</x:v>
      </x:c>
      <x:c r="H22" s="54" t="n">
        <x:v>12</x:v>
      </x:c>
      <x:c r="I22" s="60" t="n">
        <x:f>IF(H22&gt;0,E22*F22*G22/H22,"")</x:f>
        <x:v>1.25</x:v>
      </x:c>
      <x:c r="J22" s="40" t="str">
        <x:v>NRG26</x:v>
      </x:c>
      <x:c r="K22" s="40" t="str">
        <x:v>Open — not scheduled</x:v>
      </x:c>
      <x:c r="L22" s="40" t="str">
        <x:v>Analyst planning judgments, not calibrated probabilities or dollar EV</x:v>
      </x:c>
    </x:row>
    <x:row r="23" ht="98" customHeight="1">
      <x:c r="A23" s="40" t="str">
        <x:v>Q18</x:v>
      </x:c>
      <x:c r="B23" s="40" t="str">
        <x:v>Historical validation</x:v>
      </x:c>
      <x:c r="C23" s="40" t="str">
        <x:v>Which indicators actually lead rather than merely explain afterward?</x:v>
      </x:c>
      <x:c r="D23" s="40" t="str">
        <x:v>Pre-registered multi-cycle event tests using vintages, failed firms, costs and controls</x:v>
      </x:c>
      <x:c r="E23" s="58" t="n">
        <x:v>0.8</x:v>
      </x:c>
      <x:c r="F23" s="54" t="n">
        <x:v>5</x:v>
      </x:c>
      <x:c r="G23" s="54" t="n">
        <x:v>5</x:v>
      </x:c>
      <x:c r="H23" s="54" t="n">
        <x:v>20</x:v>
      </x:c>
      <x:c r="I23" s="60" t="n">
        <x:f>IF(H23&gt;0,E23*F23*G23/H23,"")</x:f>
        <x:v>1</x:v>
      </x:c>
      <x:c r="J23" s="40" t="str">
        <x:v>FRED;H-CISCO;H-SVB</x:v>
      </x:c>
      <x:c r="K23" s="40" t="str">
        <x:v>Open — not scheduled</x:v>
      </x:c>
      <x:c r="L23" s="40" t="str">
        <x:v>Analyst planning judgments, not calibrated probabilities or dollar EV</x:v>
      </x:c>
    </x:row>
    <x:row r="24" ht="98" customHeight="1">
      <x:c r="A24" s="40" t="str">
        <x:v>Q19</x:v>
      </x:c>
      <x:c r="B24" s="40" t="str">
        <x:v>Scope expansion</x:v>
      </x:c>
      <x:c r="C24" s="40" t="str">
        <x:v>Which low-coverage industries deserve the next primary-source dossier?</x:v>
      </x:c>
      <x:c r="D24" s="40" t="str">
        <x:v>Two issuers plus one customer/competitor and five-year series per uncovered economic node</x:v>
      </x:c>
      <x:c r="E24" s="58" t="n">
        <x:v>0.7</x:v>
      </x:c>
      <x:c r="F24" s="54" t="n">
        <x:v>4</x:v>
      </x:c>
      <x:c r="G24" s="54" t="n">
        <x:v>5</x:v>
      </x:c>
      <x:c r="H24" s="54" t="n">
        <x:v>18</x:v>
      </x:c>
      <x:c r="I24" s="60" t="n">
        <x:f>IF(H24&gt;0,E24*F24*G24/H24,"")</x:f>
        <x:v>0.7777777777777778</x:v>
      </x:c>
      <x:c r="J24" s="40" t="str">
        <x:v>EDGAR</x:v>
      </x:c>
      <x:c r="K24" s="40" t="str">
        <x:v>Open — not scheduled</x:v>
      </x:c>
      <x:c r="L24" s="40" t="str">
        <x:v>Analyst planning judgments, not calibrated probabilities or dollar EV</x:v>
      </x:c>
    </x:row>
  </x:sheetData>
  <x:mergeCells>
    <x:mergeCell ref="A1:H2"/>
    <x:mergeCell ref="A3:H3"/>
  </x:mergeCells>
  <x:conditionalFormatting sqref="I6:I24">
    <x:cfRule type="dataBar" priority="1">
      <x:dataBar>
        <x:cfvo type="min"/>
        <x:cfvo type="max"/>
        <x:color rgb="FF137C83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d03d4c121724a7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3" hidden="0" customWidth="1"/>
    <x:col min="3" max="3" width="47" hidden="0" customWidth="1"/>
    <x:col min="4" max="4" width="15" hidden="0" customWidth="1"/>
    <x:col min="5" max="5" width="15" hidden="0" customWidth="1"/>
    <x:col min="6" max="6" width="24" hidden="0" customWidth="1"/>
    <x:col min="7" max="7" width="49" hidden="0" customWidth="1"/>
    <x:col min="8" max="8" width="24" hidden="0" customWidth="1"/>
  </x:cols>
  <x:sheetData>
    <x:row r="1">
      <x:c r="A1" s="24" t="str">
        <x:v>71 SOURCE RECORDS — 58 RETRIEVED, 13 ACQUISITION ROUTES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Access status separates retrieved reports from provider routes. Source URLs are not claims of a live feed, licensed consensus or raw-data download.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Source ID</x:v>
      </x:c>
      <x:c r="B5" s="34" t="str">
        <x:v>Title</x:v>
      </x:c>
      <x:c r="C5" s="34" t="str">
        <x:v>URL</x:v>
      </x:c>
      <x:c r="D5" s="34" t="str">
        <x:v>Published</x:v>
      </x:c>
      <x:c r="E5" s="34" t="str">
        <x:v>Retrieved</x:v>
      </x:c>
      <x:c r="F5" s="34" t="str">
        <x:v>Type</x:v>
      </x:c>
      <x:c r="G5" s="34" t="str">
        <x:v>Scope / permitted inference</x:v>
      </x:c>
      <x:c r="H5" s="34" t="str">
        <x:v>Access status</x:v>
      </x:c>
    </x:row>
    <x:row r="6" ht="85" customHeight="1">
      <x:c r="A6" s="40" t="str">
        <x:v>GICS</x:v>
      </x:c>
      <x:c r="B6" s="40" t="str">
        <x:v>GICS current structure</x:v>
      </x:c>
      <x:c r="C6" s="40" t="str">
        <x:v>https://www.spglobal.com/spdji/en/landing/topic/gics/</x:v>
      </x:c>
      <x:c r="D6" s="44"/>
      <x:c r="E6" s="44" t="n">
        <x:v>46272</x:v>
      </x:c>
      <x:c r="F6" s="40" t="str">
        <x:v>Classification</x:v>
      </x:c>
      <x:c r="G6" s="40" t="str">
        <x:v>11/25/74/163; taxonomy only</x:v>
      </x:c>
      <x:c r="H6" s="40" t="str">
        <x:v>Retrieved</x:v>
      </x:c>
    </x:row>
    <x:row r="7" ht="85" customHeight="1">
      <x:c r="A7" s="40" t="str">
        <x:v>GICS-M</x:v>
      </x:c>
      <x:c r="B7" s="40" t="str">
        <x:v>MSCI GICS methodology August 2024</x:v>
      </x:c>
      <x:c r="C7" s="40" t="str">
        <x:v>https://www.msci.com/indexes/documents/methodology/1_MSCI_Global_Industry_Classification_Standard_GICS_Methodology_20240801.pdf</x:v>
      </x:c>
      <x:c r="D7" s="44" t="n">
        <x:v>45505</x:v>
      </x:c>
      <x:c r="E7" s="44" t="n">
        <x:v>46272</x:v>
      </x:c>
      <x:c r="F7" s="40" t="str">
        <x:v>Classification</x:v>
      </x:c>
      <x:c r="G7" s="40" t="str">
        <x:v>Hierarchy and definitions; economic maps below are analyst mappings</x:v>
      </x:c>
      <x:c r="H7" s="40" t="str">
        <x:v>Retrieved</x:v>
      </x:c>
    </x:row>
    <x:row r="8" ht="85" customHeight="1">
      <x:c r="A8" s="40" t="str">
        <x:v>SEC-DIR</x:v>
      </x:c>
      <x:c r="B8" s="40" t="str">
        <x:v>SEC issuer ticker/exchange directory</x:v>
      </x:c>
      <x:c r="C8" s="40" t="str">
        <x:v>https://www.sec.gov/files/company_tickers_exchange.json</x:v>
      </x:c>
      <x:c r="D8" s="44"/>
      <x:c r="E8" s="44" t="n">
        <x:v>46272</x:v>
      </x:c>
      <x:c r="F8" s="40" t="str">
        <x:v>Reference</x:v>
      </x:c>
      <x:c r="G8" s="40" t="str">
        <x:v>Directory reference, not point-in-time eligible-universe reconstruction; not downloaded</x:v>
      </x:c>
      <x:c r="H8" s="40" t="str">
        <x:v>Retrieved</x:v>
      </x:c>
    </x:row>
    <x:row r="9" ht="85" customHeight="1">
      <x:c r="A9" s="40" t="str">
        <x:v>MOD26</x:v>
      </x:c>
      <x:c r="B9" s="40" t="str">
        <x:v>Modine Q1 FY2027 results</x:v>
      </x:c>
      <x:c r="C9" s="40" t="str">
        <x:v>https://investors.modine.com/news/news-details/2026/Modine-Reports-First-Quarter-Fiscal-2027-Results/default.aspx</x:v>
      </x:c>
      <x:c r="D9" s="44" t="n">
        <x:v>46232</x:v>
      </x:c>
      <x:c r="E9" s="44" t="n">
        <x:v>46272</x:v>
      </x:c>
      <x:c r="F9" s="40" t="str">
        <x:v>Primary</x:v>
      </x:c>
      <x:c r="G9" s="40" t="str">
        <x:v>Retrieved primary report; numeric facts and dates linked in observations.</x:v>
      </x:c>
      <x:c r="H9" s="40" t="str">
        <x:v>Retrieved</x:v>
      </x:c>
    </x:row>
    <x:row r="10" ht="85" customHeight="1">
      <x:c r="A10" s="40" t="str">
        <x:v>WINA26</x:v>
      </x:c>
      <x:c r="B10" s="40" t="str">
        <x:v>Winmark Q2 2026 Form 10-Q</x:v>
      </x:c>
      <x:c r="C10" s="40" t="str">
        <x:v>https://www.sec.gov/Archives/edgar/data/908315/000090831526000028/wina-20260627x10q.htm</x:v>
      </x:c>
      <x:c r="D10" s="44" t="n">
        <x:v>46218</x:v>
      </x:c>
      <x:c r="E10" s="44" t="n">
        <x:v>46272</x:v>
      </x:c>
      <x:c r="F10" s="40" t="str">
        <x:v>Primary</x:v>
      </x:c>
      <x:c r="G10" s="40" t="str">
        <x:v>Retrieved primary report; numeric facts and dates linked in observations.</x:v>
      </x:c>
      <x:c r="H10" s="40" t="str">
        <x:v>Retrieved</x:v>
      </x:c>
    </x:row>
    <x:row r="11" ht="85" customHeight="1">
      <x:c r="A11" s="40" t="str">
        <x:v>NSSC26</x:v>
      </x:c>
      <x:c r="B11" s="40" t="str">
        <x:v>NAPCO FY2026 results</x:v>
      </x:c>
      <x:c r="C11" s="40" t="str">
        <x:v>https://investor.napcosecurity.com/2026-08-24-NAPCO-Security-Technologies,-Inc-Reports-Fiscal-Q4-and-Full-Year-2026-Results</x:v>
      </x:c>
      <x:c r="D11" s="44" t="n">
        <x:v>46258</x:v>
      </x:c>
      <x:c r="E11" s="44" t="n">
        <x:v>46272</x:v>
      </x:c>
      <x:c r="F11" s="40" t="str">
        <x:v>Primary</x:v>
      </x:c>
      <x:c r="G11" s="40" t="str">
        <x:v>Retrieved primary report; numeric facts and dates linked in observations.</x:v>
      </x:c>
      <x:c r="H11" s="40" t="str">
        <x:v>Retrieved</x:v>
      </x:c>
    </x:row>
    <x:row r="12" ht="85" customHeight="1">
      <x:c r="A12" s="40" t="str">
        <x:v>COHU26</x:v>
      </x:c>
      <x:c r="B12" s="40" t="str">
        <x:v>Cohu Q2 2026 results</x:v>
      </x:c>
      <x:c r="C12" s="40" t="str">
        <x:v>https://ir.cohu.com/news-releases/news-release-details/cohu-reports-second-quarter-2026-results</x:v>
      </x:c>
      <x:c r="D12" s="44" t="n">
        <x:v>46233</x:v>
      </x:c>
      <x:c r="E12" s="44" t="n">
        <x:v>46272</x:v>
      </x:c>
      <x:c r="F12" s="40" t="str">
        <x:v>Primary</x:v>
      </x:c>
      <x:c r="G12" s="40" t="str">
        <x:v>Retrieved primary report; numeric facts and dates linked in observations.</x:v>
      </x:c>
      <x:c r="H12" s="40" t="str">
        <x:v>Retrieved</x:v>
      </x:c>
    </x:row>
    <x:row r="13" ht="85" customHeight="1">
      <x:c r="A13" s="40" t="str">
        <x:v>POWL26</x:v>
      </x:c>
      <x:c r="B13" s="40" t="str">
        <x:v>Powell Q3 FY2026 results</x:v>
      </x:c>
      <x:c r="C13" s="40" t="str">
        <x:v>https://powellindustriesinc.gcs-web.com/news-releases/news-release-details/powell-industries-announces-third-quarter-fiscal-2026-results</x:v>
      </x:c>
      <x:c r="D13" s="44" t="n">
        <x:v>46237</x:v>
      </x:c>
      <x:c r="E13" s="44" t="n">
        <x:v>46272</x:v>
      </x:c>
      <x:c r="F13" s="40" t="str">
        <x:v>Primary</x:v>
      </x:c>
      <x:c r="G13" s="40" t="str">
        <x:v>Retrieved primary report; numeric facts and dates linked in observations.</x:v>
      </x:c>
      <x:c r="H13" s="40" t="str">
        <x:v>Retrieved</x:v>
      </x:c>
    </x:row>
    <x:row r="14" ht="85" customHeight="1">
      <x:c r="A14" s="40" t="str">
        <x:v>CSW26</x:v>
      </x:c>
      <x:c r="B14" s="40" t="str">
        <x:v>CSW Q1 FY2027 issuer release</x:v>
      </x:c>
      <x:c r="C14" s="40" t="str">
        <x:v>https://www.globenewswire.com/news-release/2026/07/30/3335879/0/en/csw-industrials-reports-impressive-fiscal-2027-first-quarter-with-all-time-record-results-contractor-solutions-segment-delivers-second-consecutive-quarter-of-positive-organic-growt.html</x:v>
      </x:c>
      <x:c r="D14" s="44" t="n">
        <x:v>46233</x:v>
      </x:c>
      <x:c r="E14" s="44" t="n">
        <x:v>46272</x:v>
      </x:c>
      <x:c r="F14" s="40" t="str">
        <x:v>Primary</x:v>
      </x:c>
      <x:c r="G14" s="40" t="str">
        <x:v>Retrieved primary report; numeric facts and dates linked in observations.</x:v>
      </x:c>
      <x:c r="H14" s="40" t="str">
        <x:v>Retrieved</x:v>
      </x:c>
    </x:row>
    <x:row r="15" ht="85" customHeight="1">
      <x:c r="A15" s="40" t="str">
        <x:v>HPS26</x:v>
      </x:c>
      <x:c r="B15" s="40" t="str">
        <x:v>Hammond Power Q2 2026 highlights</x:v>
      </x:c>
      <x:c r="C15" s="40" t="str">
        <x:v>https://emea.hammondpowersolutions.com/news/2026/july/Quarter-2-2026-Financial-Results</x:v>
      </x:c>
      <x:c r="D15" s="44" t="n">
        <x:v>46233</x:v>
      </x:c>
      <x:c r="E15" s="44" t="n">
        <x:v>46272</x:v>
      </x:c>
      <x:c r="F15" s="40" t="str">
        <x:v>Primary</x:v>
      </x:c>
      <x:c r="G15" s="40" t="str">
        <x:v>Retrieved primary report; numeric facts and dates linked in observations.</x:v>
      </x:c>
      <x:c r="H15" s="40" t="str">
        <x:v>Retrieved</x:v>
      </x:c>
    </x:row>
    <x:row r="16" ht="85" customHeight="1">
      <x:c r="A16" s="40" t="str">
        <x:v>IESC26</x:v>
      </x:c>
      <x:c r="B16" s="40" t="str">
        <x:v>IES Q3 FY2026 results and split announcement</x:v>
      </x:c>
      <x:c r="C16" s="40" t="str">
        <x:v>https://investors.ies-corporate.com/news-releases/news-release-details/ies-holdings-reports-fiscal-2026-third-quarter-results-and</x:v>
      </x:c>
      <x:c r="D16" s="44" t="n">
        <x:v>46234</x:v>
      </x:c>
      <x:c r="E16" s="44" t="n">
        <x:v>46272</x:v>
      </x:c>
      <x:c r="F16" s="40" t="str">
        <x:v>Primary</x:v>
      </x:c>
      <x:c r="G16" s="40" t="str">
        <x:v>Retrieved primary report; numeric facts and dates linked in observations.</x:v>
      </x:c>
      <x:c r="H16" s="40" t="str">
        <x:v>Retrieved</x:v>
      </x:c>
    </x:row>
    <x:row r="17" ht="85" customHeight="1">
      <x:c r="A17" s="40" t="str">
        <x:v>AAOI26</x:v>
      </x:c>
      <x:c r="B17" s="40" t="str">
        <x:v>Applied Optoelectronics Q2 2026</x:v>
      </x:c>
      <x:c r="C17" s="40" t="str">
        <x:v>https://investors.ao-inc.com/news-releases/news-release-details/applied-optoelectronics-reports-second-quarter-2026-results</x:v>
      </x:c>
      <x:c r="D17" s="44" t="n">
        <x:v>46240</x:v>
      </x:c>
      <x:c r="E17" s="44" t="n">
        <x:v>46272</x:v>
      </x:c>
      <x:c r="F17" s="40" t="str">
        <x:v>Primary</x:v>
      </x:c>
      <x:c r="G17" s="40" t="str">
        <x:v>Retrieved primary report; numeric facts and dates linked in observations.</x:v>
      </x:c>
      <x:c r="H17" s="40" t="str">
        <x:v>Retrieved</x:v>
      </x:c>
    </x:row>
    <x:row r="18" ht="85" customHeight="1">
      <x:c r="A18" s="40" t="str">
        <x:v>AAON26</x:v>
      </x:c>
      <x:c r="B18" s="40" t="str">
        <x:v>AAON Q2 2026 results</x:v>
      </x:c>
      <x:c r="C18" s="40" t="str">
        <x:v>https://investors.aaon.com/investor-news/aaon-reports-record-second-quarter-2026-results-driven-by-strong-demand-accelerating-throughput-and-improved-operating-execution</x:v>
      </x:c>
      <x:c r="D18" s="44" t="n">
        <x:v>46240</x:v>
      </x:c>
      <x:c r="E18" s="44" t="n">
        <x:v>46272</x:v>
      </x:c>
      <x:c r="F18" s="40" t="str">
        <x:v>Primary</x:v>
      </x:c>
      <x:c r="G18" s="40" t="str">
        <x:v>Retrieved primary report; numeric facts and dates linked in observations.</x:v>
      </x:c>
      <x:c r="H18" s="40" t="str">
        <x:v>Retrieved</x:v>
      </x:c>
    </x:row>
    <x:row r="19" ht="85" customHeight="1">
      <x:c r="A19" s="40" t="str">
        <x:v>CAMT26</x:v>
      </x:c>
      <x:c r="B19" s="40" t="str">
        <x:v>Camtek Q2 2026 results</x:v>
      </x:c>
      <x:c r="C19" s="40" t="str">
        <x:v>https://www.camtek.com/news-and-events/camtek-announces-results-for-the-second-quarter-of-2026/</x:v>
      </x:c>
      <x:c r="D19" s="44" t="n">
        <x:v>46244</x:v>
      </x:c>
      <x:c r="E19" s="44" t="n">
        <x:v>46272</x:v>
      </x:c>
      <x:c r="F19" s="40" t="str">
        <x:v>Primary</x:v>
      </x:c>
      <x:c r="G19" s="40" t="str">
        <x:v>Retrieved primary report; numeric facts and dates linked in observations.</x:v>
      </x:c>
      <x:c r="H19" s="40" t="str">
        <x:v>Retrieved</x:v>
      </x:c>
    </x:row>
    <x:row r="20" ht="85" customHeight="1">
      <x:c r="A20" s="40" t="str">
        <x:v>VSEC26</x:v>
      </x:c>
      <x:c r="B20" s="40" t="str">
        <x:v>VSE Q2 2026 results</x:v>
      </x:c>
      <x:c r="C20" s="40" t="str">
        <x:v>https://ir.vsecorp.com/news/press-releases/detail/413/vse-corporation-announces-second-quarter-2026-results</x:v>
      </x:c>
      <x:c r="D20" s="44" t="n">
        <x:v>46239</x:v>
      </x:c>
      <x:c r="E20" s="44" t="n">
        <x:v>46272</x:v>
      </x:c>
      <x:c r="F20" s="40" t="str">
        <x:v>Primary</x:v>
      </x:c>
      <x:c r="G20" s="40" t="str">
        <x:v>Retrieved primary report; numeric facts and dates linked in observations.</x:v>
      </x:c>
      <x:c r="H20" s="40" t="str">
        <x:v>Retrieved</x:v>
      </x:c>
    </x:row>
    <x:row r="21" ht="85" customHeight="1">
      <x:c r="A21" s="40" t="str">
        <x:v>AZZ26</x:v>
      </x:c>
      <x:c r="B21" s="40" t="str">
        <x:v>AZZ Q1 FY2027 results</x:v>
      </x:c>
      <x:c r="C21" s="40" t="str">
        <x:v>https://investor.azz.com/2026-07-08-AZZ-Inc-Reports-Fiscal-Year-2027-First-Quarter-Results</x:v>
      </x:c>
      <x:c r="D21" s="44" t="n">
        <x:v>46211</x:v>
      </x:c>
      <x:c r="E21" s="44" t="n">
        <x:v>46272</x:v>
      </x:c>
      <x:c r="F21" s="40" t="str">
        <x:v>Primary</x:v>
      </x:c>
      <x:c r="G21" s="40" t="str">
        <x:v>Retrieved primary report; numeric facts and dates linked in observations.</x:v>
      </x:c>
      <x:c r="H21" s="40" t="str">
        <x:v>Retrieved</x:v>
      </x:c>
    </x:row>
    <x:row r="22" ht="85" customHeight="1">
      <x:c r="A22" s="40" t="str">
        <x:v>LMAT26</x:v>
      </x:c>
      <x:c r="B22" s="40" t="str">
        <x:v>LeMaitre Q2 2026 results</x:v>
      </x:c>
      <x:c r="C22" s="40" t="str">
        <x:v>https://ir.lemaitre.com/news-releases/news-release-details/lemaitre-q2-2026-financial-results</x:v>
      </x:c>
      <x:c r="D22" s="44" t="n">
        <x:v>46238</x:v>
      </x:c>
      <x:c r="E22" s="44" t="n">
        <x:v>46272</x:v>
      </x:c>
      <x:c r="F22" s="40" t="str">
        <x:v>Primary</x:v>
      </x:c>
      <x:c r="G22" s="40" t="str">
        <x:v>Retrieved primary report; numeric facts and dates linked in observations.</x:v>
      </x:c>
      <x:c r="H22" s="40" t="str">
        <x:v>Retrieved</x:v>
      </x:c>
    </x:row>
    <x:row r="23" ht="85" customHeight="1">
      <x:c r="A23" s="40" t="str">
        <x:v>APPF26</x:v>
      </x:c>
      <x:c r="B23" s="40" t="str">
        <x:v>AppFolio Q2 2026 results</x:v>
      </x:c>
      <x:c r="C23" s="40" t="str">
        <x:v>https://ir.appfolioinc.com/news-releases/news-release-details/appfolio-inc-announces-second-quarter-2026-financial-results</x:v>
      </x:c>
      <x:c r="D23" s="44" t="n">
        <x:v>46226</x:v>
      </x:c>
      <x:c r="E23" s="44" t="n">
        <x:v>46272</x:v>
      </x:c>
      <x:c r="F23" s="40" t="str">
        <x:v>Primary</x:v>
      </x:c>
      <x:c r="G23" s="40" t="str">
        <x:v>Retrieved primary report; numeric facts and dates linked in observations.</x:v>
      </x:c>
      <x:c r="H23" s="40" t="str">
        <x:v>Retrieved</x:v>
      </x:c>
    </x:row>
    <x:row r="24" ht="85" customHeight="1">
      <x:c r="A24" s="40" t="str">
        <x:v>KNSL26</x:v>
      </x:c>
      <x:c r="B24" s="40" t="str">
        <x:v>Kinsale Q2 2026 results</x:v>
      </x:c>
      <x:c r="C24" s="40" t="str">
        <x:v>https://ir.kinsalecapitalgroup.com/news/news-details/2026/Kinsale-Capital-Group-Reports-Second-Quarter-2026-Results/default.aspx</x:v>
      </x:c>
      <x:c r="D24" s="44" t="n">
        <x:v>46226</x:v>
      </x:c>
      <x:c r="E24" s="44" t="n">
        <x:v>46272</x:v>
      </x:c>
      <x:c r="F24" s="40" t="str">
        <x:v>Primary</x:v>
      </x:c>
      <x:c r="G24" s="40" t="str">
        <x:v>Retrieved primary report; numeric facts and dates linked in observations.</x:v>
      </x:c>
      <x:c r="H24" s="40" t="str">
        <x:v>Retrieved</x:v>
      </x:c>
    </x:row>
    <x:row r="25" ht="85" customHeight="1">
      <x:c r="A25" s="40" t="str">
        <x:v>AROC26</x:v>
      </x:c>
      <x:c r="B25" s="40" t="str">
        <x:v>Archrock Q2 2026 results</x:v>
      </x:c>
      <x:c r="C25" s="40" t="str">
        <x:v>https://investors.archrock.com/news/news-details/2026/Archrock-Reports-Second-Quarter-2026-Results/default.aspx</x:v>
      </x:c>
      <x:c r="D25" s="44" t="n">
        <x:v>46238</x:v>
      </x:c>
      <x:c r="E25" s="44" t="n">
        <x:v>46272</x:v>
      </x:c>
      <x:c r="F25" s="40" t="str">
        <x:v>Primary</x:v>
      </x:c>
      <x:c r="G25" s="40" t="str">
        <x:v>Retrieved primary report; numeric facts and dates linked in observations.</x:v>
      </x:c>
      <x:c r="H25" s="40" t="str">
        <x:v>Retrieved</x:v>
      </x:c>
    </x:row>
    <x:row r="26" ht="85" customHeight="1">
      <x:c r="A26" s="40" t="str">
        <x:v>IOSP26</x:v>
      </x:c>
      <x:c r="B26" s="40" t="str">
        <x:v>Innospec Q2 2026 results</x:v>
      </x:c>
      <x:c r="C26" s="40" t="str">
        <x:v>https://investors.innospec.com/news-releases/news-release-details/innospec-reports-second-quarter-2026-financial-results</x:v>
      </x:c>
      <x:c r="D26" s="44" t="n">
        <x:v>46238</x:v>
      </x:c>
      <x:c r="E26" s="44" t="n">
        <x:v>46272</x:v>
      </x:c>
      <x:c r="F26" s="40" t="str">
        <x:v>Primary</x:v>
      </x:c>
      <x:c r="G26" s="40" t="str">
        <x:v>Retrieved primary report; numeric facts and dates linked in observations.</x:v>
      </x:c>
      <x:c r="H26" s="40" t="str">
        <x:v>Retrieved</x:v>
      </x:c>
    </x:row>
    <x:row r="27" ht="85" customHeight="1">
      <x:c r="A27" s="40" t="str">
        <x:v>RGEN26</x:v>
      </x:c>
      <x:c r="B27" s="40" t="str">
        <x:v>Repligen Q2 2026 results</x:v>
      </x:c>
      <x:c r="C27" s="40" t="str">
        <x:v>https://investors.repligen.com/press-releases/news-details/2026/Repligen-Reports-Second-Quarter-2026-Financial-Results-and-Updates-Full-Year-2026-Financial-Guidance/default.aspx</x:v>
      </x:c>
      <x:c r="D27" s="44" t="n">
        <x:v>46231</x:v>
      </x:c>
      <x:c r="E27" s="44" t="n">
        <x:v>46272</x:v>
      </x:c>
      <x:c r="F27" s="40" t="str">
        <x:v>Primary</x:v>
      </x:c>
      <x:c r="G27" s="40" t="str">
        <x:v>Retrieved primary report; numeric facts and dates linked in observations.</x:v>
      </x:c>
      <x:c r="H27" s="40" t="str">
        <x:v>Retrieved</x:v>
      </x:c>
    </x:row>
    <x:row r="28" ht="85" customHeight="1">
      <x:c r="A28" s="40" t="str">
        <x:v>VITL26</x:v>
      </x:c>
      <x:c r="B28" s="40" t="str">
        <x:v>Vital Farms Q2 2026 results</x:v>
      </x:c>
      <x:c r="C28" s="40" t="str">
        <x:v>https://investors.vitalfarms.com/news/news-details/2026/Vital-Farms-Reports-Second-Quarter-2026-Financial-Results/default.aspx</x:v>
      </x:c>
      <x:c r="D28" s="44" t="n">
        <x:v>46240</x:v>
      </x:c>
      <x:c r="E28" s="44" t="n">
        <x:v>46272</x:v>
      </x:c>
      <x:c r="F28" s="40" t="str">
        <x:v>Primary</x:v>
      </x:c>
      <x:c r="G28" s="40" t="str">
        <x:v>Retrieved primary report; numeric facts and dates linked in observations.</x:v>
      </x:c>
      <x:c r="H28" s="40" t="str">
        <x:v>Retrieved</x:v>
      </x:c>
    </x:row>
    <x:row r="29" ht="85" customHeight="1">
      <x:c r="A29" s="40" t="str">
        <x:v>FND26</x:v>
      </x:c>
      <x:c r="B29" s="40" t="str">
        <x:v>Floor &amp; Decor Q2 2026 results</x:v>
      </x:c>
      <x:c r="C29" s="40" t="str">
        <x:v>https://ir.flooranddecor.com/news-events/press-releases/detail/301/floor-decor-holdings-inc-announces-second-quarter</x:v>
      </x:c>
      <x:c r="D29" s="44" t="n">
        <x:v>46233</x:v>
      </x:c>
      <x:c r="E29" s="44" t="n">
        <x:v>46272</x:v>
      </x:c>
      <x:c r="F29" s="40" t="str">
        <x:v>Primary</x:v>
      </x:c>
      <x:c r="G29" s="40" t="str">
        <x:v>Retrieved primary report; numeric facts and dates linked in observations.</x:v>
      </x:c>
      <x:c r="H29" s="40" t="str">
        <x:v>Retrieved</x:v>
      </x:c>
    </x:row>
    <x:row r="30" ht="85" customHeight="1">
      <x:c r="A30" s="40" t="str">
        <x:v>PEBO26</x:v>
      </x:c>
      <x:c r="B30" s="40" t="str">
        <x:v>Peoples Bancorp Q2 2026 issuer release</x:v>
      </x:c>
      <x:c r="C30" s="40" t="str">
        <x:v>https://www.prnewswire.com/news-releases/peoples-bancorp-inc-announces-results-for-the-second-quarter-2026-302829905.html</x:v>
      </x:c>
      <x:c r="D30" s="44" t="n">
        <x:v>46224</x:v>
      </x:c>
      <x:c r="E30" s="44" t="n">
        <x:v>46272</x:v>
      </x:c>
      <x:c r="F30" s="40" t="str">
        <x:v>Primary</x:v>
      </x:c>
      <x:c r="G30" s="40" t="str">
        <x:v>Retrieved primary report; numeric facts and dates linked in observations.</x:v>
      </x:c>
      <x:c r="H30" s="40" t="str">
        <x:v>Retrieved</x:v>
      </x:c>
    </x:row>
    <x:row r="31" ht="85" customHeight="1">
      <x:c r="A31" s="40" t="str">
        <x:v>ZD26</x:v>
      </x:c>
      <x:c r="B31" s="40" t="str">
        <x:v>Ziff Davis investor results page</x:v>
      </x:c>
      <x:c r="C31" s="40" t="str">
        <x:v>https://investor.ziffdavis.com/</x:v>
      </x:c>
      <x:c r="D31" s="44" t="n">
        <x:v>46240</x:v>
      </x:c>
      <x:c r="E31" s="44" t="n">
        <x:v>46272</x:v>
      </x:c>
      <x:c r="F31" s="40" t="str">
        <x:v>Primary</x:v>
      </x:c>
      <x:c r="G31" s="40" t="str">
        <x:v>Retrieved primary report; numeric facts and dates linked in observations.</x:v>
      </x:c>
      <x:c r="H31" s="40" t="str">
        <x:v>Retrieved</x:v>
      </x:c>
    </x:row>
    <x:row r="32" ht="85" customHeight="1">
      <x:c r="A32" s="40" t="str">
        <x:v>NRG26</x:v>
      </x:c>
      <x:c r="B32" s="40" t="str">
        <x:v>NRG Q2 2026 results</x:v>
      </x:c>
      <x:c r="C32" s="40" t="str">
        <x:v>https://investors.nrg.com/news-releases/news-release-details/nrg-energy-reports-second-quarter-2026-results-and-reaffirms</x:v>
      </x:c>
      <x:c r="D32" s="44" t="n">
        <x:v>46238</x:v>
      </x:c>
      <x:c r="E32" s="44" t="n">
        <x:v>46272</x:v>
      </x:c>
      <x:c r="F32" s="40" t="str">
        <x:v>Primary</x:v>
      </x:c>
      <x:c r="G32" s="40" t="str">
        <x:v>Retrieved primary report; numeric facts and dates linked in observations.</x:v>
      </x:c>
      <x:c r="H32" s="40" t="str">
        <x:v>Retrieved</x:v>
      </x:c>
    </x:row>
    <x:row r="33" ht="85" customHeight="1">
      <x:c r="A33" s="40" t="str">
        <x:v>IRT26</x:v>
      </x:c>
      <x:c r="B33" s="40" t="str">
        <x:v>Independence Realty Q2 2026 results</x:v>
      </x:c>
      <x:c r="C33" s="40" t="str">
        <x:v>https://investors.irtliving.com/press-releases/press-release/2026/Independence-Realty-Trust-Announces-Second-Quarter-2026-Financial-Results/default.aspx</x:v>
      </x:c>
      <x:c r="D33" s="44" t="n">
        <x:v>46237</x:v>
      </x:c>
      <x:c r="E33" s="44" t="n">
        <x:v>46272</x:v>
      </x:c>
      <x:c r="F33" s="40" t="str">
        <x:v>Primary</x:v>
      </x:c>
      <x:c r="G33" s="40" t="str">
        <x:v>Retrieved primary report; numeric facts and dates linked in observations.</x:v>
      </x:c>
      <x:c r="H33" s="40" t="str">
        <x:v>Retrieved</x:v>
      </x:c>
    </x:row>
    <x:row r="34" ht="85" customHeight="1">
      <x:c r="A34" s="40" t="str">
        <x:v>BMI26</x:v>
      </x:c>
      <x:c r="B34" s="40" t="str">
        <x:v>Badger Meter Q2 2026 results</x:v>
      </x:c>
      <x:c r="C34" s="40" t="str">
        <x:v>https://investors.badgermeter.com/news-releases/press-release-details/2026/Badger-Meter-Reports-Second-Quarter-2026-Financial-Results/default.aspx</x:v>
      </x:c>
      <x:c r="D34" s="44" t="n">
        <x:v>46225</x:v>
      </x:c>
      <x:c r="E34" s="44" t="n">
        <x:v>46272</x:v>
      </x:c>
      <x:c r="F34" s="40" t="str">
        <x:v>Primary</x:v>
      </x:c>
      <x:c r="G34" s="40" t="str">
        <x:v>Retrieved primary report; numeric facts and dates linked in observations.</x:v>
      </x:c>
      <x:c r="H34" s="40" t="str">
        <x:v>Retrieved</x:v>
      </x:c>
    </x:row>
    <x:row r="35" ht="85" customHeight="1">
      <x:c r="A35" s="40" t="str">
        <x:v>G17</x:v>
      </x:c>
      <x:c r="B35" s="40" t="str">
        <x:v>Federal Reserve July 2026 industrial production</x:v>
      </x:c>
      <x:c r="C35" s="40" t="str">
        <x:v>https://www.federalreserve.gov/releases/g17/20260818/default.htm</x:v>
      </x:c>
      <x:c r="D35" s="44" t="n">
        <x:v>46252</x:v>
      </x:c>
      <x:c r="E35" s="44" t="n">
        <x:v>46272</x:v>
      </x:c>
      <x:c r="F35" s="40" t="str">
        <x:v>Primary</x:v>
      </x:c>
      <x:c r="G35" s="40" t="str">
        <x:v>Retrieved primary report; numeric facts and dates linked in observations.</x:v>
      </x:c>
      <x:c r="H35" s="40" t="str">
        <x:v>Retrieved</x:v>
      </x:c>
    </x:row>
    <x:row r="36" ht="85" customHeight="1">
      <x:c r="A36" s="40" t="str">
        <x:v>FDIC26</x:v>
      </x:c>
      <x:c r="B36" s="40" t="str">
        <x:v>FDIC Q2 2026 banking profile</x:v>
      </x:c>
      <x:c r="C36" s="40" t="str">
        <x:v>https://www.fdic.gov/quarterly-banking-profile/quarterly-banking-profile-2q-2026</x:v>
      </x:c>
      <x:c r="D36" s="44" t="n">
        <x:v>46259</x:v>
      </x:c>
      <x:c r="E36" s="44" t="n">
        <x:v>46272</x:v>
      </x:c>
      <x:c r="F36" s="40" t="str">
        <x:v>Primary</x:v>
      </x:c>
      <x:c r="G36" s="40" t="str">
        <x:v>Retrieved primary report; numeric facts and dates linked in observations.</x:v>
      </x:c>
      <x:c r="H36" s="40" t="str">
        <x:v>Retrieved</x:v>
      </x:c>
    </x:row>
    <x:row r="37" ht="85" customHeight="1">
      <x:c r="A37" s="40" t="str">
        <x:v>HOUSING26</x:v>
      </x:c>
      <x:c r="B37" s="40" t="str">
        <x:v>Census July 2026 new residential construction</x:v>
      </x:c>
      <x:c r="C37" s="40" t="str">
        <x:v>https://www.census.gov/construction/nrc/current/index.html</x:v>
      </x:c>
      <x:c r="D37" s="44" t="n">
        <x:v>46252</x:v>
      </x:c>
      <x:c r="E37" s="44" t="n">
        <x:v>46272</x:v>
      </x:c>
      <x:c r="F37" s="40" t="str">
        <x:v>Primary</x:v>
      </x:c>
      <x:c r="G37" s="40" t="str">
        <x:v>Retrieved primary report; numeric facts and dates linked in observations.</x:v>
      </x:c>
      <x:c r="H37" s="40" t="str">
        <x:v>Retrieved</x:v>
      </x:c>
    </x:row>
    <x:row r="38" ht="85" customHeight="1">
      <x:c r="A38" s="40" t="str">
        <x:v>JOBS26</x:v>
      </x:c>
      <x:c r="B38" s="40" t="str">
        <x:v>BLS August 2026 employment situation</x:v>
      </x:c>
      <x:c r="C38" s="40" t="str">
        <x:v>https://www.bls.gov/news.release/empsit.nr0.htm</x:v>
      </x:c>
      <x:c r="D38" s="44" t="n">
        <x:v>46269</x:v>
      </x:c>
      <x:c r="E38" s="44" t="n">
        <x:v>46272</x:v>
      </x:c>
      <x:c r="F38" s="40" t="str">
        <x:v>Primary</x:v>
      </x:c>
      <x:c r="G38" s="40" t="str">
        <x:v>Retrieved primary report; numeric facts and dates linked in observations.</x:v>
      </x:c>
      <x:c r="H38" s="40" t="str">
        <x:v>Retrieved</x:v>
      </x:c>
    </x:row>
    <x:row r="39" ht="85" customHeight="1">
      <x:c r="A39" s="40" t="str">
        <x:v>IEA26</x:v>
      </x:c>
      <x:c r="B39" s="40" t="str">
        <x:v>IEA 2026 critical minerals outlook executive summary</x:v>
      </x:c>
      <x:c r="C39" s="40" t="str">
        <x:v>https://www.iea.org/reports/global-critical-minerals-outlook-2026/executive-summary</x:v>
      </x:c>
      <x:c r="D39" s="44"/>
      <x:c r="E39" s="44" t="n">
        <x:v>46272</x:v>
      </x:c>
      <x:c r="F39" s="40" t="str">
        <x:v>Primary</x:v>
      </x:c>
      <x:c r="G39" s="40" t="str">
        <x:v>Retrieved primary report; numeric facts and dates linked in observations.</x:v>
      </x:c>
      <x:c r="H39" s="40" t="str">
        <x:v>Retrieved</x:v>
      </x:c>
    </x:row>
    <x:row r="40" ht="85" customHeight="1">
      <x:c r="A40" s="40" t="str">
        <x:v>H-OIL14</x:v>
      </x:c>
      <x:c r="B40" s="40" t="str">
        <x:v>EIA 2014 financial review</x:v>
      </x:c>
      <x:c r="C40" s="40" t="str">
        <x:v>https://www.eia.gov/finance/review/annual/</x:v>
      </x:c>
      <x:c r="D40" s="44" t="n">
        <x:v>42122</x:v>
      </x:c>
      <x:c r="E40" s="44" t="n">
        <x:v>46272</x:v>
      </x:c>
      <x:c r="F40" s="40" t="str">
        <x:v>Primary</x:v>
      </x:c>
      <x:c r="G40" s="40" t="str">
        <x:v>Historical case evidence; valid only from publication. Not a reconstructed trading backtest.</x:v>
      </x:c>
      <x:c r="H40" s="40" t="str">
        <x:v>Retrieved</x:v>
      </x:c>
    </x:row>
    <x:row r="41" ht="85" customHeight="1">
      <x:c r="A41" s="40" t="str">
        <x:v>H-WTI20</x:v>
      </x:c>
      <x:c r="B41" s="40" t="str">
        <x:v>EIA: storage and negative WTI futures</x:v>
      </x:c>
      <x:c r="C41" s="40" t="str">
        <x:v>https://www.eia.gov/todayinenergy/detail.php?id=43495</x:v>
      </x:c>
      <x:c r="D41" s="44" t="n">
        <x:v>43948</x:v>
      </x:c>
      <x:c r="E41" s="44" t="n">
        <x:v>46272</x:v>
      </x:c>
      <x:c r="F41" s="40" t="str">
        <x:v>Primary</x:v>
      </x:c>
      <x:c r="G41" s="40" t="str">
        <x:v>Historical case evidence; valid only from publication. Not a reconstructed trading backtest.</x:v>
      </x:c>
      <x:c r="H41" s="40" t="str">
        <x:v>Retrieved</x:v>
      </x:c>
    </x:row>
    <x:row r="42" ht="85" customHeight="1">
      <x:c r="A42" s="40" t="str">
        <x:v>H-LITH</x:v>
      </x:c>
      <x:c r="B42" s="40" t="str">
        <x:v>IEA: 2023 critical mineral price declines</x:v>
      </x:c>
      <x:c r="C42" s="40" t="str">
        <x:v>https://www.iea.org/news/sharp-declines-in-critical-mineral-prices-mask-risks-of-future-supply-strains-as-energy-transitions-advance</x:v>
      </x:c>
      <x:c r="D42" s="44" t="n">
        <x:v>45429</x:v>
      </x:c>
      <x:c r="E42" s="44" t="n">
        <x:v>46272</x:v>
      </x:c>
      <x:c r="F42" s="40" t="str">
        <x:v>Primary</x:v>
      </x:c>
      <x:c r="G42" s="40" t="str">
        <x:v>Historical case evidence; valid only from publication. Not a reconstructed trading backtest.</x:v>
      </x:c>
      <x:c r="H42" s="40" t="str">
        <x:v>Retrieved</x:v>
      </x:c>
    </x:row>
    <x:row r="43" ht="85" customHeight="1">
      <x:c r="A43" s="40" t="str">
        <x:v>H-SOLAR</x:v>
      </x:c>
      <x:c r="B43" s="40" t="str">
        <x:v>IEA Renewables 2024 executive summary</x:v>
      </x:c>
      <x:c r="C43" s="40" t="str">
        <x:v>https://www.iea.org/reports/renewables-2024/executive-summary</x:v>
      </x:c>
      <x:c r="D43" s="44" t="n">
        <x:v>45574</x:v>
      </x:c>
      <x:c r="E43" s="44" t="n">
        <x:v>46272</x:v>
      </x:c>
      <x:c r="F43" s="40" t="str">
        <x:v>Primary</x:v>
      </x:c>
      <x:c r="G43" s="40" t="str">
        <x:v>Historical case evidence; valid only from publication. Not a reconstructed trading backtest.</x:v>
      </x:c>
      <x:c r="H43" s="40" t="str">
        <x:v>Retrieved</x:v>
      </x:c>
    </x:row>
    <x:row r="44" ht="85" customHeight="1">
      <x:c r="A44" s="40" t="str">
        <x:v>H-CISCO</x:v>
      </x:c>
      <x:c r="B44" s="40" t="str">
        <x:v>Cisco Q3 FY2001 earnings</x:v>
      </x:c>
      <x:c r="C44" s="40" t="str">
        <x:v>https://newsroom.cisco.com/c/r/newsroom/en/us/a/y2001/m05/cisco-systems-reports-third-quarter-earnings.html</x:v>
      </x:c>
      <x:c r="D44" s="44" t="n">
        <x:v>37019</x:v>
      </x:c>
      <x:c r="E44" s="44" t="n">
        <x:v>46272</x:v>
      </x:c>
      <x:c r="F44" s="40" t="str">
        <x:v>Primary</x:v>
      </x:c>
      <x:c r="G44" s="40" t="str">
        <x:v>Historical case evidence; valid only from publication. Not a reconstructed trading backtest.</x:v>
      </x:c>
      <x:c r="H44" s="40" t="str">
        <x:v>Retrieved</x:v>
      </x:c>
    </x:row>
    <x:row r="45" ht="85" customHeight="1">
      <x:c r="A45" s="40" t="str">
        <x:v>H-SHIPS</x:v>
      </x:c>
      <x:c r="B45" s="40" t="str">
        <x:v>Maersk 2023 full-year results</x:v>
      </x:c>
      <x:c r="C45" s="40" t="str">
        <x:v>https://www.maersk.com/news/articles/2024/02/08/apmm-delivered-solid-2023-financial-results-in-a-difficult-environment</x:v>
      </x:c>
      <x:c r="D45" s="44" t="n">
        <x:v>45330</x:v>
      </x:c>
      <x:c r="E45" s="44" t="n">
        <x:v>46272</x:v>
      </x:c>
      <x:c r="F45" s="40" t="str">
        <x:v>Primary</x:v>
      </x:c>
      <x:c r="G45" s="40" t="str">
        <x:v>Historical case evidence; valid only from publication. Not a reconstructed trading backtest.</x:v>
      </x:c>
      <x:c r="H45" s="40" t="str">
        <x:v>Retrieved</x:v>
      </x:c>
    </x:row>
    <x:row r="46" ht="85" customHeight="1">
      <x:c r="A46" s="40" t="str">
        <x:v>H-AIR</x:v>
      </x:c>
      <x:c r="B46" s="40" t="str">
        <x:v>Delta September 2020 results</x:v>
      </x:c>
      <x:c r="C46" s="40" t="str">
        <x:v>https://ir.delta.com/news/news-details/2020/Delta-Air-Lines-Announces-September-Quarter-Financial-Results/default.aspx</x:v>
      </x:c>
      <x:c r="D46" s="44" t="n">
        <x:v>44117</x:v>
      </x:c>
      <x:c r="E46" s="44" t="n">
        <x:v>46272</x:v>
      </x:c>
      <x:c r="F46" s="40" t="str">
        <x:v>Primary</x:v>
      </x:c>
      <x:c r="G46" s="40" t="str">
        <x:v>Historical case evidence; valid only from publication. Not a reconstructed trading backtest.</x:v>
      </x:c>
      <x:c r="H46" s="40" t="str">
        <x:v>Retrieved</x:v>
      </x:c>
    </x:row>
    <x:row r="47" ht="85" customHeight="1">
      <x:c r="A47" s="40" t="str">
        <x:v>H-HOTEL</x:v>
      </x:c>
      <x:c r="B47" s="40" t="str">
        <x:v>Marriott Q4 2021 results</x:v>
      </x:c>
      <x:c r="C47" s="40" t="str">
        <x:v>https://marriott.gcs-web.com/news-releases/news-release-details/marriott-international-reports-fourth-quarter-2021-results</x:v>
      </x:c>
      <x:c r="D47" s="44" t="n">
        <x:v>44607</x:v>
      </x:c>
      <x:c r="E47" s="44" t="n">
        <x:v>46272</x:v>
      </x:c>
      <x:c r="F47" s="40" t="str">
        <x:v>Primary</x:v>
      </x:c>
      <x:c r="G47" s="40" t="str">
        <x:v>Historical case evidence; valid only from publication. Not a reconstructed trading backtest.</x:v>
      </x:c>
      <x:c r="H47" s="40" t="str">
        <x:v>Retrieved</x:v>
      </x:c>
    </x:row>
    <x:row r="48" ht="85" customHeight="1">
      <x:c r="A48" s="40" t="str">
        <x:v>H-HOUSE</x:v>
      </x:c>
      <x:c r="B48" s="40" t="str">
        <x:v>Federal Reserve: subprime mortgage crisis</x:v>
      </x:c>
      <x:c r="C48" s="40" t="str">
        <x:v>https://www.federalreservehistory.org/essays/subprime-mortgage-crisis</x:v>
      </x:c>
      <x:c r="D48" s="44"/>
      <x:c r="E48" s="44" t="n">
        <x:v>46272</x:v>
      </x:c>
      <x:c r="F48" s="40" t="str">
        <x:v>Primary</x:v>
      </x:c>
      <x:c r="G48" s="40" t="str">
        <x:v>Historical case evidence; valid only from publication. Not a reconstructed trading backtest.</x:v>
      </x:c>
      <x:c r="H48" s="40" t="str">
        <x:v>Retrieved</x:v>
      </x:c>
    </x:row>
    <x:row r="49" ht="85" customHeight="1">
      <x:c r="A49" s="40" t="str">
        <x:v>H-TGT22</x:v>
      </x:c>
      <x:c r="B49" s="40" t="str">
        <x:v>Target Q2 2022 results</x:v>
      </x:c>
      <x:c r="C49" s="40" t="str">
        <x:v>https://corporate.target.com/press/release/2022/08/target-corporation-reports-second-quarter-earnings</x:v>
      </x:c>
      <x:c r="D49" s="44" t="n">
        <x:v>44790</x:v>
      </x:c>
      <x:c r="E49" s="44" t="n">
        <x:v>46272</x:v>
      </x:c>
      <x:c r="F49" s="40" t="str">
        <x:v>Primary</x:v>
      </x:c>
      <x:c r="G49" s="40" t="str">
        <x:v>Historical case evidence; valid only from publication. Not a reconstructed trading backtest.</x:v>
      </x:c>
      <x:c r="H49" s="40" t="str">
        <x:v>Retrieved</x:v>
      </x:c>
    </x:row>
    <x:row r="50" ht="85" customHeight="1">
      <x:c r="A50" s="40" t="str">
        <x:v>H-TGT23</x:v>
      </x:c>
      <x:c r="B50" s="40" t="str">
        <x:v>Target Q2 2023 results</x:v>
      </x:c>
      <x:c r="C50" s="40" t="str">
        <x:v>https://corporate.target.com/press/release/2023/08/target-corporation-reports-second-quarter-earnings</x:v>
      </x:c>
      <x:c r="D50" s="44" t="n">
        <x:v>45154</x:v>
      </x:c>
      <x:c r="E50" s="44" t="n">
        <x:v>46272</x:v>
      </x:c>
      <x:c r="F50" s="40" t="str">
        <x:v>Primary</x:v>
      </x:c>
      <x:c r="G50" s="40" t="str">
        <x:v>Historical case evidence; valid only from publication. Not a reconstructed trading backtest.</x:v>
      </x:c>
      <x:c r="H50" s="40" t="str">
        <x:v>Retrieved</x:v>
      </x:c>
    </x:row>
    <x:row r="51" ht="85" customHeight="1">
      <x:c r="A51" s="40" t="str">
        <x:v>H-PG</x:v>
      </x:c>
      <x:c r="B51" s="40" t="str">
        <x:v>P&amp;G Q3 FY2023 SEC earnings exhibit</x:v>
      </x:c>
      <x:c r="C51" s="40" t="str">
        <x:v>https://www.sec.gov/Archives/edgar/data/80424/000008042423000039/fy2223q3jfm8-kexhibit991.htm</x:v>
      </x:c>
      <x:c r="D51" s="44" t="n">
        <x:v>45037</x:v>
      </x:c>
      <x:c r="E51" s="44" t="n">
        <x:v>46272</x:v>
      </x:c>
      <x:c r="F51" s="40" t="str">
        <x:v>Primary</x:v>
      </x:c>
      <x:c r="G51" s="40" t="str">
        <x:v>Historical case evidence; valid only from publication. Not a reconstructed trading backtest.</x:v>
      </x:c>
      <x:c r="H51" s="40" t="str">
        <x:v>Retrieved</x:v>
      </x:c>
    </x:row>
    <x:row r="52" ht="85" customHeight="1">
      <x:c r="A52" s="40" t="str">
        <x:v>H-EGG</x:v>
      </x:c>
      <x:c r="B52" s="40" t="str">
        <x:v>USDA: egg prices fall as supply recovers</x:v>
      </x:c>
      <x:c r="C52" s="40" t="str">
        <x:v>https://www.ers.usda.gov/data-products/charts-of-note/106845</x:v>
      </x:c>
      <x:c r="D52" s="44" t="n">
        <x:v>45118</x:v>
      </x:c>
      <x:c r="E52" s="44" t="n">
        <x:v>46272</x:v>
      </x:c>
      <x:c r="F52" s="40" t="str">
        <x:v>Primary</x:v>
      </x:c>
      <x:c r="G52" s="40" t="str">
        <x:v>Historical case evidence; valid only from publication. Not a reconstructed trading backtest.</x:v>
      </x:c>
      <x:c r="H52" s="40" t="str">
        <x:v>Retrieved</x:v>
      </x:c>
    </x:row>
    <x:row r="53" ht="85" customHeight="1">
      <x:c r="A53" s="40" t="str">
        <x:v>H-RGEN</x:v>
      </x:c>
      <x:c r="B53" s="40" t="str">
        <x:v>Repligen FY2023 results</x:v>
      </x:c>
      <x:c r="C53" s="40" t="str">
        <x:v>https://investors.repligen.com/press-releases/news-details/2024/Repligen-Reports-Fourth-Quarter-and-Full-Year-2023-Financial-Results/default.aspx</x:v>
      </x:c>
      <x:c r="D53" s="44" t="n">
        <x:v>45343</x:v>
      </x:c>
      <x:c r="E53" s="44" t="n">
        <x:v>46272</x:v>
      </x:c>
      <x:c r="F53" s="40" t="str">
        <x:v>Primary</x:v>
      </x:c>
      <x:c r="G53" s="40" t="str">
        <x:v>Historical case evidence; valid only from publication. Not a reconstructed trading backtest.</x:v>
      </x:c>
      <x:c r="H53" s="40" t="str">
        <x:v>Retrieved</x:v>
      </x:c>
    </x:row>
    <x:row r="54" ht="85" customHeight="1">
      <x:c r="A54" s="40" t="str">
        <x:v>H-BIIB</x:v>
      </x:c>
      <x:c r="B54" s="40" t="str">
        <x:v>Biogen discontinues Aduhelm program</x:v>
      </x:c>
      <x:c r="C54" s="40" t="str">
        <x:v>https://investors.biogen.com/news-releases/news-release-details/biogen-realign-resources-alzheimers-disease-franchise</x:v>
      </x:c>
      <x:c r="D54" s="44" t="n">
        <x:v>45322</x:v>
      </x:c>
      <x:c r="E54" s="44" t="n">
        <x:v>46272</x:v>
      </x:c>
      <x:c r="F54" s="40" t="str">
        <x:v>Primary</x:v>
      </x:c>
      <x:c r="G54" s="40" t="str">
        <x:v>Historical case evidence; valid only from publication. Not a reconstructed trading backtest.</x:v>
      </x:c>
      <x:c r="H54" s="40" t="str">
        <x:v>Retrieved</x:v>
      </x:c>
    </x:row>
    <x:row r="55" ht="85" customHeight="1">
      <x:c r="A55" s="40" t="str">
        <x:v>H-SVB</x:v>
      </x:c>
      <x:c r="B55" s="40" t="str">
        <x:v>Federal Reserve SVB review: key takeaways</x:v>
      </x:c>
      <x:c r="C55" s="40" t="str">
        <x:v>https://www.federalreserve.gov/publications/2023-April-SVB-Key-Takeaways.htm</x:v>
      </x:c>
      <x:c r="D55" s="44" t="n">
        <x:v>45044</x:v>
      </x:c>
      <x:c r="E55" s="44" t="n">
        <x:v>46272</x:v>
      </x:c>
      <x:c r="F55" s="40" t="str">
        <x:v>Primary</x:v>
      </x:c>
      <x:c r="G55" s="40" t="str">
        <x:v>Historical case evidence; valid only from publication. Not a reconstructed trading backtest.</x:v>
      </x:c>
      <x:c r="H55" s="40" t="str">
        <x:v>Retrieved</x:v>
      </x:c>
    </x:row>
    <x:row r="56" ht="85" customHeight="1">
      <x:c r="A56" s="40" t="str">
        <x:v>H-PGR</x:v>
      </x:c>
      <x:c r="B56" s="40" t="str">
        <x:v>Progressive August 2023 monthly results</x:v>
      </x:c>
      <x:c r="C56" s="40" t="str">
        <x:v>https://investors.progressive.com/financials/financial-news-releases/news-details/2023/Progressive-Reports-August-2023-Results/default.aspx</x:v>
      </x:c>
      <x:c r="D56" s="44" t="n">
        <x:v>45184</x:v>
      </x:c>
      <x:c r="E56" s="44" t="n">
        <x:v>46272</x:v>
      </x:c>
      <x:c r="F56" s="40" t="str">
        <x:v>Primary</x:v>
      </x:c>
      <x:c r="G56" s="40" t="str">
        <x:v>Historical case evidence; valid only from publication. Not a reconstructed trading backtest.</x:v>
      </x:c>
      <x:c r="H56" s="40" t="str">
        <x:v>Retrieved</x:v>
      </x:c>
    </x:row>
    <x:row r="57" ht="85" customHeight="1">
      <x:c r="A57" s="40" t="str">
        <x:v>H-NLY</x:v>
      </x:c>
      <x:c r="B57" s="40" t="str">
        <x:v>Annaly Q1 2020 results</x:v>
      </x:c>
      <x:c r="C57" s="40" t="str">
        <x:v>https://www.annaly.com/news-insights/press-releases/2020/04-29-2020-211549515</x:v>
      </x:c>
      <x:c r="D57" s="44" t="n">
        <x:v>43950</x:v>
      </x:c>
      <x:c r="E57" s="44" t="n">
        <x:v>46272</x:v>
      </x:c>
      <x:c r="F57" s="40" t="str">
        <x:v>Primary</x:v>
      </x:c>
      <x:c r="G57" s="40" t="str">
        <x:v>Historical case evidence; valid only from publication. Not a reconstructed trading backtest.</x:v>
      </x:c>
      <x:c r="H57" s="40" t="str">
        <x:v>Retrieved</x:v>
      </x:c>
    </x:row>
    <x:row r="58" ht="85" customHeight="1">
      <x:c r="A58" s="40" t="str">
        <x:v>H-MU</x:v>
      </x:c>
      <x:c r="B58" s="40" t="str">
        <x:v>Micron Q2 FY2023 results</x:v>
      </x:c>
      <x:c r="C58" s="40" t="str">
        <x:v>https://investors.micron.com/news/press-release/2023/Micron-Technology-Inc--Reports-Results-for-the-Second-Quarter-of-Fiscal-2023-03-28-2023/default.aspx</x:v>
      </x:c>
      <x:c r="D58" s="44" t="n">
        <x:v>45013</x:v>
      </x:c>
      <x:c r="E58" s="44" t="n">
        <x:v>46272</x:v>
      </x:c>
      <x:c r="F58" s="40" t="str">
        <x:v>Primary</x:v>
      </x:c>
      <x:c r="G58" s="40" t="str">
        <x:v>Historical case evidence; valid only from publication. Not a reconstructed trading backtest.</x:v>
      </x:c>
      <x:c r="H58" s="40" t="str">
        <x:v>Retrieved</x:v>
      </x:c>
    </x:row>
    <x:row r="59" ht="85" customHeight="1">
      <x:c r="A59" s="40" t="str">
        <x:v>H-NVDA</x:v>
      </x:c>
      <x:c r="B59" s="40" t="str">
        <x:v>NVIDIA Q1 FY2024 results</x:v>
      </x:c>
      <x:c r="C59" s="40" t="str">
        <x:v>https://investor.nvidia.com/news/press-release-details/2023/NVIDIA-Announces-Financial-Results-for-First-Quarter-Fiscal-2024/default.aspx</x:v>
      </x:c>
      <x:c r="D59" s="44" t="n">
        <x:v>45070</x:v>
      </x:c>
      <x:c r="E59" s="44" t="n">
        <x:v>46272</x:v>
      </x:c>
      <x:c r="F59" s="40" t="str">
        <x:v>Primary</x:v>
      </x:c>
      <x:c r="G59" s="40" t="str">
        <x:v>Historical case evidence; valid only from publication. Not a reconstructed trading backtest.</x:v>
      </x:c>
      <x:c r="H59" s="40" t="str">
        <x:v>Retrieved</x:v>
      </x:c>
    </x:row>
    <x:row r="60" ht="85" customHeight="1">
      <x:c r="A60" s="40" t="str">
        <x:v>H-NFLX</x:v>
      </x:c>
      <x:c r="B60" s="40" t="str">
        <x:v>Netflix Q1 2022 shareholder letter</x:v>
      </x:c>
      <x:c r="C60" s="40" t="str">
        <x:v>https://s22.q4cdn.com/959853165/files/doc_financials/2022/q1/FINAL-Q1-22-Shareholder-Letter.pdf</x:v>
      </x:c>
      <x:c r="D60" s="44" t="n">
        <x:v>44670</x:v>
      </x:c>
      <x:c r="E60" s="44" t="n">
        <x:v>46272</x:v>
      </x:c>
      <x:c r="F60" s="40" t="str">
        <x:v>Primary</x:v>
      </x:c>
      <x:c r="G60" s="40" t="str">
        <x:v>Historical case evidence; valid only from publication. Not a reconstructed trading backtest.</x:v>
      </x:c>
      <x:c r="H60" s="40" t="str">
        <x:v>Retrieved</x:v>
      </x:c>
    </x:row>
    <x:row r="61" ht="85" customHeight="1">
      <x:c r="A61" s="40" t="str">
        <x:v>H-META</x:v>
      </x:c>
      <x:c r="B61" s="40" t="str">
        <x:v>Meta FY2023 results</x:v>
      </x:c>
      <x:c r="C61" s="40" t="str">
        <x:v>https://investor.atmeta.com/investor-news/press-release-details/2024/Meta-Reports-Fourth-Quarter-and-Full-Year-2023-Results-Initiates-Quarterly-Dividend/default.aspx</x:v>
      </x:c>
      <x:c r="D61" s="44" t="n">
        <x:v>45323</x:v>
      </x:c>
      <x:c r="E61" s="44" t="n">
        <x:v>46272</x:v>
      </x:c>
      <x:c r="F61" s="40" t="str">
        <x:v>Primary</x:v>
      </x:c>
      <x:c r="G61" s="40" t="str">
        <x:v>Historical case evidence; valid only from publication. Not a reconstructed trading backtest.</x:v>
      </x:c>
      <x:c r="H61" s="40" t="str">
        <x:v>Retrieved</x:v>
      </x:c>
    </x:row>
    <x:row r="62" ht="85" customHeight="1">
      <x:c r="A62" s="40" t="str">
        <x:v>H-TEXAS</x:v>
      </x:c>
      <x:c r="B62" s="40" t="str">
        <x:v>FERC final 2021 freeze report</x:v>
      </x:c>
      <x:c r="C62" s="40" t="str">
        <x:v>https://www.ferc.gov/news-events/news/final-report-february-2021-freeze-underscores-winterization-recommendations</x:v>
      </x:c>
      <x:c r="D62" s="44" t="n">
        <x:v>44516</x:v>
      </x:c>
      <x:c r="E62" s="44" t="n">
        <x:v>46272</x:v>
      </x:c>
      <x:c r="F62" s="40" t="str">
        <x:v>Primary</x:v>
      </x:c>
      <x:c r="G62" s="40" t="str">
        <x:v>Historical case evidence; valid only from publication. Not a reconstructed trading backtest.</x:v>
      </x:c>
      <x:c r="H62" s="40" t="str">
        <x:v>Retrieved</x:v>
      </x:c>
    </x:row>
    <x:row r="63" ht="85" customHeight="1">
      <x:c r="A63" s="40" t="str">
        <x:v>H-BXP</x:v>
      </x:c>
      <x:c r="B63" s="40" t="str">
        <x:v>BXP FY2024 issuer release syndicated by Nasdaq</x:v>
      </x:c>
      <x:c r="C63" s="40" t="str">
        <x:v>https://www.nasdaq.com/press-release/bxp-announces-fourth-quarter-and-full-year-2024-results-2025-01-28</x:v>
      </x:c>
      <x:c r="D63" s="44" t="n">
        <x:v>45685</x:v>
      </x:c>
      <x:c r="E63" s="44" t="n">
        <x:v>46272</x:v>
      </x:c>
      <x:c r="F63" s="40" t="str">
        <x:v>Primary</x:v>
      </x:c>
      <x:c r="G63" s="40" t="str">
        <x:v>Historical case evidence; valid only from publication. Not a reconstructed trading backtest.</x:v>
      </x:c>
      <x:c r="H63" s="40" t="str">
        <x:v>Retrieved</x:v>
      </x:c>
    </x:row>
    <x:row r="64" ht="85" customHeight="1">
      <x:c r="A64" s="40" t="str">
        <x:v>EIA</x:v>
      </x:c>
      <x:c r="B64" s="40" t="str">
        <x:v>EIA energy data</x:v>
      </x:c>
      <x:c r="C64" s="40" t="str">
        <x:v>https://www.eia.gov/</x:v>
      </x:c>
      <x:c r="D64" s="44"/>
      <x:c r="E64" s="44" t="n">
        <x:v>46272</x:v>
      </x:c>
      <x:c r="F64" s="40" t="str">
        <x:v>Reference route</x:v>
      </x:c>
      <x:c r="G64" s="40" t="str">
        <x:v>Data acquisition route identified; no historical series downloaded unless an observation explicitly cites it.</x:v>
      </x:c>
      <x:c r="H64" s="40" t="str">
        <x:v>Acquisition route only</x:v>
      </x:c>
    </x:row>
    <x:row r="65" ht="85" customHeight="1">
      <x:c r="A65" s="40" t="str">
        <x:v>FRED</x:v>
      </x:c>
      <x:c r="B65" s="40" t="str">
        <x:v>FRED / ALFRED vintage series</x:v>
      </x:c>
      <x:c r="C65" s="40" t="str">
        <x:v>https://fred.stlouisfed.org/</x:v>
      </x:c>
      <x:c r="D65" s="44"/>
      <x:c r="E65" s="44" t="n">
        <x:v>46272</x:v>
      </x:c>
      <x:c r="F65" s="40" t="str">
        <x:v>Reference route</x:v>
      </x:c>
      <x:c r="G65" s="40" t="str">
        <x:v>Data acquisition route identified; no historical series downloaded unless an observation explicitly cites it.</x:v>
      </x:c>
      <x:c r="H65" s="40" t="str">
        <x:v>Acquisition route only</x:v>
      </x:c>
    </x:row>
    <x:row r="66" ht="85" customHeight="1">
      <x:c r="A66" s="40" t="str">
        <x:v>BLS</x:v>
      </x:c>
      <x:c r="B66" s="40" t="str">
        <x:v>BLS labor, prices and productivity</x:v>
      </x:c>
      <x:c r="C66" s="40" t="str">
        <x:v>https://www.bls.gov/</x:v>
      </x:c>
      <x:c r="D66" s="44"/>
      <x:c r="E66" s="44" t="n">
        <x:v>46272</x:v>
      </x:c>
      <x:c r="F66" s="40" t="str">
        <x:v>Reference route</x:v>
      </x:c>
      <x:c r="G66" s="40" t="str">
        <x:v>Data acquisition route identified; no historical series downloaded unless an observation explicitly cites it.</x:v>
      </x:c>
      <x:c r="H66" s="40" t="str">
        <x:v>Acquisition route only</x:v>
      </x:c>
    </x:row>
    <x:row r="67" ht="85" customHeight="1">
      <x:c r="A67" s="40" t="str">
        <x:v>CENSUS</x:v>
      </x:c>
      <x:c r="B67" s="40" t="str">
        <x:v>Census economic indicators</x:v>
      </x:c>
      <x:c r="C67" s="40" t="str">
        <x:v>https://www.census.gov/economic-indicators/</x:v>
      </x:c>
      <x:c r="D67" s="44"/>
      <x:c r="E67" s="44" t="n">
        <x:v>46272</x:v>
      </x:c>
      <x:c r="F67" s="40" t="str">
        <x:v>Reference route</x:v>
      </x:c>
      <x:c r="G67" s="40" t="str">
        <x:v>Data acquisition route identified; no historical series downloaded unless an observation explicitly cites it.</x:v>
      </x:c>
      <x:c r="H67" s="40" t="str">
        <x:v>Acquisition route only</x:v>
      </x:c>
    </x:row>
    <x:row r="68" ht="85" customHeight="1">
      <x:c r="A68" s="40" t="str">
        <x:v>FDA</x:v>
      </x:c>
      <x:c r="B68" s="40" t="str">
        <x:v>FDA drug and device decisions</x:v>
      </x:c>
      <x:c r="C68" s="40" t="str">
        <x:v>https://www.fda.gov/</x:v>
      </x:c>
      <x:c r="D68" s="44"/>
      <x:c r="E68" s="44" t="n">
        <x:v>46272</x:v>
      </x:c>
      <x:c r="F68" s="40" t="str">
        <x:v>Reference route</x:v>
      </x:c>
      <x:c r="G68" s="40" t="str">
        <x:v>Data acquisition route identified; no historical series downloaded unless an observation explicitly cites it.</x:v>
      </x:c>
      <x:c r="H68" s="40" t="str">
        <x:v>Acquisition route only</x:v>
      </x:c>
    </x:row>
    <x:row r="69" ht="85" customHeight="1">
      <x:c r="A69" s="40" t="str">
        <x:v>CMS</x:v>
      </x:c>
      <x:c r="B69" s="40" t="str">
        <x:v>CMS reimbursement and coverage</x:v>
      </x:c>
      <x:c r="C69" s="40" t="str">
        <x:v>https://www.cms.gov/</x:v>
      </x:c>
      <x:c r="D69" s="44"/>
      <x:c r="E69" s="44" t="n">
        <x:v>46272</x:v>
      </x:c>
      <x:c r="F69" s="40" t="str">
        <x:v>Reference route</x:v>
      </x:c>
      <x:c r="G69" s="40" t="str">
        <x:v>Data acquisition route identified; no historical series downloaded unless an observation explicitly cites it.</x:v>
      </x:c>
      <x:c r="H69" s="40" t="str">
        <x:v>Acquisition route only</x:v>
      </x:c>
    </x:row>
    <x:row r="70" ht="85" customHeight="1">
      <x:c r="A70" s="40" t="str">
        <x:v>FDIC</x:v>
      </x:c>
      <x:c r="B70" s="40" t="str">
        <x:v>FDIC bank data</x:v>
      </x:c>
      <x:c r="C70" s="40" t="str">
        <x:v>https://www.fdic.gov/analysis/</x:v>
      </x:c>
      <x:c r="D70" s="44"/>
      <x:c r="E70" s="44" t="n">
        <x:v>46272</x:v>
      </x:c>
      <x:c r="F70" s="40" t="str">
        <x:v>Reference route</x:v>
      </x:c>
      <x:c r="G70" s="40" t="str">
        <x:v>Data acquisition route identified; no historical series downloaded unless an observation explicitly cites it.</x:v>
      </x:c>
      <x:c r="H70" s="40" t="str">
        <x:v>Acquisition route only</x:v>
      </x:c>
    </x:row>
    <x:row r="71" ht="85" customHeight="1">
      <x:c r="A71" s="40" t="str">
        <x:v>FERC</x:v>
      </x:c>
      <x:c r="B71" s="40" t="str">
        <x:v>FERC power and gas regulatory filings</x:v>
      </x:c>
      <x:c r="C71" s="40" t="str">
        <x:v>https://www.ferc.gov/</x:v>
      </x:c>
      <x:c r="D71" s="44"/>
      <x:c r="E71" s="44" t="n">
        <x:v>46272</x:v>
      </x:c>
      <x:c r="F71" s="40" t="str">
        <x:v>Reference route</x:v>
      </x:c>
      <x:c r="G71" s="40" t="str">
        <x:v>Data acquisition route identified; no historical series downloaded unless an observation explicitly cites it.</x:v>
      </x:c>
      <x:c r="H71" s="40" t="str">
        <x:v>Acquisition route only</x:v>
      </x:c>
    </x:row>
    <x:row r="72" ht="85" customHeight="1">
      <x:c r="A72" s="40" t="str">
        <x:v>SEMI</x:v>
      </x:c>
      <x:c r="B72" s="40" t="str">
        <x:v>SEMI industry statistics</x:v>
      </x:c>
      <x:c r="C72" s="40" t="str">
        <x:v>https://www.semi.org/</x:v>
      </x:c>
      <x:c r="D72" s="44"/>
      <x:c r="E72" s="44" t="n">
        <x:v>46272</x:v>
      </x:c>
      <x:c r="F72" s="40" t="str">
        <x:v>Reference route; some data licensed</x:v>
      </x:c>
      <x:c r="G72" s="40" t="str">
        <x:v>Data acquisition route identified; no historical series downloaded unless an observation explicitly cites it.</x:v>
      </x:c>
      <x:c r="H72" s="40" t="str">
        <x:v>Acquisition route only</x:v>
      </x:c>
    </x:row>
    <x:row r="73" ht="85" customHeight="1">
      <x:c r="A73" s="40" t="str">
        <x:v>SIA</x:v>
      </x:c>
      <x:c r="B73" s="40" t="str">
        <x:v>SIA semiconductor statistics</x:v>
      </x:c>
      <x:c r="C73" s="40" t="str">
        <x:v>https://www.semiconductors.org/</x:v>
      </x:c>
      <x:c r="D73" s="44"/>
      <x:c r="E73" s="44" t="n">
        <x:v>46272</x:v>
      </x:c>
      <x:c r="F73" s="40" t="str">
        <x:v>Reference route</x:v>
      </x:c>
      <x:c r="G73" s="40" t="str">
        <x:v>Data acquisition route identified; no historical series downloaded unless an observation explicitly cites it.</x:v>
      </x:c>
      <x:c r="H73" s="40" t="str">
        <x:v>Acquisition route only</x:v>
      </x:c>
    </x:row>
    <x:row r="74" ht="85" customHeight="1">
      <x:c r="A74" s="40" t="str">
        <x:v>USDA</x:v>
      </x:c>
      <x:c r="B74" s="40" t="str">
        <x:v>USDA agricultural statistics</x:v>
      </x:c>
      <x:c r="C74" s="40" t="str">
        <x:v>https://www.nass.usda.gov/</x:v>
      </x:c>
      <x:c r="D74" s="44"/>
      <x:c r="E74" s="44" t="n">
        <x:v>46272</x:v>
      </x:c>
      <x:c r="F74" s="40" t="str">
        <x:v>Reference route</x:v>
      </x:c>
      <x:c r="G74" s="40" t="str">
        <x:v>Data acquisition route identified; no historical series downloaded unless an observation explicitly cites it.</x:v>
      </x:c>
      <x:c r="H74" s="40" t="str">
        <x:v>Acquisition route only</x:v>
      </x:c>
    </x:row>
    <x:row r="75" ht="85" customHeight="1">
      <x:c r="A75" s="40" t="str">
        <x:v>FCC</x:v>
      </x:c>
      <x:c r="B75" s="40" t="str">
        <x:v>FCC communications data</x:v>
      </x:c>
      <x:c r="C75" s="40" t="str">
        <x:v>https://www.fcc.gov/</x:v>
      </x:c>
      <x:c r="D75" s="44"/>
      <x:c r="E75" s="44" t="n">
        <x:v>46272</x:v>
      </x:c>
      <x:c r="F75" s="40" t="str">
        <x:v>Reference route</x:v>
      </x:c>
      <x:c r="G75" s="40" t="str">
        <x:v>Data acquisition route identified; no historical series downloaded unless an observation explicitly cites it.</x:v>
      </x:c>
      <x:c r="H75" s="40" t="str">
        <x:v>Acquisition route only</x:v>
      </x:c>
    </x:row>
    <x:row r="76" ht="85" customHeight="1">
      <x:c r="A76" s="40" t="str">
        <x:v>EDGAR</x:v>
      </x:c>
      <x:c r="B76" s="40" t="str">
        <x:v>SEC filings and disclosures</x:v>
      </x:c>
      <x:c r="C76" s="40" t="str">
        <x:v>https://www.sec.gov/edgar/search/</x:v>
      </x:c>
      <x:c r="D76" s="44"/>
      <x:c r="E76" s="44" t="n">
        <x:v>46272</x:v>
      </x:c>
      <x:c r="F76" s="40" t="str">
        <x:v>Primary filing route</x:v>
      </x:c>
      <x:c r="G76" s="40" t="str">
        <x:v>Data acquisition route identified; no historical series downloaded unless an observation explicitly cites it.</x:v>
      </x:c>
      <x:c r="H76" s="40" t="str">
        <x:v>Acquisition route only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2ef94f266f8541f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52" hidden="0" customWidth="1"/>
    <x:col min="4" max="4" width="48" hidden="0" customWidth="1"/>
    <x:col min="5" max="5" width="20" hidden="0" customWidth="1"/>
  </x:cols>
  <x:sheetData>
    <x:row r="1">
      <x:c r="A1" s="24" t="str">
        <x:v>CORRECTIONS TO THE RESEARCH PROCESS</x:v>
      </x:c>
      <x:c r="B1" s="24"/>
      <x:c r="C1" s="24"/>
      <x:c r="D1" s="24"/>
    </x:row>
    <x:row r="2">
      <x:c r="A2" s="24"/>
      <x:c r="B2" s="24"/>
      <x:c r="C2" s="24"/>
      <x:c r="D2" s="24"/>
    </x:row>
    <x:row r="3" ht="32" customHeight="1">
      <x:c r="A3" s="29" t="str">
        <x:v>Earlier conversation claims do not become verified facts by repetition. This snapshot supersedes unsupported price/multiple and confidence labels.</x:v>
      </x:c>
      <x:c r="B3" s="29"/>
      <x:c r="C3" s="29"/>
      <x:c r="D3" s="29"/>
    </x:row>
    <x:row r="5" ht="32" customHeight="1">
      <x:c r="A5" s="33" t="str">
        <x:v>ID</x:v>
      </x:c>
      <x:c r="B5" s="33" t="str">
        <x:v>Area</x:v>
      </x:c>
      <x:c r="C5" s="33" t="str">
        <x:v>Problem / correction</x:v>
      </x:c>
      <x:c r="D5" s="33" t="str">
        <x:v>Operating implication</x:v>
      </x:c>
      <x:c r="E5" s="33" t="str">
        <x:v>Source IDs</x:v>
      </x:c>
    </x:row>
    <x:row r="6" ht="105" customHeight="1">
      <x:c r="A6" s="64" t="str">
        <x:v>A01</x:v>
      </x:c>
      <x:c r="B6" s="64" t="str">
        <x:v>Prior price/multiple rankings</x:v>
      </x:c>
      <x:c r="C6" s="64" t="str">
        <x:v>Do not carry prior chat's market caps, forward P/Es or price claims into this snapshot without a dated refresh.</x:v>
      </x:c>
      <x:c r="D6" s="64" t="str">
        <x:v>All 26 price-attractiveness fields remain not established.</x:v>
      </x:c>
      <x:c r="E6" s="64" t="str">
        <x:v>EDGAR</x:v>
      </x:c>
    </x:row>
    <x:row r="7" ht="105" customHeight="1">
      <x:c r="A7" s="64" t="str">
        <x:v>A02</x:v>
      </x:c>
      <x:c r="B7" s="64" t="str">
        <x:v>MOD margin comparison</x:v>
      </x:c>
      <x:c r="C7" s="64" t="str">
        <x:v>Prior-year warranty benefits and current tax effects complicate a pure ramp-cost normalization thesis.</x:v>
      </x:c>
      <x:c r="D7" s="64" t="str">
        <x:v>Separate recurring segment margin from warranty settlement and EPS tax timing.</x:v>
      </x:c>
      <x:c r="E7" s="64" t="str">
        <x:v>MOD26</x:v>
      </x:c>
    </x:row>
    <x:row r="8" ht="105" customHeight="1">
      <x:c r="A8" s="64" t="str">
        <x:v>A03</x:v>
      </x:c>
      <x:c r="B8" s="64" t="str">
        <x:v>WINA capital intensity</x:v>
      </x:c>
      <x:c r="C8" s="64" t="str">
        <x:v>Capital-light is not capital-free; POS modernization and cash conversion matter.</x:v>
      </x:c>
      <x:c r="D8" s="64" t="str">
        <x:v>Include capitalized software and fully loaded franchisee returns.</x:v>
      </x:c>
      <x:c r="E8" s="64" t="str">
        <x:v>WINA26</x:v>
      </x:c>
    </x:row>
    <x:row r="9" ht="105" customHeight="1">
      <x:c r="A9" s="64" t="str">
        <x:v>A04</x:v>
      </x:c>
      <x:c r="B9" s="64" t="str">
        <x:v>NSSC earnings quality</x:v>
      </x:c>
      <x:c r="C9" s="64" t="str">
        <x:v>Tariff refunds boost Q4 metrics while litigation affects annual comparisons.</x:v>
      </x:c>
      <x:c r="D9" s="64" t="str">
        <x:v>Normalize both directions; do not annualize one adjusted quarter.</x:v>
      </x:c>
      <x:c r="E9" s="64" t="str">
        <x:v>NSSC26</x:v>
      </x:c>
    </x:row>
    <x:row r="10" ht="105" customHeight="1">
      <x:c r="A10" s="64" t="str">
        <x:v>A05</x:v>
      </x:c>
      <x:c r="B10" s="64" t="str">
        <x:v>FND false inflection</x:v>
      </x:c>
      <x:c r="C10" s="64" t="str">
        <x:v>GAAP improvement coexists with flat adjusted EPS and negative comparable sales.</x:v>
      </x:c>
      <x:c r="D10" s="64" t="str">
        <x:v>Reject headline earnings as proof of demand recovery.</x:v>
      </x:c>
      <x:c r="E10" s="64" t="str">
        <x:v>FND26</x:v>
      </x:c>
    </x:row>
    <x:row r="11" ht="105" customHeight="1">
      <x:c r="A11" s="64" t="str">
        <x:v>A06</x:v>
      </x:c>
      <x:c r="B11" s="64" t="str">
        <x:v>KNSL forward versus lagging metrics</x:v>
      </x:c>
      <x:c r="C11" s="64" t="str">
        <x:v>Written premium contraction can precede weakness masked by earned premiums.</x:v>
      </x:c>
      <x:c r="D11" s="64" t="str">
        <x:v>Track writings and accident-year results before increasing conviction.</x:v>
      </x:c>
      <x:c r="E11" s="64" t="str">
        <x:v>KNSL26</x:v>
      </x:c>
    </x:row>
    <x:row r="12" ht="105" customHeight="1">
      <x:c r="A12" s="64" t="str">
        <x:v>A07</x:v>
      </x:c>
      <x:c r="B12" s="64" t="str">
        <x:v>COHU pipeline semantics</x:v>
      </x:c>
      <x:c r="C12" s="64" t="str">
        <x:v>Opportunity pipeline is not booked revenue or contractual recurring income.</x:v>
      </x:c>
      <x:c r="D12" s="64" t="str">
        <x:v>Separate pipeline, qualification, purchase order, shipment and collection.</x:v>
      </x:c>
      <x:c r="E12" s="64" t="str">
        <x:v>COHU26</x:v>
      </x:c>
    </x:row>
    <x:row r="13" ht="105" customHeight="1">
      <x:c r="A13" s="64" t="str">
        <x:v>A08</x:v>
      </x:c>
      <x:c r="B13" s="64" t="str">
        <x:v>Backlog hierarchy</x:v>
      </x:c>
      <x:c r="C13" s="64" t="str">
        <x:v>RPO, deposits, orders and LOIs are not universally ordered by enforceability.</x:v>
      </x:c>
      <x:c r="D13" s="64" t="str">
        <x:v>Record cancellation, refundability, credit quality, timing and scope individually; avoid double counting.</x:v>
      </x:c>
      <x:c r="E13" s="64" t="str">
        <x:v>IESC26</x:v>
      </x:c>
    </x:row>
    <x:row r="14" ht="105" customHeight="1">
      <x:c r="A14" s="64" t="str">
        <x:v>A09</x:v>
      </x:c>
      <x:c r="B14" s="64" t="str">
        <x:v>Regulated utility model</x:v>
      </x:c>
      <x:c r="C14" s="64" t="str">
        <x:v>Allowed equity ROE applies to the equity-funded portion of rate base, not all rate base.</x:v>
      </x:c>
      <x:c r="D14" s="64" t="str">
        <x:v>Model rate base × equity fraction × allowed ROE and regulatory lag.</x:v>
      </x:c>
      <x:c r="E14" s="64" t="str">
        <x:v>EDGAR</x:v>
      </x:c>
    </x:row>
    <x:row r="15" ht="105" customHeight="1">
      <x:c r="A15" s="64" t="str">
        <x:v>A10</x:v>
      </x:c>
      <x:c r="B15" s="64" t="str">
        <x:v>Elasticity near a loss</x:v>
      </x:c>
      <x:c r="C15" s="64" t="str">
        <x:v>Percentage earnings elasticity is unstable near zero or negative earnings.</x:v>
      </x:c>
      <x:c r="D15" s="64" t="str">
        <x:v>Use dollar EBIT/FCF sensitivity and cash breakeven instead.</x:v>
      </x:c>
      <x:c r="E15" s="64" t="str">
        <x:v>EDGAR</x:v>
      </x:c>
    </x:row>
    <x:row r="16" ht="105" customHeight="1">
      <x:c r="A16" s="64" t="str">
        <x:v>A11</x:v>
      </x:c>
      <x:c r="B16" s="64" t="str">
        <x:v>Research priority versus investment attractiveness</x:v>
      </x:c>
      <x:c r="C16" s="64" t="str">
        <x:v>A high research score is not an expected-return estimate.</x:v>
      </x:c>
      <x:c r="D16" s="64" t="str">
        <x:v>Missing valuation cannot be treated as cheapness or a positive variant perception.</x:v>
      </x:c>
      <x:c r="E16" s="64" t="str">
        <x:v>EDGAR</x:v>
      </x:c>
    </x:row>
    <x:row r="17" ht="105" customHeight="1">
      <x:c r="A17" s="64" t="str">
        <x:v>A12</x:v>
      </x:c>
      <x:c r="B17" s="64" t="str">
        <x:v>Universe and GICS labels</x:v>
      </x:c>
      <x:c r="C17" s="64" t="str">
        <x:v>Economic exposure is not an authoritative issuer classification; seed membership is not proof of active listing.</x:v>
      </x:c>
      <x:c r="D17" s="64" t="str">
        <x:v>Keep listing, currency, corporate-action, size and liquidity gates explicit.</x:v>
      </x:c>
      <x:c r="E17" s="64" t="str">
        <x:v>GICS;SEC-DIR</x:v>
      </x:c>
    </x:row>
    <x:row r="18" ht="105" customHeight="1">
      <x:c r="A18" s="64" t="str">
        <x:v>A13</x:v>
      </x:c>
      <x:c r="B18" s="64" t="str">
        <x:v>Snapshot versus monitoring</x:v>
      </x:c>
      <x:c r="C18" s="64" t="str">
        <x:v>A formula-linked snapshot is not a live feed or automated agent.</x:v>
      </x:c>
      <x:c r="D18" s="64" t="str">
        <x:v>Date every observation and show unpopulated definitions; no background tasks activated.</x:v>
      </x:c>
      <x:c r="E18" s="64" t="str">
        <x:v>FRED</x:v>
      </x:c>
    </x:row>
    <x:row r="19" ht="105" customHeight="1">
      <x:c r="A19" s="64" t="str">
        <x:v>A14</x:v>
      </x:c>
      <x:c r="B19" s="64" t="str">
        <x:v>Historical selection bias</x:v>
      </x:c>
      <x:c r="C19" s="64" t="str">
        <x:v>Illustrative historical cases are not measured alpha or a valid backtest.</x:v>
      </x:c>
      <x:c r="D19" s="64" t="str">
        <x:v>Include failed peers, contemporaneous releases, costs, delistings and preregistered signals before testing.</x:v>
      </x:c>
      <x:c r="E19" s="64" t="str">
        <x:v>H-CISCO;H-SVB</x:v>
      </x:c>
    </x:row>
    <x:row r="20" ht="105" customHeight="1">
      <x:c r="A20" s="64" t="str">
        <x:v>A15</x:v>
      </x:c>
      <x:c r="B20" s="64" t="str">
        <x:v>Cross-sector concentration</x:v>
      </x:c>
      <x:c r="C20" s="64" t="str">
        <x:v>Several sectors can share the same hyperscaler-capex and commissioning risk.</x:v>
      </x:c>
      <x:c r="D20" s="64" t="str">
        <x:v>Use dependency clusters as well as sector labels.</x:v>
      </x:c>
      <x:c r="E20" s="64" t="str">
        <x:v>MOD26;AAOI26;IESC26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6de8b9d89211419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4" hidden="0" customWidth="1"/>
    <x:col min="4" max="4" width="24" hidden="0" customWidth="1"/>
    <x:col min="5" max="5" width="48" hidden="0" customWidth="1"/>
    <x:col min="6" max="6" width="46" hidden="0" customWidth="1"/>
  </x:cols>
  <x:sheetData>
    <x:row r="1">
      <x:c r="A1" s="24" t="str">
        <x:v>11-SECTOR EVIDENCE SNAPSHOT</x:v>
      </x:c>
      <x:c r="B1" s="24"/>
      <x:c r="C1" s="24"/>
      <x:c r="D1" s="24"/>
      <x:c r="E1" s="24"/>
      <x:c r="F1" s="24"/>
    </x:row>
    <x:row r="2">
      <x:c r="A2" s="24"/>
      <x:c r="B2" s="24"/>
      <x:c r="C2" s="24"/>
      <x:c r="D2" s="24"/>
      <x:c r="E2" s="24"/>
      <x:c r="F2" s="24"/>
    </x:row>
    <x:row r="3" ht="32" customHeight="1">
      <x:c r="A3" s="29" t="str">
        <x:v>Current issuer examples are deliberately mixed, not a comprehensive sector survey. Sector-wide conclusions require broader denominators.</x:v>
      </x:c>
      <x:c r="B3" s="29"/>
      <x:c r="C3" s="29"/>
      <x:c r="D3" s="29"/>
      <x:c r="E3" s="29"/>
      <x:c r="F3" s="29"/>
    </x:row>
    <x:row r="5" ht="32" customHeight="1">
      <x:c r="A5" s="34" t="str">
        <x:v>Sector</x:v>
      </x:c>
      <x:c r="B5" s="34" t="str">
        <x:v>Observed state</x:v>
      </x:c>
      <x:c r="C5" s="34" t="str">
        <x:v>Interpretation</x:v>
      </x:c>
      <x:c r="D5" s="34" t="str">
        <x:v>Source IDs</x:v>
      </x:c>
      <x:c r="E5" s="34" t="str">
        <x:v>Next observation</x:v>
      </x:c>
      <x:c r="F5" s="34" t="str">
        <x:v>Coverage limit</x:v>
      </x:c>
    </x:row>
    <x:row r="6" ht="115" customHeight="1">
      <x:c r="A6" s="40" t="str">
        <x:v>Energy</x:v>
      </x:c>
      <x:c r="B6" s="40" t="str">
        <x:v>High utilization; timing uncertain</x:v>
      </x:c>
      <x:c r="C6" s="40" t="str">
        <x:v>AROC compression utilization is already high. The next question is renewal cash economics, not merely more activity.</x:v>
      </x:c>
      <x:c r="D6" s="40" t="str">
        <x:v>AROC26</x:v>
      </x:c>
      <x:c r="E6" s="40" t="str">
        <x:v>Maintenance-adjusted pricing, LNG/production throughput and customer capex.</x:v>
      </x:c>
      <x:c r="F6" s="40" t="str">
        <x:v>Selected issuer/official snapshots; not a comprehensive sector census</x:v>
      </x:c>
    </x:row>
    <x:row r="7" ht="115" customHeight="1">
      <x:c r="A7" s="40" t="str">
        <x:v>Materials</x:v>
      </x:c>
      <x:c r="B7" s="40" t="str">
        <x:v>Sales recovery does not yet prove margin recovery</x:v>
      </x:c>
      <x:c r="C7" s="40" t="str">
        <x:v>IOSP revenue grew faster than adjusted EBITDA. Product mix and input-price timing need separation.</x:v>
      </x:c>
      <x:c r="D7" s="40" t="str">
        <x:v>IOSP26;IEA26</x:v>
      </x:c>
      <x:c r="E7" s="40" t="str">
        <x:v>Segment price/volume, feedstocks and commissioned new supply.</x:v>
      </x:c>
      <x:c r="F7" s="40" t="str">
        <x:v>Selected issuer/official snapshots; not a comprehensive sector census</x:v>
      </x:c>
    </x:row>
    <x:row r="8" ht="115" customHeight="1">
      <x:c r="A8" s="40" t="str">
        <x:v>Industrials</x:v>
      </x:c>
      <x:c r="B8" s="40" t="str">
        <x:v>Demand strong in selected infrastructure pockets</x:v>
      </x:c>
      <x:c r="C8" s="40" t="str">
        <x:v>Thermal and electrical suppliers show substantial demand, but margins, contract quality and cash requirements differ.</x:v>
      </x:c>
      <x:c r="D8" s="40" t="str">
        <x:v>MOD26;POWL26;IESC26;HPS26</x:v>
      </x:c>
      <x:c r="E8" s="40" t="str">
        <x:v>Funded orders, margin bridges, commissioning dates and working capital.</x:v>
      </x:c>
      <x:c r="F8" s="40" t="str">
        <x:v>Selected issuer/official snapshots; not a comprehensive sector census</x:v>
      </x:c>
    </x:row>
    <x:row r="9" ht="115" customHeight="1">
      <x:c r="A9" s="40" t="str">
        <x:v>Consumer Discretionary</x:v>
      </x:c>
      <x:c r="B9" s="40" t="str">
        <x:v>Mixed demand; misleading earnings signals</x:v>
      </x:c>
      <x:c r="C9" s="40" t="str">
        <x:v>WINA royalty growth contrasts with weak FND comparable sales; permits and starts point in different directions.</x:v>
      </x:c>
      <x:c r="D9" s="40" t="str">
        <x:v>WINA26;FND26;HOUSING26</x:v>
      </x:c>
      <x:c r="E9" s="40" t="str">
        <x:v>Franchisee returns, retail traffic, inventory and three-month housing trends.</x:v>
      </x:c>
      <x:c r="F9" s="40" t="str">
        <x:v>Selected issuer/official snapshots; not a comprehensive sector census</x:v>
      </x:c>
    </x:row>
    <x:row r="10" ht="115" customHeight="1">
      <x:c r="A10" s="40" t="str">
        <x:v>Consumer Staples</x:v>
      </x:c>
      <x:c r="B10" s="40" t="str">
        <x:v>Adverse supply-chain case identified</x:v>
      </x:c>
      <x:c r="C10" s="40" t="str">
        <x:v>VITL's supply mismatch challenges the idea that a premium brand removes commodity and inventory risk.</x:v>
      </x:c>
      <x:c r="D10" s="40" t="str">
        <x:v>VITL26</x:v>
      </x:c>
      <x:c r="E10" s="40" t="str">
        <x:v>Retail sell-through, farm commitments and normalized cash runway.</x:v>
      </x:c>
      <x:c r="F10" s="40" t="str">
        <x:v>Selected issuer/official snapshots; not a comprehensive sector census</x:v>
      </x:c>
    </x:row>
    <x:row r="11" ht="115" customHeight="1">
      <x:c r="A11" s="40" t="str">
        <x:v>Health Care</x:v>
      </x:c>
      <x:c r="B11" s="40" t="str">
        <x:v>Positive examples, but earnings bridges matter</x:v>
      </x:c>
      <x:c r="C11" s="40" t="str">
        <x:v>LMAT shows organic growth and operating leverage; RGEN's adjusted and GAAP profit growth diverge.</x:v>
      </x:c>
      <x:c r="D11" s="40" t="str">
        <x:v>LMAT26;RGEN26</x:v>
      </x:c>
      <x:c r="E11" s="40" t="str">
        <x:v>Procedure-linked use, bioprocess inventories and acquisition/adjustment quality.</x:v>
      </x:c>
      <x:c r="F11" s="40" t="str">
        <x:v>Selected issuer/official snapshots; not a comprehensive sector census</x:v>
      </x:c>
    </x:row>
    <x:row r="12" ht="115" customHeight="1">
      <x:c r="A12" s="40" t="str">
        <x:v>Financials</x:v>
      </x:c>
      <x:c r="B12" s="40" t="str">
        <x:v>Forward and lagging metrics diverge</x:v>
      </x:c>
      <x:c r="C12" s="40" t="str">
        <x:v>KNSL writings weakened while earned premiums rose; PEBO's NIM improved but credit and liquidity require testing.</x:v>
      </x:c>
      <x:c r="D12" s="40" t="str">
        <x:v>KNSL26;PEBO26;FDIC26</x:v>
      </x:c>
      <x:c r="E12" s="40" t="str">
        <x:v>Accident-year underwriting, rate/exposure mix, funding and credit vintages.</x:v>
      </x:c>
      <x:c r="F12" s="40" t="str">
        <x:v>Selected issuer/official snapshots; not a comprehensive sector census</x:v>
      </x:c>
    </x:row>
    <x:row r="13" ht="115" customHeight="1">
      <x:c r="A13" s="40" t="str">
        <x:v>Information Technology</x:v>
      </x:c>
      <x:c r="B13" s="40" t="str">
        <x:v>Growth versus economic capture</x:v>
      </x:c>
      <x:c r="C13" s="40" t="str">
        <x:v>COHU utilization and APPF monetization improve; AAOI's volume growth has not established superior cash margins.</x:v>
      </x:c>
      <x:c r="D13" s="40" t="str">
        <x:v>COHU26;APPF26;AAOI26;NSSC26</x:v>
      </x:c>
      <x:c r="E13" s="40" t="str">
        <x:v>Qualified orders, paid content, retention, margins, capex and dilution.</x:v>
      </x:c>
      <x:c r="F13" s="40" t="str">
        <x:v>Selected issuer/official snapshots; not a comprehensive sector census</x:v>
      </x:c>
    </x:row>
    <x:row r="14" ht="115" customHeight="1">
      <x:c r="A14" s="40" t="str">
        <x:v>Communication Services</x:v>
      </x:c>
      <x:c r="B14" s="40" t="str">
        <x:v>Structural-disruption question remains open</x:v>
      </x:c>
      <x:c r="C14" s="40" t="str">
        <x:v>ZD's reported revenue decline is a starting point, not proof of a recoverable cyclical trough.</x:v>
      </x:c>
      <x:c r="D14" s="40" t="str">
        <x:v>ZD26</x:v>
      </x:c>
      <x:c r="E14" s="40" t="str">
        <x:v>Direct audience, referral dependence, continuing segments and cash contribution.</x:v>
      </x:c>
      <x:c r="F14" s="40" t="str">
        <x:v>Selected issuer/official snapshots; not a comprehensive sector census</x:v>
      </x:c>
    </x:row>
    <x:row r="15" ht="115" customHeight="1">
      <x:c r="A15" s="40" t="str">
        <x:v>Utilities</x:v>
      </x:c>
      <x:c r="B15" s="40" t="str">
        <x:v>Net exposure matters more than gross demand</x:v>
      </x:c>
      <x:c r="C15" s="40" t="str">
        <x:v>NRG's GAAP result contains acquisition and hedge effects. The net shareholder cash exposure is not yet modeled.</x:v>
      </x:c>
      <x:c r="D15" s="40" t="str">
        <x:v>NRG26;FERC</x:v>
      </x:c>
      <x:c r="E15" s="40" t="str">
        <x:v>Load commitment quality, hedges, retail obligations, financing and regulatory recovery.</x:v>
      </x:c>
      <x:c r="F15" s="40" t="str">
        <x:v>Selected issuer/official snapshots; not a comprehensive sector census</x:v>
      </x:c>
    </x:row>
    <x:row r="16" ht="115" customHeight="1">
      <x:c r="A16" s="40" t="str">
        <x:v>Real Estate</x:v>
      </x:c>
      <x:c r="B16" s="40" t="str">
        <x:v>Local supply and financing decide the outcome</x:v>
      </x:c>
      <x:c r="C16" s="40" t="str">
        <x:v>IRT's occupancy snapshot must be combined with local deliveries, concessions, property capex and debt resets.</x:v>
      </x:c>
      <x:c r="D16" s="40" t="str">
        <x:v>IRT26;HOUSING26</x:v>
      </x:c>
      <x:c r="E16" s="40" t="str">
        <x:v>Effective lease rents, submarket absorption and recurring-capex-adjusted AFFO.</x:v>
      </x:c>
      <x:c r="F16" s="40" t="str">
        <x:v>Selected issuer/official snapshots; not a comprehensive sector census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d075dacb76f42e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3" hidden="0" customWidth="1"/>
    <x:col min="3" max="3" width="20" hidden="0" customWidth="1"/>
    <x:col min="4" max="4" width="23" hidden="0" customWidth="1"/>
    <x:col min="5" max="5" width="66" hidden="0" customWidth="1"/>
    <x:col min="6" max="6" width="20" hidden="0" customWidth="1"/>
  </x:cols>
  <x:sheetData>
    <x:row r="1">
      <x:c r="A1" s="24" t="str">
        <x:v>HEADLINE TO ECONOMIC REALITY</x:v>
      </x:c>
      <x:c r="B1" s="24"/>
      <x:c r="C1" s="24"/>
      <x:c r="D1" s="24"/>
      <x:c r="E1" s="24"/>
      <x:c r="F1" s="24"/>
    </x:row>
    <x:row r="2">
      <x:c r="A2" s="24"/>
      <x:c r="B2" s="24"/>
      <x:c r="C2" s="24"/>
      <x:c r="D2" s="24"/>
      <x:c r="E2" s="24"/>
      <x:c r="F2" s="24"/>
    </x:row>
    <x:row r="3" ht="32" customHeight="1">
      <x:c r="A3" s="29" t="str">
        <x:v>Formula-linked checks from the observation ledger. These are arithmetic diagnostics, not full normalized models or investment forecasts.</x:v>
      </x:c>
      <x:c r="B3" s="29"/>
      <x:c r="C3" s="29"/>
      <x:c r="D3" s="29"/>
      <x:c r="E3" s="29"/>
      <x:c r="F3" s="29"/>
    </x:row>
    <x:row r="5" ht="32" customHeight="1">
      <x:c r="A5" s="34" t="str">
        <x:v>Company</x:v>
      </x:c>
      <x:c r="B5" s="34" t="str">
        <x:v>Diagnostic</x:v>
      </x:c>
      <x:c r="C5" s="34" t="str">
        <x:v>Calculated result</x:v>
      </x:c>
      <x:c r="D5" s="34" t="str">
        <x:v>Unit</x:v>
      </x:c>
      <x:c r="E5" s="34" t="str">
        <x:v>Interpretation / limits</x:v>
      </x:c>
      <x:c r="F5" s="34" t="str">
        <x:v>Source IDs</x:v>
      </x:c>
    </x:row>
    <x:row r="6" ht="83" customHeight="1">
      <x:c r="A6" s="40" t="str">
        <x:v>MOD</x:v>
      </x:c>
      <x:c r="B6" s="40" t="str">
        <x:v>Quarterly gross profit for +100 bp margin</x:v>
      </x:c>
      <x:c r="C6" s="70" t="n">
        <x:f>'Observations'!$G$6*Settings!$B$27</x:f>
        <x:v>3.486</x:v>
      </x:c>
      <x:c r="D6" s="40" t="str">
        <x:v>USD m / quarter</x:v>
      </x:c>
      <x:c r="E6" s="40" t="str">
        <x:v>Constant revenue; before operating costs, capex and tax. Prior-year warranty benefit means historical GM is not a clean target.</x:v>
      </x:c>
      <x:c r="F6" s="40" t="str">
        <x:v>MOD26</x:v>
      </x:c>
    </x:row>
    <x:row r="7" ht="83" customHeight="1">
      <x:c r="A7" s="40" t="str">
        <x:v>NSSC</x:v>
      </x:c>
      <x:c r="B7" s="40" t="str">
        <x:v>Indicative GM excluding disclosed tariff benefit</x:v>
      </x:c>
      <x:c r="C7" s="70" t="n">
        <x:f>'Observations'!$G$17-'Observations'!$G$18/Settings!$B$28</x:f>
        <x:v>55.3</x:v>
      </x:c>
      <x:c r="D7" s="40" t="str">
        <x:v>%</x:v>
      </x:c>
      <x:c r="E7" s="40" t="str">
        <x:v>Approximate bridge using company-disclosed ~600 bp; not a complete normalized earnings model.</x:v>
      </x:c>
      <x:c r="F7" s="40" t="str">
        <x:v>NSSC26</x:v>
      </x:c>
    </x:row>
    <x:row r="8" ht="83" customHeight="1">
      <x:c r="A8" s="40" t="str">
        <x:v>NSSC</x:v>
      </x:c>
      <x:c r="B8" s="40" t="str">
        <x:v>EPS less disclosed tariff contribution</x:v>
      </x:c>
      <x:c r="C8" s="70" t="n">
        <x:f>'Observations'!$G$100-'Observations'!$G$19</x:f>
        <x:v>0.41000000000000003</x:v>
      </x:c>
      <x:c r="D8" s="40" t="str">
        <x:v>USD / diluted share</x:v>
      </x:c>
      <x:c r="E8" s="40" t="str">
        <x:v>Simple removal of disclosed contribution; does not normalize litigation or every other item.</x:v>
      </x:c>
      <x:c r="F8" s="40" t="str">
        <x:v>NSSC26</x:v>
      </x:c>
    </x:row>
    <x:row r="9" ht="83" customHeight="1">
      <x:c r="A9" s="40" t="str">
        <x:v>FND</x:v>
      </x:c>
      <x:c r="B9" s="40" t="str">
        <x:v>GAAP versus adjusted EPS gap</x:v>
      </x:c>
      <x:c r="C9" s="70" t="n">
        <x:f>'Observations'!$G$82-'Observations'!$G$83</x:f>
        <x:v>0.31000000000000005</x:v>
      </x:c>
      <x:c r="D9" s="40" t="str">
        <x:v>USD / diluted share</x:v>
      </x:c>
      <x:c r="E9" s="40" t="str">
        <x:v>Reported adjusted EPS was flat versus prior year despite higher GAAP EPS. Read full tax and other adjustment reconciliation.</x:v>
      </x:c>
      <x:c r="F9" s="40" t="str">
        <x:v>FND26</x:v>
      </x:c>
    </x:row>
    <x:row r="10" ht="83" customHeight="1">
      <x:c r="A10" s="40" t="str">
        <x:v>FND</x:v>
      </x:c>
      <x:c r="B10" s="40" t="str">
        <x:v>GAAP versus adjusted gross-margin gap</x:v>
      </x:c>
      <x:c r="C10" s="70" t="n">
        <x:f>'Observations'!$G$101-'Observations'!$G$84</x:f>
        <x:v>4.5</x:v>
      </x:c>
      <x:c r="D10" s="40" t="str">
        <x:v>percentage points</x:v>
      </x:c>
      <x:c r="E10" s="40" t="str">
        <x:v>Primarily tariff refund bridge; adjusted GM is 43.7%, not the 48.2% GAAP headline.</x:v>
      </x:c>
      <x:c r="F10" s="40" t="str">
        <x:v>FND26</x:v>
      </x:c>
    </x:row>
    <x:row r="11" ht="83" customHeight="1">
      <x:c r="A11" s="40" t="str">
        <x:v>IESC</x:v>
      </x:c>
      <x:c r="B11" s="40" t="str">
        <x:v>Broader backlog minus RPO</x:v>
      </x:c>
      <x:c r="C11" s="70" t="n">
        <x:f>'Observations'!$G$40-'Observations'!$G$39</x:f>
        <x:v>1700</x:v>
      </x:c>
      <x:c r="D11" s="40" t="str">
        <x:v>USD m, approximate</x:v>
      </x:c>
      <x:c r="E11" s="40" t="str">
        <x:v>Rounded disclosures; overlapping categories, not additive demand. Broader backlog can include non-enforceable agreements.</x:v>
      </x:c>
      <x:c r="F11" s="40" t="str">
        <x:v>IESC26</x:v>
      </x:c>
    </x:row>
    <x:row r="12" ht="83" customHeight="1">
      <x:c r="A12" s="40" t="str">
        <x:v>HPS.A@CA</x:v>
      </x:c>
      <x:c r="B12" s="40" t="str">
        <x:v>Adjusted versus GAAP EPS gap</x:v>
      </x:c>
      <x:c r="C12" s="70" t="n">
        <x:f>'Observations'!$G$36-'Observations'!$G$35</x:f>
        <x:v>1.9699999999999998</x:v>
      </x:c>
      <x:c r="D12" s="40" t="str">
        <x:v>CAD / diluted share</x:v>
      </x:c>
      <x:c r="E12" s="40" t="str">
        <x:v>A reconciliation target, not proof that all adjustments are non-recurring or all stem from one cause.</x:v>
      </x:c>
      <x:c r="F12" s="40" t="str">
        <x:v>HPS26</x:v>
      </x:c>
    </x:row>
    <x:row r="13" ht="83" customHeight="1">
      <x:c r="A13" s="40" t="str">
        <x:v>KNSL</x:v>
      </x:c>
      <x:c r="B13" s="40" t="str">
        <x:v>Earned versus written premium growth gap</x:v>
      </x:c>
      <x:c r="C13" s="70" t="n">
        <x:f>'Observations'!$G$66-'Observations'!$G$64</x:f>
        <x:v>13.9</x:v>
      </x:c>
      <x:c r="D13" s="40" t="str">
        <x:v>percentage points</x:v>
      </x:c>
      <x:c r="E13" s="40" t="str">
        <x:v>Different timing and measurement bases. Divergence is a warning to examine forward underwriting, not a mechanical forecast.</x:v>
      </x:c>
      <x:c r="F13" s="40" t="str">
        <x:v>KNSL26</x:v>
      </x:c>
    </x:row>
    <x:row r="14" ht="83" customHeight="1">
      <x:c r="A14" s="40" t="str">
        <x:v>RGEN</x:v>
      </x:c>
      <x:c r="B14" s="40" t="str">
        <x:v>Adjusted versus GAAP operating-profit growth</x:v>
      </x:c>
      <x:c r="C14" s="70" t="n">
        <x:f>'Observations'!$G$76-'Observations'!$G$75</x:f>
        <x:v>54</x:v>
      </x:c>
      <x:c r="D14" s="40" t="str">
        <x:v>percentage points</x:v>
      </x:c>
      <x:c r="E14" s="40" t="str">
        <x:v>Growth rates use different bases. Reconcile dollars and acquisition/amortization adjustments before valuing.</x:v>
      </x:c>
      <x:c r="F14" s="40" t="str">
        <x:v>RGEN26</x:v>
      </x:c>
    </x:row>
    <x:row r="15" ht="83" customHeight="1">
      <x:c r="A15" s="40" t="str">
        <x:v>AAOI</x:v>
      </x:c>
      <x:c r="B15" s="40" t="str">
        <x:v>Reported revenue growth</x:v>
      </x:c>
      <x:c r="C15" s="72" t="n">
        <x:f>'Observations'!$G$41/'Observations'!$H$41-1</x:f>
        <x:v>0.8631067961165049</x:v>
      </x:c>
      <x:c r="D15" s="40" t="str">
        <x:v>fraction</x:v>
      </x:c>
      <x:c r="E15" s="40" t="str">
        <x:v>Revenue surge is not cash-profit validation; study yield, ASP, working capital, capex and financing.</x:v>
      </x:c>
      <x:c r="F15" s="40" t="str">
        <x:v>AAOI26</x:v>
      </x:c>
    </x:row>
    <x:row r="16" ht="83" customHeight="1">
      <x:c r="A16" s="40" t="str">
        <x:v>AAOI</x:v>
      </x:c>
      <x:c r="B16" s="40" t="str">
        <x:v>Gross-margin change</x:v>
      </x:c>
      <x:c r="C16" s="70" t="n">
        <x:f>'Observations'!$G$42-'Observations'!$H$42</x:f>
        <x:v>-2.6000000000000014</x:v>
      </x:c>
      <x:c r="D16" s="40" t="str">
        <x:v>percentage points</x:v>
      </x:c>
      <x:c r="E16" s="40" t="str">
        <x:v>Margin fell while revenue surged; volume and profit inflections must be tested separately.</x:v>
      </x:c>
      <x:c r="F16" s="40" t="str">
        <x:v>AAOI26</x:v>
      </x:c>
    </x:row>
    <x:row r="17" ht="83" customHeight="1">
      <x:c r="A17" s="40" t="str">
        <x:v>WINA</x:v>
      </x:c>
      <x:c r="B17" s="40" t="str">
        <x:v>Operating cash-flow change</x:v>
      </x:c>
      <x:c r="C17" s="72" t="n">
        <x:f>'Observations'!$G$13/'Observations'!$H$13-1</x:f>
        <x:v>-0.06224066390041494</x:v>
      </x:c>
      <x:c r="D17" s="40" t="str">
        <x:v>fraction</x:v>
      </x:c>
      <x:c r="E17" s="40" t="str">
        <x:v>Half-year CFO comparison is affected by working capital and lease runoff. Corporate reinvestment is not literally zero.</x:v>
      </x:c>
      <x:c r="F17" s="40" t="str">
        <x:v>WINA26</x:v>
      </x:c>
    </x:row>
    <x:row r="18" ht="83" customHeight="1">
      <x:c r="A18" s="40" t="str">
        <x:v>BMI</x:v>
      </x:c>
      <x:c r="B18" s="40" t="str">
        <x:v>Reported revenue change</x:v>
      </x:c>
      <x:c r="C18" s="72" t="n">
        <x:f>'Observations'!$G$91/'Observations'!$H$91-1</x:f>
        <x:v>-0.0663586728265434</x:v>
      </x:c>
      <x:c r="D18" s="40" t="str">
        <x:v>fraction</x:v>
      </x:c>
      <x:c r="E18" s="40" t="str">
        <x:v>Approximately -7% YoY; sequential improvement does not by itself prove a durable recovery.</x:v>
      </x:c>
      <x:c r="F18" s="40" t="str">
        <x:v>BMI26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0a557839245a4fb2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8" hidden="0" customWidth="1"/>
    <x:col min="4" max="4" width="38" hidden="0" customWidth="1"/>
    <x:col min="5" max="5" width="21" hidden="0" customWidth="1"/>
    <x:col min="6" max="6" width="15" hidden="0" customWidth="1"/>
    <x:col min="7" max="7" width="15" hidden="0" customWidth="1"/>
    <x:col min="8" max="8" width="22" hidden="0" customWidth="1"/>
    <x:col min="9" max="9" width="16" hidden="0" customWidth="1"/>
    <x:col min="10" max="10" width="14" hidden="0" customWidth="1"/>
    <x:col min="11" max="11" width="22" hidden="0" customWidth="1"/>
    <x:col min="12" max="12" width="39" hidden="0" customWidth="1"/>
    <x:col min="13" max="13" width="18" hidden="0" customWidth="1"/>
    <x:col min="14" max="14" width="49" hidden="0" customWidth="1"/>
  </x:cols>
  <x:sheetData>
    <x:row r="1">
      <x:c r="A1" s="24" t="str">
        <x:v>31 SELECTED MEASUREMENTS — DATED, NOT LIVE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2" customHeight="1">
      <x:c r="A3" s="29" t="str">
        <x:v>Compare timing, units and definitions before interpreting a signal. Older observations remain visible; stale is a review flag, not a bearish signal.</x:v>
      </x:c>
      <x:c r="B3" s="29"/>
      <x:c r="C3" s="29"/>
      <x:c r="D3" s="29"/>
      <x:c r="E3" s="29"/>
      <x:c r="F3" s="29"/>
      <x:c r="G3" s="29"/>
      <x:c r="H3" s="29"/>
    </x:row>
    <x:row r="5" ht="32" customHeight="1">
      <x:c r="A5" s="34" t="str">
        <x:v>Observation</x:v>
      </x:c>
      <x:c r="B5" s="34" t="str">
        <x:v>Sector</x:v>
      </x:c>
      <x:c r="C5" s="34" t="str">
        <x:v>Entity</x:v>
      </x:c>
      <x:c r="D5" s="34" t="str">
        <x:v>Metric</x:v>
      </x:c>
      <x:c r="E5" s="34" t="str">
        <x:v>Period</x:v>
      </x:c>
      <x:c r="F5" s="34" t="str">
        <x:v>Current</x:v>
      </x:c>
      <x:c r="G5" s="34" t="str">
        <x:v>Prior</x:v>
      </x:c>
      <x:c r="H5" s="34" t="str">
        <x:v>Unit</x:v>
      </x:c>
      <x:c r="I5" s="34" t="str">
        <x:v>Published</x:v>
      </x:c>
      <x:c r="J5" s="34" t="str">
        <x:v>Age (days)</x:v>
      </x:c>
      <x:c r="K5" s="34" t="str">
        <x:v>Freshness control</x:v>
      </x:c>
      <x:c r="L5" s="34" t="str">
        <x:v>Signal use</x:v>
      </x:c>
      <x:c r="M5" s="34" t="str">
        <x:v>Source ID</x:v>
      </x:c>
      <x:c r="N5" s="34" t="str">
        <x:v>Interpretation limit</x:v>
      </x:c>
    </x:row>
    <x:row r="6" ht="88" customHeight="1">
      <x:c r="A6" s="40" t="str">
        <x:v>O001</x:v>
      </x:c>
      <x:c r="B6" s="40" t="str">
        <x:v>Industrials</x:v>
      </x:c>
      <x:c r="C6" s="40" t="str">
        <x:v>MOD</x:v>
      </x:c>
      <x:c r="D6" s="40" t="str">
        <x:v>Data-center segment revenue</x:v>
      </x:c>
      <x:c r="E6" s="40" t="str">
        <x:v>Q1 FY2027</x:v>
      </x:c>
      <x:c r="F6" s="70" t="n">
        <x:f>'Observations'!$G$6</x:f>
        <x:v>348.6</x:v>
      </x:c>
      <x:c r="G6" s="70" t="n">
        <x:f>IF('Observations'!$H$6="","",'Observations'!$H$6)</x:f>
        <x:v>183.7</x:v>
      </x:c>
      <x:c r="H6" s="52" t="str">
        <x:v>USD m</x:v>
      </x:c>
      <x:c r="I6" s="126" t="n">
        <x:f>'Observations'!$F$6</x:f>
        <x:v>46232</x:v>
      </x:c>
      <x:c r="J6" s="52" t="n">
        <x:f>Settings!$B$3-I6</x:f>
        <x:v>40</x:v>
      </x:c>
      <x:c r="K6" s="52" t="str">
        <x:f>IF(J6&gt;IF(OR(C6="BLS",C6="Census",C6="Federal Reserve"),Settings!$B$6,Settings!$B$5),"REVIEW STALENESS","Within review window")</x:f>
        <x:v>Within review window</x:v>
      </x:c>
      <x:c r="L6" s="40" t="str">
        <x:v>Report confirmation / proxy; not a validated trading signal</x:v>
      </x:c>
      <x:c r="M6" s="40" t="str">
        <x:v>MOD26</x:v>
      </x:c>
      <x:c r="N6" s="40" t="str"/>
    </x:row>
    <x:row r="7" ht="88" customHeight="1">
      <x:c r="A7" s="40" t="str">
        <x:v>O002</x:v>
      </x:c>
      <x:c r="B7" s="40" t="str">
        <x:v>Industrials</x:v>
      </x:c>
      <x:c r="C7" s="40" t="str">
        <x:v>MOD</x:v>
      </x:c>
      <x:c r="D7" s="40" t="str">
        <x:v>Data-center gross margin</x:v>
      </x:c>
      <x:c r="E7" s="40" t="str">
        <x:v>Q1 FY2027</x:v>
      </x:c>
      <x:c r="F7" s="70" t="n">
        <x:f>'Observations'!$G$7</x:f>
        <x:v>20.2</x:v>
      </x:c>
      <x:c r="G7" s="70" t="n">
        <x:f>IF('Observations'!$H$7="","",'Observations'!$H$7)</x:f>
        <x:v>29.8</x:v>
      </x:c>
      <x:c r="H7" s="52" t="str">
        <x:v>%</x:v>
      </x:c>
      <x:c r="I7" s="126" t="n">
        <x:f>'Observations'!$F$7</x:f>
        <x:v>46232</x:v>
      </x:c>
      <x:c r="J7" s="52" t="n">
        <x:f>Settings!$B$3-I7</x:f>
        <x:v>40</x:v>
      </x:c>
      <x:c r="K7" s="52" t="str">
        <x:f>IF(J7&gt;IF(OR(C7="BLS",C7="Census",C7="Federal Reserve"),Settings!$B$6,Settings!$B$5),"REVIEW STALENESS","Within review window")</x:f>
        <x:v>Within review window</x:v>
      </x:c>
      <x:c r="L7" s="40" t="str">
        <x:v>Report confirmation / proxy; not a validated trading signal</x:v>
      </x:c>
      <x:c r="M7" s="40" t="str">
        <x:v>MOD26</x:v>
      </x:c>
      <x:c r="N7" s="40" t="str">
        <x:v>Prior-year favorable warranty settlement; full 960bp gap is not a clean recoverable cost bucket.</x:v>
      </x:c>
    </x:row>
    <x:row r="8" ht="88" customHeight="1">
      <x:c r="A8" s="40" t="str">
        <x:v>O007</x:v>
      </x:c>
      <x:c r="B8" s="40" t="str">
        <x:v>Consumer Discretionary</x:v>
      </x:c>
      <x:c r="C8" s="40" t="str">
        <x:v>WINA</x:v>
      </x:c>
      <x:c r="D8" s="40" t="str">
        <x:v>Royalty revenue growth</x:v>
      </x:c>
      <x:c r="E8" s="40" t="str">
        <x:v>H1 2026</x:v>
      </x:c>
      <x:c r="F8" s="70" t="n">
        <x:f>'Observations'!$G$12</x:f>
        <x:v>8.1</x:v>
      </x:c>
      <x:c r="G8" s="70" t="str">
        <x:f>IF('Observations'!$H$12="","",'Observations'!$H$12)</x:f>
      </x:c>
      <x:c r="H8" s="52" t="str">
        <x:v>% YoY</x:v>
      </x:c>
      <x:c r="I8" s="126" t="n">
        <x:f>'Observations'!$F$12</x:f>
        <x:v>46218</x:v>
      </x:c>
      <x:c r="J8" s="52" t="n">
        <x:f>Settings!$B$3-I8</x:f>
        <x:v>54</x:v>
      </x:c>
      <x:c r="K8" s="52" t="str">
        <x:f>IF(J8&gt;IF(OR(C8="BLS",C8="Census",C8="Federal Reserve"),Settings!$B$6,Settings!$B$5),"REVIEW STALENESS","Within review window")</x:f>
        <x:v>Within review window</x:v>
      </x:c>
      <x:c r="L8" s="40" t="str">
        <x:v>Report confirmation / proxy; not a validated trading signal</x:v>
      </x:c>
      <x:c r="M8" s="40" t="str">
        <x:v>WINA26</x:v>
      </x:c>
      <x:c r="N8" s="40" t="str"/>
    </x:row>
    <x:row r="9" ht="88" customHeight="1">
      <x:c r="A9" s="40" t="str">
        <x:v>O011</x:v>
      </x:c>
      <x:c r="B9" s="40" t="str">
        <x:v>Information Technology</x:v>
      </x:c>
      <x:c r="C9" s="40" t="str">
        <x:v>NSSC</x:v>
      </x:c>
      <x:c r="D9" s="40" t="str">
        <x:v>Recurring service revenue growth</x:v>
      </x:c>
      <x:c r="E9" s="40" t="str">
        <x:v>FY2026</x:v>
      </x:c>
      <x:c r="F9" s="70" t="n">
        <x:f>'Observations'!$G$16</x:f>
        <x:v>13</x:v>
      </x:c>
      <x:c r="G9" s="70" t="str">
        <x:f>IF('Observations'!$H$16="","",'Observations'!$H$16)</x:f>
      </x:c>
      <x:c r="H9" s="52" t="str">
        <x:v>% YoY</x:v>
      </x:c>
      <x:c r="I9" s="126" t="n">
        <x:f>'Observations'!$F$16</x:f>
        <x:v>46258</x:v>
      </x:c>
      <x:c r="J9" s="52" t="n">
        <x:f>Settings!$B$3-I9</x:f>
        <x:v>14</x:v>
      </x:c>
      <x:c r="K9" s="52" t="str">
        <x:f>IF(J9&gt;IF(OR(C9="BLS",C9="Census",C9="Federal Reserve"),Settings!$B$6,Settings!$B$5),"REVIEW STALENESS","Within review window")</x:f>
        <x:v>Within review window</x:v>
      </x:c>
      <x:c r="L9" s="40" t="str">
        <x:v>Report confirmation / proxy; not a validated trading signal</x:v>
      </x:c>
      <x:c r="M9" s="40" t="str">
        <x:v>NSSC26</x:v>
      </x:c>
      <x:c r="N9" s="40" t="str"/>
    </x:row>
    <x:row r="10" ht="88" customHeight="1">
      <x:c r="A10" s="40" t="str">
        <x:v>O018</x:v>
      </x:c>
      <x:c r="B10" s="40" t="str">
        <x:v>Information Technology</x:v>
      </x:c>
      <x:c r="C10" s="40" t="str">
        <x:v>COHU</x:v>
      </x:c>
      <x:c r="D10" s="40" t="str">
        <x:v>Test-cell utilization</x:v>
      </x:c>
      <x:c r="E10" s="40" t="str">
        <x:v>June 2026 end</x:v>
      </x:c>
      <x:c r="F10" s="70" t="n">
        <x:f>'Observations'!$G$23</x:f>
        <x:v>80</x:v>
      </x:c>
      <x:c r="G10" s="70" t="str">
        <x:f>IF('Observations'!$H$23="","",'Observations'!$H$23)</x:f>
      </x:c>
      <x:c r="H10" s="52" t="str">
        <x:v>%</x:v>
      </x:c>
      <x:c r="I10" s="126" t="n">
        <x:f>'Observations'!$F$23</x:f>
        <x:v>46233</x:v>
      </x:c>
      <x:c r="J10" s="52" t="n">
        <x:f>Settings!$B$3-I10</x:f>
        <x:v>39</x:v>
      </x:c>
      <x:c r="K10" s="52" t="str">
        <x:f>IF(J10&gt;IF(OR(C10="BLS",C10="Census",C10="Federal Reserve"),Settings!$B$6,Settings!$B$5),"REVIEW STALENESS","Within review window")</x:f>
        <x:v>Within review window</x:v>
      </x:c>
      <x:c r="L10" s="40" t="str">
        <x:v>Report confirmation / proxy; not a validated trading signal</x:v>
      </x:c>
      <x:c r="M10" s="40" t="str">
        <x:v>COHU26</x:v>
      </x:c>
      <x:c r="N10" s="40" t="str"/>
    </x:row>
    <x:row r="11" ht="88" customHeight="1">
      <x:c r="A11" s="40" t="str">
        <x:v>O019</x:v>
      </x:c>
      <x:c r="B11" s="40" t="str">
        <x:v>Information Technology</x:v>
      </x:c>
      <x:c r="C11" s="40" t="str">
        <x:v>COHU</x:v>
      </x:c>
      <x:c r="D11" s="40" t="str">
        <x:v>AI-compute opportunity pipeline</x:v>
      </x:c>
      <x:c r="E11" s="40" t="str">
        <x:v>Q2 2026 commentary</x:v>
      </x:c>
      <x:c r="F11" s="70" t="n">
        <x:f>'Observations'!$G$24</x:f>
        <x:v>850</x:v>
      </x:c>
      <x:c r="G11" s="70" t="str">
        <x:f>IF('Observations'!$H$24="","",'Observations'!$H$24)</x:f>
      </x:c>
      <x:c r="H11" s="52" t="str">
        <x:v>USD m annual opportunity</x:v>
      </x:c>
      <x:c r="I11" s="126" t="n">
        <x:f>'Observations'!$F$24</x:f>
        <x:v>46233</x:v>
      </x:c>
      <x:c r="J11" s="52" t="n">
        <x:f>Settings!$B$3-I11</x:f>
        <x:v>39</x:v>
      </x:c>
      <x:c r="K11" s="52" t="str">
        <x:f>IF(J11&gt;IF(OR(C11="BLS",C11="Census",C11="Federal Reserve"),Settings!$B$6,Settings!$B$5),"REVIEW STALENESS","Within review window")</x:f>
        <x:v>Within review window</x:v>
      </x:c>
      <x:c r="L11" s="40" t="str">
        <x:v>Report confirmation / proxy; not a validated trading signal</x:v>
      </x:c>
      <x:c r="M11" s="40" t="str">
        <x:v>COHU26</x:v>
      </x:c>
      <x:c r="N11" s="40" t="str">
        <x:v>Opportunity estimate, not orders or RPO.</x:v>
      </x:c>
    </x:row>
    <x:row r="12" ht="88" customHeight="1">
      <x:c r="A12" s="40" t="str">
        <x:v>O021</x:v>
      </x:c>
      <x:c r="B12" s="40" t="str">
        <x:v>Industrials</x:v>
      </x:c>
      <x:c r="C12" s="40" t="str">
        <x:v>POWL</x:v>
      </x:c>
      <x:c r="D12" s="40" t="str">
        <x:v>New orders</x:v>
      </x:c>
      <x:c r="E12" s="40" t="str">
        <x:v>Q3 FY2026</x:v>
      </x:c>
      <x:c r="F12" s="70" t="n">
        <x:f>'Observations'!$G$26</x:f>
        <x:v>934</x:v>
      </x:c>
      <x:c r="G12" s="70" t="str">
        <x:f>IF('Observations'!$H$26="","",'Observations'!$H$26)</x:f>
      </x:c>
      <x:c r="H12" s="52" t="str">
        <x:v>USD m</x:v>
      </x:c>
      <x:c r="I12" s="126" t="n">
        <x:f>'Observations'!$F$26</x:f>
        <x:v>46237</x:v>
      </x:c>
      <x:c r="J12" s="52" t="n">
        <x:f>Settings!$B$3-I12</x:f>
        <x:v>35</x:v>
      </x:c>
      <x:c r="K12" s="52" t="str">
        <x:f>IF(J12&gt;IF(OR(C12="BLS",C12="Census",C12="Federal Reserve"),Settings!$B$6,Settings!$B$5),"REVIEW STALENESS","Within review window")</x:f>
        <x:v>Within review window</x:v>
      </x:c>
      <x:c r="L12" s="40" t="str">
        <x:v>Report confirmation / proxy; not a validated trading signal</x:v>
      </x:c>
      <x:c r="M12" s="40" t="str">
        <x:v>POWL26</x:v>
      </x:c>
      <x:c r="N12" s="40" t="str"/>
    </x:row>
    <x:row r="13" ht="88" customHeight="1">
      <x:c r="A13" s="40" t="str">
        <x:v>O025</x:v>
      </x:c>
      <x:c r="B13" s="40" t="str">
        <x:v>Industrials</x:v>
      </x:c>
      <x:c r="C13" s="40" t="str">
        <x:v>CSW</x:v>
      </x:c>
      <x:c r="D13" s="40" t="str">
        <x:v>Organic revenue growth</x:v>
      </x:c>
      <x:c r="E13" s="40" t="str">
        <x:v>Q1 FY2027</x:v>
      </x:c>
      <x:c r="F13" s="70" t="n">
        <x:f>'Observations'!$G$30</x:f>
        <x:v>5.3</x:v>
      </x:c>
      <x:c r="G13" s="70" t="str">
        <x:f>IF('Observations'!$H$30="","",'Observations'!$H$30)</x:f>
      </x:c>
      <x:c r="H13" s="52" t="str">
        <x:v>% YoY</x:v>
      </x:c>
      <x:c r="I13" s="126" t="n">
        <x:f>'Observations'!$F$30</x:f>
        <x:v>46233</x:v>
      </x:c>
      <x:c r="J13" s="52" t="n">
        <x:f>Settings!$B$3-I13</x:f>
        <x:v>39</x:v>
      </x:c>
      <x:c r="K13" s="52" t="str">
        <x:f>IF(J13&gt;IF(OR(C13="BLS",C13="Census",C13="Federal Reserve"),Settings!$B$6,Settings!$B$5),"REVIEW STALENESS","Within review window")</x:f>
        <x:v>Within review window</x:v>
      </x:c>
      <x:c r="L13" s="40" t="str">
        <x:v>Report confirmation / proxy; not a validated trading signal</x:v>
      </x:c>
      <x:c r="M13" s="40" t="str">
        <x:v>CSW26</x:v>
      </x:c>
      <x:c r="N13" s="40" t="str"/>
    </x:row>
    <x:row r="14" ht="88" customHeight="1">
      <x:c r="A14" s="40" t="str">
        <x:v>O029</x:v>
      </x:c>
      <x:c r="B14" s="40" t="str">
        <x:v>Industrials</x:v>
      </x:c>
      <x:c r="C14" s="40" t="str">
        <x:v>HPS.A@CA</x:v>
      </x:c>
      <x:c r="D14" s="40" t="str">
        <x:v>Backlog growth</x:v>
      </x:c>
      <x:c r="E14" s="40" t="str">
        <x:v>Q2 2026</x:v>
      </x:c>
      <x:c r="F14" s="70" t="n">
        <x:f>'Observations'!$G$34</x:f>
        <x:v>96.9</x:v>
      </x:c>
      <x:c r="G14" s="70" t="str">
        <x:f>IF('Observations'!$H$34="","",'Observations'!$H$34)</x:f>
      </x:c>
      <x:c r="H14" s="52" t="str">
        <x:v>% YoY</x:v>
      </x:c>
      <x:c r="I14" s="126" t="n">
        <x:f>'Observations'!$F$34</x:f>
        <x:v>46233</x:v>
      </x:c>
      <x:c r="J14" s="52" t="n">
        <x:f>Settings!$B$3-I14</x:f>
        <x:v>39</x:v>
      </x:c>
      <x:c r="K14" s="52" t="str">
        <x:f>IF(J14&gt;IF(OR(C14="BLS",C14="Census",C14="Federal Reserve"),Settings!$B$6,Settings!$B$5),"REVIEW STALENESS","Within review window")</x:f>
        <x:v>Within review window</x:v>
      </x:c>
      <x:c r="L14" s="40" t="str">
        <x:v>Report confirmation / proxy; not a validated trading signal</x:v>
      </x:c>
      <x:c r="M14" s="40" t="str">
        <x:v>HPS26</x:v>
      </x:c>
      <x:c r="N14" s="40" t="str"/>
    </x:row>
    <x:row r="15" ht="88" customHeight="1">
      <x:c r="A15" s="40" t="str">
        <x:v>O034</x:v>
      </x:c>
      <x:c r="B15" s="40" t="str">
        <x:v>Industrials</x:v>
      </x:c>
      <x:c r="C15" s="40" t="str">
        <x:v>IESC</x:v>
      </x:c>
      <x:c r="D15" s="40" t="str">
        <x:v>Remaining performance obligations</x:v>
      </x:c>
      <x:c r="E15" s="40" t="str">
        <x:v>2026-06-30</x:v>
      </x:c>
      <x:c r="F15" s="70" t="n">
        <x:f>'Observations'!$G$39</x:f>
        <x:v>2800</x:v>
      </x:c>
      <x:c r="G15" s="70" t="str">
        <x:f>IF('Observations'!$H$39="","",'Observations'!$H$39)</x:f>
      </x:c>
      <x:c r="H15" s="52" t="str">
        <x:v>USD m, rounded</x:v>
      </x:c>
      <x:c r="I15" s="126" t="n">
        <x:f>'Observations'!$F$39</x:f>
        <x:v>46234</x:v>
      </x:c>
      <x:c r="J15" s="52" t="n">
        <x:f>Settings!$B$3-I15</x:f>
        <x:v>38</x:v>
      </x:c>
      <x:c r="K15" s="52" t="str">
        <x:f>IF(J15&gt;IF(OR(C15="BLS",C15="Census",C15="Federal Reserve"),Settings!$B$6,Settings!$B$5),"REVIEW STALENESS","Within review window")</x:f>
        <x:v>Within review window</x:v>
      </x:c>
      <x:c r="L15" s="40" t="str">
        <x:v>Report confirmation / proxy; not a validated trading signal</x:v>
      </x:c>
      <x:c r="M15" s="40" t="str">
        <x:v>IESC26</x:v>
      </x:c>
      <x:c r="N15" s="40" t="str"/>
    </x:row>
    <x:row r="16" ht="88" customHeight="1">
      <x:c r="A16" s="40" t="str">
        <x:v>O037</x:v>
      </x:c>
      <x:c r="B16" s="40" t="str">
        <x:v>Information Technology</x:v>
      </x:c>
      <x:c r="C16" s="40" t="str">
        <x:v>AAOI</x:v>
      </x:c>
      <x:c r="D16" s="40" t="str">
        <x:v>GAAP gross margin</x:v>
      </x:c>
      <x:c r="E16" s="40" t="str">
        <x:v>Q2 2026</x:v>
      </x:c>
      <x:c r="F16" s="70" t="n">
        <x:f>'Observations'!$G$42</x:f>
        <x:v>27.7</x:v>
      </x:c>
      <x:c r="G16" s="70" t="n">
        <x:f>IF('Observations'!$H$42="","",'Observations'!$H$42)</x:f>
        <x:v>30.3</x:v>
      </x:c>
      <x:c r="H16" s="52" t="str">
        <x:v>%</x:v>
      </x:c>
      <x:c r="I16" s="126" t="n">
        <x:f>'Observations'!$F$42</x:f>
        <x:v>46240</x:v>
      </x:c>
      <x:c r="J16" s="52" t="n">
        <x:f>Settings!$B$3-I16</x:f>
        <x:v>32</x:v>
      </x:c>
      <x:c r="K16" s="52" t="str">
        <x:f>IF(J16&gt;IF(OR(C16="BLS",C16="Census",C16="Federal Reserve"),Settings!$B$6,Settings!$B$5),"REVIEW STALENESS","Within review window")</x:f>
        <x:v>Within review window</x:v>
      </x:c>
      <x:c r="L16" s="40" t="str">
        <x:v>Report confirmation / proxy; not a validated trading signal</x:v>
      </x:c>
      <x:c r="M16" s="40" t="str">
        <x:v>AAOI26</x:v>
      </x:c>
      <x:c r="N16" s="40" t="str"/>
    </x:row>
    <x:row r="17" ht="88" customHeight="1">
      <x:c r="A17" s="40" t="str">
        <x:v>O041</x:v>
      </x:c>
      <x:c r="B17" s="40" t="str">
        <x:v>Industrials</x:v>
      </x:c>
      <x:c r="C17" s="40" t="str">
        <x:v>AAON</x:v>
      </x:c>
      <x:c r="D17" s="40" t="str">
        <x:v>Backlog sequential change</x:v>
      </x:c>
      <x:c r="E17" s="40" t="str">
        <x:v>Q2 2026</x:v>
      </x:c>
      <x:c r="F17" s="70" t="n">
        <x:f>'Observations'!$G$46</x:f>
        <x:v>-7.4</x:v>
      </x:c>
      <x:c r="G17" s="70" t="str">
        <x:f>IF('Observations'!$H$46="","",'Observations'!$H$46)</x:f>
      </x:c>
      <x:c r="H17" s="52" t="str">
        <x:v>% QoQ</x:v>
      </x:c>
      <x:c r="I17" s="126" t="n">
        <x:f>'Observations'!$F$46</x:f>
        <x:v>46240</x:v>
      </x:c>
      <x:c r="J17" s="52" t="n">
        <x:f>Settings!$B$3-I17</x:f>
        <x:v>32</x:v>
      </x:c>
      <x:c r="K17" s="52" t="str">
        <x:f>IF(J17&gt;IF(OR(C17="BLS",C17="Census",C17="Federal Reserve"),Settings!$B$6,Settings!$B$5),"REVIEW STALENESS","Within review window")</x:f>
        <x:v>Within review window</x:v>
      </x:c>
      <x:c r="L17" s="40" t="str">
        <x:v>Report confirmation / proxy; not a validated trading signal</x:v>
      </x:c>
      <x:c r="M17" s="40" t="str">
        <x:v>AAON26</x:v>
      </x:c>
      <x:c r="N17" s="40" t="str">
        <x:v>Company cites accelerated shipments and large-award timing; not by itself a demand collapse.</x:v>
      </x:c>
    </x:row>
    <x:row r="18" ht="88" customHeight="1">
      <x:c r="A18" s="40" t="str">
        <x:v>O045</x:v>
      </x:c>
      <x:c r="B18" s="40" t="str">
        <x:v>Industrials</x:v>
      </x:c>
      <x:c r="C18" s="40" t="str">
        <x:v>VSEC</x:v>
      </x:c>
      <x:c r="D18" s="40" t="str">
        <x:v>Organic revenue growth</x:v>
      </x:c>
      <x:c r="E18" s="40" t="str">
        <x:v>Q2 2026</x:v>
      </x:c>
      <x:c r="F18" s="70" t="n">
        <x:f>'Observations'!$G$50</x:f>
        <x:v>14</x:v>
      </x:c>
      <x:c r="G18" s="70" t="str">
        <x:f>IF('Observations'!$H$50="","",'Observations'!$H$50)</x:f>
      </x:c>
      <x:c r="H18" s="52" t="str">
        <x:v>% YoY, approximate</x:v>
      </x:c>
      <x:c r="I18" s="126" t="n">
        <x:f>'Observations'!$F$50</x:f>
        <x:v>46239</x:v>
      </x:c>
      <x:c r="J18" s="52" t="n">
        <x:f>Settings!$B$3-I18</x:f>
        <x:v>33</x:v>
      </x:c>
      <x:c r="K18" s="52" t="str">
        <x:f>IF(J18&gt;IF(OR(C18="BLS",C18="Census",C18="Federal Reserve"),Settings!$B$6,Settings!$B$5),"REVIEW STALENESS","Within review window")</x:f>
        <x:v>Within review window</x:v>
      </x:c>
      <x:c r="L18" s="40" t="str">
        <x:v>Report confirmation / proxy; not a validated trading signal</x:v>
      </x:c>
      <x:c r="M18" s="40" t="str">
        <x:v>VSEC26</x:v>
      </x:c>
      <x:c r="N18" s="40" t="str"/>
    </x:row>
    <x:row r="19" ht="88" customHeight="1">
      <x:c r="A19" s="40" t="str">
        <x:v>O047</x:v>
      </x:c>
      <x:c r="B19" s="40" t="str">
        <x:v>Industrials</x:v>
      </x:c>
      <x:c r="C19" s="40" t="str">
        <x:v>AZZ</x:v>
      </x:c>
      <x:c r="D19" s="40" t="str">
        <x:v>Metal Coatings growth</x:v>
      </x:c>
      <x:c r="E19" s="40" t="str">
        <x:v>Q1 FY2027</x:v>
      </x:c>
      <x:c r="F19" s="70" t="n">
        <x:f>'Observations'!$G$52</x:f>
        <x:v>12.3</x:v>
      </x:c>
      <x:c r="G19" s="70" t="str">
        <x:f>IF('Observations'!$H$52="","",'Observations'!$H$52)</x:f>
      </x:c>
      <x:c r="H19" s="52" t="str">
        <x:v>% YoY</x:v>
      </x:c>
      <x:c r="I19" s="126" t="n">
        <x:f>'Observations'!$F$52</x:f>
        <x:v>46211</x:v>
      </x:c>
      <x:c r="J19" s="52" t="n">
        <x:f>Settings!$B$3-I19</x:f>
        <x:v>61</x:v>
      </x:c>
      <x:c r="K19" s="52" t="str">
        <x:f>IF(J19&gt;IF(OR(C19="BLS",C19="Census",C19="Federal Reserve"),Settings!$B$6,Settings!$B$5),"REVIEW STALENESS","Within review window")</x:f>
        <x:v>Within review window</x:v>
      </x:c>
      <x:c r="L19" s="40" t="str">
        <x:v>Report confirmation / proxy; not a validated trading signal</x:v>
      </x:c>
      <x:c r="M19" s="40" t="str">
        <x:v>AZZ26</x:v>
      </x:c>
      <x:c r="N19" s="40" t="str"/>
    </x:row>
    <x:row r="20" ht="88" customHeight="1">
      <x:c r="A20" s="40" t="str">
        <x:v>O050</x:v>
      </x:c>
      <x:c r="B20" s="40" t="str">
        <x:v>Health Care</x:v>
      </x:c>
      <x:c r="C20" s="40" t="str">
        <x:v>LMAT</x:v>
      </x:c>
      <x:c r="D20" s="40" t="str">
        <x:v>Organic revenue growth</x:v>
      </x:c>
      <x:c r="E20" s="40" t="str">
        <x:v>Q2 2026</x:v>
      </x:c>
      <x:c r="F20" s="70" t="n">
        <x:f>'Observations'!$G$55</x:f>
        <x:v>10</x:v>
      </x:c>
      <x:c r="G20" s="70" t="str">
        <x:f>IF('Observations'!$H$55="","",'Observations'!$H$55)</x:f>
      </x:c>
      <x:c r="H20" s="52" t="str">
        <x:v>% YoY</x:v>
      </x:c>
      <x:c r="I20" s="126" t="n">
        <x:f>'Observations'!$F$55</x:f>
        <x:v>46238</x:v>
      </x:c>
      <x:c r="J20" s="52" t="n">
        <x:f>Settings!$B$3-I20</x:f>
        <x:v>34</x:v>
      </x:c>
      <x:c r="K20" s="52" t="str">
        <x:f>IF(J20&gt;IF(OR(C20="BLS",C20="Census",C20="Federal Reserve"),Settings!$B$6,Settings!$B$5),"REVIEW STALENESS","Within review window")</x:f>
        <x:v>Within review window</x:v>
      </x:c>
      <x:c r="L20" s="40" t="str">
        <x:v>Report confirmation / proxy; not a validated trading signal</x:v>
      </x:c>
      <x:c r="M20" s="40" t="str">
        <x:v>LMAT26</x:v>
      </x:c>
      <x:c r="N20" s="40" t="str"/>
    </x:row>
    <x:row r="21" ht="88" customHeight="1">
      <x:c r="A21" s="40" t="str">
        <x:v>O054</x:v>
      </x:c>
      <x:c r="B21" s="40" t="str">
        <x:v>Information Technology</x:v>
      </x:c>
      <x:c r="C21" s="40" t="str">
        <x:v>APPF</x:v>
      </x:c>
      <x:c r="D21" s="40" t="str">
        <x:v>Revenue growth</x:v>
      </x:c>
      <x:c r="E21" s="40" t="str">
        <x:v>Q2 2026</x:v>
      </x:c>
      <x:c r="F21" s="70" t="n">
        <x:f>'Observations'!$G$59</x:f>
        <x:v>19</x:v>
      </x:c>
      <x:c r="G21" s="70" t="str">
        <x:f>IF('Observations'!$H$59="","",'Observations'!$H$59)</x:f>
      </x:c>
      <x:c r="H21" s="52" t="str">
        <x:v>% YoY</x:v>
      </x:c>
      <x:c r="I21" s="126" t="n">
        <x:f>'Observations'!$F$59</x:f>
        <x:v>46226</x:v>
      </x:c>
      <x:c r="J21" s="52" t="n">
        <x:f>Settings!$B$3-I21</x:f>
        <x:v>46</x:v>
      </x:c>
      <x:c r="K21" s="52" t="str">
        <x:f>IF(J21&gt;IF(OR(C21="BLS",C21="Census",C21="Federal Reserve"),Settings!$B$6,Settings!$B$5),"REVIEW STALENESS","Within review window")</x:f>
        <x:v>Within review window</x:v>
      </x:c>
      <x:c r="L21" s="40" t="str">
        <x:v>Report confirmation / proxy; not a validated trading signal</x:v>
      </x:c>
      <x:c r="M21" s="40" t="str">
        <x:v>APPF26</x:v>
      </x:c>
      <x:c r="N21" s="40" t="str"/>
    </x:row>
    <x:row r="22" ht="88" customHeight="1">
      <x:c r="A22" s="40" t="str">
        <x:v>O059</x:v>
      </x:c>
      <x:c r="B22" s="40" t="str">
        <x:v>Financials</x:v>
      </x:c>
      <x:c r="C22" s="40" t="str">
        <x:v>KNSL</x:v>
      </x:c>
      <x:c r="D22" s="40" t="str">
        <x:v>Gross written premium growth</x:v>
      </x:c>
      <x:c r="E22" s="40" t="str">
        <x:v>Q2 2026</x:v>
      </x:c>
      <x:c r="F22" s="70" t="n">
        <x:f>'Observations'!$G$64</x:f>
        <x:v>-5</x:v>
      </x:c>
      <x:c r="G22" s="70" t="str">
        <x:f>IF('Observations'!$H$64="","",'Observations'!$H$64)</x:f>
      </x:c>
      <x:c r="H22" s="52" t="str">
        <x:v>% YoY</x:v>
      </x:c>
      <x:c r="I22" s="126" t="n">
        <x:f>'Observations'!$F$64</x:f>
        <x:v>46226</x:v>
      </x:c>
      <x:c r="J22" s="52" t="n">
        <x:f>Settings!$B$3-I22</x:f>
        <x:v>46</x:v>
      </x:c>
      <x:c r="K22" s="52" t="str">
        <x:f>IF(J22&gt;IF(OR(C22="BLS",C22="Census",C22="Federal Reserve"),Settings!$B$6,Settings!$B$5),"REVIEW STALENESS","Within review window")</x:f>
        <x:v>Within review window</x:v>
      </x:c>
      <x:c r="L22" s="40" t="str">
        <x:v>Report confirmation / proxy; not a validated trading signal</x:v>
      </x:c>
      <x:c r="M22" s="40" t="str">
        <x:v>KNSL26</x:v>
      </x:c>
      <x:c r="N22" s="40" t="str"/>
    </x:row>
    <x:row r="23" ht="88" customHeight="1">
      <x:c r="A23" s="40" t="str">
        <x:v>O061</x:v>
      </x:c>
      <x:c r="B23" s="40" t="str">
        <x:v>Financials</x:v>
      </x:c>
      <x:c r="C23" s="40" t="str">
        <x:v>KNSL</x:v>
      </x:c>
      <x:c r="D23" s="40" t="str">
        <x:v>Net earned premiums growth</x:v>
      </x:c>
      <x:c r="E23" s="40" t="str">
        <x:v>Q2 2026</x:v>
      </x:c>
      <x:c r="F23" s="70" t="n">
        <x:f>'Observations'!$G$66</x:f>
        <x:v>8.9</x:v>
      </x:c>
      <x:c r="G23" s="70" t="str">
        <x:f>IF('Observations'!$H$66="","",'Observations'!$H$66)</x:f>
      </x:c>
      <x:c r="H23" s="52" t="str">
        <x:v>% YoY</x:v>
      </x:c>
      <x:c r="I23" s="126" t="n">
        <x:f>'Observations'!$F$66</x:f>
        <x:v>46226</x:v>
      </x:c>
      <x:c r="J23" s="52" t="n">
        <x:f>Settings!$B$3-I23</x:f>
        <x:v>46</x:v>
      </x:c>
      <x:c r="K23" s="52" t="str">
        <x:f>IF(J23&gt;IF(OR(C23="BLS",C23="Census",C23="Federal Reserve"),Settings!$B$6,Settings!$B$5),"REVIEW STALENESS","Within review window")</x:f>
        <x:v>Within review window</x:v>
      </x:c>
      <x:c r="L23" s="40" t="str">
        <x:v>Report confirmation / proxy; not a validated trading signal</x:v>
      </x:c>
      <x:c r="M23" s="40" t="str">
        <x:v>KNSL26</x:v>
      </x:c>
      <x:c r="N23" s="40" t="str"/>
    </x:row>
    <x:row r="24" ht="88" customHeight="1">
      <x:c r="A24" s="40" t="str">
        <x:v>O064</x:v>
      </x:c>
      <x:c r="B24" s="40" t="str">
        <x:v>Energy</x:v>
      </x:c>
      <x:c r="C24" s="40" t="str">
        <x:v>AROC</x:v>
      </x:c>
      <x:c r="D24" s="40" t="str">
        <x:v>Fleet utilization</x:v>
      </x:c>
      <x:c r="E24" s="40" t="str">
        <x:v>Q2 2026</x:v>
      </x:c>
      <x:c r="F24" s="70" t="n">
        <x:f>'Observations'!$G$69</x:f>
        <x:v>94.4</x:v>
      </x:c>
      <x:c r="G24" s="70" t="str">
        <x:f>IF('Observations'!$H$69="","",'Observations'!$H$69)</x:f>
      </x:c>
      <x:c r="H24" s="52" t="str">
        <x:v>%</x:v>
      </x:c>
      <x:c r="I24" s="126" t="n">
        <x:f>'Observations'!$F$69</x:f>
        <x:v>46238</x:v>
      </x:c>
      <x:c r="J24" s="52" t="n">
        <x:f>Settings!$B$3-I24</x:f>
        <x:v>34</x:v>
      </x:c>
      <x:c r="K24" s="52" t="str">
        <x:f>IF(J24&gt;IF(OR(C24="BLS",C24="Census",C24="Federal Reserve"),Settings!$B$6,Settings!$B$5),"REVIEW STALENESS","Within review window")</x:f>
        <x:v>Within review window</x:v>
      </x:c>
      <x:c r="L24" s="40" t="str">
        <x:v>Report confirmation / proxy; not a validated trading signal</x:v>
      </x:c>
      <x:c r="M24" s="40" t="str">
        <x:v>AROC26</x:v>
      </x:c>
      <x:c r="N24" s="40" t="str"/>
    </x:row>
    <x:row r="25" ht="88" customHeight="1">
      <x:c r="A25" s="40" t="str">
        <x:v>O066</x:v>
      </x:c>
      <x:c r="B25" s="40" t="str">
        <x:v>Materials</x:v>
      </x:c>
      <x:c r="C25" s="40" t="str">
        <x:v>IOSP</x:v>
      </x:c>
      <x:c r="D25" s="40" t="str">
        <x:v>Revenue growth</x:v>
      </x:c>
      <x:c r="E25" s="40" t="str">
        <x:v>Q2 2026</x:v>
      </x:c>
      <x:c r="F25" s="70" t="n">
        <x:f>'Observations'!$G$71</x:f>
        <x:v>12</x:v>
      </x:c>
      <x:c r="G25" s="70" t="str">
        <x:f>IF('Observations'!$H$71="","",'Observations'!$H$71)</x:f>
      </x:c>
      <x:c r="H25" s="52" t="str">
        <x:v>% YoY</x:v>
      </x:c>
      <x:c r="I25" s="126" t="n">
        <x:f>'Observations'!$F$71</x:f>
        <x:v>46238</x:v>
      </x:c>
      <x:c r="J25" s="52" t="n">
        <x:f>Settings!$B$3-I25</x:f>
        <x:v>34</x:v>
      </x:c>
      <x:c r="K25" s="52" t="str">
        <x:f>IF(J25&gt;IF(OR(C25="BLS",C25="Census",C25="Federal Reserve"),Settings!$B$6,Settings!$B$5),"REVIEW STALENESS","Within review window")</x:f>
        <x:v>Within review window</x:v>
      </x:c>
      <x:c r="L25" s="40" t="str">
        <x:v>Report confirmation / proxy; not a validated trading signal</x:v>
      </x:c>
      <x:c r="M25" s="40" t="str">
        <x:v>IOSP26</x:v>
      </x:c>
      <x:c r="N25" s="40" t="str"/>
    </x:row>
    <x:row r="26" ht="88" customHeight="1">
      <x:c r="A26" s="40" t="str">
        <x:v>O069</x:v>
      </x:c>
      <x:c r="B26" s="40" t="str">
        <x:v>Health Care</x:v>
      </x:c>
      <x:c r="C26" s="40" t="str">
        <x:v>RGEN</x:v>
      </x:c>
      <x:c r="D26" s="40" t="str">
        <x:v>Organic revenue growth</x:v>
      </x:c>
      <x:c r="E26" s="40" t="str">
        <x:v>Q2 2026</x:v>
      </x:c>
      <x:c r="F26" s="70" t="n">
        <x:f>'Observations'!$G$74</x:f>
        <x:v>13</x:v>
      </x:c>
      <x:c r="G26" s="70" t="str">
        <x:f>IF('Observations'!$H$74="","",'Observations'!$H$74)</x:f>
      </x:c>
      <x:c r="H26" s="52" t="str">
        <x:v>% YoY</x:v>
      </x:c>
      <x:c r="I26" s="126" t="n">
        <x:f>'Observations'!$F$74</x:f>
        <x:v>46231</x:v>
      </x:c>
      <x:c r="J26" s="52" t="n">
        <x:f>Settings!$B$3-I26</x:f>
        <x:v>41</x:v>
      </x:c>
      <x:c r="K26" s="52" t="str">
        <x:f>IF(J26&gt;IF(OR(C26="BLS",C26="Census",C26="Federal Reserve"),Settings!$B$6,Settings!$B$5),"REVIEW STALENESS","Within review window")</x:f>
        <x:v>Within review window</x:v>
      </x:c>
      <x:c r="L26" s="40" t="str">
        <x:v>Report confirmation / proxy; not a validated trading signal</x:v>
      </x:c>
      <x:c r="M26" s="40" t="str">
        <x:v>RGEN26</x:v>
      </x:c>
      <x:c r="N26" s="40" t="str"/>
    </x:row>
    <x:row r="27" ht="88" customHeight="1">
      <x:c r="A27" s="40" t="str">
        <x:v>O073</x:v>
      </x:c>
      <x:c r="B27" s="40" t="str">
        <x:v>Consumer Staples</x:v>
      </x:c>
      <x:c r="C27" s="40" t="str">
        <x:v>VITL</x:v>
      </x:c>
      <x:c r="D27" s="40" t="str">
        <x:v>Gross margin</x:v>
      </x:c>
      <x:c r="E27" s="40" t="str">
        <x:v>Q2 2026</x:v>
      </x:c>
      <x:c r="F27" s="70" t="n">
        <x:f>'Observations'!$G$78</x:f>
        <x:v>6.6</x:v>
      </x:c>
      <x:c r="G27" s="70" t="n">
        <x:f>IF('Observations'!$H$78="","",'Observations'!$H$78)</x:f>
        <x:v>38.9</x:v>
      </x:c>
      <x:c r="H27" s="52" t="str">
        <x:v>%</x:v>
      </x:c>
      <x:c r="I27" s="126" t="n">
        <x:f>'Observations'!$F$78</x:f>
        <x:v>46240</x:v>
      </x:c>
      <x:c r="J27" s="52" t="n">
        <x:f>Settings!$B$3-I27</x:f>
        <x:v>32</x:v>
      </x:c>
      <x:c r="K27" s="52" t="str">
        <x:f>IF(J27&gt;IF(OR(C27="BLS",C27="Census",C27="Federal Reserve"),Settings!$B$6,Settings!$B$5),"REVIEW STALENESS","Within review window")</x:f>
        <x:v>Within review window</x:v>
      </x:c>
      <x:c r="L27" s="40" t="str">
        <x:v>Report confirmation / proxy; not a validated trading signal</x:v>
      </x:c>
      <x:c r="M27" s="40" t="str">
        <x:v>VITL26</x:v>
      </x:c>
      <x:c r="N27" s="40" t="str">
        <x:v>Includes oversupply and supply-management / exit effects; do not blindly normalize either extreme.</x:v>
      </x:c>
    </x:row>
    <x:row r="28" ht="88" customHeight="1">
      <x:c r="A28" s="40" t="str">
        <x:v>O076</x:v>
      </x:c>
      <x:c r="B28" s="40" t="str">
        <x:v>Consumer Discretionary</x:v>
      </x:c>
      <x:c r="C28" s="40" t="str">
        <x:v>FND</x:v>
      </x:c>
      <x:c r="D28" s="40" t="str">
        <x:v>Comparable-store sales growth</x:v>
      </x:c>
      <x:c r="E28" s="40" t="str">
        <x:v>Q2 FY2026</x:v>
      </x:c>
      <x:c r="F28" s="70" t="n">
        <x:f>'Observations'!$G$81</x:f>
        <x:v>-2.1</x:v>
      </x:c>
      <x:c r="G28" s="70" t="str">
        <x:f>IF('Observations'!$H$81="","",'Observations'!$H$81)</x:f>
      </x:c>
      <x:c r="H28" s="52" t="str">
        <x:v>% YoY</x:v>
      </x:c>
      <x:c r="I28" s="126" t="n">
        <x:f>'Observations'!$F$81</x:f>
        <x:v>46233</x:v>
      </x:c>
      <x:c r="J28" s="52" t="n">
        <x:f>Settings!$B$3-I28</x:f>
        <x:v>39</x:v>
      </x:c>
      <x:c r="K28" s="52" t="str">
        <x:f>IF(J28&gt;IF(OR(C28="BLS",C28="Census",C28="Federal Reserve"),Settings!$B$6,Settings!$B$5),"REVIEW STALENESS","Within review window")</x:f>
        <x:v>Within review window</x:v>
      </x:c>
      <x:c r="L28" s="40" t="str">
        <x:v>Report confirmation / proxy; not a validated trading signal</x:v>
      </x:c>
      <x:c r="M28" s="40" t="str">
        <x:v>FND26</x:v>
      </x:c>
      <x:c r="N28" s="40" t="str"/>
    </x:row>
    <x:row r="29" ht="88" customHeight="1">
      <x:c r="A29" s="40" t="str">
        <x:v>O080</x:v>
      </x:c>
      <x:c r="B29" s="40" t="str">
        <x:v>Financials</x:v>
      </x:c>
      <x:c r="C29" s="40" t="str">
        <x:v>PEBO</x:v>
      </x:c>
      <x:c r="D29" s="40" t="str">
        <x:v>Net interest margin</x:v>
      </x:c>
      <x:c r="E29" s="40" t="str">
        <x:v>Q2 2026</x:v>
      </x:c>
      <x:c r="F29" s="70" t="n">
        <x:f>'Observations'!$G$85</x:f>
        <x:v>4.23</x:v>
      </x:c>
      <x:c r="G29" s="70" t="n">
        <x:f>IF('Observations'!$H$85="","",'Observations'!$H$85)</x:f>
        <x:v>4.16</x:v>
      </x:c>
      <x:c r="H29" s="52" t="str">
        <x:v>%</x:v>
      </x:c>
      <x:c r="I29" s="126" t="n">
        <x:f>'Observations'!$F$85</x:f>
        <x:v>46224</x:v>
      </x:c>
      <x:c r="J29" s="52" t="n">
        <x:f>Settings!$B$3-I29</x:f>
        <x:v>48</x:v>
      </x:c>
      <x:c r="K29" s="52" t="str">
        <x:f>IF(J29&gt;IF(OR(C29="BLS",C29="Census",C29="Federal Reserve"),Settings!$B$6,Settings!$B$5),"REVIEW STALENESS","Within review window")</x:f>
        <x:v>Within review window</x:v>
      </x:c>
      <x:c r="L29" s="40" t="str">
        <x:v>Report confirmation / proxy; not a validated trading signal</x:v>
      </x:c>
      <x:c r="M29" s="40" t="str">
        <x:v>PEBO26</x:v>
      </x:c>
      <x:c r="N29" s="40" t="str"/>
    </x:row>
    <x:row r="30" ht="88" customHeight="1">
      <x:c r="A30" s="40" t="str">
        <x:v>O086</x:v>
      </x:c>
      <x:c r="B30" s="40" t="str">
        <x:v>Information Technology</x:v>
      </x:c>
      <x:c r="C30" s="40" t="str">
        <x:v>BMI</x:v>
      </x:c>
      <x:c r="D30" s="40" t="str">
        <x:v>Revenue</x:v>
      </x:c>
      <x:c r="E30" s="40" t="str">
        <x:v>Q2 2026</x:v>
      </x:c>
      <x:c r="F30" s="70" t="n">
        <x:f>'Observations'!$G$91</x:f>
        <x:v>222.3</x:v>
      </x:c>
      <x:c r="G30" s="70" t="n">
        <x:f>IF('Observations'!$H$91="","",'Observations'!$H$91)</x:f>
        <x:v>238.1</x:v>
      </x:c>
      <x:c r="H30" s="52" t="str">
        <x:v>USD m</x:v>
      </x:c>
      <x:c r="I30" s="126" t="n">
        <x:f>'Observations'!$F$91</x:f>
        <x:v>46225</x:v>
      </x:c>
      <x:c r="J30" s="52" t="n">
        <x:f>Settings!$B$3-I30</x:f>
        <x:v>47</x:v>
      </x:c>
      <x:c r="K30" s="52" t="str">
        <x:f>IF(J30&gt;IF(OR(C30="BLS",C30="Census",C30="Federal Reserve"),Settings!$B$6,Settings!$B$5),"REVIEW STALENESS","Within review window")</x:f>
        <x:v>Within review window</x:v>
      </x:c>
      <x:c r="L30" s="40" t="str">
        <x:v>Report confirmation / proxy; not a validated trading signal</x:v>
      </x:c>
      <x:c r="M30" s="40" t="str">
        <x:v>BMI26</x:v>
      </x:c>
      <x:c r="N30" s="40" t="str"/>
    </x:row>
    <x:row r="31" ht="88" customHeight="1">
      <x:c r="A31" s="40" t="str">
        <x:v>O088</x:v>
      </x:c>
      <x:c r="B31" s="40" t="str">
        <x:v>Industrials</x:v>
      </x:c>
      <x:c r="C31" s="40" t="str">
        <x:v>Federal Reserve</x:v>
      </x:c>
      <x:c r="D31" s="40" t="str">
        <x:v>Manufacturing capacity utilization</x:v>
      </x:c>
      <x:c r="E31" s="40" t="str">
        <x:v>July 2026</x:v>
      </x:c>
      <x:c r="F31" s="70" t="n">
        <x:f>'Observations'!$G$93</x:f>
        <x:v>76</x:v>
      </x:c>
      <x:c r="G31" s="70" t="str">
        <x:f>IF('Observations'!$H$93="","",'Observations'!$H$93)</x:f>
      </x:c>
      <x:c r="H31" s="52" t="str">
        <x:v>%</x:v>
      </x:c>
      <x:c r="I31" s="126" t="n">
        <x:f>'Observations'!$F$93</x:f>
        <x:v>46252</x:v>
      </x:c>
      <x:c r="J31" s="52" t="n">
        <x:f>Settings!$B$3-I31</x:f>
        <x:v>20</x:v>
      </x:c>
      <x:c r="K31" s="52" t="str">
        <x:f>IF(J31&gt;IF(OR(C31="BLS",C31="Census",C31="Federal Reserve"),Settings!$B$6,Settings!$B$5),"REVIEW STALENESS","Within review window")</x:f>
        <x:v>Within review window</x:v>
      </x:c>
      <x:c r="L31" s="40" t="str">
        <x:v>Report confirmation / proxy; not a validated trading signal</x:v>
      </x:c>
      <x:c r="M31" s="40" t="str">
        <x:v>G17</x:v>
      </x:c>
      <x:c r="N31" s="40" t="str">
        <x:v>Aggregate context, not the utilization of transformers or semiconductor testing.</x:v>
      </x:c>
    </x:row>
    <x:row r="32" ht="88" customHeight="1">
      <x:c r="A32" s="40" t="str">
        <x:v>O089</x:v>
      </x:c>
      <x:c r="B32" s="40" t="str">
        <x:v>Consumer Discretionary</x:v>
      </x:c>
      <x:c r="C32" s="40" t="str">
        <x:v>Census</x:v>
      </x:c>
      <x:c r="D32" s="40" t="str">
        <x:v>Housing starts</x:v>
      </x:c>
      <x:c r="E32" s="40" t="str">
        <x:v>July 2026</x:v>
      </x:c>
      <x:c r="F32" s="70" t="n">
        <x:f>'Observations'!$G$94</x:f>
        <x:v>1239</x:v>
      </x:c>
      <x:c r="G32" s="70" t="n">
        <x:f>IF('Observations'!$H$94="","",'Observations'!$H$94)</x:f>
        <x:v>1415</x:v>
      </x:c>
      <x:c r="H32" s="52" t="str">
        <x:v>thousand units SAAR</x:v>
      </x:c>
      <x:c r="I32" s="126" t="n">
        <x:f>'Observations'!$F$94</x:f>
        <x:v>46252</x:v>
      </x:c>
      <x:c r="J32" s="52" t="n">
        <x:f>Settings!$B$3-I32</x:f>
        <x:v>20</x:v>
      </x:c>
      <x:c r="K32" s="52" t="str">
        <x:f>IF(J32&gt;IF(OR(C32="BLS",C32="Census",C32="Federal Reserve"),Settings!$B$6,Settings!$B$5),"REVIEW STALENESS","Within review window")</x:f>
        <x:v>Within review window</x:v>
      </x:c>
      <x:c r="L32" s="40" t="str">
        <x:v>Report confirmation / proxy; not a validated trading signal</x:v>
      </x:c>
      <x:c r="M32" s="40" t="str">
        <x:v>HOUSING26</x:v>
      </x:c>
      <x:c r="N32" s="40" t="str">
        <x:v>Prior month revised; sampling error and volatility prevent a one-month bottom call.</x:v>
      </x:c>
    </x:row>
    <x:row r="33" ht="88" customHeight="1">
      <x:c r="A33" s="40" t="str">
        <x:v>O090</x:v>
      </x:c>
      <x:c r="B33" s="40" t="str">
        <x:v>Real Estate</x:v>
      </x:c>
      <x:c r="C33" s="40" t="str">
        <x:v>Census</x:v>
      </x:c>
      <x:c r="D33" s="40" t="str">
        <x:v>Building permits</x:v>
      </x:c>
      <x:c r="E33" s="40" t="str">
        <x:v>July 2026</x:v>
      </x:c>
      <x:c r="F33" s="70" t="n">
        <x:f>'Observations'!$G$95</x:f>
        <x:v>1443</x:v>
      </x:c>
      <x:c r="G33" s="70" t="n">
        <x:f>IF('Observations'!$H$95="","",'Observations'!$H$95)</x:f>
        <x:v>1374</x:v>
      </x:c>
      <x:c r="H33" s="52" t="str">
        <x:v>thousand units SAAR</x:v>
      </x:c>
      <x:c r="I33" s="126" t="n">
        <x:f>'Observations'!$F$95</x:f>
        <x:v>46252</x:v>
      </x:c>
      <x:c r="J33" s="52" t="n">
        <x:f>Settings!$B$3-I33</x:f>
        <x:v>20</x:v>
      </x:c>
      <x:c r="K33" s="52" t="str">
        <x:f>IF(J33&gt;IF(OR(C33="BLS",C33="Census",C33="Federal Reserve"),Settings!$B$6,Settings!$B$5),"REVIEW STALENESS","Within review window")</x:f>
        <x:v>Within review window</x:v>
      </x:c>
      <x:c r="L33" s="40" t="str">
        <x:v>Report confirmation / proxy; not a validated trading signal</x:v>
      </x:c>
      <x:c r="M33" s="40" t="str">
        <x:v>HOUSING26</x:v>
      </x:c>
      <x:c r="N33" s="40" t="str"/>
    </x:row>
    <x:row r="34" ht="88" customHeight="1">
      <x:c r="A34" s="40" t="str">
        <x:v>O092</x:v>
      </x:c>
      <x:c r="B34" s="40" t="str">
        <x:v>Financials</x:v>
      </x:c>
      <x:c r="C34" s="40" t="str">
        <x:v>FDIC</x:v>
      </x:c>
      <x:c r="D34" s="40" t="str">
        <x:v>Industry return on assets</x:v>
      </x:c>
      <x:c r="E34" s="40" t="str">
        <x:v>Q2 2026</x:v>
      </x:c>
      <x:c r="F34" s="70" t="n">
        <x:f>'Observations'!$G$97</x:f>
        <x:v>1.37</x:v>
      </x:c>
      <x:c r="G34" s="70" t="str">
        <x:f>IF('Observations'!$H$97="","",'Observations'!$H$97)</x:f>
      </x:c>
      <x:c r="H34" s="52" t="str">
        <x:v>% annualized</x:v>
      </x:c>
      <x:c r="I34" s="126" t="n">
        <x:f>'Observations'!$F$97</x:f>
        <x:v>46259</x:v>
      </x:c>
      <x:c r="J34" s="52" t="n">
        <x:f>Settings!$B$3-I34</x:f>
        <x:v>13</x:v>
      </x:c>
      <x:c r="K34" s="52" t="str">
        <x:f>IF(J34&gt;IF(OR(C34="BLS",C34="Census",C34="Federal Reserve"),Settings!$B$6,Settings!$B$5),"REVIEW STALENESS","Within review window")</x:f>
        <x:v>Within review window</x:v>
      </x:c>
      <x:c r="L34" s="40" t="str">
        <x:v>Report confirmation / proxy; not a validated trading signal</x:v>
      </x:c>
      <x:c r="M34" s="40" t="str">
        <x:v>FDIC26</x:v>
      </x:c>
      <x:c r="N34" s="40" t="str"/>
    </x:row>
    <x:row r="35" ht="88" customHeight="1">
      <x:c r="A35" s="40" t="str">
        <x:v>O093</x:v>
      </x:c>
      <x:c r="B35" s="40" t="str">
        <x:v>Cross-sector</x:v>
      </x:c>
      <x:c r="C35" s="40" t="str">
        <x:v>BLS</x:v>
      </x:c>
      <x:c r="D35" s="40" t="str">
        <x:v>Nonfarm payroll change</x:v>
      </x:c>
      <x:c r="E35" s="40" t="str">
        <x:v>August 2026</x:v>
      </x:c>
      <x:c r="F35" s="70" t="n">
        <x:f>'Observations'!$G$98</x:f>
        <x:v>162</x:v>
      </x:c>
      <x:c r="G35" s="70" t="str">
        <x:f>IF('Observations'!$H$98="","",'Observations'!$H$98)</x:f>
      </x:c>
      <x:c r="H35" s="52" t="str">
        <x:v>thousand jobs, seasonally adjusted</x:v>
      </x:c>
      <x:c r="I35" s="126" t="n">
        <x:f>'Observations'!$F$98</x:f>
        <x:v>46269</x:v>
      </x:c>
      <x:c r="J35" s="52" t="n">
        <x:f>Settings!$B$3-I35</x:f>
        <x:v>3</x:v>
      </x:c>
      <x:c r="K35" s="52" t="str">
        <x:f>IF(J35&gt;IF(OR(C35="BLS",C35="Census",C35="Federal Reserve"),Settings!$B$6,Settings!$B$5),"REVIEW STALENESS","Within review window")</x:f>
        <x:v>Within review window</x:v>
      </x:c>
      <x:c r="L35" s="40" t="str">
        <x:v>Report confirmation / proxy; not a validated trading signal</x:v>
      </x:c>
      <x:c r="M35" s="40" t="str">
        <x:v>JOBS26</x:v>
      </x:c>
      <x:c r="N35" s="40" t="str"/>
    </x:row>
    <x:row r="36" ht="88" customHeight="1">
      <x:c r="A36" s="40" t="str">
        <x:v>O094</x:v>
      </x:c>
      <x:c r="B36" s="40" t="str">
        <x:v>Cross-sector</x:v>
      </x:c>
      <x:c r="C36" s="40" t="str">
        <x:v>BLS</x:v>
      </x:c>
      <x:c r="D36" s="40" t="str">
        <x:v>Unemployment rate</x:v>
      </x:c>
      <x:c r="E36" s="40" t="str">
        <x:v>August 2026</x:v>
      </x:c>
      <x:c r="F36" s="70" t="n">
        <x:f>'Observations'!$G$99</x:f>
        <x:v>4.1</x:v>
      </x:c>
      <x:c r="G36" s="70" t="str">
        <x:f>IF('Observations'!$H$99="","",'Observations'!$H$99)</x:f>
      </x:c>
      <x:c r="H36" s="52" t="str">
        <x:v>%</x:v>
      </x:c>
      <x:c r="I36" s="126" t="n">
        <x:f>'Observations'!$F$99</x:f>
        <x:v>46269</x:v>
      </x:c>
      <x:c r="J36" s="52" t="n">
        <x:f>Settings!$B$3-I36</x:f>
        <x:v>3</x:v>
      </x:c>
      <x:c r="K36" s="52" t="str">
        <x:f>IF(J36&gt;IF(OR(C36="BLS",C36="Census",C36="Federal Reserve"),Settings!$B$6,Settings!$B$5),"REVIEW STALENESS","Within review window")</x:f>
        <x:v>Within review window</x:v>
      </x:c>
      <x:c r="L36" s="40" t="str">
        <x:v>Report confirmation / proxy; not a validated trading signal</x:v>
      </x:c>
      <x:c r="M36" s="40" t="str">
        <x:v>JOBS26</x:v>
      </x:c>
      <x:c r="N36" s="40" t="str"/>
    </x:row>
  </x:sheetData>
  <x:mergeCells>
    <x:mergeCell ref="A1:H2"/>
    <x:mergeCell ref="A3:H3"/>
  </x:mergeCells>
  <x:conditionalFormatting sqref="K6:K36">
    <x:cfRule type="expression" dxfId="3" priority="1">
      <x:formula>K6="REVIEW STALENESS"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380212d9cc4e8c"/>
  </x:tableParts>
</x:worksheet>
</file>